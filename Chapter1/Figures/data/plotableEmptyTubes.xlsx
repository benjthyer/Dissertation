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shf\pyrite\"/>
    </mc:Choice>
  </mc:AlternateContent>
  <xr:revisionPtr revIDLastSave="0" documentId="13_ncr:1_{FB13B50F-859B-4291-BBAD-62D5F3B49815}" xr6:coauthVersionLast="47" xr6:coauthVersionMax="47" xr10:uidLastSave="{00000000-0000-0000-0000-000000000000}"/>
  <bookViews>
    <workbookView xWindow="11520" yWindow="0" windowWidth="11520" windowHeight="12360" activeTab="1" xr2:uid="{6103F5A4-A1F1-4A0D-ACFE-DD882A785D58}"/>
  </bookViews>
  <sheets>
    <sheet name="Quad Measured" sheetId="1" r:id="rId1"/>
    <sheet name="MC Measured" sheetId="2" r:id="rId2"/>
    <sheet name="MC Sulfur" sheetId="4" r:id="rId3"/>
    <sheet name="MC Water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I2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E2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H7" i="2"/>
  <c r="H6" i="2"/>
  <c r="H5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4" i="2"/>
  <c r="H3" i="2"/>
  <c r="H2" i="2"/>
  <c r="D7" i="2"/>
  <c r="D6" i="2"/>
  <c r="D5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4" i="2"/>
  <c r="D3" i="2"/>
  <c r="D2" i="2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<sst xmlns="http://schemas.openxmlformats.org/spreadsheetml/2006/main" count="43" uniqueCount="15">
  <si>
    <t>4He P nt/n0</t>
  </si>
  <si>
    <t>4He M nt/n0</t>
  </si>
  <si>
    <t>T</t>
  </si>
  <si>
    <t>3He P nt/n0</t>
  </si>
  <si>
    <t>3He M nt/n0</t>
  </si>
  <si>
    <t>4He M% err</t>
  </si>
  <si>
    <t>3He M% err</t>
  </si>
  <si>
    <t>10000/T</t>
  </si>
  <si>
    <t>4He ln(K)</t>
  </si>
  <si>
    <t>4He Lit ln(K)</t>
  </si>
  <si>
    <t>3He ln(K)</t>
  </si>
  <si>
    <t>3He Lit ln(K)</t>
  </si>
  <si>
    <t>K3/4</t>
  </si>
  <si>
    <t>4He n0% err</t>
  </si>
  <si>
    <t>3He n0% 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</si>
</sst>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E+00"/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1" xfId="0" applyNumberFormat="1" applyBorder="1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1" xfId="0" applyNumberFormat="1" applyBorder="1"/>
    <xf numFmtId="2" fontId="0" fillId="0" borderId="2" xfId="0" applyNumberFormat="1" applyBorder="1"/>
    <xf numFmtId="166" fontId="0" fillId="0" borderId="0" xfId="0" applyNumberFormat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F55B-5543-4FBD-BAD8-7BAE622A6D09}">
  <dimension ref="A1:J24"/>
  <sheetViews>
    <sheetView workbookViewId="0">
      <selection activeCell="C13" sqref="C13"/>
    </sheetView>
  </sheetViews>
  <sheetFormatPr defaultRowHeight="14.4" x14ac:dyDescent="0.3"/>
  <cols>
    <col min="2" max="3" width="8.88671875" style="4"/>
  </cols>
  <sheetData>
    <row r="1" spans="1:10" x14ac:dyDescent="0.3">
      <c r="A1" t="s">
        <v>2</v>
      </c>
      <c r="B1" s="4" t="s">
        <v>0</v>
      </c>
      <c r="C1" s="4" t="s">
        <v>1</v>
      </c>
      <c r="D1" t="s">
        <v>5</v>
      </c>
      <c r="E1" s="3" t="s">
        <v>13</v>
      </c>
      <c r="F1" t="s">
        <v>7</v>
      </c>
      <c r="G1" t="s">
        <v>8</v>
      </c>
      <c r="H1" t="s">
        <v>9</v>
      </c>
      <c r="J1" s="3"/>
    </row>
    <row r="2" spans="1:10" x14ac:dyDescent="0.3">
      <c r="A2">
        <v>25</v>
      </c>
      <c r="B2" s="4">
        <v>0.98626594544100965</v>
      </c>
      <c r="C2" s="4">
        <v>0.98537493198799087</v>
      </c>
      <c r="D2">
        <f>100*((1-C2)-(1-B2))/(1-B2)</f>
        <v>6.4876213298244503</v>
      </c>
      <c r="E2" s="3">
        <f>100*(((1-C2)/(1-B2))-1)</f>
        <v>6.4876213298244556</v>
      </c>
      <c r="F2">
        <f>10000/(A2+273)</f>
        <v>33.557046979865774</v>
      </c>
      <c r="G2">
        <v>23.521642025547191</v>
      </c>
      <c r="H2">
        <v>23.458332625717173</v>
      </c>
      <c r="J2" s="3"/>
    </row>
    <row r="3" spans="1:10" x14ac:dyDescent="0.3">
      <c r="A3">
        <v>25</v>
      </c>
      <c r="B3" s="4">
        <v>0.9862659454428655</v>
      </c>
      <c r="C3" s="4">
        <v>0.9857813089181684</v>
      </c>
      <c r="D3">
        <f t="shared" ref="D3:D23" si="0">100*((1-C3)-(1-B3))/(1-B3)</f>
        <v>3.5287214178521316</v>
      </c>
      <c r="E3" s="3">
        <f t="shared" ref="E3:E23" si="1">100*(((1-C3)/(1-B3))-1)</f>
        <v>3.5287214178521209</v>
      </c>
      <c r="F3">
        <f t="shared" ref="F3:F23" si="2">10000/(A3+273)</f>
        <v>33.557046979865774</v>
      </c>
      <c r="G3" s="3">
        <v>23.49325669206927</v>
      </c>
      <c r="H3">
        <v>23.458332625717173</v>
      </c>
    </row>
    <row r="4" spans="1:10" x14ac:dyDescent="0.3">
      <c r="A4">
        <v>50</v>
      </c>
      <c r="B4" s="4">
        <v>0.98351580229955271</v>
      </c>
      <c r="C4" s="4">
        <v>0.98188021336745424</v>
      </c>
      <c r="D4">
        <f t="shared" si="0"/>
        <v>9.9221627999165189</v>
      </c>
      <c r="E4" s="3">
        <f t="shared" si="1"/>
        <v>9.9221627999165118</v>
      </c>
      <c r="F4">
        <f t="shared" si="2"/>
        <v>30.959752321981423</v>
      </c>
      <c r="G4" s="3">
        <v>24.194265160655458</v>
      </c>
      <c r="H4">
        <v>24.098833069785279</v>
      </c>
    </row>
    <row r="5" spans="1:10" x14ac:dyDescent="0.3">
      <c r="A5">
        <v>24.8</v>
      </c>
      <c r="B5" s="4">
        <v>0.98687893238695534</v>
      </c>
      <c r="C5" s="4">
        <v>0.98680736701790606</v>
      </c>
      <c r="D5">
        <f t="shared" si="0"/>
        <v>0.5454233691939685</v>
      </c>
      <c r="E5" s="3">
        <f t="shared" si="1"/>
        <v>0.54542336919396472</v>
      </c>
      <c r="F5">
        <f t="shared" si="2"/>
        <v>33.579583613163194</v>
      </c>
      <c r="G5" s="3">
        <v>23.458250619097143</v>
      </c>
      <c r="H5">
        <v>23.452775026162197</v>
      </c>
    </row>
    <row r="6" spans="1:10" x14ac:dyDescent="0.3">
      <c r="A6">
        <v>100</v>
      </c>
      <c r="B6" s="4">
        <v>0.94798839216849307</v>
      </c>
      <c r="C6" s="4">
        <v>0.94510987019907</v>
      </c>
      <c r="D6">
        <f t="shared" si="0"/>
        <v>5.5343837451595759</v>
      </c>
      <c r="E6" s="3">
        <f t="shared" si="1"/>
        <v>5.5343837451595768</v>
      </c>
      <c r="F6">
        <f t="shared" si="2"/>
        <v>26.809651474530831</v>
      </c>
      <c r="G6" s="3">
        <v>25.177633294266066</v>
      </c>
      <c r="H6">
        <v>25.122260052800272</v>
      </c>
    </row>
    <row r="7" spans="1:10" x14ac:dyDescent="0.3">
      <c r="A7">
        <v>24.7</v>
      </c>
      <c r="B7" s="4">
        <v>0.98691950471294154</v>
      </c>
      <c r="C7" s="4">
        <v>0.98698586032729085</v>
      </c>
      <c r="D7">
        <f t="shared" si="0"/>
        <v>-0.50728671119175672</v>
      </c>
      <c r="E7" s="3">
        <f t="shared" si="1"/>
        <v>-0.50728671119175672</v>
      </c>
      <c r="F7">
        <f t="shared" si="2"/>
        <v>33.59086328518643</v>
      </c>
      <c r="G7" s="3">
        <v>23.444874105503015</v>
      </c>
      <c r="H7">
        <v>23.449993426116205</v>
      </c>
    </row>
    <row r="8" spans="1:10" x14ac:dyDescent="0.3">
      <c r="A8">
        <v>60</v>
      </c>
      <c r="B8" s="4">
        <v>0.97867868482856968</v>
      </c>
      <c r="C8" s="4">
        <v>0.97705173516234767</v>
      </c>
      <c r="D8">
        <f t="shared" si="0"/>
        <v>7.6306252833880333</v>
      </c>
      <c r="E8" s="3">
        <f t="shared" si="1"/>
        <v>7.6306252833880261</v>
      </c>
      <c r="F8">
        <f t="shared" si="2"/>
        <v>30.03003003003003</v>
      </c>
      <c r="G8" s="3">
        <v>24.402469128909033</v>
      </c>
      <c r="H8">
        <v>24.328105300815064</v>
      </c>
    </row>
    <row r="9" spans="1:10" x14ac:dyDescent="0.3">
      <c r="A9">
        <v>70</v>
      </c>
      <c r="B9" s="4">
        <v>0.97282730263164097</v>
      </c>
      <c r="C9" s="4">
        <v>0.97118804343708287</v>
      </c>
      <c r="D9">
        <f t="shared" si="0"/>
        <v>6.0327437218909088</v>
      </c>
      <c r="E9" s="3">
        <f t="shared" si="1"/>
        <v>6.0327437218909097</v>
      </c>
      <c r="F9">
        <f t="shared" si="2"/>
        <v>29.154518950437318</v>
      </c>
      <c r="G9" s="3">
        <v>24.603425895845788</v>
      </c>
      <c r="H9">
        <v>24.544008888636117</v>
      </c>
    </row>
    <row r="10" spans="1:10" x14ac:dyDescent="0.3">
      <c r="A10">
        <v>80</v>
      </c>
      <c r="B10" s="4">
        <v>0.96584065305943934</v>
      </c>
      <c r="C10" s="4">
        <v>0.96392991225659241</v>
      </c>
      <c r="D10">
        <f t="shared" si="0"/>
        <v>5.5936104579859993</v>
      </c>
      <c r="E10" s="3">
        <f t="shared" si="1"/>
        <v>5.5936104579860091</v>
      </c>
      <c r="F10">
        <f t="shared" si="2"/>
        <v>28.328611898016998</v>
      </c>
      <c r="G10" s="3">
        <v>24.803091895276502</v>
      </c>
      <c r="H10">
        <v>24.747679978563625</v>
      </c>
    </row>
    <row r="11" spans="1:10" x14ac:dyDescent="0.3">
      <c r="A11">
        <v>24.7</v>
      </c>
      <c r="B11" s="4">
        <v>0.9869195047147814</v>
      </c>
      <c r="C11" s="4">
        <v>0.98700700556670895</v>
      </c>
      <c r="D11">
        <f t="shared" si="0"/>
        <v>-0.66894142782518007</v>
      </c>
      <c r="E11" s="3">
        <f t="shared" si="1"/>
        <v>-0.66894142782517596</v>
      </c>
      <c r="F11">
        <f t="shared" si="2"/>
        <v>33.59086328518643</v>
      </c>
      <c r="G11" s="3">
        <v>23.44323730604928</v>
      </c>
      <c r="H11">
        <v>23.449993426116205</v>
      </c>
    </row>
    <row r="12" spans="1:10" x14ac:dyDescent="0.3">
      <c r="A12">
        <v>24.8</v>
      </c>
      <c r="B12" s="4">
        <v>0.98687893238695534</v>
      </c>
      <c r="C12" s="4">
        <v>0.98701503219973519</v>
      </c>
      <c r="D12">
        <f t="shared" si="0"/>
        <v>-1.0372617289505988</v>
      </c>
      <c r="E12" s="3">
        <f t="shared" si="1"/>
        <v>-1.0372617289506003</v>
      </c>
      <c r="F12">
        <f t="shared" si="2"/>
        <v>33.579583613163194</v>
      </c>
      <c r="G12" s="3">
        <v>23.442279439436046</v>
      </c>
      <c r="H12">
        <v>23.452775026162197</v>
      </c>
    </row>
    <row r="13" spans="1:10" x14ac:dyDescent="0.3">
      <c r="A13">
        <v>24.8</v>
      </c>
      <c r="B13" s="4">
        <v>0.98670280476137506</v>
      </c>
      <c r="C13" s="4">
        <v>0.98695461028479514</v>
      </c>
      <c r="D13">
        <f t="shared" si="0"/>
        <v>-1.8936739583145212</v>
      </c>
      <c r="E13" s="3">
        <f t="shared" si="1"/>
        <v>-1.8936739583145235</v>
      </c>
      <c r="F13">
        <f t="shared" si="2"/>
        <v>33.579583613163194</v>
      </c>
      <c r="G13" s="3">
        <v>23.433529389045162</v>
      </c>
      <c r="H13">
        <v>23.452775026162197</v>
      </c>
    </row>
    <row r="14" spans="1:10" x14ac:dyDescent="0.3">
      <c r="A14">
        <v>70</v>
      </c>
      <c r="B14" s="4">
        <v>0.97282730263164097</v>
      </c>
      <c r="C14" s="4">
        <v>0.97087150377834563</v>
      </c>
      <c r="D14">
        <f t="shared" si="0"/>
        <v>7.1976617808018633</v>
      </c>
      <c r="E14" s="3">
        <f t="shared" si="1"/>
        <v>7.1976617808018561</v>
      </c>
      <c r="F14">
        <f t="shared" si="2"/>
        <v>29.154518950437318</v>
      </c>
      <c r="G14" s="3">
        <v>24.614514576190562</v>
      </c>
      <c r="H14">
        <v>24.544008888636117</v>
      </c>
    </row>
    <row r="15" spans="1:10" x14ac:dyDescent="0.3">
      <c r="A15">
        <v>60</v>
      </c>
      <c r="B15" s="4">
        <v>0.97867868482856968</v>
      </c>
      <c r="C15" s="4">
        <v>0.97726170513117949</v>
      </c>
      <c r="D15">
        <f t="shared" si="0"/>
        <v>6.645836272280615</v>
      </c>
      <c r="E15" s="3">
        <f t="shared" si="1"/>
        <v>6.6458362722806141</v>
      </c>
      <c r="F15">
        <f t="shared" si="2"/>
        <v>30.03003003003003</v>
      </c>
      <c r="G15" s="3">
        <v>24.393170277728512</v>
      </c>
      <c r="H15">
        <v>24.328105300815064</v>
      </c>
    </row>
    <row r="16" spans="1:10" x14ac:dyDescent="0.3">
      <c r="A16">
        <v>24.8</v>
      </c>
      <c r="B16" s="4">
        <v>0.98687893238695534</v>
      </c>
      <c r="C16" s="4">
        <v>0.98703682144963067</v>
      </c>
      <c r="D16">
        <f t="shared" si="0"/>
        <v>-1.2033248157212599</v>
      </c>
      <c r="E16" s="3">
        <f t="shared" si="1"/>
        <v>-1.2033248157212628</v>
      </c>
      <c r="F16">
        <f t="shared" si="2"/>
        <v>33.579583613163194</v>
      </c>
      <c r="G16" s="3">
        <v>23.440588979650855</v>
      </c>
      <c r="H16">
        <v>23.452775026162197</v>
      </c>
    </row>
    <row r="17" spans="1:8" x14ac:dyDescent="0.3">
      <c r="A17">
        <v>90</v>
      </c>
      <c r="B17" s="4">
        <v>0.95759934740008701</v>
      </c>
      <c r="C17" s="4">
        <v>0.95566479102059709</v>
      </c>
      <c r="D17">
        <f t="shared" si="0"/>
        <v>4.5625627457769022</v>
      </c>
      <c r="E17" s="3">
        <f t="shared" si="1"/>
        <v>4.5625627457769102</v>
      </c>
      <c r="F17">
        <f t="shared" si="2"/>
        <v>27.548209366391184</v>
      </c>
      <c r="G17" s="3">
        <v>24.985748571288049</v>
      </c>
      <c r="H17">
        <v>24.940129520836724</v>
      </c>
    </row>
    <row r="18" spans="1:8" x14ac:dyDescent="0.3">
      <c r="A18">
        <v>119.8</v>
      </c>
      <c r="B18" s="4">
        <v>0.92450655798989101</v>
      </c>
      <c r="C18" s="4">
        <v>0.92337376336212684</v>
      </c>
      <c r="D18">
        <f t="shared" si="0"/>
        <v>1.5005205718563992</v>
      </c>
      <c r="E18" s="3">
        <f t="shared" si="1"/>
        <v>1.5005205718563897</v>
      </c>
      <c r="F18">
        <f t="shared" si="2"/>
        <v>25.45824847250509</v>
      </c>
      <c r="G18" s="3">
        <v>25.471018661270559</v>
      </c>
      <c r="H18">
        <v>25.455519977809136</v>
      </c>
    </row>
    <row r="19" spans="1:8" x14ac:dyDescent="0.3">
      <c r="A19">
        <v>24.8</v>
      </c>
      <c r="B19" s="4">
        <v>0.98687893238695534</v>
      </c>
      <c r="C19" s="4">
        <v>0.98714848033973368</v>
      </c>
      <c r="D19">
        <f t="shared" si="0"/>
        <v>-2.0543141817999557</v>
      </c>
      <c r="E19" s="3">
        <f t="shared" si="1"/>
        <v>-2.0543141817999544</v>
      </c>
      <c r="F19">
        <f t="shared" si="2"/>
        <v>33.579583613163194</v>
      </c>
      <c r="G19" s="3">
        <v>23.431881689115585</v>
      </c>
      <c r="H19">
        <v>23.452775026162197</v>
      </c>
    </row>
    <row r="20" spans="1:8" x14ac:dyDescent="0.3">
      <c r="A20">
        <v>150</v>
      </c>
      <c r="B20" s="4">
        <v>0.87604818826451947</v>
      </c>
      <c r="C20" s="4">
        <v>0.87700878166625629</v>
      </c>
      <c r="D20">
        <f t="shared" si="0"/>
        <v>-0.77497326443826031</v>
      </c>
      <c r="E20" s="3">
        <f t="shared" si="1"/>
        <v>-0.7749732644382612</v>
      </c>
      <c r="F20">
        <f t="shared" si="2"/>
        <v>23.640661938534279</v>
      </c>
      <c r="G20" s="3">
        <v>25.895426283283477</v>
      </c>
      <c r="H20">
        <v>25.90374212257295</v>
      </c>
    </row>
    <row r="21" spans="1:8" x14ac:dyDescent="0.3">
      <c r="A21">
        <v>25</v>
      </c>
      <c r="B21" s="4">
        <v>0.90091181944628707</v>
      </c>
      <c r="C21" s="4">
        <v>0.90319675067090721</v>
      </c>
      <c r="D21">
        <f t="shared" si="0"/>
        <v>-2.3059573925484971</v>
      </c>
      <c r="E21" s="3">
        <f t="shared" si="1"/>
        <v>-2.3059573925484966</v>
      </c>
      <c r="F21">
        <f t="shared" si="2"/>
        <v>33.557046979865774</v>
      </c>
      <c r="G21" s="3">
        <v>23.433758259677784</v>
      </c>
      <c r="H21">
        <v>23.458332625717173</v>
      </c>
    </row>
    <row r="22" spans="1:8" x14ac:dyDescent="0.3">
      <c r="A22">
        <v>300</v>
      </c>
      <c r="B22" s="4">
        <v>0.19217638663209369</v>
      </c>
      <c r="C22" s="4">
        <v>0.20998158245485746</v>
      </c>
      <c r="D22">
        <f t="shared" si="0"/>
        <v>-2.2040944988636695</v>
      </c>
      <c r="E22" s="3">
        <f t="shared" si="1"/>
        <v>-2.2040944988636735</v>
      </c>
      <c r="F22">
        <f t="shared" si="2"/>
        <v>17.452006980802793</v>
      </c>
      <c r="G22" s="3">
        <v>27.374663447894505</v>
      </c>
      <c r="H22">
        <v>27.429882499668285</v>
      </c>
    </row>
    <row r="23" spans="1:8" x14ac:dyDescent="0.3">
      <c r="A23">
        <v>24.7</v>
      </c>
      <c r="B23" s="4">
        <v>0.9869195047147814</v>
      </c>
      <c r="C23" s="4">
        <v>0.98603489403416966</v>
      </c>
      <c r="D23">
        <f t="shared" si="0"/>
        <v>6.7628225179774475</v>
      </c>
      <c r="E23" s="3">
        <f t="shared" si="1"/>
        <v>6.7628225179774404</v>
      </c>
      <c r="F23">
        <f t="shared" si="2"/>
        <v>33.59086328518643</v>
      </c>
      <c r="G23" s="3">
        <v>23.515880353424137</v>
      </c>
      <c r="H23">
        <v>23.449993426116205</v>
      </c>
    </row>
    <row r="24" spans="1:8" x14ac:dyDescent="0.3">
      <c r="G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B6FB-C4A8-4798-BC16-2A78917BEF99}">
  <dimension ref="A1:O28"/>
  <sheetViews>
    <sheetView tabSelected="1" topLeftCell="E1" workbookViewId="0">
      <selection activeCell="P14" sqref="P14"/>
    </sheetView>
  </sheetViews>
  <sheetFormatPr defaultRowHeight="14.4" x14ac:dyDescent="0.3"/>
  <sheetData>
    <row r="1" spans="1:15" x14ac:dyDescent="0.3">
      <c r="A1" t="s">
        <v>2</v>
      </c>
      <c r="B1" t="s">
        <v>0</v>
      </c>
      <c r="C1" t="s">
        <v>1</v>
      </c>
      <c r="D1" t="s">
        <v>5</v>
      </c>
      <c r="E1" s="3" t="s">
        <v>13</v>
      </c>
      <c r="F1" t="s">
        <v>3</v>
      </c>
      <c r="G1" t="s">
        <v>4</v>
      </c>
      <c r="H1" t="s">
        <v>6</v>
      </c>
      <c r="I1" s="3" t="s">
        <v>14</v>
      </c>
      <c r="J1" t="s">
        <v>7</v>
      </c>
      <c r="K1" t="s">
        <v>10</v>
      </c>
      <c r="L1" t="s">
        <v>8</v>
      </c>
      <c r="M1" t="s">
        <v>11</v>
      </c>
      <c r="N1" t="s">
        <v>9</v>
      </c>
      <c r="O1" t="s">
        <v>12</v>
      </c>
    </row>
    <row r="2" spans="1:15" x14ac:dyDescent="0.3">
      <c r="A2">
        <v>26</v>
      </c>
      <c r="B2" s="2">
        <v>0.99115510803692641</v>
      </c>
      <c r="C2" s="8">
        <v>0.99113226244501129</v>
      </c>
      <c r="D2">
        <f>100*((1-C2)-(1-B2))/(1-B2)</f>
        <v>0.25829136195783198</v>
      </c>
      <c r="E2" s="3">
        <f>100*(((1-B2)/(1-C2))-1)</f>
        <v>-0.25762593641790454</v>
      </c>
      <c r="F2" s="1">
        <v>0.99060081253732957</v>
      </c>
      <c r="G2" s="9">
        <v>0.99109543095741193</v>
      </c>
      <c r="H2">
        <f>100*((1-G2)-(1-F2))/(1-F2)</f>
        <v>-5.262352964517131</v>
      </c>
      <c r="I2" s="3">
        <f>100*(((1-F2)/(1-G2))-1)</f>
        <v>5.5546587119122526</v>
      </c>
      <c r="J2">
        <f>10000/(A2+273)</f>
        <v>33.444816053511708</v>
      </c>
      <c r="K2">
        <v>23.448774995003404</v>
      </c>
      <c r="L2">
        <v>23.444611617916348</v>
      </c>
      <c r="M2">
        <v>23.547071504073127</v>
      </c>
      <c r="N2">
        <v>23.486009099755165</v>
      </c>
      <c r="O2" s="2">
        <v>1.0041720559817655</v>
      </c>
    </row>
    <row r="3" spans="1:15" x14ac:dyDescent="0.3">
      <c r="A3">
        <v>26</v>
      </c>
      <c r="B3" s="2">
        <v>0.99114677135175766</v>
      </c>
      <c r="C3" s="8">
        <v>0.99122426713119893</v>
      </c>
      <c r="D3">
        <f t="shared" ref="D3:D27" si="0">100*((1-C3)-(1-B3))/(1-B3)</f>
        <v>-0.8753391843850975</v>
      </c>
      <c r="E3" s="3">
        <f t="shared" ref="E3:E28" si="1">100*(((1-B3)/(1-C3))-1)</f>
        <v>0.88306903366190959</v>
      </c>
      <c r="F3" s="1">
        <v>0.99059195588885773</v>
      </c>
      <c r="G3" s="9">
        <v>0.99122831226909092</v>
      </c>
      <c r="H3">
        <f t="shared" ref="H3:H27" si="2">100*((1-G3)-(1-F3))/(1-F3)</f>
        <v>-6.7639604227569938</v>
      </c>
      <c r="I3" s="3">
        <f t="shared" ref="I3:I28" si="3">100*(((1-F3)/(1-G3))-1)</f>
        <v>7.254662953753277</v>
      </c>
      <c r="J3">
        <f t="shared" ref="J3:J28" si="4">10000/(A3+273)</f>
        <v>33.444816053511708</v>
      </c>
      <c r="K3">
        <v>23.432767179871099</v>
      </c>
      <c r="L3">
        <v>23.433230269491808</v>
      </c>
      <c r="M3">
        <v>23.547071504073127</v>
      </c>
      <c r="N3">
        <v>23.486009099755165</v>
      </c>
      <c r="O3" s="2">
        <v>0.99953701758873847</v>
      </c>
    </row>
    <row r="4" spans="1:15" x14ac:dyDescent="0.3">
      <c r="A4">
        <v>26</v>
      </c>
      <c r="B4" s="2">
        <v>0.9909425444839538</v>
      </c>
      <c r="C4" s="8">
        <v>0.99105294962137036</v>
      </c>
      <c r="D4">
        <f t="shared" si="0"/>
        <v>-1.218942088326731</v>
      </c>
      <c r="E4" s="3">
        <f t="shared" si="1"/>
        <v>1.2339836342071475</v>
      </c>
      <c r="F4" s="1">
        <v>0.99037499275221774</v>
      </c>
      <c r="G4" s="9">
        <v>0.99105141170572097</v>
      </c>
      <c r="H4">
        <f t="shared" si="2"/>
        <v>-7.0277240950555084</v>
      </c>
      <c r="I4" s="3">
        <f t="shared" si="3"/>
        <v>7.5589459617410037</v>
      </c>
      <c r="J4">
        <f t="shared" si="4"/>
        <v>33.444816053511708</v>
      </c>
      <c r="K4">
        <v>23.430888213859905</v>
      </c>
      <c r="L4">
        <v>23.430715563093059</v>
      </c>
      <c r="M4">
        <v>23.547071504073127</v>
      </c>
      <c r="N4">
        <v>23.486009099755165</v>
      </c>
      <c r="O4" s="2">
        <v>1.0001726656718448</v>
      </c>
    </row>
    <row r="5" spans="1:15" x14ac:dyDescent="0.3">
      <c r="A5">
        <v>100</v>
      </c>
      <c r="B5">
        <v>0.96643484236845834</v>
      </c>
      <c r="C5" s="8">
        <v>0.96533998662100817</v>
      </c>
      <c r="D5">
        <f>100*((1-C5)-(1-B5))/(1-B5)</f>
        <v>3.2618817390010144</v>
      </c>
      <c r="E5" s="3">
        <f t="shared" si="1"/>
        <v>-3.1588439839258076</v>
      </c>
      <c r="F5">
        <v>0.96381103344147867</v>
      </c>
      <c r="G5" s="9">
        <v>0.96364043402576605</v>
      </c>
      <c r="H5">
        <f>100*((1-G5)-(1-F5))/(1-F5)</f>
        <v>0.47141278664796205</v>
      </c>
      <c r="I5" s="3">
        <f t="shared" si="3"/>
        <v>-0.46920091354643034</v>
      </c>
      <c r="J5">
        <f t="shared" si="4"/>
        <v>26.809651474530831</v>
      </c>
    </row>
    <row r="6" spans="1:15" x14ac:dyDescent="0.3">
      <c r="A6">
        <v>110</v>
      </c>
      <c r="B6">
        <v>0.95738378402887669</v>
      </c>
      <c r="C6" s="8">
        <v>0.9565051078613348</v>
      </c>
      <c r="D6">
        <f>100*((1-C6)-(1-B6))/(1-B6)</f>
        <v>2.0618352604024763</v>
      </c>
      <c r="E6" s="3">
        <f t="shared" si="1"/>
        <v>-2.0201824268022084</v>
      </c>
      <c r="F6">
        <v>0.954038490566257</v>
      </c>
      <c r="G6" s="9">
        <v>0.95317091256624031</v>
      </c>
      <c r="H6">
        <f>100*((1-G6)-(1-F6))/(1-F6)</f>
        <v>1.8876185980518509</v>
      </c>
      <c r="I6" s="3">
        <f t="shared" si="3"/>
        <v>-1.8526476759639809</v>
      </c>
      <c r="J6">
        <f t="shared" si="4"/>
        <v>26.109660574412533</v>
      </c>
    </row>
    <row r="7" spans="1:15" x14ac:dyDescent="0.3">
      <c r="A7">
        <v>100</v>
      </c>
      <c r="B7">
        <v>0.95317270495475448</v>
      </c>
      <c r="C7" s="8">
        <v>0.95228747382405643</v>
      </c>
      <c r="D7">
        <f>100*((1-C7)-(1-B7))/(1-B7)</f>
        <v>1.890416966947847</v>
      </c>
      <c r="E7" s="3">
        <f t="shared" si="1"/>
        <v>-1.8553432434780137</v>
      </c>
      <c r="F7">
        <v>0.94949215851601976</v>
      </c>
      <c r="G7" s="9">
        <v>0.94961292896538563</v>
      </c>
      <c r="H7">
        <f>100*((1-G7)-(1-F7))/(1-F7)</f>
        <v>-0.23911227606940066</v>
      </c>
      <c r="I7" s="3">
        <f t="shared" si="3"/>
        <v>0.23968539326864047</v>
      </c>
      <c r="J7">
        <f t="shared" si="4"/>
        <v>26.809651474530831</v>
      </c>
    </row>
    <row r="8" spans="1:15" x14ac:dyDescent="0.3">
      <c r="A8">
        <v>125</v>
      </c>
      <c r="B8" s="8">
        <v>0.93317710024917355</v>
      </c>
      <c r="C8" s="8">
        <v>0.94073431454477507</v>
      </c>
      <c r="D8">
        <f t="shared" si="0"/>
        <v>-11.309318098707706</v>
      </c>
      <c r="E8" s="3">
        <f t="shared" si="1"/>
        <v>12.751416334011667</v>
      </c>
      <c r="F8" s="9">
        <v>0.92747402101310528</v>
      </c>
      <c r="G8" s="9">
        <v>0.93614776743006456</v>
      </c>
      <c r="H8">
        <f t="shared" si="2"/>
        <v>-11.959502702509688</v>
      </c>
      <c r="I8" s="3">
        <f t="shared" si="3"/>
        <v>13.584092627394329</v>
      </c>
      <c r="J8">
        <f t="shared" si="4"/>
        <v>25.125628140703519</v>
      </c>
      <c r="K8">
        <v>25.49049956627498</v>
      </c>
      <c r="L8">
        <v>25.413540662992176</v>
      </c>
      <c r="M8">
        <v>25.622472333654901</v>
      </c>
      <c r="N8">
        <v>25.537545122541282</v>
      </c>
      <c r="O8" s="2">
        <v>1.0799976911208771</v>
      </c>
    </row>
    <row r="9" spans="1:15" x14ac:dyDescent="0.3">
      <c r="A9">
        <v>125</v>
      </c>
      <c r="B9" s="8">
        <v>0.93297391460631873</v>
      </c>
      <c r="C9" s="8">
        <v>0.93424108074567191</v>
      </c>
      <c r="D9">
        <f t="shared" si="0"/>
        <v>-1.8905566868636507</v>
      </c>
      <c r="E9" s="3">
        <f t="shared" si="1"/>
        <v>1.9269874774740625</v>
      </c>
      <c r="F9" s="9">
        <v>0.92725417938780597</v>
      </c>
      <c r="G9" s="9">
        <v>0.92910693707803993</v>
      </c>
      <c r="H9">
        <f t="shared" si="2"/>
        <v>-2.5468922814287351</v>
      </c>
      <c r="I9" s="3">
        <f t="shared" si="3"/>
        <v>2.6134541432826897</v>
      </c>
      <c r="J9">
        <f t="shared" si="4"/>
        <v>25.125628140703519</v>
      </c>
      <c r="K9">
        <v>25.595687800621906</v>
      </c>
      <c r="L9">
        <v>25.517787690590261</v>
      </c>
      <c r="M9">
        <v>25.622472333654915</v>
      </c>
      <c r="N9">
        <v>25.537545122541282</v>
      </c>
      <c r="O9" s="2">
        <v>1.0810146707554666</v>
      </c>
    </row>
    <row r="10" spans="1:15" x14ac:dyDescent="0.3">
      <c r="A10">
        <v>125</v>
      </c>
      <c r="B10" s="8">
        <v>0.93297391460631873</v>
      </c>
      <c r="C10" s="8">
        <v>0.93411074315246956</v>
      </c>
      <c r="D10">
        <f t="shared" si="0"/>
        <v>-1.6960986748272746</v>
      </c>
      <c r="E10" s="3">
        <f t="shared" si="1"/>
        <v>1.725362525762697</v>
      </c>
      <c r="F10" s="9">
        <v>0.92725417938780597</v>
      </c>
      <c r="G10" s="9">
        <v>0.92857290399050652</v>
      </c>
      <c r="H10">
        <f t="shared" si="2"/>
        <v>-1.8127840082121474</v>
      </c>
      <c r="I10" s="3">
        <f t="shared" si="3"/>
        <v>1.84625257972868</v>
      </c>
      <c r="J10">
        <f t="shared" si="4"/>
        <v>25.125628140703519</v>
      </c>
      <c r="K10">
        <v>25.603476444948537</v>
      </c>
      <c r="L10">
        <v>25.519836749973205</v>
      </c>
      <c r="M10">
        <v>25.622472333654915</v>
      </c>
      <c r="N10">
        <v>25.537545122541282</v>
      </c>
      <c r="O10" s="2">
        <v>1.0872370862427683</v>
      </c>
    </row>
    <row r="11" spans="1:15" x14ac:dyDescent="0.3">
      <c r="A11">
        <v>150</v>
      </c>
      <c r="B11" s="8">
        <v>0.86297681598657128</v>
      </c>
      <c r="C11" s="8">
        <v>0.86671870002215323</v>
      </c>
      <c r="D11">
        <f t="shared" si="0"/>
        <v>-2.7308400855837927</v>
      </c>
      <c r="E11" s="3">
        <f t="shared" si="1"/>
        <v>2.8075086574064878</v>
      </c>
      <c r="F11" s="9">
        <v>0.85119447929776326</v>
      </c>
      <c r="G11" s="9">
        <v>0.85086094433282333</v>
      </c>
      <c r="H11">
        <f t="shared" si="2"/>
        <v>0.22414152604414528</v>
      </c>
      <c r="I11" s="3">
        <f t="shared" si="3"/>
        <v>-0.22364025536292242</v>
      </c>
      <c r="J11">
        <f t="shared" si="4"/>
        <v>23.640661938534279</v>
      </c>
      <c r="K11">
        <v>25.995358777363283</v>
      </c>
      <c r="L11">
        <v>25.873942929430378</v>
      </c>
      <c r="M11">
        <v>25.992929176340017</v>
      </c>
      <c r="N11">
        <v>25.90374212257295</v>
      </c>
      <c r="O11" s="2">
        <v>1.1290943463039771</v>
      </c>
    </row>
    <row r="12" spans="1:15" x14ac:dyDescent="0.3">
      <c r="A12">
        <v>150</v>
      </c>
      <c r="B12" s="8">
        <v>0.89956477924210143</v>
      </c>
      <c r="C12" s="8">
        <v>0.90399953681950418</v>
      </c>
      <c r="D12">
        <f t="shared" si="0"/>
        <v>-4.4155402297495163</v>
      </c>
      <c r="E12" s="3">
        <f t="shared" si="1"/>
        <v>4.6195168548975873</v>
      </c>
      <c r="F12" s="9">
        <v>0.89072645882245916</v>
      </c>
      <c r="G12" s="9">
        <v>0.89542880552992932</v>
      </c>
      <c r="H12">
        <f t="shared" si="2"/>
        <v>-4.3032802422226641</v>
      </c>
      <c r="I12" s="3">
        <f t="shared" si="3"/>
        <v>4.4967897051381822</v>
      </c>
      <c r="J12">
        <f t="shared" si="4"/>
        <v>23.640661938534279</v>
      </c>
      <c r="K12">
        <v>25.946359950586778</v>
      </c>
      <c r="L12">
        <v>25.856165659891211</v>
      </c>
      <c r="M12">
        <v>25.992929176340017</v>
      </c>
      <c r="N12">
        <v>25.90374212257295</v>
      </c>
      <c r="O12" s="2">
        <v>1.0943868922411231</v>
      </c>
    </row>
    <row r="13" spans="1:15" x14ac:dyDescent="0.3">
      <c r="A13">
        <v>150</v>
      </c>
      <c r="B13" s="8">
        <v>0.83774525519665255</v>
      </c>
      <c r="C13" s="8">
        <v>0.84131975028956019</v>
      </c>
      <c r="D13">
        <f t="shared" si="0"/>
        <v>-2.2030142152329169</v>
      </c>
      <c r="E13" s="3">
        <f t="shared" si="1"/>
        <v>2.252640199035727</v>
      </c>
      <c r="F13" s="9">
        <v>0.82402325217396633</v>
      </c>
      <c r="G13" s="9">
        <v>0.82433940175640741</v>
      </c>
      <c r="H13">
        <f t="shared" si="2"/>
        <v>-0.17965417951331897</v>
      </c>
      <c r="I13" s="3">
        <f t="shared" si="3"/>
        <v>0.17997751664415862</v>
      </c>
      <c r="J13">
        <f t="shared" si="4"/>
        <v>23.640661938534279</v>
      </c>
      <c r="K13">
        <v>25.990945399946153</v>
      </c>
      <c r="L13">
        <v>25.879398858414227</v>
      </c>
      <c r="M13">
        <v>25.992929176340017</v>
      </c>
      <c r="N13">
        <v>25.90374212257295</v>
      </c>
      <c r="O13" s="2">
        <v>1.1180057764962259</v>
      </c>
    </row>
    <row r="14" spans="1:15" x14ac:dyDescent="0.3">
      <c r="A14">
        <v>175</v>
      </c>
      <c r="B14" s="8">
        <v>0.85557344498045418</v>
      </c>
      <c r="C14" s="8">
        <v>0.86292512342442595</v>
      </c>
      <c r="D14">
        <f t="shared" si="0"/>
        <v>-5.0902539653991221</v>
      </c>
      <c r="E14" s="3">
        <f t="shared" si="1"/>
        <v>5.3632573872270051</v>
      </c>
      <c r="F14" s="9">
        <v>0.8426691532065822</v>
      </c>
      <c r="G14" s="9">
        <v>0.84926997038481178</v>
      </c>
      <c r="H14">
        <f t="shared" si="2"/>
        <v>-4.1955009540479606</v>
      </c>
      <c r="I14" s="3">
        <f t="shared" si="3"/>
        <v>4.3792316601286352</v>
      </c>
      <c r="J14">
        <f t="shared" si="4"/>
        <v>22.321428571428573</v>
      </c>
      <c r="K14">
        <v>26.275387216366774</v>
      </c>
      <c r="L14">
        <v>26.172655266120806</v>
      </c>
      <c r="M14">
        <v>26.322040389261151</v>
      </c>
      <c r="N14">
        <v>26.229068921708226</v>
      </c>
      <c r="O14" s="2">
        <v>1.1081943180458231</v>
      </c>
    </row>
    <row r="15" spans="1:15" x14ac:dyDescent="0.3">
      <c r="A15">
        <v>175</v>
      </c>
      <c r="B15" s="8">
        <v>0.85557344498045418</v>
      </c>
      <c r="C15" s="8">
        <v>0.86284961739270361</v>
      </c>
      <c r="D15">
        <f t="shared" si="0"/>
        <v>-5.03797408396587</v>
      </c>
      <c r="E15" s="3">
        <f t="shared" si="1"/>
        <v>5.3052512679336417</v>
      </c>
      <c r="F15" s="9">
        <v>0.8426691532065822</v>
      </c>
      <c r="G15" s="9">
        <v>0.84828783655476092</v>
      </c>
      <c r="H15">
        <f t="shared" si="2"/>
        <v>-3.5712534844208239</v>
      </c>
      <c r="I15" s="3">
        <f t="shared" si="3"/>
        <v>3.7035154074556376</v>
      </c>
      <c r="J15">
        <f t="shared" si="4"/>
        <v>22.321428571428573</v>
      </c>
      <c r="K15">
        <v>26.282444681478204</v>
      </c>
      <c r="L15">
        <v>26.173248629319385</v>
      </c>
      <c r="M15">
        <v>26.322040389261151</v>
      </c>
      <c r="N15">
        <v>26.229068921708226</v>
      </c>
      <c r="O15" s="2">
        <v>1.1153810017605075</v>
      </c>
    </row>
    <row r="16" spans="1:15" x14ac:dyDescent="0.3">
      <c r="A16">
        <v>175</v>
      </c>
      <c r="B16" s="8">
        <v>0.85561532088250014</v>
      </c>
      <c r="C16" s="8">
        <v>0.86293087445592087</v>
      </c>
      <c r="D16">
        <f t="shared" si="0"/>
        <v>-5.0667104142450965</v>
      </c>
      <c r="E16" s="3">
        <f t="shared" si="1"/>
        <v>5.3371271935839237</v>
      </c>
      <c r="F16" s="9">
        <v>0.84271441606802644</v>
      </c>
      <c r="G16" s="9">
        <v>0.85036069231004108</v>
      </c>
      <c r="H16">
        <f t="shared" si="2"/>
        <v>-4.8613967350762888</v>
      </c>
      <c r="I16" s="3">
        <f t="shared" si="3"/>
        <v>5.1098046095328975</v>
      </c>
      <c r="J16">
        <f t="shared" si="4"/>
        <v>22.321428571428573</v>
      </c>
      <c r="K16">
        <v>26.267814127492791</v>
      </c>
      <c r="L16">
        <v>26.172923883428684</v>
      </c>
      <c r="M16">
        <v>26.322040389261151</v>
      </c>
      <c r="N16">
        <v>26.229068921708226</v>
      </c>
      <c r="O16" s="2">
        <v>1.0995381676624996</v>
      </c>
    </row>
    <row r="17" spans="1:15" x14ac:dyDescent="0.3">
      <c r="A17">
        <v>175</v>
      </c>
      <c r="B17" s="8">
        <v>0.85557344500677857</v>
      </c>
      <c r="C17" s="8">
        <v>0.86333211667584486</v>
      </c>
      <c r="D17">
        <f t="shared" si="0"/>
        <v>-5.3720534076509994</v>
      </c>
      <c r="E17" s="3">
        <f t="shared" si="1"/>
        <v>5.6770262920249781</v>
      </c>
      <c r="F17" s="9">
        <v>0.84266915323503555</v>
      </c>
      <c r="G17" s="9">
        <v>0.85098689606228073</v>
      </c>
      <c r="H17">
        <f t="shared" si="2"/>
        <v>-5.2867845042943173</v>
      </c>
      <c r="I17" s="3">
        <f t="shared" si="3"/>
        <v>5.5818868323967097</v>
      </c>
      <c r="J17">
        <f t="shared" si="4"/>
        <v>22.321428571428573</v>
      </c>
      <c r="K17">
        <v>26.262948621890718</v>
      </c>
      <c r="L17">
        <v>26.169451734234645</v>
      </c>
      <c r="M17">
        <v>26.322040389261151</v>
      </c>
      <c r="N17">
        <v>26.229068921708226</v>
      </c>
      <c r="O17" s="2">
        <v>1.0980071859599845</v>
      </c>
    </row>
    <row r="18" spans="1:15" x14ac:dyDescent="0.3">
      <c r="A18">
        <v>200</v>
      </c>
      <c r="B18" s="8">
        <v>0.80200116341022543</v>
      </c>
      <c r="C18" s="8">
        <v>0.83252463110493435</v>
      </c>
      <c r="D18">
        <f t="shared" si="0"/>
        <v>-15.41598335648265</v>
      </c>
      <c r="E18" s="3">
        <f t="shared" si="1"/>
        <v>18.22564589413378</v>
      </c>
      <c r="F18" s="9">
        <v>0.7843000095412872</v>
      </c>
      <c r="G18" s="9">
        <v>0.81498131581559519</v>
      </c>
      <c r="H18">
        <f t="shared" si="2"/>
        <v>-14.224064734106097</v>
      </c>
      <c r="I18" s="3">
        <f t="shared" si="3"/>
        <v>16.582815086787917</v>
      </c>
      <c r="J18">
        <f t="shared" si="4"/>
        <v>21.141649048625794</v>
      </c>
      <c r="K18">
        <v>26.444458344520566</v>
      </c>
      <c r="L18">
        <v>26.334532998750156</v>
      </c>
      <c r="M18">
        <v>26.616361833374558</v>
      </c>
      <c r="N18">
        <v>26.520005995776351</v>
      </c>
      <c r="O18" s="2">
        <v>1.1161947386900861</v>
      </c>
    </row>
    <row r="19" spans="1:15" x14ac:dyDescent="0.3">
      <c r="A19">
        <v>200</v>
      </c>
      <c r="B19" s="8">
        <v>0.8023338597405596</v>
      </c>
      <c r="C19" s="8">
        <v>0.8124933154184063</v>
      </c>
      <c r="D19">
        <f t="shared" si="0"/>
        <v>-5.1397045869931173</v>
      </c>
      <c r="E19" s="3">
        <f t="shared" si="1"/>
        <v>5.4181831973173278</v>
      </c>
      <c r="F19" s="9">
        <v>0.78465828012523631</v>
      </c>
      <c r="G19" s="9">
        <v>0.7901820456918911</v>
      </c>
      <c r="H19">
        <f t="shared" si="2"/>
        <v>-2.5651163043869296</v>
      </c>
      <c r="I19" s="3">
        <f t="shared" si="3"/>
        <v>2.6326467555504607</v>
      </c>
      <c r="J19">
        <f t="shared" si="4"/>
        <v>21.141649048625794</v>
      </c>
      <c r="K19">
        <v>26.587008003161202</v>
      </c>
      <c r="L19">
        <v>26.46117376325029</v>
      </c>
      <c r="M19">
        <v>26.616361833374558</v>
      </c>
      <c r="N19">
        <v>26.520005995776351</v>
      </c>
      <c r="O19" s="2">
        <v>1.1340941651519008</v>
      </c>
    </row>
    <row r="20" spans="1:15" x14ac:dyDescent="0.3">
      <c r="A20">
        <v>200</v>
      </c>
      <c r="B20" s="8">
        <v>0.7370383968991967</v>
      </c>
      <c r="C20" s="8">
        <v>0.74334090149187371</v>
      </c>
      <c r="D20">
        <f t="shared" si="0"/>
        <v>-2.3967394928988979</v>
      </c>
      <c r="E20" s="3">
        <f t="shared" si="1"/>
        <v>2.4555936763244857</v>
      </c>
      <c r="F20" s="9">
        <v>0.71463886163584145</v>
      </c>
      <c r="G20" s="9">
        <v>0.70958623226838824</v>
      </c>
      <c r="H20">
        <f t="shared" si="2"/>
        <v>1.7706087789029585</v>
      </c>
      <c r="I20" s="3">
        <f t="shared" si="3"/>
        <v>-1.7398036625187241</v>
      </c>
      <c r="J20">
        <f t="shared" si="4"/>
        <v>21.141649048625794</v>
      </c>
      <c r="K20">
        <v>26.637260275120109</v>
      </c>
      <c r="L20">
        <v>26.491702482301051</v>
      </c>
      <c r="M20">
        <v>26.616361833374558</v>
      </c>
      <c r="N20">
        <v>26.520005995776351</v>
      </c>
      <c r="O20" s="2">
        <v>1.1566845807132384</v>
      </c>
    </row>
    <row r="21" spans="1:15" x14ac:dyDescent="0.3">
      <c r="A21">
        <v>250</v>
      </c>
      <c r="B21" s="8">
        <v>0.66932803666650309</v>
      </c>
      <c r="C21" s="8">
        <v>0.68587871606990425</v>
      </c>
      <c r="D21">
        <f t="shared" si="0"/>
        <v>-5.0051656138470637</v>
      </c>
      <c r="E21" s="3">
        <f t="shared" si="1"/>
        <v>5.2688818778304558</v>
      </c>
      <c r="F21" s="9">
        <v>0.6410410012273241</v>
      </c>
      <c r="G21" s="9">
        <v>0.64513924617468832</v>
      </c>
      <c r="H21">
        <f t="shared" si="2"/>
        <v>-1.141702802096231</v>
      </c>
      <c r="I21" s="3">
        <f t="shared" si="3"/>
        <v>1.1548881929562826</v>
      </c>
      <c r="J21">
        <f t="shared" si="4"/>
        <v>19.120458891013385</v>
      </c>
      <c r="K21">
        <v>27.106155916353913</v>
      </c>
      <c r="L21">
        <v>26.955666826327892</v>
      </c>
      <c r="M21">
        <v>27.120591305507659</v>
      </c>
      <c r="N21">
        <v>27.018437388443729</v>
      </c>
      <c r="O21" s="2">
        <v>1.1624026232515832</v>
      </c>
    </row>
    <row r="22" spans="1:15" x14ac:dyDescent="0.3">
      <c r="A22">
        <v>250</v>
      </c>
      <c r="B22" s="8">
        <v>0.66958072223577714</v>
      </c>
      <c r="C22" s="8">
        <v>0.68898258372565246</v>
      </c>
      <c r="D22">
        <f t="shared" si="0"/>
        <v>-5.8718915013548045</v>
      </c>
      <c r="E22" s="3">
        <f t="shared" si="1"/>
        <v>6.2381913277682832</v>
      </c>
      <c r="F22" s="9">
        <v>0.64130904204233063</v>
      </c>
      <c r="G22" s="9">
        <v>0.64663422145103644</v>
      </c>
      <c r="H22">
        <f t="shared" si="2"/>
        <v>-1.4846149005334703</v>
      </c>
      <c r="I22" s="3">
        <f t="shared" si="3"/>
        <v>1.5069878669555337</v>
      </c>
      <c r="J22">
        <f t="shared" si="4"/>
        <v>19.120458891013385</v>
      </c>
      <c r="K22">
        <v>27.101801496722445</v>
      </c>
      <c r="L22">
        <v>26.944560262328615</v>
      </c>
      <c r="M22">
        <v>27.120591305507659</v>
      </c>
      <c r="N22">
        <v>27.018437388443729</v>
      </c>
      <c r="O22" s="2">
        <v>1.170277891129736</v>
      </c>
    </row>
    <row r="23" spans="1:15" x14ac:dyDescent="0.3">
      <c r="A23">
        <v>250</v>
      </c>
      <c r="B23" s="8">
        <v>0.66958072223577714</v>
      </c>
      <c r="C23" s="8">
        <v>0.69485450963146422</v>
      </c>
      <c r="D23">
        <f t="shared" si="0"/>
        <v>-7.6490050964041183</v>
      </c>
      <c r="E23" s="3">
        <f t="shared" si="1"/>
        <v>8.2825367548977837</v>
      </c>
      <c r="F23" s="9">
        <v>0.64130904204233063</v>
      </c>
      <c r="G23" s="9">
        <v>0.66045073106794017</v>
      </c>
      <c r="H23">
        <f t="shared" si="2"/>
        <v>-5.3365407186730707</v>
      </c>
      <c r="I23" s="3">
        <f t="shared" si="3"/>
        <v>5.6373818991904745</v>
      </c>
      <c r="J23">
        <f t="shared" si="4"/>
        <v>19.120458891013385</v>
      </c>
      <c r="K23">
        <v>27.052093194385389</v>
      </c>
      <c r="L23">
        <v>26.92151666012597</v>
      </c>
      <c r="M23">
        <v>27.120591305507659</v>
      </c>
      <c r="N23">
        <v>27.018437388443729</v>
      </c>
      <c r="O23" s="2">
        <v>1.1394851462081668</v>
      </c>
    </row>
    <row r="24" spans="1:15" x14ac:dyDescent="0.3">
      <c r="A24">
        <v>250</v>
      </c>
      <c r="B24" s="8">
        <v>0.66966497192048535</v>
      </c>
      <c r="C24" s="8">
        <v>0.70304788062973977</v>
      </c>
      <c r="D24">
        <f t="shared" si="0"/>
        <v>-10.105773191336782</v>
      </c>
      <c r="E24" s="3">
        <f t="shared" si="1"/>
        <v>11.241848948594413</v>
      </c>
      <c r="F24" s="9">
        <v>0.64139841384686891</v>
      </c>
      <c r="G24" s="9">
        <v>0.67922173881589909</v>
      </c>
      <c r="H24">
        <f t="shared" si="2"/>
        <v>-10.547450549445912</v>
      </c>
      <c r="I24" s="3">
        <f t="shared" si="3"/>
        <v>11.791112287164207</v>
      </c>
      <c r="J24">
        <f t="shared" si="4"/>
        <v>19.120458891013385</v>
      </c>
      <c r="K24">
        <v>26.982458999948804</v>
      </c>
      <c r="L24">
        <v>26.889100522447503</v>
      </c>
      <c r="M24">
        <v>27.120591305507659</v>
      </c>
      <c r="N24">
        <v>27.018437388443729</v>
      </c>
      <c r="O24" s="2">
        <v>1.0978552211324162</v>
      </c>
    </row>
    <row r="25" spans="1:15" x14ac:dyDescent="0.3">
      <c r="A25">
        <v>250</v>
      </c>
      <c r="B25" s="8">
        <v>0.6709299905503342</v>
      </c>
      <c r="C25" s="8">
        <v>0.71552508631685496</v>
      </c>
      <c r="D25">
        <f t="shared" si="0"/>
        <v>-13.551856591581002</v>
      </c>
      <c r="E25" s="3">
        <f t="shared" si="1"/>
        <v>15.67628413667148</v>
      </c>
      <c r="F25" s="9">
        <v>0.64274048701584563</v>
      </c>
      <c r="G25" s="9">
        <v>0.68912990769832461</v>
      </c>
      <c r="H25">
        <f t="shared" si="2"/>
        <v>-12.984796484491794</v>
      </c>
      <c r="I25" s="3">
        <f t="shared" si="3"/>
        <v>14.922445687525855</v>
      </c>
      <c r="J25">
        <f t="shared" si="4"/>
        <v>19.120458891013385</v>
      </c>
      <c r="K25">
        <v>26.949017640917397</v>
      </c>
      <c r="L25">
        <v>26.842599208278443</v>
      </c>
      <c r="M25">
        <v>27.120591305507659</v>
      </c>
      <c r="N25">
        <v>27.018437388443729</v>
      </c>
      <c r="O25" s="2">
        <v>1.1122871964140957</v>
      </c>
    </row>
    <row r="26" spans="1:15" x14ac:dyDescent="0.3">
      <c r="A26">
        <v>250</v>
      </c>
      <c r="B26" s="8">
        <v>0.6697492322588442</v>
      </c>
      <c r="C26" s="8">
        <v>0.72722999496998408</v>
      </c>
      <c r="D26">
        <f t="shared" si="0"/>
        <v>-17.405186702303812</v>
      </c>
      <c r="E26" s="3">
        <f t="shared" si="1"/>
        <v>21.072977838899341</v>
      </c>
      <c r="F26" s="9">
        <v>0.64148779816231383</v>
      </c>
      <c r="G26" s="9">
        <v>0.71074146701528107</v>
      </c>
      <c r="H26">
        <f t="shared" si="2"/>
        <v>-19.31696285314198</v>
      </c>
      <c r="I26" s="3">
        <f t="shared" si="3"/>
        <v>23.941789422207236</v>
      </c>
      <c r="J26">
        <f t="shared" si="4"/>
        <v>19.120458891013385</v>
      </c>
      <c r="K26">
        <v>26.858036418865016</v>
      </c>
      <c r="L26">
        <v>26.78850700252146</v>
      </c>
      <c r="M26">
        <v>27.120591305507659</v>
      </c>
      <c r="N26">
        <v>27.018437388443729</v>
      </c>
      <c r="O26" s="2">
        <v>1.0720035951670104</v>
      </c>
    </row>
    <row r="27" spans="1:15" x14ac:dyDescent="0.3">
      <c r="A27">
        <v>250</v>
      </c>
      <c r="B27" s="8">
        <v>0.29895488573609208</v>
      </c>
      <c r="C27" s="8">
        <v>0.37274327948205982</v>
      </c>
      <c r="D27">
        <f t="shared" si="0"/>
        <v>-10.525484343963361</v>
      </c>
      <c r="E27" s="3">
        <f t="shared" si="1"/>
        <v>11.763667304359672</v>
      </c>
      <c r="F27" s="9">
        <v>0.26254574409431303</v>
      </c>
      <c r="G27" s="9">
        <v>0.33917142385414301</v>
      </c>
      <c r="H27">
        <f t="shared" si="2"/>
        <v>-10.390567163481064</v>
      </c>
      <c r="I27" s="3">
        <f t="shared" si="3"/>
        <v>11.595394407235382</v>
      </c>
      <c r="J27">
        <f t="shared" si="4"/>
        <v>19.120458891013385</v>
      </c>
      <c r="K27">
        <v>26.908033686620033</v>
      </c>
      <c r="L27">
        <v>26.816694587564957</v>
      </c>
      <c r="M27">
        <v>27.120591305507659</v>
      </c>
      <c r="N27">
        <v>27.018437388443729</v>
      </c>
      <c r="O27" s="2">
        <v>1.095640472921811</v>
      </c>
    </row>
    <row r="28" spans="1:15" x14ac:dyDescent="0.3">
      <c r="A28">
        <v>250</v>
      </c>
      <c r="B28" s="8">
        <v>0.67059241876180098</v>
      </c>
      <c r="C28" s="8">
        <v>0.67297035145412354</v>
      </c>
      <c r="D28">
        <f>100*((1-C28)-(1-B28))/(1-B28)</f>
        <v>-0.72188159221601056</v>
      </c>
      <c r="E28" s="3">
        <f t="shared" si="1"/>
        <v>0.72713061427180925</v>
      </c>
      <c r="F28" s="9">
        <v>0.64238232648366189</v>
      </c>
      <c r="G28" s="9">
        <v>0.62910150338525606</v>
      </c>
      <c r="H28">
        <f>100*((1-G28)-(1-F28))/(1-F28)</f>
        <v>3.7136931650552469</v>
      </c>
      <c r="I28" s="3">
        <f t="shared" si="3"/>
        <v>-3.5807163468232539</v>
      </c>
      <c r="J28">
        <f t="shared" si="4"/>
        <v>19.120458891013385</v>
      </c>
      <c r="K28">
        <v>27.166714808575747</v>
      </c>
      <c r="L28">
        <v>27.009539559240817</v>
      </c>
      <c r="M28">
        <v>27.120591305507659</v>
      </c>
      <c r="N28">
        <v>27.018437388443729</v>
      </c>
      <c r="O28" s="2">
        <v>1.1702006728218137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E32F-8253-4E3B-AD04-A87146A90517}">
  <dimension ref="A1:J22"/>
  <sheetViews>
    <sheetView workbookViewId="0">
      <selection activeCell="K23" sqref="K23"/>
    </sheetView>
  </sheetViews>
  <sheetFormatPr defaultRowHeight="14.4" x14ac:dyDescent="0.3"/>
  <cols>
    <col min="1" max="4" width="8.88671875" style="3"/>
    <col min="5" max="5" width="9.21875" style="3" bestFit="1" customWidth="1"/>
    <col min="6" max="9" width="8.88671875" style="3"/>
    <col min="10" max="10" width="11.5546875" style="3" bestFit="1" customWidth="1"/>
    <col min="11" max="16384" width="8.88671875" style="3"/>
  </cols>
  <sheetData>
    <row r="1" spans="1:10" x14ac:dyDescent="0.3">
      <c r="A1" s="3" t="s">
        <v>2</v>
      </c>
      <c r="B1" s="3" t="s">
        <v>0</v>
      </c>
      <c r="C1" s="3" t="s">
        <v>1</v>
      </c>
      <c r="D1" s="3" t="s">
        <v>5</v>
      </c>
      <c r="E1" s="3" t="s">
        <v>13</v>
      </c>
      <c r="F1" s="3" t="s">
        <v>3</v>
      </c>
      <c r="G1" s="3" t="s">
        <v>4</v>
      </c>
      <c r="H1" s="3" t="s">
        <v>6</v>
      </c>
      <c r="I1" s="3" t="s">
        <v>14</v>
      </c>
      <c r="J1" s="3" t="s">
        <v>12</v>
      </c>
    </row>
    <row r="2" spans="1:10" x14ac:dyDescent="0.3">
      <c r="A2" s="3">
        <v>80</v>
      </c>
      <c r="B2" s="3">
        <v>0.93480602782517364</v>
      </c>
      <c r="C2" s="3">
        <v>0.93589826796442432</v>
      </c>
      <c r="D2" s="3">
        <f>100*((1-C2)-(1-B2))/(1-B2)</f>
        <v>-1.67536982763023</v>
      </c>
      <c r="E2" s="3">
        <f>100*(((1-B2)/(1-C2))-1)</f>
        <v>1.7039167344877759</v>
      </c>
      <c r="F2" s="3">
        <v>0.92989830232092463</v>
      </c>
      <c r="G2" s="6">
        <v>0.92697900881065631</v>
      </c>
      <c r="H2" s="3">
        <f>100*((1-G2)-(1-F2))/(1-F2)</f>
        <v>4.1643692049125596</v>
      </c>
      <c r="I2" s="3">
        <f>100*(((1-F2)/(1-G2))-1)</f>
        <v>-3.997882612547099</v>
      </c>
      <c r="J2" s="3">
        <v>1.0960795279420048</v>
      </c>
    </row>
    <row r="3" spans="1:10" x14ac:dyDescent="0.3">
      <c r="A3" s="3">
        <v>80</v>
      </c>
      <c r="B3" s="3">
        <v>0.92756504418409902</v>
      </c>
      <c r="C3" s="3">
        <v>0.92615360200881458</v>
      </c>
      <c r="D3" s="3">
        <f t="shared" ref="D3:D22" si="0">100*((1-C3)-(1-B3))/(1-B3)</f>
        <v>1.9485649703048451</v>
      </c>
      <c r="E3" s="3">
        <f t="shared" ref="E3:E22" si="1">100*(((1-B3)/(1-C3))-1)</f>
        <v>-1.9113216266186894</v>
      </c>
      <c r="F3" s="3">
        <v>0.92223049544155788</v>
      </c>
      <c r="G3" s="6">
        <v>0.91700723585467758</v>
      </c>
      <c r="H3" s="3">
        <f t="shared" ref="H3:H22" si="2">100*((1-G3)-(1-F3))/(1-F3)</f>
        <v>6.7163338850321912</v>
      </c>
      <c r="I3" s="3">
        <f t="shared" ref="I3:I22" si="3">100*(((1-F3)/(1-G3))-1)</f>
        <v>-6.2936325120274912</v>
      </c>
      <c r="J3" s="3">
        <v>1.0815486477904841</v>
      </c>
    </row>
    <row r="4" spans="1:10" x14ac:dyDescent="0.3">
      <c r="A4" s="3">
        <v>80</v>
      </c>
      <c r="B4" s="3">
        <v>0.93489485492536517</v>
      </c>
      <c r="C4" s="3">
        <v>0.93498854086833971</v>
      </c>
      <c r="D4" s="3">
        <f t="shared" si="0"/>
        <v>-0.14389944583817868</v>
      </c>
      <c r="E4" s="3">
        <f t="shared" si="1"/>
        <v>0.1441068147460145</v>
      </c>
      <c r="F4" s="3">
        <v>0.9299907082093587</v>
      </c>
      <c r="G4" s="6">
        <v>0.92735734962031702</v>
      </c>
      <c r="H4" s="3">
        <f t="shared" si="2"/>
        <v>3.7614415482398877</v>
      </c>
      <c r="I4" s="3">
        <f t="shared" si="3"/>
        <v>-3.625086055200144</v>
      </c>
      <c r="J4" s="3">
        <v>1.074408790227743</v>
      </c>
    </row>
    <row r="5" spans="1:10" x14ac:dyDescent="0.3">
      <c r="A5" s="3">
        <v>80</v>
      </c>
      <c r="B5" s="3">
        <v>0.93495585106319756</v>
      </c>
      <c r="C5" s="3">
        <v>0.93493084280189986</v>
      </c>
      <c r="D5" s="3">
        <f t="shared" si="0"/>
        <v>3.8448133623820664E-2</v>
      </c>
      <c r="E5" s="3">
        <f t="shared" si="1"/>
        <v>-3.8433356715472655E-2</v>
      </c>
      <c r="F5" s="3">
        <v>0.93005040664975558</v>
      </c>
      <c r="G5" s="6">
        <v>0.92785476448012016</v>
      </c>
      <c r="H5" s="3">
        <f t="shared" si="2"/>
        <v>3.1388919713108558</v>
      </c>
      <c r="I5" s="3">
        <f t="shared" si="3"/>
        <v>-3.0433640611380319</v>
      </c>
      <c r="J5" s="3">
        <v>1.0657909425020016</v>
      </c>
    </row>
    <row r="6" spans="1:10" x14ac:dyDescent="0.3">
      <c r="A6" s="3">
        <v>80</v>
      </c>
      <c r="B6" s="3">
        <v>0.93498221113201885</v>
      </c>
      <c r="C6" s="3">
        <v>0.93475205836958641</v>
      </c>
      <c r="D6" s="3">
        <f t="shared" si="0"/>
        <v>0.35398429635889339</v>
      </c>
      <c r="E6" s="3">
        <f t="shared" si="1"/>
        <v>-0.35273566748832419</v>
      </c>
      <c r="F6" s="3">
        <v>0.93007876138016266</v>
      </c>
      <c r="G6" s="6">
        <v>0.92943128099083094</v>
      </c>
      <c r="H6" s="3">
        <f t="shared" si="2"/>
        <v>0.92601390094370417</v>
      </c>
      <c r="I6" s="3">
        <f t="shared" si="3"/>
        <v>-0.91751756078721769</v>
      </c>
      <c r="J6" s="3">
        <v>1.0386753240263107</v>
      </c>
    </row>
    <row r="7" spans="1:10" x14ac:dyDescent="0.3">
      <c r="A7" s="3">
        <v>100</v>
      </c>
      <c r="B7" s="3">
        <v>0.89126567227156106</v>
      </c>
      <c r="C7" s="3">
        <v>0.89261748902250027</v>
      </c>
      <c r="D7" s="3">
        <f t="shared" si="0"/>
        <v>-1.2432290511928592</v>
      </c>
      <c r="E7" s="3">
        <f t="shared" si="1"/>
        <v>1.2588798107193266</v>
      </c>
      <c r="F7" s="3">
        <v>0.88306899105852743</v>
      </c>
      <c r="G7" s="6">
        <v>0.8833609169471387</v>
      </c>
      <c r="H7" s="3">
        <f t="shared" si="2"/>
        <v>-0.24965652075865</v>
      </c>
      <c r="I7" s="3">
        <f t="shared" si="3"/>
        <v>0.25028136450537808</v>
      </c>
      <c r="J7" s="3">
        <v>1.0455352664893662</v>
      </c>
    </row>
    <row r="8" spans="1:10" x14ac:dyDescent="0.3">
      <c r="A8" s="3">
        <v>100</v>
      </c>
      <c r="B8" s="3">
        <v>0.904108170304743</v>
      </c>
      <c r="C8" s="3">
        <v>0.90664956829193111</v>
      </c>
      <c r="D8" s="3">
        <f t="shared" si="0"/>
        <v>-2.650275831908349</v>
      </c>
      <c r="E8" s="3">
        <f t="shared" si="1"/>
        <v>2.7224276746097065</v>
      </c>
      <c r="F8" s="3">
        <v>0.89661172741923945</v>
      </c>
      <c r="G8" s="6">
        <v>0.89546657893363735</v>
      </c>
      <c r="H8" s="3">
        <f t="shared" si="2"/>
        <v>1.1076193237560665</v>
      </c>
      <c r="I8" s="3">
        <f t="shared" si="3"/>
        <v>-1.0954855145084208</v>
      </c>
      <c r="J8" s="3">
        <v>1.0789378425342833</v>
      </c>
    </row>
    <row r="9" spans="1:10" x14ac:dyDescent="0.3">
      <c r="A9" s="3">
        <v>100</v>
      </c>
      <c r="B9" s="3">
        <v>0.89896167181458198</v>
      </c>
      <c r="C9" s="3">
        <v>0.90070526791261163</v>
      </c>
      <c r="D9" s="3">
        <f t="shared" si="0"/>
        <v>-1.7256778980249317</v>
      </c>
      <c r="E9" s="3">
        <f t="shared" si="1"/>
        <v>1.7559804647996113</v>
      </c>
      <c r="F9" s="3">
        <v>0.89117647880639372</v>
      </c>
      <c r="G9" s="6">
        <v>0.88823372088803965</v>
      </c>
      <c r="H9" s="3">
        <f t="shared" si="2"/>
        <v>2.7041561291870546</v>
      </c>
      <c r="I9" s="3">
        <f t="shared" si="3"/>
        <v>-2.632956864750069</v>
      </c>
      <c r="J9" s="3">
        <v>1.0853389295211764</v>
      </c>
    </row>
    <row r="10" spans="1:10" x14ac:dyDescent="0.3">
      <c r="A10" s="3">
        <v>100</v>
      </c>
      <c r="B10" s="3">
        <v>0.90410195992585773</v>
      </c>
      <c r="C10" s="3">
        <v>0.90684860978973136</v>
      </c>
      <c r="D10" s="3">
        <f t="shared" si="0"/>
        <v>-2.8641355566287845</v>
      </c>
      <c r="E10" s="3">
        <f t="shared" si="1"/>
        <v>2.9485870878294795</v>
      </c>
      <c r="F10" s="3">
        <v>0.89660404234868429</v>
      </c>
      <c r="G10" s="6">
        <v>0.89877804331223943</v>
      </c>
      <c r="H10" s="3">
        <f t="shared" si="2"/>
        <v>-2.1025976381848133</v>
      </c>
      <c r="I10" s="3">
        <f t="shared" si="3"/>
        <v>2.1477563116679033</v>
      </c>
      <c r="J10" s="3">
        <v>1.0452082589096634</v>
      </c>
    </row>
    <row r="11" spans="1:10" x14ac:dyDescent="0.3">
      <c r="A11" s="3">
        <v>100</v>
      </c>
      <c r="B11" s="3">
        <v>0.89162679927769406</v>
      </c>
      <c r="C11" s="3">
        <v>0.89032664975179943</v>
      </c>
      <c r="D11" s="3">
        <f t="shared" si="0"/>
        <v>1.1996965275816849</v>
      </c>
      <c r="E11" s="3">
        <f t="shared" si="1"/>
        <v>-1.185474431985778</v>
      </c>
      <c r="F11" s="3">
        <v>0.88344880357643929</v>
      </c>
      <c r="G11" s="6">
        <v>0.87867148475725187</v>
      </c>
      <c r="H11" s="3">
        <f t="shared" si="2"/>
        <v>4.0989015692520896</v>
      </c>
      <c r="I11" s="3">
        <f t="shared" si="3"/>
        <v>-3.9375070317387406</v>
      </c>
      <c r="J11" s="3">
        <v>1.0662867597777177</v>
      </c>
    </row>
    <row r="12" spans="1:10" x14ac:dyDescent="0.3">
      <c r="A12" s="3">
        <v>120</v>
      </c>
      <c r="B12" s="3">
        <v>0.86459860313112769</v>
      </c>
      <c r="C12" s="3">
        <v>0.87307750461235989</v>
      </c>
      <c r="D12" s="3">
        <f t="shared" si="0"/>
        <v>-6.2620487508289768</v>
      </c>
      <c r="E12" s="3">
        <f t="shared" si="1"/>
        <v>6.6803772296915476</v>
      </c>
      <c r="F12" s="3">
        <v>0.85374577124988027</v>
      </c>
      <c r="G12" s="6">
        <v>0.85856303674963119</v>
      </c>
      <c r="H12" s="3">
        <f t="shared" si="2"/>
        <v>-3.2937615143979069</v>
      </c>
      <c r="I12" s="3">
        <f t="shared" si="3"/>
        <v>3.4059452275028601</v>
      </c>
      <c r="J12" s="3">
        <v>1.075936331296117</v>
      </c>
    </row>
    <row r="13" spans="1:10" x14ac:dyDescent="0.3">
      <c r="A13" s="3">
        <v>120</v>
      </c>
      <c r="B13" s="3">
        <v>0.85923291970766935</v>
      </c>
      <c r="C13" s="3">
        <v>0.86605103717408305</v>
      </c>
      <c r="D13" s="3">
        <f t="shared" si="0"/>
        <v>-4.8435454171916685</v>
      </c>
      <c r="E13" s="3">
        <f t="shared" si="1"/>
        <v>5.0900860466345454</v>
      </c>
      <c r="F13" s="3">
        <v>0.84810362914959037</v>
      </c>
      <c r="G13" s="6">
        <v>0.85238998708820968</v>
      </c>
      <c r="H13" s="3">
        <f t="shared" si="2"/>
        <v>-2.8218962142555708</v>
      </c>
      <c r="I13" s="3">
        <f t="shared" si="3"/>
        <v>2.9038395526601368</v>
      </c>
      <c r="J13" s="3">
        <v>1.0635333025120015</v>
      </c>
    </row>
    <row r="14" spans="1:10" x14ac:dyDescent="0.3">
      <c r="A14" s="3">
        <v>120</v>
      </c>
      <c r="B14" s="3">
        <v>0.86455564442551303</v>
      </c>
      <c r="C14" s="3">
        <v>0.87283108664570497</v>
      </c>
      <c r="D14" s="3">
        <f t="shared" si="0"/>
        <v>-6.1098465012378478</v>
      </c>
      <c r="E14" s="3">
        <f t="shared" si="1"/>
        <v>6.5074411677454647</v>
      </c>
      <c r="F14" s="3">
        <v>0.85369842681679875</v>
      </c>
      <c r="G14" s="6">
        <v>0.86528661203813406</v>
      </c>
      <c r="H14" s="3">
        <f t="shared" si="2"/>
        <v>-7.9207522989683747</v>
      </c>
      <c r="I14" s="3">
        <f t="shared" si="3"/>
        <v>8.6021036191411326</v>
      </c>
      <c r="J14" s="3">
        <v>1.018779453726838</v>
      </c>
    </row>
    <row r="15" spans="1:10" x14ac:dyDescent="0.3">
      <c r="A15" s="3">
        <v>120</v>
      </c>
      <c r="B15" s="3">
        <v>0.85721401162374866</v>
      </c>
      <c r="C15" s="3">
        <v>0.86465141127994682</v>
      </c>
      <c r="D15" s="3">
        <f t="shared" si="0"/>
        <v>-5.2087741526851223</v>
      </c>
      <c r="E15" s="3">
        <f t="shared" si="1"/>
        <v>5.4949960886413241</v>
      </c>
      <c r="F15" s="3">
        <v>0.84596989561838698</v>
      </c>
      <c r="G15" s="6">
        <v>0.86069550316556487</v>
      </c>
      <c r="H15" s="3">
        <f t="shared" si="2"/>
        <v>-9.5602139635605692</v>
      </c>
      <c r="I15" s="3">
        <f t="shared" si="3"/>
        <v>10.570805596232425</v>
      </c>
      <c r="J15" s="3">
        <v>0.98785228556695981</v>
      </c>
    </row>
    <row r="16" spans="1:10" x14ac:dyDescent="0.3">
      <c r="A16" s="3">
        <v>120</v>
      </c>
      <c r="B16" s="3">
        <v>0.86454593621140119</v>
      </c>
      <c r="C16" s="3">
        <v>0.87360357337499239</v>
      </c>
      <c r="D16" s="3">
        <f t="shared" si="0"/>
        <v>-6.686870006150075</v>
      </c>
      <c r="E16" s="3">
        <f t="shared" si="1"/>
        <v>7.1660547734180513</v>
      </c>
      <c r="F16" s="3">
        <v>0.85369001610243478</v>
      </c>
      <c r="G16" s="6">
        <v>0.87656237714333718</v>
      </c>
      <c r="H16" s="3">
        <f t="shared" si="2"/>
        <v>-15.632809485452363</v>
      </c>
      <c r="I16" s="3">
        <f t="shared" si="3"/>
        <v>18.529489236407315</v>
      </c>
      <c r="J16" s="3">
        <v>0.9336932439968928</v>
      </c>
    </row>
    <row r="17" spans="1:10" x14ac:dyDescent="0.3">
      <c r="A17" s="3">
        <v>150</v>
      </c>
      <c r="B17" s="3">
        <v>0.78678259610756685</v>
      </c>
      <c r="C17" s="3">
        <v>0.77607131878597768</v>
      </c>
      <c r="D17" s="3">
        <f t="shared" si="0"/>
        <v>5.0236411878426841</v>
      </c>
      <c r="E17" s="3">
        <f t="shared" si="1"/>
        <v>-4.7833431892325358</v>
      </c>
      <c r="F17" s="3">
        <v>0.76952456631118793</v>
      </c>
      <c r="G17" s="6">
        <v>0.75615961625063088</v>
      </c>
      <c r="H17" s="3">
        <f t="shared" si="2"/>
        <v>5.798861009456826</v>
      </c>
      <c r="I17" s="3">
        <f t="shared" si="3"/>
        <v>-5.4810240432914492</v>
      </c>
      <c r="J17" s="3">
        <v>1.0558420120009397</v>
      </c>
    </row>
    <row r="18" spans="1:10" x14ac:dyDescent="0.3">
      <c r="A18" s="3">
        <v>150</v>
      </c>
      <c r="B18" s="3">
        <v>0.786830321654583</v>
      </c>
      <c r="C18" s="3">
        <v>0.78594449476102268</v>
      </c>
      <c r="D18" s="3">
        <f t="shared" si="0"/>
        <v>0.41555013847932654</v>
      </c>
      <c r="E18" s="3">
        <f t="shared" si="1"/>
        <v>-0.41383046540726109</v>
      </c>
      <c r="F18" s="3">
        <v>0.76957404360469028</v>
      </c>
      <c r="G18" s="6">
        <v>0.78281550118261589</v>
      </c>
      <c r="H18" s="3">
        <f t="shared" si="2"/>
        <v>-5.7465130166191365</v>
      </c>
      <c r="I18" s="3">
        <f t="shared" si="3"/>
        <v>6.0968704718928679</v>
      </c>
      <c r="J18" s="3">
        <v>0.97351573633370658</v>
      </c>
    </row>
    <row r="19" spans="1:10" x14ac:dyDescent="0.3">
      <c r="A19" s="3">
        <v>150</v>
      </c>
      <c r="B19" s="3">
        <v>0.68074791774406085</v>
      </c>
      <c r="C19" s="3">
        <v>0.67562730996818487</v>
      </c>
      <c r="D19" s="3">
        <f t="shared" si="0"/>
        <v>1.6039387244374703</v>
      </c>
      <c r="E19" s="3">
        <f t="shared" si="1"/>
        <v>-1.5786186486210441</v>
      </c>
      <c r="F19" s="3">
        <v>0.65980022141100425</v>
      </c>
      <c r="G19" s="6">
        <v>0.65628565267292893</v>
      </c>
      <c r="H19" s="3">
        <f t="shared" si="2"/>
        <v>1.0330896606259585</v>
      </c>
      <c r="I19" s="3">
        <f t="shared" si="3"/>
        <v>-1.0225260497290001</v>
      </c>
      <c r="J19" s="3">
        <v>1.0285930733143303</v>
      </c>
    </row>
    <row r="20" spans="1:10" x14ac:dyDescent="0.3">
      <c r="A20" s="3">
        <v>150</v>
      </c>
      <c r="B20" s="3">
        <v>0.78681681234172218</v>
      </c>
      <c r="C20" s="3">
        <v>0.79366623187898</v>
      </c>
      <c r="D20" s="3">
        <f t="shared" si="0"/>
        <v>-3.2129266911221444</v>
      </c>
      <c r="E20" s="3">
        <f t="shared" si="1"/>
        <v>3.3195824414162134</v>
      </c>
      <c r="F20" s="3">
        <v>0.76956464784720047</v>
      </c>
      <c r="G20" s="6">
        <v>0.78019241939907802</v>
      </c>
      <c r="H20" s="3">
        <f t="shared" si="2"/>
        <v>-4.612040406382774</v>
      </c>
      <c r="I20" s="3">
        <f t="shared" si="3"/>
        <v>4.8350341343200043</v>
      </c>
      <c r="J20" s="3">
        <v>1.0286116282392535</v>
      </c>
    </row>
    <row r="21" spans="1:10" x14ac:dyDescent="0.3">
      <c r="A21" s="3">
        <v>150</v>
      </c>
      <c r="B21" s="3">
        <v>0.78177548745062331</v>
      </c>
      <c r="C21" s="3">
        <v>0.78804105151699433</v>
      </c>
      <c r="D21" s="3">
        <f t="shared" si="0"/>
        <v>-2.8711550289078271</v>
      </c>
      <c r="E21" s="3">
        <f t="shared" si="1"/>
        <v>2.9560271511128944</v>
      </c>
      <c r="F21" s="3">
        <v>0.76431226485292303</v>
      </c>
      <c r="G21" s="6">
        <v>0.76008012527317292</v>
      </c>
      <c r="H21" s="3">
        <f t="shared" si="2"/>
        <v>1.7956554154627984</v>
      </c>
      <c r="I21" s="3">
        <f t="shared" si="3"/>
        <v>-1.7639804057787312</v>
      </c>
      <c r="J21" s="3">
        <v>1.1028942240925954</v>
      </c>
    </row>
    <row r="22" spans="1:10" x14ac:dyDescent="0.3">
      <c r="A22" s="3">
        <v>150</v>
      </c>
      <c r="B22" s="3">
        <v>0.78676478401186201</v>
      </c>
      <c r="C22" s="3">
        <v>0.80007366268533675</v>
      </c>
      <c r="D22" s="3">
        <f t="shared" si="0"/>
        <v>-6.241407457863386</v>
      </c>
      <c r="E22" s="3">
        <f t="shared" si="1"/>
        <v>6.6568911591312618</v>
      </c>
      <c r="F22" s="3">
        <v>0.76950817429604412</v>
      </c>
      <c r="G22" s="7">
        <v>0.77521936312275808</v>
      </c>
      <c r="H22" s="3">
        <f t="shared" si="2"/>
        <v>-2.4778270592768936</v>
      </c>
      <c r="I22" s="3">
        <f t="shared" si="3"/>
        <v>2.5407832747768921</v>
      </c>
      <c r="J22" s="3">
        <v>1.0931466017151847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236B-931E-4759-BA37-6D5F22FAE9FD}">
  <dimension ref="A1:O20"/>
  <sheetViews>
    <sheetView workbookViewId="0">
      <selection activeCell="C2" sqref="C2"/>
    </sheetView>
  </sheetViews>
  <sheetFormatPr defaultRowHeight="14.4" x14ac:dyDescent="0.3"/>
  <cols>
    <col min="10" max="10" width="10.5546875" bestFit="1" customWidth="1"/>
  </cols>
  <sheetData>
    <row r="1" spans="1:15" x14ac:dyDescent="0.3">
      <c r="A1" t="s">
        <v>2</v>
      </c>
      <c r="B1" t="s">
        <v>0</v>
      </c>
      <c r="C1" t="s">
        <v>1</v>
      </c>
      <c r="D1" t="s">
        <v>5</v>
      </c>
      <c r="E1" s="3" t="s">
        <v>13</v>
      </c>
      <c r="F1" t="s">
        <v>3</v>
      </c>
      <c r="G1" t="s">
        <v>4</v>
      </c>
      <c r="H1" t="s">
        <v>6</v>
      </c>
      <c r="I1" s="3" t="s">
        <v>14</v>
      </c>
      <c r="J1" t="s">
        <v>12</v>
      </c>
      <c r="O1" s="3"/>
    </row>
    <row r="2" spans="1:15" x14ac:dyDescent="0.3">
      <c r="A2">
        <v>100</v>
      </c>
      <c r="B2" s="2">
        <v>0.87716898713302571</v>
      </c>
      <c r="C2" s="2">
        <v>0.84221753399751276</v>
      </c>
      <c r="D2">
        <f>100*((1-C2)-(1-B2))/(1-B2)</f>
        <v>28.45490916318121</v>
      </c>
      <c r="E2" s="3">
        <f>100*(((1-B2)/(1-C2))-1)</f>
        <v>-22.151671235105418</v>
      </c>
      <c r="F2" s="2">
        <v>0.86774671809058646</v>
      </c>
      <c r="G2" s="1">
        <v>0.82189516951733299</v>
      </c>
      <c r="H2">
        <f>100*((1-G2)-(1-F2))/(1-F2)</f>
        <v>34.669497732887514</v>
      </c>
      <c r="I2" s="3">
        <f>100*(((1-F2)/(1-G2))-1)</f>
        <v>-25.744135321313312</v>
      </c>
      <c r="J2" s="2">
        <v>1.1422426830586849</v>
      </c>
      <c r="O2" s="3"/>
    </row>
    <row r="3" spans="1:15" x14ac:dyDescent="0.3">
      <c r="A3">
        <v>100</v>
      </c>
      <c r="B3" s="2">
        <v>0.87718088921960158</v>
      </c>
      <c r="C3" s="2">
        <v>0.84198957484699866</v>
      </c>
      <c r="D3">
        <f t="shared" ref="D3:D18" si="0">100*((1-C3)-(1-B3))/(1-B3)</f>
        <v>28.652963003066585</v>
      </c>
      <c r="E3" s="3">
        <f t="shared" ref="E3:E18" si="1">100*(((1-B3)/(1-C3))-1)</f>
        <v>-22.271514261497117</v>
      </c>
      <c r="F3" s="2">
        <v>0.86775552568198433</v>
      </c>
      <c r="G3" s="1">
        <v>0.82590882556127343</v>
      </c>
      <c r="H3">
        <f t="shared" ref="H3:H18" si="2">100*((1-G3)-(1-F3))/(1-F3)</f>
        <v>31.643439422716295</v>
      </c>
      <c r="I3" s="3">
        <f t="shared" ref="I3:I18" si="3">100*(((1-F3)/(1-G3))-1)</f>
        <v>-24.037232361505691</v>
      </c>
      <c r="J3" s="2">
        <v>1.1121199482577433</v>
      </c>
    </row>
    <row r="4" spans="1:15" x14ac:dyDescent="0.3">
      <c r="A4">
        <v>100</v>
      </c>
      <c r="B4" s="2">
        <v>0.87722358870679196</v>
      </c>
      <c r="C4" s="2">
        <v>0.84380132107575834</v>
      </c>
      <c r="D4">
        <f t="shared" si="0"/>
        <v>27.222059415970673</v>
      </c>
      <c r="E4" s="3">
        <f t="shared" si="1"/>
        <v>-21.397279324778307</v>
      </c>
      <c r="F4" s="2">
        <v>0.8678029728729264</v>
      </c>
      <c r="G4" s="1">
        <v>0.83890161287656728</v>
      </c>
      <c r="H4">
        <f t="shared" si="2"/>
        <v>21.862337319112225</v>
      </c>
      <c r="I4" s="3">
        <f t="shared" si="3"/>
        <v>-17.940192023285164</v>
      </c>
      <c r="J4" s="2">
        <v>1.0342892964467574</v>
      </c>
    </row>
    <row r="5" spans="1:15" x14ac:dyDescent="0.3">
      <c r="A5">
        <v>100</v>
      </c>
      <c r="B5" s="2">
        <v>0.86877902457332901</v>
      </c>
      <c r="C5" s="2">
        <v>0.83352360718738872</v>
      </c>
      <c r="D5">
        <f t="shared" si="0"/>
        <v>26.867211793926764</v>
      </c>
      <c r="E5" s="3">
        <f t="shared" si="1"/>
        <v>-21.17742749605609</v>
      </c>
      <c r="F5" s="2">
        <v>0.85890653040605935</v>
      </c>
      <c r="G5" s="1">
        <v>0.82408787354378166</v>
      </c>
      <c r="H5">
        <f t="shared" si="2"/>
        <v>24.677723896424055</v>
      </c>
      <c r="I5" s="3">
        <f t="shared" si="3"/>
        <v>-19.793210146284878</v>
      </c>
      <c r="J5" s="2">
        <v>1.0625221286987114</v>
      </c>
    </row>
    <row r="6" spans="1:15" x14ac:dyDescent="0.3">
      <c r="A6">
        <v>100</v>
      </c>
      <c r="B6" s="2">
        <v>0.87720572303403388</v>
      </c>
      <c r="C6" s="2">
        <v>0.84576070093355316</v>
      </c>
      <c r="D6">
        <f t="shared" si="0"/>
        <v>25.607888964724374</v>
      </c>
      <c r="E6" s="3">
        <f t="shared" si="1"/>
        <v>-20.3871661053997</v>
      </c>
      <c r="F6" s="2">
        <v>0.86778726686638319</v>
      </c>
      <c r="G6" s="1">
        <v>0.84592371893784102</v>
      </c>
      <c r="H6">
        <f t="shared" si="2"/>
        <v>16.536643188857184</v>
      </c>
      <c r="I6" s="3">
        <f t="shared" si="3"/>
        <v>-14.190080249744453</v>
      </c>
      <c r="J6" s="2">
        <v>0.99884951061114458</v>
      </c>
    </row>
    <row r="7" spans="1:15" x14ac:dyDescent="0.3">
      <c r="A7">
        <v>100</v>
      </c>
      <c r="B7" s="2">
        <v>0.87720293227643065</v>
      </c>
      <c r="C7" s="2">
        <v>0.84571170762814851</v>
      </c>
      <c r="D7">
        <f t="shared" si="0"/>
        <v>25.64493210796579</v>
      </c>
      <c r="E7" s="3">
        <f t="shared" si="1"/>
        <v>-20.410637880666194</v>
      </c>
      <c r="F7" s="2">
        <v>0.86777925701719605</v>
      </c>
      <c r="G7" s="1">
        <v>0.83960092471980263</v>
      </c>
      <c r="H7">
        <f t="shared" si="2"/>
        <v>21.31158217818982</v>
      </c>
      <c r="I7" s="3">
        <f t="shared" si="3"/>
        <v>-17.567640117730942</v>
      </c>
      <c r="J7" s="2">
        <v>1.0432747450930717</v>
      </c>
    </row>
    <row r="8" spans="1:15" x14ac:dyDescent="0.3">
      <c r="A8">
        <v>100</v>
      </c>
      <c r="B8" s="2">
        <v>0.78580771690059481</v>
      </c>
      <c r="C8" s="2">
        <v>0.70416701186358599</v>
      </c>
      <c r="D8">
        <f t="shared" si="0"/>
        <v>38.115614557000605</v>
      </c>
      <c r="E8" s="3">
        <f t="shared" si="1"/>
        <v>-27.596890242464369</v>
      </c>
      <c r="F8" s="2">
        <v>0.77406875017694166</v>
      </c>
      <c r="G8" s="1">
        <v>0.72013490789791357</v>
      </c>
      <c r="H8">
        <f t="shared" si="2"/>
        <v>23.871793884762393</v>
      </c>
      <c r="I8" s="3">
        <f t="shared" si="3"/>
        <v>-19.271371743409372</v>
      </c>
      <c r="J8" s="2">
        <v>0.93606938538306528</v>
      </c>
    </row>
    <row r="9" spans="1:15" x14ac:dyDescent="0.3">
      <c r="A9">
        <v>100</v>
      </c>
      <c r="B9" s="2">
        <v>0.87605811419547142</v>
      </c>
      <c r="C9" s="2">
        <v>0.84500204992353167</v>
      </c>
      <c r="D9">
        <f t="shared" si="0"/>
        <v>25.056956387543536</v>
      </c>
      <c r="E9" s="3">
        <f t="shared" si="1"/>
        <v>-20.036435486158499</v>
      </c>
      <c r="F9" s="2">
        <v>0.86658058020217055</v>
      </c>
      <c r="G9" s="1">
        <v>0.84462572469993991</v>
      </c>
      <c r="H9">
        <f t="shared" si="2"/>
        <v>16.455517146978192</v>
      </c>
      <c r="I9" s="3">
        <f t="shared" si="3"/>
        <v>-14.130302754320967</v>
      </c>
      <c r="J9" s="2">
        <v>1.0026449554466736</v>
      </c>
    </row>
    <row r="10" spans="1:15" x14ac:dyDescent="0.3">
      <c r="A10">
        <v>100</v>
      </c>
      <c r="B10" s="2">
        <v>0.87193842275977007</v>
      </c>
      <c r="C10" s="2">
        <v>0.8395466348737386</v>
      </c>
      <c r="D10">
        <f t="shared" si="0"/>
        <v>25.293916086374541</v>
      </c>
      <c r="E10" s="3">
        <f t="shared" si="1"/>
        <v>-20.187665033103073</v>
      </c>
      <c r="F10" s="2">
        <v>0.86223565110418932</v>
      </c>
      <c r="G10" s="1">
        <v>0.83820407583745127</v>
      </c>
      <c r="H10">
        <f t="shared" si="2"/>
        <v>17.443972594762382</v>
      </c>
      <c r="I10" s="3">
        <f t="shared" si="3"/>
        <v>-14.853016471907321</v>
      </c>
      <c r="J10" s="2">
        <v>1.0091508827894318</v>
      </c>
    </row>
    <row r="11" spans="1:15" x14ac:dyDescent="0.3">
      <c r="A11">
        <v>100</v>
      </c>
      <c r="B11" s="2">
        <v>0.87677881514138711</v>
      </c>
      <c r="C11" s="2">
        <v>0.84791229595614959</v>
      </c>
      <c r="D11">
        <f t="shared" si="0"/>
        <v>23.426587902364112</v>
      </c>
      <c r="E11" s="3">
        <f t="shared" si="1"/>
        <v>-18.980179473887404</v>
      </c>
      <c r="F11" s="2">
        <v>0.86732317430419081</v>
      </c>
      <c r="G11" s="1">
        <v>0.84669344645353728</v>
      </c>
      <c r="H11">
        <f t="shared" si="2"/>
        <v>15.548855455700851</v>
      </c>
      <c r="I11" s="3">
        <f t="shared" si="3"/>
        <v>-13.456520529242255</v>
      </c>
      <c r="J11" s="2">
        <v>1.0087193729579187</v>
      </c>
    </row>
    <row r="12" spans="1:15" x14ac:dyDescent="0.3">
      <c r="A12">
        <v>100</v>
      </c>
      <c r="B12" s="2">
        <v>0.87726768746341333</v>
      </c>
      <c r="C12" s="2">
        <v>0.84814630320616347</v>
      </c>
      <c r="D12">
        <f t="shared" si="0"/>
        <v>23.727560945752355</v>
      </c>
      <c r="E12" s="3">
        <f t="shared" si="1"/>
        <v>-19.177263953465928</v>
      </c>
      <c r="F12" s="2">
        <v>0.86784907487328722</v>
      </c>
      <c r="G12" s="1">
        <v>0.82716522201422815</v>
      </c>
      <c r="H12">
        <f t="shared" si="2"/>
        <v>30.785900908411644</v>
      </c>
      <c r="I12" s="3">
        <f t="shared" si="3"/>
        <v>-23.539158804258864</v>
      </c>
      <c r="J12" s="2">
        <v>1.1520847867506812</v>
      </c>
    </row>
    <row r="13" spans="1:15" x14ac:dyDescent="0.3">
      <c r="A13">
        <v>100</v>
      </c>
      <c r="B13" s="2">
        <v>0.8772235879555359</v>
      </c>
      <c r="C13" s="2">
        <v>0.85027857892827663</v>
      </c>
      <c r="D13">
        <f t="shared" si="0"/>
        <v>21.946405322140379</v>
      </c>
      <c r="E13" s="3">
        <f t="shared" si="1"/>
        <v>-17.996762810814747</v>
      </c>
      <c r="F13" s="2">
        <v>0.8678029712715879</v>
      </c>
      <c r="G13" s="1">
        <v>0.84478125295426054</v>
      </c>
      <c r="H13">
        <f t="shared" si="2"/>
        <v>17.414701781704622</v>
      </c>
      <c r="I13" s="3">
        <f t="shared" si="3"/>
        <v>-14.83178981630574</v>
      </c>
      <c r="J13" s="2">
        <v>1.0399917651128145</v>
      </c>
    </row>
    <row r="14" spans="1:15" x14ac:dyDescent="0.3">
      <c r="A14">
        <v>100</v>
      </c>
      <c r="B14" s="2">
        <v>0.87728833367588432</v>
      </c>
      <c r="C14" s="2">
        <v>0.85032763253735977</v>
      </c>
      <c r="D14">
        <f t="shared" si="0"/>
        <v>21.970772581079487</v>
      </c>
      <c r="E14" s="3">
        <f t="shared" si="1"/>
        <v>-18.013145375851845</v>
      </c>
      <c r="F14" s="2">
        <v>0.8678727970016139</v>
      </c>
      <c r="G14" s="1">
        <v>0.82097285108555751</v>
      </c>
      <c r="H14">
        <f t="shared" si="2"/>
        <v>35.496055961034209</v>
      </c>
      <c r="I14" s="3">
        <f t="shared" si="3"/>
        <v>-26.197113789970473</v>
      </c>
      <c r="J14" s="2">
        <v>1.2166836145570024</v>
      </c>
    </row>
    <row r="15" spans="1:15" x14ac:dyDescent="0.3">
      <c r="A15">
        <v>100</v>
      </c>
      <c r="B15" s="2">
        <v>0.87720293072034705</v>
      </c>
      <c r="C15" s="2">
        <v>0.84985416862282159</v>
      </c>
      <c r="D15">
        <f t="shared" si="0"/>
        <v>22.271510434212825</v>
      </c>
      <c r="E15" s="3">
        <f t="shared" si="1"/>
        <v>-18.214799469738974</v>
      </c>
      <c r="F15" s="2">
        <v>0.86777925500825293</v>
      </c>
      <c r="G15" s="1">
        <v>0.82498065548540533</v>
      </c>
      <c r="H15">
        <f t="shared" si="2"/>
        <v>32.369050352513888</v>
      </c>
      <c r="I15" s="3">
        <f t="shared" si="3"/>
        <v>-24.453639477137145</v>
      </c>
      <c r="J15" s="2">
        <v>1.1825848980166977</v>
      </c>
    </row>
    <row r="16" spans="1:15" x14ac:dyDescent="0.3">
      <c r="A16">
        <v>100</v>
      </c>
      <c r="B16" s="2">
        <v>0.87726767895972602</v>
      </c>
      <c r="C16" s="2">
        <v>0.85071219174439971</v>
      </c>
      <c r="D16">
        <f t="shared" si="0"/>
        <v>21.636914376134264</v>
      </c>
      <c r="E16" s="3">
        <f t="shared" si="1"/>
        <v>-17.788115135202354</v>
      </c>
      <c r="F16" s="2">
        <v>0.86784906648039506</v>
      </c>
      <c r="G16" s="1">
        <v>0.84125369681310924</v>
      </c>
      <c r="H16">
        <f t="shared" si="2"/>
        <v>20.12499568407538</v>
      </c>
      <c r="I16" s="3">
        <f t="shared" si="3"/>
        <v>-16.753378902924943</v>
      </c>
      <c r="J16" s="2">
        <v>1.0691520199398521</v>
      </c>
    </row>
    <row r="17" spans="1:10" x14ac:dyDescent="0.3">
      <c r="A17">
        <v>100</v>
      </c>
      <c r="B17" s="2">
        <v>0.87720293388461479</v>
      </c>
      <c r="C17" s="2">
        <v>0.85188493459768311</v>
      </c>
      <c r="D17">
        <f t="shared" si="0"/>
        <v>20.617755853500473</v>
      </c>
      <c r="E17" s="3">
        <f t="shared" si="1"/>
        <v>-17.093466635660437</v>
      </c>
      <c r="F17" s="2">
        <v>0.867779254601314</v>
      </c>
      <c r="G17" s="1">
        <v>0.80910066827419191</v>
      </c>
      <c r="H17">
        <f t="shared" si="2"/>
        <v>44.379258451605452</v>
      </c>
      <c r="I17" s="3">
        <f t="shared" si="3"/>
        <v>-30.737973672638685</v>
      </c>
      <c r="J17" s="2">
        <v>1.3214403836821007</v>
      </c>
    </row>
    <row r="18" spans="1:10" x14ac:dyDescent="0.3">
      <c r="A18">
        <v>100</v>
      </c>
      <c r="B18" s="2">
        <v>0.87728833684001106</v>
      </c>
      <c r="C18" s="2">
        <v>0.85269094802630763</v>
      </c>
      <c r="D18">
        <f t="shared" si="0"/>
        <v>20.044866299003598</v>
      </c>
      <c r="E18" s="3">
        <f t="shared" si="1"/>
        <v>-16.697812173888838</v>
      </c>
      <c r="F18" s="2">
        <v>0.86787279659431515</v>
      </c>
      <c r="G18" s="1">
        <v>0.85198364252904291</v>
      </c>
      <c r="H18">
        <f t="shared" si="2"/>
        <v>12.025649265038943</v>
      </c>
      <c r="I18" s="3">
        <f t="shared" si="3"/>
        <v>-10.734728469716547</v>
      </c>
      <c r="J18" s="2">
        <v>1.0052074055170372</v>
      </c>
    </row>
    <row r="19" spans="1:10" x14ac:dyDescent="0.3">
      <c r="J19" s="5"/>
    </row>
    <row r="20" spans="1:10" x14ac:dyDescent="0.3">
      <c r="J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Quad Measured</vt:lpstr>
      <vt:lpstr>MC Measured</vt:lpstr>
      <vt:lpstr>MC Sulfur</vt:lpstr>
      <vt:lpstr>MC 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Thyer, Benjamin J.</dc:creator>
  <cp:lastModifiedBy>Thyer, Benjamin J.</cp:lastModifiedBy>
  <dcterms:created xsi:type="dcterms:W3CDTF">2024-12-12T19:00:41Z</dcterms:created>
  <dcterms:modified xsi:type="dcterms:W3CDTF">2024-12-31T21:48:10Z</dcterms:modified>
</cp:coreProperties>
</file>