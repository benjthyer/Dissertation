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hf\Dissertation\Chapter 1 Tube Method\"/>
    </mc:Choice>
  </mc:AlternateContent>
  <xr:revisionPtr revIDLastSave="0" documentId="13_ncr:1_{5CCF7AD0-CD6F-4FC8-8EE3-7258C50FBBEF}" xr6:coauthVersionLast="47" xr6:coauthVersionMax="47" xr10:uidLastSave="{00000000-0000-0000-0000-000000000000}"/>
  <bookViews>
    <workbookView xWindow="-28920" yWindow="-10875" windowWidth="29040" windowHeight="15720" activeTab="1" xr2:uid="{BDF65689-453F-4E69-AA2D-89AD83BEDC44}"/>
  </bookViews>
  <sheets>
    <sheet name="Batch 76" sheetId="4" r:id="rId1"/>
    <sheet name="Distill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4" l="1"/>
  <c r="V29" i="4"/>
  <c r="T29" i="4"/>
  <c r="T27" i="4"/>
  <c r="T28" i="4"/>
  <c r="V28" i="4" s="1"/>
  <c r="K26" i="4"/>
  <c r="K27" i="4"/>
  <c r="J26" i="4"/>
  <c r="J24" i="4"/>
  <c r="L24" i="4" s="1"/>
  <c r="K29" i="4"/>
  <c r="J29" i="4"/>
  <c r="AE28" i="4"/>
  <c r="K28" i="4"/>
  <c r="L28" i="4" s="1"/>
  <c r="J28" i="4"/>
  <c r="AE27" i="4"/>
  <c r="AC27" i="4"/>
  <c r="AE26" i="4"/>
  <c r="AC26" i="4"/>
  <c r="AE25" i="4"/>
  <c r="AC25" i="4"/>
  <c r="AE24" i="4"/>
  <c r="AC24" i="4"/>
  <c r="K24" i="4"/>
  <c r="AE23" i="4"/>
  <c r="AC23" i="4"/>
  <c r="K23" i="4"/>
  <c r="AE22" i="4"/>
  <c r="AC22" i="4"/>
  <c r="K22" i="4"/>
  <c r="L22" i="4" s="1"/>
  <c r="J22" i="4"/>
  <c r="AE21" i="4"/>
  <c r="AC21" i="4"/>
  <c r="K21" i="4"/>
  <c r="J21" i="4"/>
  <c r="AE20" i="4"/>
  <c r="AC20" i="4"/>
  <c r="Y20" i="4"/>
  <c r="K20" i="4"/>
  <c r="AE19" i="4"/>
  <c r="AC19" i="4"/>
  <c r="K19" i="4"/>
  <c r="J19" i="4"/>
  <c r="AE18" i="4"/>
  <c r="AC18" i="4"/>
  <c r="L18" i="4"/>
  <c r="K18" i="4"/>
  <c r="J18" i="4"/>
  <c r="AE17" i="4"/>
  <c r="AC17" i="4"/>
  <c r="K17" i="4"/>
  <c r="AE16" i="4"/>
  <c r="AC16" i="4"/>
  <c r="K16" i="4"/>
  <c r="AE15" i="4"/>
  <c r="AC15" i="4"/>
  <c r="K15" i="4"/>
  <c r="AE14" i="4"/>
  <c r="AC14" i="4"/>
  <c r="K14" i="4"/>
  <c r="J14" i="4"/>
  <c r="AE13" i="4"/>
  <c r="AC13" i="4"/>
  <c r="L13" i="4"/>
  <c r="K13" i="4"/>
  <c r="J13" i="4"/>
  <c r="AE12" i="4"/>
  <c r="AC12" i="4"/>
  <c r="Y12" i="4"/>
  <c r="K12" i="4"/>
  <c r="J12" i="4"/>
  <c r="L12" i="4" s="1"/>
  <c r="AE11" i="4"/>
  <c r="AC11" i="4"/>
  <c r="K11" i="4"/>
  <c r="Y11" i="4" s="1"/>
  <c r="AE10" i="4"/>
  <c r="Y10" i="4" s="1"/>
  <c r="AC10" i="4"/>
  <c r="K10" i="4"/>
  <c r="J10" i="4"/>
  <c r="AE9" i="4"/>
  <c r="AC9" i="4"/>
  <c r="K9" i="4"/>
  <c r="Y9" i="4" s="1"/>
  <c r="AE8" i="4"/>
  <c r="Y8" i="4" s="1"/>
  <c r="AC8" i="4"/>
  <c r="K8" i="4"/>
  <c r="J8" i="4"/>
  <c r="AE7" i="4"/>
  <c r="AC7" i="4"/>
  <c r="K7" i="4"/>
  <c r="Y7" i="4" s="1"/>
  <c r="AE6" i="4"/>
  <c r="Y6" i="4" s="1"/>
  <c r="AC6" i="4"/>
  <c r="K6" i="4"/>
  <c r="J1" i="4"/>
  <c r="Y16" i="4" l="1"/>
  <c r="Y22" i="4"/>
  <c r="Y28" i="4"/>
  <c r="Y14" i="4"/>
  <c r="Y17" i="4"/>
  <c r="Y23" i="4"/>
  <c r="Y25" i="4"/>
  <c r="Y24" i="4"/>
  <c r="L19" i="4"/>
  <c r="L21" i="4"/>
  <c r="Y15" i="4"/>
  <c r="Y26" i="4"/>
  <c r="L14" i="4"/>
  <c r="L8" i="4"/>
  <c r="L10" i="4"/>
  <c r="Y19" i="4"/>
  <c r="Y21" i="4"/>
  <c r="Y13" i="4"/>
  <c r="Y18" i="4"/>
  <c r="Y27" i="4"/>
  <c r="T26" i="4" l="1"/>
  <c r="T25" i="4" s="1"/>
  <c r="V27" i="4"/>
  <c r="Z27" i="4" l="1"/>
  <c r="AB27" i="4" s="1"/>
  <c r="AD27" i="4" s="1"/>
  <c r="X27" i="4"/>
  <c r="V26" i="4"/>
  <c r="T24" i="4" l="1"/>
  <c r="V25" i="4"/>
  <c r="Z25" i="4" l="1"/>
  <c r="AB25" i="4" s="1"/>
  <c r="AD25" i="4" s="1"/>
  <c r="X25" i="4"/>
  <c r="T23" i="4"/>
  <c r="V24" i="4"/>
  <c r="V23" i="4" l="1"/>
  <c r="T22" i="4"/>
  <c r="V22" i="4" l="1"/>
  <c r="T21" i="4"/>
  <c r="Z23" i="4"/>
  <c r="AB23" i="4" s="1"/>
  <c r="AD23" i="4" s="1"/>
  <c r="X23" i="4"/>
  <c r="T20" i="4" l="1"/>
  <c r="V21" i="4"/>
  <c r="T19" i="4" l="1"/>
  <c r="V20" i="4"/>
  <c r="X20" i="4" l="1"/>
  <c r="Z20" i="4"/>
  <c r="AB20" i="4" s="1"/>
  <c r="AD20" i="4" s="1"/>
  <c r="T18" i="4"/>
  <c r="V19" i="4"/>
  <c r="V18" i="4" l="1"/>
  <c r="T17" i="4"/>
  <c r="T16" i="4" l="1"/>
  <c r="V17" i="4"/>
  <c r="X17" i="4" l="1"/>
  <c r="Z17" i="4"/>
  <c r="AB17" i="4" s="1"/>
  <c r="AD17" i="4" s="1"/>
  <c r="T15" i="4"/>
  <c r="V16" i="4"/>
  <c r="T14" i="4" l="1"/>
  <c r="V15" i="4"/>
  <c r="X16" i="4"/>
  <c r="Z16" i="4"/>
  <c r="AB16" i="4" s="1"/>
  <c r="AD16" i="4" s="1"/>
  <c r="Z15" i="4" l="1"/>
  <c r="AB15" i="4" s="1"/>
  <c r="AD15" i="4" s="1"/>
  <c r="X15" i="4"/>
  <c r="T13" i="4"/>
  <c r="V14" i="4"/>
  <c r="V13" i="4" l="1"/>
  <c r="T12" i="4"/>
  <c r="T11" i="4" l="1"/>
  <c r="V12" i="4"/>
  <c r="V11" i="4" l="1"/>
  <c r="T10" i="4"/>
  <c r="Z11" i="4" l="1"/>
  <c r="AB11" i="4" s="1"/>
  <c r="AD11" i="4" s="1"/>
  <c r="X11" i="4"/>
  <c r="V10" i="4"/>
  <c r="T9" i="4"/>
  <c r="V9" i="4" l="1"/>
  <c r="T8" i="4"/>
  <c r="T7" i="4" l="1"/>
  <c r="V8" i="4"/>
  <c r="Z9" i="4"/>
  <c r="AB9" i="4" s="1"/>
  <c r="AD9" i="4" s="1"/>
  <c r="X9" i="4"/>
  <c r="V7" i="4" l="1"/>
  <c r="T6" i="4"/>
  <c r="V6" i="4" s="1"/>
  <c r="Z6" i="4" l="1"/>
  <c r="X6" i="4"/>
  <c r="X7" i="4"/>
  <c r="Z7" i="4"/>
  <c r="AB7" i="4" s="1"/>
  <c r="AD7" i="4" s="1"/>
  <c r="AB6" i="4" l="1"/>
  <c r="AD6" i="4" s="1"/>
  <c r="Z30" i="4"/>
  <c r="U26" i="4" l="1"/>
  <c r="U24" i="4"/>
  <c r="U22" i="4"/>
  <c r="U21" i="4"/>
  <c r="U19" i="4"/>
  <c r="U18" i="4"/>
  <c r="U14" i="4"/>
  <c r="U13" i="4"/>
  <c r="U12" i="4"/>
  <c r="U10" i="4"/>
  <c r="U8" i="4"/>
  <c r="AA13" i="4" l="1"/>
  <c r="AB13" i="4" s="1"/>
  <c r="AD13" i="4" s="1"/>
  <c r="X13" i="4"/>
  <c r="X19" i="4"/>
  <c r="AA19" i="4"/>
  <c r="AB19" i="4" s="1"/>
  <c r="AD19" i="4" s="1"/>
  <c r="X10" i="4"/>
  <c r="AA10" i="4"/>
  <c r="AB10" i="4" s="1"/>
  <c r="AD10" i="4" s="1"/>
  <c r="AA14" i="4"/>
  <c r="AB14" i="4" s="1"/>
  <c r="AD14" i="4" s="1"/>
  <c r="X14" i="4"/>
  <c r="X18" i="4"/>
  <c r="AA18" i="4"/>
  <c r="AB18" i="4" s="1"/>
  <c r="AD18" i="4" s="1"/>
  <c r="X21" i="4"/>
  <c r="AA21" i="4"/>
  <c r="AB21" i="4" s="1"/>
  <c r="AD21" i="4" s="1"/>
  <c r="X8" i="4"/>
  <c r="AA8" i="4"/>
  <c r="AB8" i="4" s="1"/>
  <c r="AD8" i="4" s="1"/>
  <c r="X22" i="4"/>
  <c r="AA22" i="4"/>
  <c r="AB22" i="4" s="1"/>
  <c r="AD22" i="4" s="1"/>
  <c r="AA24" i="4"/>
  <c r="AB24" i="4" s="1"/>
  <c r="AD24" i="4" s="1"/>
  <c r="X24" i="4"/>
  <c r="X12" i="4"/>
  <c r="AA12" i="4"/>
  <c r="AB12" i="4" s="1"/>
  <c r="AD12" i="4" s="1"/>
  <c r="X26" i="4"/>
  <c r="AA26" i="4"/>
  <c r="AB26" i="4" s="1"/>
  <c r="AD26" i="4" s="1"/>
</calcChain>
</file>

<file path=xl/sharedStrings.xml><?xml version="1.0" encoding="utf-8"?>
<sst xmlns="http://schemas.openxmlformats.org/spreadsheetml/2006/main" count="148" uniqueCount="76">
  <si>
    <t>Name</t>
  </si>
  <si>
    <t>He RefNo</t>
  </si>
  <si>
    <t>Batch No</t>
  </si>
  <si>
    <t>Analysis</t>
  </si>
  <si>
    <t>Set Temp</t>
  </si>
  <si>
    <t>Timestamp</t>
  </si>
  <si>
    <t>2 Int</t>
  </si>
  <si>
    <t>3 Int</t>
  </si>
  <si>
    <t>4 Int</t>
  </si>
  <si>
    <t>Raw nCC</t>
  </si>
  <si>
    <t>BC nCC</t>
  </si>
  <si>
    <t>Q9006</t>
  </si>
  <si>
    <t>Batch-76</t>
  </si>
  <si>
    <t>4He STD</t>
  </si>
  <si>
    <t>Q9007</t>
  </si>
  <si>
    <t>CD: 45.0_25.0</t>
  </si>
  <si>
    <t>Diff Cell</t>
  </si>
  <si>
    <t>25C</t>
  </si>
  <si>
    <t>Tube1: 45.0_50.0</t>
  </si>
  <si>
    <t>50C</t>
  </si>
  <si>
    <t>Shock: 45.0_100.0</t>
  </si>
  <si>
    <t>100C</t>
  </si>
  <si>
    <t>Tube1: 45.0_60.0</t>
  </si>
  <si>
    <t>60C</t>
  </si>
  <si>
    <t>Tube1: 45.0_70.0</t>
  </si>
  <si>
    <t>70C</t>
  </si>
  <si>
    <t>Tube1: 45.0_80.0</t>
  </si>
  <si>
    <t>80C</t>
  </si>
  <si>
    <t>Tube1: 45.0_90.0</t>
  </si>
  <si>
    <t>90C</t>
  </si>
  <si>
    <t>Tube1: 45.0_120.0</t>
  </si>
  <si>
    <t>120C</t>
  </si>
  <si>
    <t>Tube1: 45.0_25.0</t>
  </si>
  <si>
    <t>Tube1: 45.0_150.0</t>
  </si>
  <si>
    <t>150C</t>
  </si>
  <si>
    <t>DiffCell</t>
  </si>
  <si>
    <t>Tube1: 90.0_300.0</t>
  </si>
  <si>
    <t>300C</t>
  </si>
  <si>
    <t>Blank: 45.0_25.0</t>
  </si>
  <si>
    <t>ReDegas: 90.0_400.0</t>
  </si>
  <si>
    <t>400C</t>
  </si>
  <si>
    <t>total time (seconds)</t>
  </si>
  <si>
    <t>cooling time</t>
  </si>
  <si>
    <t>COLD K</t>
  </si>
  <si>
    <t>G =</t>
  </si>
  <si>
    <t>cm^-2</t>
  </si>
  <si>
    <t>R (cm^3 * atm  * atoms^-1 * K^1)</t>
  </si>
  <si>
    <t>Empty Tube Equilibrated with Atmosphere ID 630 OD 960 micron</t>
  </si>
  <si>
    <t>WARM K</t>
  </si>
  <si>
    <t>K</t>
  </si>
  <si>
    <t>10000/T(K)</t>
  </si>
  <si>
    <t>ln(K)</t>
  </si>
  <si>
    <t>nt measured (in tube after step) HenCC</t>
  </si>
  <si>
    <t>Literature K(25C)</t>
  </si>
  <si>
    <t>Average</t>
  </si>
  <si>
    <t>Literature ln(K)</t>
  </si>
  <si>
    <t>n0 HenCC</t>
  </si>
  <si>
    <t>nt  HOT HenCC</t>
  </si>
  <si>
    <t>Heated Time (minutes)</t>
  </si>
  <si>
    <t>Heated Time (seconds)</t>
  </si>
  <si>
    <t>Swets et al, 1961</t>
  </si>
  <si>
    <t>Temp ©</t>
  </si>
  <si>
    <t>Measured nt/n0</t>
  </si>
  <si>
    <t>Predicted nt/n0</t>
  </si>
  <si>
    <t>close diffcell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</si>
  <si>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/n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measured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</si>
  <si>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/n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predicted</t>
    </r>
  </si>
  <si>
    <t>10000/T</t>
  </si>
  <si>
    <t>ln(K) Measured</t>
  </si>
  <si>
    <t>Temp °C</t>
  </si>
  <si>
    <t>4He measured nccSTP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</si>
  <si>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 4He After Cooling HenCC</t>
    </r>
  </si>
  <si>
    <t>ln(K) Predicted</t>
  </si>
  <si>
    <r>
      <t>n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4He nccSTP Before Heating 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</si>
  <si>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4He nccSTP After Heating, Before Cooling</t>
    </r>
  </si>
  <si>
    <t>Minutes (At Temperature)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</si>
</sst>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0" fillId="0" borderId="0" xfId="0" applyNumberFormat="1"/>
    <xf numFmtId="0" fontId="0" fillId="33" borderId="0" xfId="0" applyFill="1"/>
    <xf numFmtId="22" fontId="0" fillId="33" borderId="0" xfId="0" applyNumberFormat="1" applyFill="1"/>
    <xf numFmtId="1" fontId="0" fillId="33" borderId="0" xfId="0" applyNumberFormat="1" applyFill="1"/>
    <xf numFmtId="1" fontId="18" fillId="33" borderId="0" xfId="0" applyNumberFormat="1" applyFont="1" applyFill="1"/>
    <xf numFmtId="0" fontId="0" fillId="0" borderId="10" xfId="0" applyBorder="1" applyAlignment="1">
      <alignment wrapText="1"/>
    </xf>
    <xf numFmtId="11" fontId="0" fillId="0" borderId="11" xfId="0" applyNumberFormat="1" applyBorder="1"/>
    <xf numFmtId="11" fontId="0" fillId="33" borderId="0" xfId="0" applyNumberFormat="1" applyFill="1"/>
    <xf numFmtId="11" fontId="0" fillId="0" borderId="0" xfId="0" applyNumberFormat="1"/>
    <xf numFmtId="11" fontId="18" fillId="33" borderId="0" xfId="0" applyNumberFormat="1" applyFont="1" applyFill="1"/>
    <xf numFmtId="2" fontId="0" fillId="0" borderId="0" xfId="0" applyNumberFormat="1"/>
    <xf numFmtId="2" fontId="0" fillId="33" borderId="0" xfId="0" applyNumberFormat="1" applyFill="1"/>
    <xf numFmtId="164" fontId="0" fillId="33" borderId="0" xfId="0" applyNumberFormat="1" applyFill="1"/>
    <xf numFmtId="0" fontId="18" fillId="33" borderId="0" xfId="0" applyFont="1" applyFill="1"/>
    <xf numFmtId="22" fontId="18" fillId="33" borderId="0" xfId="0" applyNumberFormat="1" applyFont="1" applyFill="1"/>
    <xf numFmtId="2" fontId="18" fillId="33" borderId="0" xfId="0" applyNumberFormat="1" applyFont="1" applyFill="1"/>
    <xf numFmtId="164" fontId="18" fillId="33" borderId="0" xfId="0" applyNumberFormat="1" applyFont="1" applyFill="1"/>
    <xf numFmtId="22" fontId="0" fillId="0" borderId="0" xfId="0" applyNumberFormat="1"/>
    <xf numFmtId="164" fontId="0" fillId="0" borderId="0" xfId="0" applyNumberFormat="1"/>
    <xf numFmtId="1" fontId="18" fillId="0" borderId="0" xfId="0" applyNumberFormat="1" applyFont="1"/>
    <xf numFmtId="1" fontId="16" fillId="0" borderId="0" xfId="0" applyNumberFormat="1" applyFont="1"/>
    <xf numFmtId="1" fontId="16" fillId="33" borderId="0" xfId="0" applyNumberFormat="1" applyFont="1" applyFill="1"/>
    <xf numFmtId="0" fontId="0" fillId="34" borderId="0" xfId="0" applyFill="1"/>
    <xf numFmtId="2" fontId="0" fillId="34" borderId="0" xfId="0" applyNumberFormat="1" applyFill="1"/>
    <xf numFmtId="2" fontId="18" fillId="34" borderId="0" xfId="0" applyNumberFormat="1" applyFont="1" applyFill="1"/>
    <xf numFmtId="164" fontId="0" fillId="34" borderId="0" xfId="0" applyNumberFormat="1" applyFill="1"/>
    <xf numFmtId="164" fontId="18" fillId="34" borderId="0" xfId="0" applyNumberFormat="1" applyFont="1" applyFill="1"/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164" fontId="0" fillId="0" borderId="13" xfId="0" applyNumberFormat="1" applyBorder="1"/>
    <xf numFmtId="164" fontId="18" fillId="0" borderId="13" xfId="0" applyNumberFormat="1" applyFont="1" applyBorder="1"/>
    <xf numFmtId="164" fontId="0" fillId="0" borderId="0" xfId="0" applyNumberFormat="1" applyAlignment="1">
      <alignment horizontal="right" vertical="center"/>
    </xf>
    <xf numFmtId="2" fontId="18" fillId="0" borderId="0" xfId="0" applyNumberFormat="1" applyFont="1"/>
    <xf numFmtId="164" fontId="18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Permeability</a:t>
            </a:r>
            <a:r>
              <a:rPr lang="en-US" baseline="0"/>
              <a:t> Measurements of Helium in Empty Silica Glass Ampoule Equilibrated with Atm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Permeabilities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'Batch 76'!$AC$6:$AC$26</c:f>
              <c:numCache>
                <c:formatCode>0.00</c:formatCode>
                <c:ptCount val="21"/>
                <c:pt idx="0">
                  <c:v>33.557046979865774</c:v>
                </c:pt>
                <c:pt idx="1">
                  <c:v>33.557046979865774</c:v>
                </c:pt>
                <c:pt idx="2">
                  <c:v>30.959752321981423</c:v>
                </c:pt>
                <c:pt idx="3">
                  <c:v>33.579583613163194</c:v>
                </c:pt>
                <c:pt idx="4">
                  <c:v>26.809651474530831</c:v>
                </c:pt>
                <c:pt idx="5">
                  <c:v>33.59086328518643</c:v>
                </c:pt>
                <c:pt idx="6">
                  <c:v>30.03003003003003</c:v>
                </c:pt>
                <c:pt idx="7">
                  <c:v>29.154518950437318</c:v>
                </c:pt>
                <c:pt idx="8">
                  <c:v>28.328611898016998</c:v>
                </c:pt>
                <c:pt idx="9">
                  <c:v>33.59086328518643</c:v>
                </c:pt>
                <c:pt idx="10">
                  <c:v>33.579583613163194</c:v>
                </c:pt>
                <c:pt idx="11">
                  <c:v>33.579583613163194</c:v>
                </c:pt>
                <c:pt idx="12">
                  <c:v>29.154518950437318</c:v>
                </c:pt>
                <c:pt idx="13">
                  <c:v>30.03003003003003</c:v>
                </c:pt>
                <c:pt idx="14">
                  <c:v>33.579583613163194</c:v>
                </c:pt>
                <c:pt idx="15">
                  <c:v>27.548209366391184</c:v>
                </c:pt>
                <c:pt idx="16">
                  <c:v>25.45824847250509</c:v>
                </c:pt>
                <c:pt idx="17">
                  <c:v>33.579583613163194</c:v>
                </c:pt>
                <c:pt idx="18">
                  <c:v>23.640661938534279</c:v>
                </c:pt>
                <c:pt idx="19">
                  <c:v>33.557046979865774</c:v>
                </c:pt>
                <c:pt idx="20">
                  <c:v>17.452006980802793</c:v>
                </c:pt>
              </c:numCache>
            </c:numRef>
          </c:xVal>
          <c:yVal>
            <c:numRef>
              <c:f>'Batch 76'!$AD$6:$AD$26</c:f>
              <c:numCache>
                <c:formatCode>0.00</c:formatCode>
                <c:ptCount val="21"/>
                <c:pt idx="0">
                  <c:v>23.519086250430728</c:v>
                </c:pt>
                <c:pt idx="1">
                  <c:v>23.490663568196688</c:v>
                </c:pt>
                <c:pt idx="2">
                  <c:v>24.193509205630185</c:v>
                </c:pt>
                <c:pt idx="3">
                  <c:v>23.455558580934838</c:v>
                </c:pt>
                <c:pt idx="4">
                  <c:v>25.17543500532275</c:v>
                </c:pt>
                <c:pt idx="5">
                  <c:v>23.44197257859517</c:v>
                </c:pt>
                <c:pt idx="6">
                  <c:v>24.400919164791812</c:v>
                </c:pt>
                <c:pt idx="7">
                  <c:v>24.601472688602183</c:v>
                </c:pt>
                <c:pt idx="8">
                  <c:v>24.800776248788253</c:v>
                </c:pt>
                <c:pt idx="9">
                  <c:v>23.439971425200586</c:v>
                </c:pt>
                <c:pt idx="10">
                  <c:v>23.438970650929921</c:v>
                </c:pt>
                <c:pt idx="11">
                  <c:v>23.430177041014847</c:v>
                </c:pt>
                <c:pt idx="12">
                  <c:v>24.61210477427365</c:v>
                </c:pt>
                <c:pt idx="13">
                  <c:v>24.390958995428836</c:v>
                </c:pt>
                <c:pt idx="14">
                  <c:v>23.436970123631315</c:v>
                </c:pt>
                <c:pt idx="15">
                  <c:v>24.982623536110264</c:v>
                </c:pt>
                <c:pt idx="16">
                  <c:v>25.467351047574869</c:v>
                </c:pt>
                <c:pt idx="17">
                  <c:v>23.427684697025544</c:v>
                </c:pt>
                <c:pt idx="18">
                  <c:v>25.891086767496549</c:v>
                </c:pt>
                <c:pt idx="19">
                  <c:v>23.428662791012627</c:v>
                </c:pt>
                <c:pt idx="20">
                  <c:v>27.361770249803591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2-4EDB-988B-44F0AFD566A7}"/>
            </c:ext>
          </c:extLst>
        </c:ser>
        <c:ser>
          <c:idx val="1"/>
          <c:order val="1"/>
          <c:tx>
            <c:v>Swets et al., 1961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'Batch 76'!$AC$5:$AC$27</c:f>
              <c:numCache>
                <c:formatCode>0.00</c:formatCode>
                <c:ptCount val="23"/>
                <c:pt idx="1">
                  <c:v>33.557046979865774</c:v>
                </c:pt>
                <c:pt idx="2">
                  <c:v>33.557046979865774</c:v>
                </c:pt>
                <c:pt idx="3">
                  <c:v>30.959752321981423</c:v>
                </c:pt>
                <c:pt idx="4">
                  <c:v>33.579583613163194</c:v>
                </c:pt>
                <c:pt idx="5">
                  <c:v>26.809651474530831</c:v>
                </c:pt>
                <c:pt idx="6">
                  <c:v>33.59086328518643</c:v>
                </c:pt>
                <c:pt idx="7">
                  <c:v>30.03003003003003</c:v>
                </c:pt>
                <c:pt idx="8">
                  <c:v>29.154518950437318</c:v>
                </c:pt>
                <c:pt idx="9">
                  <c:v>28.328611898016998</c:v>
                </c:pt>
                <c:pt idx="10">
                  <c:v>33.59086328518643</c:v>
                </c:pt>
                <c:pt idx="11">
                  <c:v>33.579583613163194</c:v>
                </c:pt>
                <c:pt idx="12">
                  <c:v>33.579583613163194</c:v>
                </c:pt>
                <c:pt idx="13">
                  <c:v>29.154518950437318</c:v>
                </c:pt>
                <c:pt idx="14">
                  <c:v>30.03003003003003</c:v>
                </c:pt>
                <c:pt idx="15">
                  <c:v>33.579583613163194</c:v>
                </c:pt>
                <c:pt idx="16">
                  <c:v>27.548209366391184</c:v>
                </c:pt>
                <c:pt idx="17">
                  <c:v>25.45824847250509</c:v>
                </c:pt>
                <c:pt idx="18">
                  <c:v>33.579583613163194</c:v>
                </c:pt>
                <c:pt idx="19">
                  <c:v>23.640661938534279</c:v>
                </c:pt>
                <c:pt idx="20">
                  <c:v>33.557046979865774</c:v>
                </c:pt>
                <c:pt idx="21">
                  <c:v>17.452006980802793</c:v>
                </c:pt>
                <c:pt idx="22">
                  <c:v>33.59086328518643</c:v>
                </c:pt>
              </c:numCache>
            </c:numRef>
          </c:xVal>
          <c:yVal>
            <c:numRef>
              <c:f>'Batch 76'!$AE$5:$AE$27</c:f>
              <c:numCache>
                <c:formatCode>0.00</c:formatCode>
                <c:ptCount val="23"/>
                <c:pt idx="1">
                  <c:v>23.458332625717173</c:v>
                </c:pt>
                <c:pt idx="2">
                  <c:v>23.458332625717173</c:v>
                </c:pt>
                <c:pt idx="3">
                  <c:v>24.098833069785279</c:v>
                </c:pt>
                <c:pt idx="4">
                  <c:v>23.452775026162197</c:v>
                </c:pt>
                <c:pt idx="5">
                  <c:v>25.122260052800272</c:v>
                </c:pt>
                <c:pt idx="6">
                  <c:v>23.449993426116205</c:v>
                </c:pt>
                <c:pt idx="7">
                  <c:v>24.328105300815064</c:v>
                </c:pt>
                <c:pt idx="8">
                  <c:v>24.544008888636117</c:v>
                </c:pt>
                <c:pt idx="9">
                  <c:v>24.747679978563625</c:v>
                </c:pt>
                <c:pt idx="10">
                  <c:v>23.449993426116205</c:v>
                </c:pt>
                <c:pt idx="11">
                  <c:v>23.452775026162197</c:v>
                </c:pt>
                <c:pt idx="12">
                  <c:v>23.452775026162197</c:v>
                </c:pt>
                <c:pt idx="13">
                  <c:v>24.544008888636117</c:v>
                </c:pt>
                <c:pt idx="14">
                  <c:v>24.328105300815064</c:v>
                </c:pt>
                <c:pt idx="15">
                  <c:v>23.452775026162197</c:v>
                </c:pt>
                <c:pt idx="16">
                  <c:v>24.940129520836724</c:v>
                </c:pt>
                <c:pt idx="17">
                  <c:v>25.455519977809136</c:v>
                </c:pt>
                <c:pt idx="18">
                  <c:v>23.452775026162197</c:v>
                </c:pt>
                <c:pt idx="19">
                  <c:v>25.90374212257295</c:v>
                </c:pt>
                <c:pt idx="20">
                  <c:v>23.458332625717173</c:v>
                </c:pt>
                <c:pt idx="21">
                  <c:v>27.429882499668285</c:v>
                </c:pt>
                <c:pt idx="22">
                  <c:v>23.449993426116205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2-4EDB-988B-44F0AFD56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67216"/>
        <c:axId val="71462896"/>
      </c:scatterChart>
      <c:valAx>
        <c:axId val="71467216"/>
        <c:scaling>
          <c:orientation val="minMax"/>
          <c:max val="3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62896"/>
        <c:crosses val="autoZero"/>
        <c:crossBetween val="midCat"/>
      </c:valAx>
      <c:valAx>
        <c:axId val="714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ln(K)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67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'Batch 76'!$AC$6:$AC$27</c:f>
              <c:numCache>
                <c:formatCode>0.00</c:formatCode>
                <c:ptCount val="22"/>
                <c:pt idx="0">
                  <c:v>33.557046979865774</c:v>
                </c:pt>
                <c:pt idx="1">
                  <c:v>33.557046979865774</c:v>
                </c:pt>
                <c:pt idx="2">
                  <c:v>30.959752321981423</c:v>
                </c:pt>
                <c:pt idx="3">
                  <c:v>33.579583613163194</c:v>
                </c:pt>
                <c:pt idx="4">
                  <c:v>26.809651474530831</c:v>
                </c:pt>
                <c:pt idx="5">
                  <c:v>33.59086328518643</c:v>
                </c:pt>
                <c:pt idx="6">
                  <c:v>30.03003003003003</c:v>
                </c:pt>
                <c:pt idx="7">
                  <c:v>29.154518950437318</c:v>
                </c:pt>
                <c:pt idx="8">
                  <c:v>28.328611898016998</c:v>
                </c:pt>
                <c:pt idx="9">
                  <c:v>33.59086328518643</c:v>
                </c:pt>
                <c:pt idx="10">
                  <c:v>33.579583613163194</c:v>
                </c:pt>
                <c:pt idx="11">
                  <c:v>33.579583613163194</c:v>
                </c:pt>
                <c:pt idx="12">
                  <c:v>29.154518950437318</c:v>
                </c:pt>
                <c:pt idx="13">
                  <c:v>30.03003003003003</c:v>
                </c:pt>
                <c:pt idx="14">
                  <c:v>33.579583613163194</c:v>
                </c:pt>
                <c:pt idx="15">
                  <c:v>27.548209366391184</c:v>
                </c:pt>
                <c:pt idx="16">
                  <c:v>25.45824847250509</c:v>
                </c:pt>
                <c:pt idx="17">
                  <c:v>33.579583613163194</c:v>
                </c:pt>
                <c:pt idx="18">
                  <c:v>23.640661938534279</c:v>
                </c:pt>
                <c:pt idx="19">
                  <c:v>33.557046979865774</c:v>
                </c:pt>
                <c:pt idx="20">
                  <c:v>17.452006980802793</c:v>
                </c:pt>
                <c:pt idx="21">
                  <c:v>33.59086328518643</c:v>
                </c:pt>
              </c:numCache>
            </c:numRef>
          </c:xVal>
          <c:yVal>
            <c:numRef>
              <c:f>'Batch 76'!$AD$6:$AD$27</c:f>
              <c:numCache>
                <c:formatCode>0.00</c:formatCode>
                <c:ptCount val="22"/>
                <c:pt idx="0">
                  <c:v>23.519086250430728</c:v>
                </c:pt>
                <c:pt idx="1">
                  <c:v>23.490663568196688</c:v>
                </c:pt>
                <c:pt idx="2">
                  <c:v>24.193509205630185</c:v>
                </c:pt>
                <c:pt idx="3">
                  <c:v>23.455558580934838</c:v>
                </c:pt>
                <c:pt idx="4">
                  <c:v>25.17543500532275</c:v>
                </c:pt>
                <c:pt idx="5">
                  <c:v>23.44197257859517</c:v>
                </c:pt>
                <c:pt idx="6">
                  <c:v>24.400919164791812</c:v>
                </c:pt>
                <c:pt idx="7">
                  <c:v>24.601472688602183</c:v>
                </c:pt>
                <c:pt idx="8">
                  <c:v>24.800776248788253</c:v>
                </c:pt>
                <c:pt idx="9">
                  <c:v>23.439971425200586</c:v>
                </c:pt>
                <c:pt idx="10">
                  <c:v>23.438970650929921</c:v>
                </c:pt>
                <c:pt idx="11">
                  <c:v>23.430177041014847</c:v>
                </c:pt>
                <c:pt idx="12">
                  <c:v>24.61210477427365</c:v>
                </c:pt>
                <c:pt idx="13">
                  <c:v>24.390958995428836</c:v>
                </c:pt>
                <c:pt idx="14">
                  <c:v>23.436970123631315</c:v>
                </c:pt>
                <c:pt idx="15">
                  <c:v>24.982623536110264</c:v>
                </c:pt>
                <c:pt idx="16">
                  <c:v>25.467351047574869</c:v>
                </c:pt>
                <c:pt idx="17">
                  <c:v>23.427684697025544</c:v>
                </c:pt>
                <c:pt idx="18">
                  <c:v>25.891086767496549</c:v>
                </c:pt>
                <c:pt idx="19">
                  <c:v>23.428662791012627</c:v>
                </c:pt>
                <c:pt idx="20">
                  <c:v>27.361770249803591</c:v>
                </c:pt>
                <c:pt idx="21">
                  <c:v>23.490302201663592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1-4D2E-8DCD-53C4A19AF63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'Batch 76'!$AC$6:$AC$27</c:f>
              <c:numCache>
                <c:formatCode>0.00</c:formatCode>
                <c:ptCount val="22"/>
                <c:pt idx="0">
                  <c:v>33.557046979865774</c:v>
                </c:pt>
                <c:pt idx="1">
                  <c:v>33.557046979865774</c:v>
                </c:pt>
                <c:pt idx="2">
                  <c:v>30.959752321981423</c:v>
                </c:pt>
                <c:pt idx="3">
                  <c:v>33.579583613163194</c:v>
                </c:pt>
                <c:pt idx="4">
                  <c:v>26.809651474530831</c:v>
                </c:pt>
                <c:pt idx="5">
                  <c:v>33.59086328518643</c:v>
                </c:pt>
                <c:pt idx="6">
                  <c:v>30.03003003003003</c:v>
                </c:pt>
                <c:pt idx="7">
                  <c:v>29.154518950437318</c:v>
                </c:pt>
                <c:pt idx="8">
                  <c:v>28.328611898016998</c:v>
                </c:pt>
                <c:pt idx="9">
                  <c:v>33.59086328518643</c:v>
                </c:pt>
                <c:pt idx="10">
                  <c:v>33.579583613163194</c:v>
                </c:pt>
                <c:pt idx="11">
                  <c:v>33.579583613163194</c:v>
                </c:pt>
                <c:pt idx="12">
                  <c:v>29.154518950437318</c:v>
                </c:pt>
                <c:pt idx="13">
                  <c:v>30.03003003003003</c:v>
                </c:pt>
                <c:pt idx="14">
                  <c:v>33.579583613163194</c:v>
                </c:pt>
                <c:pt idx="15">
                  <c:v>27.548209366391184</c:v>
                </c:pt>
                <c:pt idx="16">
                  <c:v>25.45824847250509</c:v>
                </c:pt>
                <c:pt idx="17">
                  <c:v>33.579583613163194</c:v>
                </c:pt>
                <c:pt idx="18">
                  <c:v>23.640661938534279</c:v>
                </c:pt>
                <c:pt idx="19">
                  <c:v>33.557046979865774</c:v>
                </c:pt>
                <c:pt idx="20">
                  <c:v>17.452006980802793</c:v>
                </c:pt>
                <c:pt idx="21">
                  <c:v>33.59086328518643</c:v>
                </c:pt>
              </c:numCache>
            </c:numRef>
          </c:xVal>
          <c:yVal>
            <c:numRef>
              <c:f>'Batch 76'!$AE$6:$AE$27</c:f>
              <c:numCache>
                <c:formatCode>0.00</c:formatCode>
                <c:ptCount val="22"/>
                <c:pt idx="0">
                  <c:v>23.458332625717173</c:v>
                </c:pt>
                <c:pt idx="1">
                  <c:v>23.458332625717173</c:v>
                </c:pt>
                <c:pt idx="2">
                  <c:v>24.098833069785279</c:v>
                </c:pt>
                <c:pt idx="3">
                  <c:v>23.452775026162197</c:v>
                </c:pt>
                <c:pt idx="4">
                  <c:v>25.122260052800272</c:v>
                </c:pt>
                <c:pt idx="5">
                  <c:v>23.449993426116205</c:v>
                </c:pt>
                <c:pt idx="6">
                  <c:v>24.328105300815064</c:v>
                </c:pt>
                <c:pt idx="7">
                  <c:v>24.544008888636117</c:v>
                </c:pt>
                <c:pt idx="8">
                  <c:v>24.747679978563625</c:v>
                </c:pt>
                <c:pt idx="9">
                  <c:v>23.449993426116205</c:v>
                </c:pt>
                <c:pt idx="10">
                  <c:v>23.452775026162197</c:v>
                </c:pt>
                <c:pt idx="11">
                  <c:v>23.452775026162197</c:v>
                </c:pt>
                <c:pt idx="12">
                  <c:v>24.544008888636117</c:v>
                </c:pt>
                <c:pt idx="13">
                  <c:v>24.328105300815064</c:v>
                </c:pt>
                <c:pt idx="14">
                  <c:v>23.452775026162197</c:v>
                </c:pt>
                <c:pt idx="15">
                  <c:v>24.940129520836724</c:v>
                </c:pt>
                <c:pt idx="16">
                  <c:v>25.455519977809136</c:v>
                </c:pt>
                <c:pt idx="17">
                  <c:v>23.452775026162197</c:v>
                </c:pt>
                <c:pt idx="18">
                  <c:v>25.90374212257295</c:v>
                </c:pt>
                <c:pt idx="19">
                  <c:v>23.458332625717173</c:v>
                </c:pt>
                <c:pt idx="20">
                  <c:v>27.429882499668285</c:v>
                </c:pt>
                <c:pt idx="21">
                  <c:v>23.449993426116205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1-4D2E-8DCD-53C4A19AF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305359"/>
        <c:axId val="765305839"/>
      </c:scatterChart>
      <c:valAx>
        <c:axId val="76530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05839"/>
        <c:crosses val="autoZero"/>
        <c:crossBetween val="midCat"/>
      </c:valAx>
      <c:valAx>
        <c:axId val="76530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0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137900</xdr:colOff>
      <xdr:row>4</xdr:row>
      <xdr:rowOff>60854</xdr:rowOff>
    </xdr:from>
    <xdr:to>
      <xdr:col>40</xdr:col>
      <xdr:colOff>280776</xdr:colOff>
      <xdr:row>25</xdr:row>
      <xdr:rowOff>69531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C1115-9708-4439-B722-3EB432180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631031</xdr:colOff>
      <xdr:row>32</xdr:row>
      <xdr:rowOff>1428</xdr:rowOff>
    </xdr:from>
    <xdr:to>
      <xdr:col>30</xdr:col>
      <xdr:colOff>412167</xdr:colOff>
      <xdr:row>46</xdr:row>
      <xdr:rowOff>144092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1506E3-FA20-D741-EFE9-2E5E68117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FA6B-B7FB-45D1-9EE1-F8872F7E0EAD}">
  <dimension ref="A1:AE61"/>
  <sheetViews>
    <sheetView zoomScale="72" workbookViewId="0">
      <selection activeCell="G49" sqref="G49"/>
    </sheetView>
  </sheetViews>
  <sheetFormatPr defaultRowHeight="14.4" x14ac:dyDescent="0.3"/>
  <cols>
    <col min="9" max="9" width="16.33203125" customWidth="1"/>
    <col min="10" max="10" width="12.21875" style="1" bestFit="1" customWidth="1"/>
    <col min="11" max="11" width="13.33203125" style="1" bestFit="1" customWidth="1"/>
    <col min="12" max="12" width="13.33203125" style="1" customWidth="1"/>
    <col min="16" max="18" width="9" bestFit="1" customWidth="1"/>
    <col min="19" max="19" width="3.33203125" style="23" customWidth="1"/>
    <col min="20" max="20" width="9" bestFit="1" customWidth="1"/>
    <col min="21" max="21" width="9" style="11" bestFit="1" customWidth="1"/>
    <col min="22" max="22" width="9.33203125" bestFit="1" customWidth="1"/>
    <col min="23" max="23" width="3.44140625" style="23" customWidth="1"/>
    <col min="24" max="24" width="10.77734375" style="19" customWidth="1"/>
    <col min="25" max="25" width="10.88671875" style="19" customWidth="1"/>
    <col min="26" max="27" width="12.109375" bestFit="1" customWidth="1"/>
    <col min="28" max="28" width="13.5546875" style="9" bestFit="1" customWidth="1"/>
    <col min="29" max="29" width="9" bestFit="1" customWidth="1"/>
    <col min="30" max="30" width="12" bestFit="1" customWidth="1"/>
  </cols>
  <sheetData>
    <row r="1" spans="1:31" ht="58.2" thickBot="1" x14ac:dyDescent="0.35">
      <c r="A1" t="s">
        <v>47</v>
      </c>
      <c r="I1" t="s">
        <v>44</v>
      </c>
      <c r="J1">
        <f>2/(LN(0.096/0.063)*((0.063/2)^2))</f>
        <v>4785.2721490633685</v>
      </c>
      <c r="K1" t="s">
        <v>45</v>
      </c>
      <c r="L1"/>
      <c r="Q1" s="6" t="s">
        <v>46</v>
      </c>
      <c r="R1" s="7">
        <v>1.3621000000000001E-22</v>
      </c>
      <c r="AE1" t="s">
        <v>60</v>
      </c>
    </row>
    <row r="2" spans="1:31" x14ac:dyDescent="0.3">
      <c r="A2" t="s">
        <v>0</v>
      </c>
      <c r="B2" t="s">
        <v>1</v>
      </c>
      <c r="C2" t="s">
        <v>61</v>
      </c>
      <c r="D2" t="s">
        <v>2</v>
      </c>
      <c r="E2" t="s">
        <v>3</v>
      </c>
      <c r="G2" t="s">
        <v>58</v>
      </c>
      <c r="H2" t="s">
        <v>4</v>
      </c>
      <c r="I2" t="s">
        <v>5</v>
      </c>
      <c r="J2" s="1" t="s">
        <v>59</v>
      </c>
      <c r="K2" s="1" t="s">
        <v>41</v>
      </c>
      <c r="L2" s="1" t="s">
        <v>42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T2" s="11" t="s">
        <v>56</v>
      </c>
      <c r="U2" s="11" t="s">
        <v>57</v>
      </c>
      <c r="V2" t="s">
        <v>52</v>
      </c>
      <c r="X2" s="19" t="s">
        <v>62</v>
      </c>
      <c r="Y2" s="19" t="s">
        <v>63</v>
      </c>
      <c r="Z2" t="s">
        <v>43</v>
      </c>
      <c r="AA2" t="s">
        <v>48</v>
      </c>
      <c r="AB2" s="9" t="s">
        <v>49</v>
      </c>
      <c r="AC2" t="s">
        <v>50</v>
      </c>
      <c r="AD2" t="s">
        <v>51</v>
      </c>
      <c r="AE2" t="s">
        <v>55</v>
      </c>
    </row>
    <row r="3" spans="1:31" x14ac:dyDescent="0.3">
      <c r="A3" t="s">
        <v>11</v>
      </c>
      <c r="B3">
        <v>91985</v>
      </c>
      <c r="D3" t="s">
        <v>12</v>
      </c>
      <c r="E3" t="s">
        <v>13</v>
      </c>
      <c r="I3" s="18">
        <v>45229.734722222223</v>
      </c>
      <c r="N3">
        <v>1912.7963549999999</v>
      </c>
      <c r="O3">
        <v>7075.9985829999996</v>
      </c>
      <c r="P3" s="11">
        <v>9168.3040689999998</v>
      </c>
      <c r="Q3" s="19">
        <v>4.0008549999999996</v>
      </c>
      <c r="R3" s="19">
        <v>3.995819</v>
      </c>
      <c r="S3" s="26"/>
      <c r="T3" s="11"/>
      <c r="V3" s="11"/>
      <c r="W3" s="24"/>
    </row>
    <row r="4" spans="1:31" x14ac:dyDescent="0.3">
      <c r="A4" t="s">
        <v>14</v>
      </c>
      <c r="B4">
        <v>91986</v>
      </c>
      <c r="D4" t="s">
        <v>12</v>
      </c>
      <c r="E4" t="s">
        <v>13</v>
      </c>
      <c r="I4" s="18">
        <v>45229.769444444442</v>
      </c>
      <c r="M4">
        <v>49.22</v>
      </c>
      <c r="N4">
        <v>1829.13878</v>
      </c>
      <c r="O4">
        <v>7241.055652</v>
      </c>
      <c r="P4" s="11">
        <v>9314.5864010000005</v>
      </c>
      <c r="Q4" s="19">
        <v>4.0000920000000004</v>
      </c>
      <c r="R4" s="19">
        <v>3.9950199999999998</v>
      </c>
      <c r="S4" s="26"/>
      <c r="T4" s="11"/>
      <c r="V4" s="11"/>
      <c r="W4" s="24"/>
    </row>
    <row r="5" spans="1:31" s="14" customFormat="1" x14ac:dyDescent="0.3">
      <c r="E5" s="14" t="s">
        <v>64</v>
      </c>
      <c r="I5" s="15">
        <v>45229.813888888886</v>
      </c>
      <c r="J5" s="5"/>
      <c r="K5" s="5"/>
      <c r="L5" s="5"/>
      <c r="P5" s="16"/>
      <c r="Q5" s="17"/>
      <c r="R5" s="17"/>
      <c r="S5" s="27"/>
      <c r="T5" s="16"/>
      <c r="U5" s="16"/>
      <c r="V5" s="16"/>
      <c r="W5" s="25"/>
      <c r="X5" s="17"/>
      <c r="Y5" s="17"/>
      <c r="Z5" s="10"/>
      <c r="AB5" s="10"/>
      <c r="AC5" s="16"/>
      <c r="AD5" s="16"/>
      <c r="AE5" s="16"/>
    </row>
    <row r="6" spans="1:31" s="2" customFormat="1" x14ac:dyDescent="0.3">
      <c r="A6" s="2" t="s">
        <v>15</v>
      </c>
      <c r="B6" s="2">
        <v>91988</v>
      </c>
      <c r="C6" s="2">
        <v>25</v>
      </c>
      <c r="D6" s="2" t="s">
        <v>12</v>
      </c>
      <c r="E6" s="2" t="s">
        <v>16</v>
      </c>
      <c r="H6" s="2" t="s">
        <v>17</v>
      </c>
      <c r="I6" s="3">
        <v>45229.87777777778</v>
      </c>
      <c r="J6" s="4"/>
      <c r="K6" s="4">
        <f t="shared" ref="K6:K23" si="0">((I6-I5)*3600*24)-(15*60)</f>
        <v>4620.0000003911555</v>
      </c>
      <c r="L6" s="4"/>
      <c r="M6" s="2">
        <v>92.22</v>
      </c>
      <c r="N6" s="2">
        <v>2936.974307</v>
      </c>
      <c r="O6" s="2">
        <v>7341.3214660000003</v>
      </c>
      <c r="P6" s="12">
        <v>455.06994600000002</v>
      </c>
      <c r="Q6" s="13">
        <v>0.192777</v>
      </c>
      <c r="R6" s="13">
        <v>0.18770500000000001</v>
      </c>
      <c r="S6" s="26"/>
      <c r="T6" s="12">
        <f t="shared" ref="T6:T27" si="1">(T7/EXP(-$Z$31*$R$1*$J$1*(25+273)*(15*60)))+R6</f>
        <v>12.867072851213406</v>
      </c>
      <c r="U6" s="12"/>
      <c r="V6" s="12">
        <f t="shared" ref="V6:V23" si="2">T6-R6</f>
        <v>12.679367851213406</v>
      </c>
      <c r="W6" s="24"/>
      <c r="X6" s="13">
        <f t="shared" ref="X6:X26" si="3">IF(U6&gt;0,U6/T6,V6/T6)</f>
        <v>0.98541198902263938</v>
      </c>
      <c r="Y6" s="13">
        <f>EXP(-EXP(AE6)*IF(J6&gt;0,J6,K6)*(C6+273)*$R$1*$J$1)</f>
        <v>0.98626594544100965</v>
      </c>
      <c r="Z6" s="8">
        <f>-LN(V6/T6)/($R$1*$J$1*(C6+273)*K6)</f>
        <v>16376058382.596432</v>
      </c>
      <c r="AB6" s="8">
        <f t="shared" ref="AB6:AB27" si="4">IF(Z6&gt;0,Z6,AA6)</f>
        <v>16376058382.596432</v>
      </c>
      <c r="AC6" s="12">
        <f t="shared" ref="AC6:AC27" si="5">10000/(C6+273)</f>
        <v>33.557046979865774</v>
      </c>
      <c r="AD6" s="12">
        <f t="shared" ref="AD6:AD27" si="6">LN(AB6)</f>
        <v>23.519086250430728</v>
      </c>
      <c r="AE6" s="12">
        <f t="shared" ref="AE6:AE28" si="7">LN((0.000304*199000000000000000)*EXP(-(5580-680)/(1.987*(C6+273))))</f>
        <v>23.458332625717173</v>
      </c>
    </row>
    <row r="7" spans="1:31" s="2" customFormat="1" x14ac:dyDescent="0.3">
      <c r="A7" s="2" t="s">
        <v>15</v>
      </c>
      <c r="B7" s="2">
        <v>91989</v>
      </c>
      <c r="C7" s="2">
        <v>25</v>
      </c>
      <c r="D7" s="2" t="s">
        <v>12</v>
      </c>
      <c r="E7" s="2" t="s">
        <v>16</v>
      </c>
      <c r="H7" s="2" t="s">
        <v>17</v>
      </c>
      <c r="I7" s="3">
        <v>45229.941666666666</v>
      </c>
      <c r="J7" s="4"/>
      <c r="K7" s="4">
        <f t="shared" si="0"/>
        <v>4619.9999997625127</v>
      </c>
      <c r="L7" s="4"/>
      <c r="M7" s="2">
        <v>92.28</v>
      </c>
      <c r="N7" s="2">
        <v>2317.3714190000001</v>
      </c>
      <c r="O7" s="2">
        <v>7603.0620900000004</v>
      </c>
      <c r="P7" s="12">
        <v>450.84345300000001</v>
      </c>
      <c r="Q7" s="13">
        <v>0.18440899999999999</v>
      </c>
      <c r="R7" s="13">
        <v>0.179337</v>
      </c>
      <c r="S7" s="26"/>
      <c r="T7" s="12">
        <f t="shared" si="1"/>
        <v>12.645279321112415</v>
      </c>
      <c r="U7" s="12"/>
      <c r="V7" s="12">
        <f t="shared" si="2"/>
        <v>12.465942321112415</v>
      </c>
      <c r="W7" s="24"/>
      <c r="X7" s="13">
        <f t="shared" si="3"/>
        <v>0.98581786962186113</v>
      </c>
      <c r="Y7" s="13">
        <f t="shared" ref="Y7:Y26" si="8">EXP(-EXP(AE7)*IF(J7&gt;0,J7,K7)*(C7+273)*$R$1*$J$1)</f>
        <v>0.9862659454428655</v>
      </c>
      <c r="Z7" s="8">
        <f>-LN(V7/T7)/($R$1*$J$1*(C7+273)*K7)</f>
        <v>15917159342.741896</v>
      </c>
      <c r="AB7" s="8">
        <f t="shared" si="4"/>
        <v>15917159342.741896</v>
      </c>
      <c r="AC7" s="12">
        <f t="shared" si="5"/>
        <v>33.557046979865774</v>
      </c>
      <c r="AD7" s="12">
        <f t="shared" si="6"/>
        <v>23.490663568196688</v>
      </c>
      <c r="AE7" s="12">
        <f t="shared" si="7"/>
        <v>23.458332625717173</v>
      </c>
    </row>
    <row r="8" spans="1:31" x14ac:dyDescent="0.3">
      <c r="A8" t="s">
        <v>18</v>
      </c>
      <c r="B8">
        <v>91990</v>
      </c>
      <c r="C8">
        <v>50</v>
      </c>
      <c r="D8" t="s">
        <v>12</v>
      </c>
      <c r="E8" t="s">
        <v>16</v>
      </c>
      <c r="G8">
        <v>45</v>
      </c>
      <c r="H8" t="s">
        <v>19</v>
      </c>
      <c r="I8" s="18">
        <v>45230.004166666666</v>
      </c>
      <c r="J8" s="1">
        <f t="shared" ref="J8:J29" si="9">G8*60</f>
        <v>2700</v>
      </c>
      <c r="K8" s="1">
        <f>((I8-I7)*3600*24)-(15*60)</f>
        <v>4500</v>
      </c>
      <c r="L8" s="1">
        <f>K8-J8</f>
        <v>1800</v>
      </c>
      <c r="M8">
        <v>89.95</v>
      </c>
      <c r="N8">
        <v>1983.5517870000001</v>
      </c>
      <c r="O8">
        <v>7774.5921239999998</v>
      </c>
      <c r="P8" s="11">
        <v>738.30812200000003</v>
      </c>
      <c r="Q8" s="19">
        <v>0.29532000000000003</v>
      </c>
      <c r="R8" s="19">
        <v>0.29024800000000001</v>
      </c>
      <c r="S8" s="26"/>
      <c r="T8" s="11">
        <f t="shared" si="1"/>
        <v>12.432427586384547</v>
      </c>
      <c r="U8" s="11">
        <f>V8/EXP(-$Z$30*$R$1*$J$1*(25+273)*L8)</f>
        <v>12.207323332532555</v>
      </c>
      <c r="V8" s="11">
        <f t="shared" si="2"/>
        <v>12.142179586384547</v>
      </c>
      <c r="W8" s="24"/>
      <c r="X8" s="19">
        <f t="shared" si="3"/>
        <v>0.98189378121948478</v>
      </c>
      <c r="Y8" s="19">
        <f t="shared" si="8"/>
        <v>0.98351580229955271</v>
      </c>
      <c r="AA8" s="9">
        <f>-LN(U8/T8)/($R$1*$J$1*(C8+273)*J8)</f>
        <v>32144564473.242508</v>
      </c>
      <c r="AB8" s="9">
        <f t="shared" si="4"/>
        <v>32144564473.242508</v>
      </c>
      <c r="AC8" s="11">
        <f t="shared" si="5"/>
        <v>30.959752321981423</v>
      </c>
      <c r="AD8" s="11">
        <f t="shared" si="6"/>
        <v>24.193509205630185</v>
      </c>
      <c r="AE8" s="11">
        <f t="shared" si="7"/>
        <v>24.098833069785279</v>
      </c>
    </row>
    <row r="9" spans="1:31" s="2" customFormat="1" x14ac:dyDescent="0.3">
      <c r="A9" s="2" t="s">
        <v>15</v>
      </c>
      <c r="B9" s="2">
        <v>91991</v>
      </c>
      <c r="C9" s="2">
        <v>24.8</v>
      </c>
      <c r="D9" s="2" t="s">
        <v>12</v>
      </c>
      <c r="E9" s="2" t="s">
        <v>16</v>
      </c>
      <c r="H9" s="2" t="s">
        <v>17</v>
      </c>
      <c r="I9" s="3">
        <v>45230.065972222219</v>
      </c>
      <c r="J9" s="4"/>
      <c r="K9" s="4">
        <f t="shared" si="0"/>
        <v>4439.9999998044223</v>
      </c>
      <c r="L9" s="4"/>
      <c r="M9" s="2">
        <v>88.73</v>
      </c>
      <c r="N9" s="2">
        <v>1705.5387149999999</v>
      </c>
      <c r="O9" s="2">
        <v>7892.1914210000004</v>
      </c>
      <c r="P9" s="12">
        <v>417.22494799999998</v>
      </c>
      <c r="Q9" s="13">
        <v>0.16440199999999999</v>
      </c>
      <c r="R9" s="13">
        <v>0.15933</v>
      </c>
      <c r="S9" s="26"/>
      <c r="T9" s="12">
        <f t="shared" si="1"/>
        <v>12.109535289036355</v>
      </c>
      <c r="U9" s="12"/>
      <c r="V9" s="12">
        <f t="shared" si="2"/>
        <v>11.950205289036354</v>
      </c>
      <c r="W9" s="24"/>
      <c r="X9" s="13">
        <f t="shared" si="3"/>
        <v>0.98684259996795631</v>
      </c>
      <c r="Y9" s="13">
        <f t="shared" si="8"/>
        <v>0.98687893238695534</v>
      </c>
      <c r="Z9" s="8">
        <f>-LN(V9/T9)/($R$1*$J$1*(C9+273)*K9)</f>
        <v>15368081735.266064</v>
      </c>
      <c r="AB9" s="8">
        <f t="shared" si="4"/>
        <v>15368081735.266064</v>
      </c>
      <c r="AC9" s="12">
        <f t="shared" si="5"/>
        <v>33.579583613163194</v>
      </c>
      <c r="AD9" s="12">
        <f t="shared" si="6"/>
        <v>23.455558580934838</v>
      </c>
      <c r="AE9" s="12">
        <f t="shared" si="7"/>
        <v>23.452775026162197</v>
      </c>
    </row>
    <row r="10" spans="1:31" x14ac:dyDescent="0.3">
      <c r="A10" t="s">
        <v>20</v>
      </c>
      <c r="B10">
        <v>91992</v>
      </c>
      <c r="C10">
        <v>100</v>
      </c>
      <c r="D10" t="s">
        <v>12</v>
      </c>
      <c r="E10" t="s">
        <v>16</v>
      </c>
      <c r="G10">
        <v>45</v>
      </c>
      <c r="H10" t="s">
        <v>21</v>
      </c>
      <c r="I10" s="18">
        <v>45230.128472222219</v>
      </c>
      <c r="J10" s="1">
        <f t="shared" si="9"/>
        <v>2700</v>
      </c>
      <c r="K10" s="1">
        <f t="shared" si="0"/>
        <v>4500</v>
      </c>
      <c r="L10" s="1">
        <f>K10-J10</f>
        <v>1800</v>
      </c>
      <c r="M10">
        <v>89.9</v>
      </c>
      <c r="N10">
        <v>1588.9937460000001</v>
      </c>
      <c r="O10">
        <v>7938.2519329999996</v>
      </c>
      <c r="P10" s="11">
        <v>1832.767073</v>
      </c>
      <c r="Q10" s="19">
        <v>0.71797699999999998</v>
      </c>
      <c r="R10" s="19">
        <v>0.71290500000000001</v>
      </c>
      <c r="S10" s="26"/>
      <c r="T10" s="11">
        <f t="shared" si="1"/>
        <v>11.918077115338061</v>
      </c>
      <c r="U10" s="11">
        <f>V10/EXP(-$Z$30*$R$1*$J$1*(25+273)*L10)</f>
        <v>11.265288742886945</v>
      </c>
      <c r="V10" s="11">
        <f t="shared" si="2"/>
        <v>11.205172115338062</v>
      </c>
      <c r="W10" s="24"/>
      <c r="X10" s="19">
        <f t="shared" si="3"/>
        <v>0.94522703904885752</v>
      </c>
      <c r="Y10" s="19">
        <f t="shared" si="8"/>
        <v>0.94798839216849307</v>
      </c>
      <c r="AA10" s="9">
        <f>-LN(U10/T10)/($R$1*$J$1*(C10+273)*J10)</f>
        <v>85812884856.894913</v>
      </c>
      <c r="AB10" s="9">
        <f t="shared" si="4"/>
        <v>85812884856.894913</v>
      </c>
      <c r="AC10" s="11">
        <f t="shared" si="5"/>
        <v>26.809651474530831</v>
      </c>
      <c r="AD10" s="11">
        <f t="shared" si="6"/>
        <v>25.17543500532275</v>
      </c>
      <c r="AE10" s="11">
        <f t="shared" si="7"/>
        <v>25.122260052800272</v>
      </c>
    </row>
    <row r="11" spans="1:31" s="2" customFormat="1" x14ac:dyDescent="0.3">
      <c r="A11" s="2" t="s">
        <v>15</v>
      </c>
      <c r="B11" s="2">
        <v>91993</v>
      </c>
      <c r="C11" s="2">
        <v>24.7</v>
      </c>
      <c r="D11" s="2" t="s">
        <v>12</v>
      </c>
      <c r="E11" s="2" t="s">
        <v>16</v>
      </c>
      <c r="H11" s="2" t="s">
        <v>17</v>
      </c>
      <c r="I11" s="3">
        <v>45230.19027777778</v>
      </c>
      <c r="J11" s="4"/>
      <c r="K11" s="4">
        <f t="shared" si="0"/>
        <v>4440.000000433065</v>
      </c>
      <c r="L11" s="4"/>
      <c r="M11" s="2">
        <v>89.02</v>
      </c>
      <c r="N11" s="2">
        <v>1403.765823</v>
      </c>
      <c r="O11" s="2">
        <v>8016.7106199999998</v>
      </c>
      <c r="P11" s="12">
        <v>386.90906100000001</v>
      </c>
      <c r="Q11" s="13">
        <v>0.150087</v>
      </c>
      <c r="R11" s="13">
        <v>0.14501500000000001</v>
      </c>
      <c r="S11" s="26"/>
      <c r="T11" s="12">
        <f t="shared" si="1"/>
        <v>11.175046966243666</v>
      </c>
      <c r="U11" s="12"/>
      <c r="V11" s="12">
        <f t="shared" si="2"/>
        <v>11.030031966243666</v>
      </c>
      <c r="W11" s="24"/>
      <c r="X11" s="13">
        <f t="shared" si="3"/>
        <v>0.98702332075757304</v>
      </c>
      <c r="Y11" s="13">
        <f t="shared" si="8"/>
        <v>0.98691950471294154</v>
      </c>
      <c r="Z11" s="8">
        <f>-LN(V11/T11)/($R$1*$J$1*(C11+273)*K11)</f>
        <v>15160702855.640099</v>
      </c>
      <c r="AB11" s="8">
        <f t="shared" si="4"/>
        <v>15160702855.640099</v>
      </c>
      <c r="AC11" s="12">
        <f t="shared" si="5"/>
        <v>33.59086328518643</v>
      </c>
      <c r="AD11" s="12">
        <f t="shared" si="6"/>
        <v>23.44197257859517</v>
      </c>
      <c r="AE11" s="12">
        <f t="shared" si="7"/>
        <v>23.449993426116205</v>
      </c>
    </row>
    <row r="12" spans="1:31" x14ac:dyDescent="0.3">
      <c r="A12" t="s">
        <v>22</v>
      </c>
      <c r="B12">
        <v>91994</v>
      </c>
      <c r="C12">
        <v>60</v>
      </c>
      <c r="D12" t="s">
        <v>12</v>
      </c>
      <c r="E12" t="s">
        <v>16</v>
      </c>
      <c r="G12">
        <v>45</v>
      </c>
      <c r="H12" t="s">
        <v>23</v>
      </c>
      <c r="I12" s="18">
        <v>45230.25277777778</v>
      </c>
      <c r="J12" s="1">
        <f t="shared" si="9"/>
        <v>2700</v>
      </c>
      <c r="K12" s="1">
        <f t="shared" si="0"/>
        <v>4500</v>
      </c>
      <c r="L12" s="1">
        <f>K12-J12</f>
        <v>1800</v>
      </c>
      <c r="M12">
        <v>89.87</v>
      </c>
      <c r="N12">
        <v>1279.4785959999999</v>
      </c>
      <c r="O12">
        <v>8058.59274</v>
      </c>
      <c r="P12" s="11">
        <v>814.93823099999997</v>
      </c>
      <c r="Q12" s="19">
        <v>0.31448300000000001</v>
      </c>
      <c r="R12" s="19">
        <v>0.30941099999999999</v>
      </c>
      <c r="S12" s="26"/>
      <c r="T12" s="11">
        <f t="shared" si="1"/>
        <v>11.000377682125691</v>
      </c>
      <c r="U12" s="11">
        <f>V12/EXP(-$Z$30*$R$1*$J$1*(25+273)*L12)</f>
        <v>10.748324557181183</v>
      </c>
      <c r="V12" s="11">
        <f t="shared" si="2"/>
        <v>10.690966682125691</v>
      </c>
      <c r="W12" s="24"/>
      <c r="X12" s="19">
        <f t="shared" si="3"/>
        <v>0.97708686626695873</v>
      </c>
      <c r="Y12" s="19">
        <f t="shared" si="8"/>
        <v>0.97867868482856968</v>
      </c>
      <c r="AA12" s="9">
        <f>-LN(U12/T12)/($R$1*$J$1*(C12+273)*J12)</f>
        <v>39553466062.004822</v>
      </c>
      <c r="AB12" s="9">
        <f t="shared" si="4"/>
        <v>39553466062.004822</v>
      </c>
      <c r="AC12" s="11">
        <f t="shared" si="5"/>
        <v>30.03003003003003</v>
      </c>
      <c r="AD12" s="11">
        <f t="shared" si="6"/>
        <v>24.400919164791812</v>
      </c>
      <c r="AE12" s="11">
        <f t="shared" si="7"/>
        <v>24.328105300815064</v>
      </c>
    </row>
    <row r="13" spans="1:31" x14ac:dyDescent="0.3">
      <c r="A13" t="s">
        <v>24</v>
      </c>
      <c r="B13">
        <v>91995</v>
      </c>
      <c r="C13">
        <v>70</v>
      </c>
      <c r="D13" t="s">
        <v>12</v>
      </c>
      <c r="E13" t="s">
        <v>16</v>
      </c>
      <c r="G13">
        <v>45</v>
      </c>
      <c r="H13" t="s">
        <v>25</v>
      </c>
      <c r="I13" s="18">
        <v>45230.31527777778</v>
      </c>
      <c r="J13" s="1">
        <f t="shared" si="9"/>
        <v>2700</v>
      </c>
      <c r="K13" s="1">
        <f t="shared" si="0"/>
        <v>4500</v>
      </c>
      <c r="L13" s="1">
        <f>K13-J13</f>
        <v>1800</v>
      </c>
      <c r="M13">
        <v>90.13</v>
      </c>
      <c r="N13">
        <v>1178.177551</v>
      </c>
      <c r="O13">
        <v>8071.8236429999997</v>
      </c>
      <c r="P13" s="11">
        <v>952.44331599999998</v>
      </c>
      <c r="Q13" s="19">
        <v>0.36694300000000002</v>
      </c>
      <c r="R13" s="19">
        <v>0.361871</v>
      </c>
      <c r="S13" s="26"/>
      <c r="T13" s="11">
        <f t="shared" si="1"/>
        <v>10.662223976351328</v>
      </c>
      <c r="U13" s="11">
        <f>V13/EXP(-$Z$30*$R$1*$J$1*(25+273)*L13)</f>
        <v>10.355615178228058</v>
      </c>
      <c r="V13" s="11">
        <f t="shared" si="2"/>
        <v>10.300352976351327</v>
      </c>
      <c r="W13" s="24"/>
      <c r="X13" s="19">
        <f t="shared" si="3"/>
        <v>0.97124344800828388</v>
      </c>
      <c r="Y13" s="19">
        <f t="shared" si="8"/>
        <v>0.97282730263164097</v>
      </c>
      <c r="AA13" s="9">
        <f>-LN(U13/T13)/($R$1*$J$1*(C13+273)*J13)</f>
        <v>48337461074.907585</v>
      </c>
      <c r="AB13" s="9">
        <f t="shared" si="4"/>
        <v>48337461074.907585</v>
      </c>
      <c r="AC13" s="11">
        <f t="shared" si="5"/>
        <v>29.154518950437318</v>
      </c>
      <c r="AD13" s="11">
        <f t="shared" si="6"/>
        <v>24.601472688602183</v>
      </c>
      <c r="AE13" s="11">
        <f t="shared" si="7"/>
        <v>24.544008888636117</v>
      </c>
    </row>
    <row r="14" spans="1:31" x14ac:dyDescent="0.3">
      <c r="A14" t="s">
        <v>26</v>
      </c>
      <c r="B14">
        <v>91996</v>
      </c>
      <c r="C14">
        <v>80</v>
      </c>
      <c r="D14" t="s">
        <v>12</v>
      </c>
      <c r="E14" t="s">
        <v>16</v>
      </c>
      <c r="G14">
        <v>45</v>
      </c>
      <c r="H14" t="s">
        <v>27</v>
      </c>
      <c r="I14" s="18">
        <v>45230.37777777778</v>
      </c>
      <c r="J14" s="1">
        <f t="shared" si="9"/>
        <v>2700</v>
      </c>
      <c r="K14" s="1">
        <f t="shared" si="0"/>
        <v>4500</v>
      </c>
      <c r="L14" s="1">
        <f>K14-J14</f>
        <v>1800</v>
      </c>
      <c r="M14">
        <v>90.05</v>
      </c>
      <c r="N14">
        <v>1106.8026030000001</v>
      </c>
      <c r="O14">
        <v>8081.898381</v>
      </c>
      <c r="P14" s="11">
        <v>1111.3043849999999</v>
      </c>
      <c r="Q14" s="19">
        <v>0.42761300000000002</v>
      </c>
      <c r="R14" s="19">
        <v>0.422541</v>
      </c>
      <c r="S14" s="26"/>
      <c r="T14" s="11">
        <f t="shared" si="1"/>
        <v>10.272660437053984</v>
      </c>
      <c r="U14" s="11">
        <f>V14/EXP(-$Z$30*$R$1*$J$1*(25+273)*L14)</f>
        <v>9.9029661006673706</v>
      </c>
      <c r="V14" s="11">
        <f t="shared" si="2"/>
        <v>9.8501194370539835</v>
      </c>
      <c r="W14" s="24"/>
      <c r="X14" s="19">
        <f t="shared" si="3"/>
        <v>0.96401182160629895</v>
      </c>
      <c r="Y14" s="19">
        <f t="shared" si="8"/>
        <v>0.96584065305943934</v>
      </c>
      <c r="AA14" s="9">
        <f>-LN(U14/T14)/($R$1*$J$1*(C14+273)*J14)</f>
        <v>58998405129.787697</v>
      </c>
      <c r="AB14" s="9">
        <f t="shared" si="4"/>
        <v>58998405129.787697</v>
      </c>
      <c r="AC14" s="11">
        <f t="shared" si="5"/>
        <v>28.328611898016998</v>
      </c>
      <c r="AD14" s="11">
        <f t="shared" si="6"/>
        <v>24.800776248788253</v>
      </c>
      <c r="AE14" s="11">
        <f t="shared" si="7"/>
        <v>24.747679978563625</v>
      </c>
    </row>
    <row r="15" spans="1:31" s="2" customFormat="1" x14ac:dyDescent="0.3">
      <c r="A15" s="2" t="s">
        <v>15</v>
      </c>
      <c r="B15" s="2">
        <v>91997</v>
      </c>
      <c r="C15" s="2">
        <v>24.7</v>
      </c>
      <c r="D15" s="2" t="s">
        <v>12</v>
      </c>
      <c r="E15" s="2" t="s">
        <v>16</v>
      </c>
      <c r="H15" s="2" t="s">
        <v>17</v>
      </c>
      <c r="I15" s="3">
        <v>45230.439583333333</v>
      </c>
      <c r="J15" s="4"/>
      <c r="K15" s="4">
        <f t="shared" si="0"/>
        <v>4439.9999998044223</v>
      </c>
      <c r="L15" s="4"/>
      <c r="M15" s="2">
        <v>88.88</v>
      </c>
      <c r="N15" s="2">
        <v>1043.6768</v>
      </c>
      <c r="O15" s="2">
        <v>8085.2597910000004</v>
      </c>
      <c r="P15" s="12">
        <v>343.96402799999998</v>
      </c>
      <c r="Q15" s="13">
        <v>0.132297</v>
      </c>
      <c r="R15" s="13">
        <v>0.127225</v>
      </c>
      <c r="S15" s="26"/>
      <c r="T15" s="12">
        <f t="shared" si="1"/>
        <v>9.8236373523894667</v>
      </c>
      <c r="U15" s="12"/>
      <c r="V15" s="12">
        <f t="shared" si="2"/>
        <v>9.6964123523894674</v>
      </c>
      <c r="W15" s="24"/>
      <c r="X15" s="13">
        <f t="shared" si="3"/>
        <v>0.98704909439994204</v>
      </c>
      <c r="Y15" s="13">
        <f t="shared" si="8"/>
        <v>0.9869195047147814</v>
      </c>
      <c r="Z15" s="8">
        <f>-LN(V15/T15)/($R$1*$J$1*(C15+273)*K15)</f>
        <v>15130394299.805452</v>
      </c>
      <c r="AB15" s="8">
        <f t="shared" si="4"/>
        <v>15130394299.805452</v>
      </c>
      <c r="AC15" s="12">
        <f t="shared" si="5"/>
        <v>33.59086328518643</v>
      </c>
      <c r="AD15" s="12">
        <f t="shared" si="6"/>
        <v>23.439971425200586</v>
      </c>
      <c r="AE15" s="12">
        <f t="shared" si="7"/>
        <v>23.449993426116205</v>
      </c>
    </row>
    <row r="16" spans="1:31" s="2" customFormat="1" ht="13.8" customHeight="1" x14ac:dyDescent="0.3">
      <c r="A16" s="2" t="s">
        <v>15</v>
      </c>
      <c r="B16" s="2">
        <v>91998</v>
      </c>
      <c r="C16" s="2">
        <v>24.8</v>
      </c>
      <c r="D16" s="2" t="s">
        <v>12</v>
      </c>
      <c r="E16" s="2" t="s">
        <v>16</v>
      </c>
      <c r="H16" s="2" t="s">
        <v>17</v>
      </c>
      <c r="I16" s="3">
        <v>45230.501388888886</v>
      </c>
      <c r="J16" s="4"/>
      <c r="K16" s="4">
        <f t="shared" si="0"/>
        <v>4439.9999998044223</v>
      </c>
      <c r="L16" s="4"/>
      <c r="M16" s="2">
        <v>88.97</v>
      </c>
      <c r="N16" s="2">
        <v>996.64880200000005</v>
      </c>
      <c r="O16" s="2">
        <v>8086.3437759999997</v>
      </c>
      <c r="P16" s="12">
        <v>338.63187299999998</v>
      </c>
      <c r="Q16" s="13">
        <v>0.13022900000000001</v>
      </c>
      <c r="R16" s="13">
        <v>0.12515699999999999</v>
      </c>
      <c r="S16" s="26"/>
      <c r="T16" s="12">
        <f t="shared" si="1"/>
        <v>9.6703435098237538</v>
      </c>
      <c r="U16" s="12"/>
      <c r="V16" s="12">
        <f t="shared" si="2"/>
        <v>9.5451865098237541</v>
      </c>
      <c r="W16" s="24"/>
      <c r="X16" s="13">
        <f t="shared" si="3"/>
        <v>0.98705764693127429</v>
      </c>
      <c r="Y16" s="13">
        <f t="shared" si="8"/>
        <v>0.98687893238695534</v>
      </c>
      <c r="Z16" s="8">
        <f>-LN(V16/T16)/($R$1*$J$1*(C16+273)*K16)</f>
        <v>15115259764.874922</v>
      </c>
      <c r="AB16" s="8">
        <f t="shared" si="4"/>
        <v>15115259764.874922</v>
      </c>
      <c r="AC16" s="12">
        <f t="shared" si="5"/>
        <v>33.579583613163194</v>
      </c>
      <c r="AD16" s="12">
        <f t="shared" si="6"/>
        <v>23.438970650929921</v>
      </c>
      <c r="AE16" s="12">
        <f t="shared" si="7"/>
        <v>23.452775026162197</v>
      </c>
    </row>
    <row r="17" spans="1:31" s="2" customFormat="1" x14ac:dyDescent="0.3">
      <c r="A17" s="2" t="s">
        <v>15</v>
      </c>
      <c r="B17" s="2">
        <v>91999</v>
      </c>
      <c r="C17" s="2">
        <v>24.8</v>
      </c>
      <c r="D17" s="2" t="s">
        <v>12</v>
      </c>
      <c r="E17" s="2" t="s">
        <v>16</v>
      </c>
      <c r="H17" s="2" t="s">
        <v>17</v>
      </c>
      <c r="I17" s="3">
        <v>45230.563888888886</v>
      </c>
      <c r="J17" s="4"/>
      <c r="K17" s="4">
        <f t="shared" si="0"/>
        <v>4500</v>
      </c>
      <c r="L17" s="4"/>
      <c r="M17" s="2">
        <v>90.48</v>
      </c>
      <c r="N17" s="2">
        <v>945.21581700000002</v>
      </c>
      <c r="O17" s="2">
        <v>8096.3312859999996</v>
      </c>
      <c r="P17" s="12">
        <v>335.44731300000001</v>
      </c>
      <c r="Q17" s="13">
        <v>0.12884599999999999</v>
      </c>
      <c r="R17" s="13">
        <v>0.12377299999999999</v>
      </c>
      <c r="S17" s="26"/>
      <c r="T17" s="12">
        <f t="shared" si="1"/>
        <v>9.5195242385277474</v>
      </c>
      <c r="U17" s="12"/>
      <c r="V17" s="12">
        <f t="shared" si="2"/>
        <v>9.3957512385277475</v>
      </c>
      <c r="W17" s="24"/>
      <c r="X17" s="13">
        <f t="shared" si="3"/>
        <v>0.98699798467878663</v>
      </c>
      <c r="Y17" s="13">
        <f t="shared" si="8"/>
        <v>0.98670280476137506</v>
      </c>
      <c r="Z17" s="8">
        <f>-LN(V17/T17)/($R$1*$J$1*(C17+273)*K17)</f>
        <v>14982924770.657169</v>
      </c>
      <c r="AB17" s="8">
        <f t="shared" si="4"/>
        <v>14982924770.657169</v>
      </c>
      <c r="AC17" s="12">
        <f t="shared" si="5"/>
        <v>33.579583613163194</v>
      </c>
      <c r="AD17" s="12">
        <f t="shared" si="6"/>
        <v>23.430177041014847</v>
      </c>
      <c r="AE17" s="12">
        <f t="shared" si="7"/>
        <v>23.452775026162197</v>
      </c>
    </row>
    <row r="18" spans="1:31" x14ac:dyDescent="0.3">
      <c r="A18" t="s">
        <v>24</v>
      </c>
      <c r="B18">
        <v>92000</v>
      </c>
      <c r="C18">
        <v>70</v>
      </c>
      <c r="D18" t="s">
        <v>12</v>
      </c>
      <c r="E18" t="s">
        <v>16</v>
      </c>
      <c r="G18">
        <v>45</v>
      </c>
      <c r="H18" t="s">
        <v>25</v>
      </c>
      <c r="I18" s="18">
        <v>45230.626388888886</v>
      </c>
      <c r="J18" s="1">
        <f t="shared" si="9"/>
        <v>2700</v>
      </c>
      <c r="K18" s="1">
        <f t="shared" si="0"/>
        <v>4500</v>
      </c>
      <c r="L18" s="1">
        <f>K18-J18</f>
        <v>1800</v>
      </c>
      <c r="M18">
        <v>90.15</v>
      </c>
      <c r="N18">
        <v>923.30423599999995</v>
      </c>
      <c r="O18">
        <v>8102.4477530000004</v>
      </c>
      <c r="P18" s="11">
        <v>849.18505500000003</v>
      </c>
      <c r="Q18" s="19">
        <v>0.32592500000000002</v>
      </c>
      <c r="R18" s="19">
        <v>0.320853</v>
      </c>
      <c r="S18" s="26"/>
      <c r="T18" s="11">
        <f t="shared" si="1"/>
        <v>9.3704907245435791</v>
      </c>
      <c r="U18" s="11">
        <f>V18/EXP(-$Z$30*$R$1*$J$1*(25+273)*L18)</f>
        <v>9.0981897409641039</v>
      </c>
      <c r="V18" s="11">
        <f t="shared" si="2"/>
        <v>9.0496377245435795</v>
      </c>
      <c r="W18" s="24"/>
      <c r="X18" s="19">
        <f t="shared" si="3"/>
        <v>0.97094058448121046</v>
      </c>
      <c r="Y18" s="19">
        <f t="shared" si="8"/>
        <v>0.97282730263164097</v>
      </c>
      <c r="AA18" s="9">
        <f>-LN(U18/T18)/($R$1*$J$1*(C18+273)*J18)</f>
        <v>48854130873.906624</v>
      </c>
      <c r="AB18" s="9">
        <f t="shared" si="4"/>
        <v>48854130873.906624</v>
      </c>
      <c r="AC18" s="11">
        <f t="shared" si="5"/>
        <v>29.154518950437318</v>
      </c>
      <c r="AD18" s="11">
        <f t="shared" si="6"/>
        <v>24.61210477427365</v>
      </c>
      <c r="AE18" s="11">
        <f t="shared" si="7"/>
        <v>24.544008888636117</v>
      </c>
    </row>
    <row r="19" spans="1:31" x14ac:dyDescent="0.3">
      <c r="A19" t="s">
        <v>22</v>
      </c>
      <c r="B19">
        <v>92001</v>
      </c>
      <c r="C19">
        <v>60</v>
      </c>
      <c r="D19" t="s">
        <v>12</v>
      </c>
      <c r="E19" t="s">
        <v>16</v>
      </c>
      <c r="G19">
        <v>45</v>
      </c>
      <c r="H19" t="s">
        <v>23</v>
      </c>
      <c r="I19" s="18">
        <v>45230.689583333333</v>
      </c>
      <c r="J19" s="1">
        <f t="shared" si="9"/>
        <v>2700</v>
      </c>
      <c r="K19" s="1">
        <f t="shared" si="0"/>
        <v>4560.0000001955777</v>
      </c>
      <c r="L19" s="1">
        <f>K19-J19</f>
        <v>1860.0000001955777</v>
      </c>
      <c r="M19">
        <v>90.17</v>
      </c>
      <c r="N19">
        <v>876.93212300000005</v>
      </c>
      <c r="O19">
        <v>8097.3934239999999</v>
      </c>
      <c r="P19" s="11">
        <v>673.03695200000004</v>
      </c>
      <c r="Q19" s="19">
        <v>0.25847900000000001</v>
      </c>
      <c r="R19" s="19">
        <v>0.25340699999999999</v>
      </c>
      <c r="S19" s="26"/>
      <c r="T19" s="11">
        <f t="shared" si="1"/>
        <v>9.0253077380966094</v>
      </c>
      <c r="U19" s="11">
        <f>V19/EXP(-$Z$30*$R$1*$J$1*(25+273)*L19)</f>
        <v>8.8205357459469358</v>
      </c>
      <c r="V19" s="11">
        <f t="shared" si="2"/>
        <v>8.7719007380966101</v>
      </c>
      <c r="W19" s="24"/>
      <c r="X19" s="19">
        <f t="shared" si="3"/>
        <v>0.97731135623383647</v>
      </c>
      <c r="Y19" s="19">
        <f t="shared" si="8"/>
        <v>0.97867868482856968</v>
      </c>
      <c r="AA19" s="9">
        <f>-LN(U19/T19)/($R$1*$J$1*(C19+273)*J19)</f>
        <v>39161462293.817108</v>
      </c>
      <c r="AB19" s="9">
        <f t="shared" si="4"/>
        <v>39161462293.817108</v>
      </c>
      <c r="AC19" s="11">
        <f t="shared" si="5"/>
        <v>30.03003003003003</v>
      </c>
      <c r="AD19" s="11">
        <f t="shared" si="6"/>
        <v>24.390958995428836</v>
      </c>
      <c r="AE19" s="11">
        <f t="shared" si="7"/>
        <v>24.328105300815064</v>
      </c>
    </row>
    <row r="20" spans="1:31" s="2" customFormat="1" x14ac:dyDescent="0.3">
      <c r="A20" s="2" t="s">
        <v>15</v>
      </c>
      <c r="B20" s="2">
        <v>92002</v>
      </c>
      <c r="C20" s="2">
        <v>24.8</v>
      </c>
      <c r="D20" s="2" t="s">
        <v>12</v>
      </c>
      <c r="E20" s="2" t="s">
        <v>16</v>
      </c>
      <c r="H20" s="2" t="s">
        <v>17</v>
      </c>
      <c r="I20" s="3">
        <v>45230.751388888886</v>
      </c>
      <c r="J20" s="4"/>
      <c r="K20" s="4">
        <f t="shared" si="0"/>
        <v>4439.9999998044223</v>
      </c>
      <c r="L20" s="4"/>
      <c r="M20" s="2">
        <v>88.97</v>
      </c>
      <c r="N20" s="2">
        <v>836.92676700000004</v>
      </c>
      <c r="O20" s="2">
        <v>8090.9239070000003</v>
      </c>
      <c r="P20" s="12">
        <v>307.19320499999998</v>
      </c>
      <c r="Q20" s="13">
        <v>0.118071</v>
      </c>
      <c r="R20" s="13">
        <v>0.112999</v>
      </c>
      <c r="S20" s="26"/>
      <c r="T20" s="12">
        <f t="shared" si="1"/>
        <v>8.7483174486248956</v>
      </c>
      <c r="U20" s="12"/>
      <c r="V20" s="12">
        <f t="shared" si="2"/>
        <v>8.6353184486248953</v>
      </c>
      <c r="W20" s="24"/>
      <c r="X20" s="13">
        <f t="shared" si="3"/>
        <v>0.9870833448073193</v>
      </c>
      <c r="Y20" s="13">
        <f t="shared" si="8"/>
        <v>0.98687893238695534</v>
      </c>
      <c r="Z20" s="8">
        <f>-LN(V20/T20)/($R$1*$J$1*(C20+273)*K20)</f>
        <v>15085051501.39237</v>
      </c>
      <c r="AB20" s="8">
        <f t="shared" si="4"/>
        <v>15085051501.39237</v>
      </c>
      <c r="AC20" s="12">
        <f t="shared" si="5"/>
        <v>33.579583613163194</v>
      </c>
      <c r="AD20" s="12">
        <f t="shared" si="6"/>
        <v>23.436970123631315</v>
      </c>
      <c r="AE20" s="12">
        <f t="shared" si="7"/>
        <v>23.452775026162197</v>
      </c>
    </row>
    <row r="21" spans="1:31" x14ac:dyDescent="0.3">
      <c r="A21" t="s">
        <v>28</v>
      </c>
      <c r="B21">
        <v>92003</v>
      </c>
      <c r="C21">
        <v>90</v>
      </c>
      <c r="D21" t="s">
        <v>12</v>
      </c>
      <c r="E21" t="s">
        <v>16</v>
      </c>
      <c r="G21">
        <v>45</v>
      </c>
      <c r="H21" t="s">
        <v>29</v>
      </c>
      <c r="I21" s="18">
        <v>45230.813194444447</v>
      </c>
      <c r="J21" s="1">
        <f t="shared" si="9"/>
        <v>2700</v>
      </c>
      <c r="K21" s="1">
        <f t="shared" si="0"/>
        <v>4440.000000433065</v>
      </c>
      <c r="L21" s="1">
        <f>K21-J21</f>
        <v>1740.000000433065</v>
      </c>
      <c r="M21">
        <v>89.6</v>
      </c>
      <c r="N21">
        <v>820.41580099999999</v>
      </c>
      <c r="O21">
        <v>8087.3639210000001</v>
      </c>
      <c r="P21" s="11">
        <v>1113.5650579999999</v>
      </c>
      <c r="Q21" s="19">
        <v>0.42819299999999999</v>
      </c>
      <c r="R21" s="19">
        <v>0.42312100000000002</v>
      </c>
      <c r="S21" s="26"/>
      <c r="T21" s="11">
        <f t="shared" si="1"/>
        <v>8.612102361173072</v>
      </c>
      <c r="U21" s="11">
        <f>V21/EXP(-$Z$30*$R$1*$J$1*(25+273)*L21)</f>
        <v>8.231447613851568</v>
      </c>
      <c r="V21" s="11">
        <f t="shared" si="2"/>
        <v>8.188981361173072</v>
      </c>
      <c r="W21" s="24"/>
      <c r="X21" s="19">
        <f t="shared" si="3"/>
        <v>0.95580002055738988</v>
      </c>
      <c r="Y21" s="19">
        <f t="shared" si="8"/>
        <v>0.95759934740008701</v>
      </c>
      <c r="AA21" s="9">
        <f>-LN(U21/T21)/($R$1*$J$1*(C21+273)*J21)</f>
        <v>70764516745.911835</v>
      </c>
      <c r="AB21" s="9">
        <f t="shared" si="4"/>
        <v>70764516745.911835</v>
      </c>
      <c r="AC21" s="11">
        <f t="shared" si="5"/>
        <v>27.548209366391184</v>
      </c>
      <c r="AD21" s="11">
        <f t="shared" si="6"/>
        <v>24.982623536110264</v>
      </c>
      <c r="AE21" s="11">
        <f t="shared" si="7"/>
        <v>24.940129520836724</v>
      </c>
    </row>
    <row r="22" spans="1:31" x14ac:dyDescent="0.3">
      <c r="A22" t="s">
        <v>30</v>
      </c>
      <c r="B22">
        <v>92004</v>
      </c>
      <c r="C22">
        <v>119.8</v>
      </c>
      <c r="D22" t="s">
        <v>12</v>
      </c>
      <c r="E22" t="s">
        <v>16</v>
      </c>
      <c r="G22">
        <v>45</v>
      </c>
      <c r="H22" t="s">
        <v>31</v>
      </c>
      <c r="I22" s="18">
        <v>45230.875</v>
      </c>
      <c r="J22" s="1">
        <f t="shared" si="9"/>
        <v>2700</v>
      </c>
      <c r="K22" s="1">
        <f t="shared" si="0"/>
        <v>4439.9999998044223</v>
      </c>
      <c r="L22" s="1">
        <f>K22-J22</f>
        <v>1739.9999998044223</v>
      </c>
      <c r="M22">
        <v>89.18</v>
      </c>
      <c r="N22">
        <v>805.79870000000005</v>
      </c>
      <c r="O22">
        <v>8076.977981</v>
      </c>
      <c r="P22" s="11">
        <v>1733.917256</v>
      </c>
      <c r="Q22" s="19">
        <v>0.66759100000000005</v>
      </c>
      <c r="R22" s="19">
        <v>0.66251899999999997</v>
      </c>
      <c r="S22" s="26"/>
      <c r="T22" s="11">
        <f t="shared" si="1"/>
        <v>8.166965252728037</v>
      </c>
      <c r="U22" s="11">
        <f>V22/EXP(-$Z$30*$R$1*$J$1*(25+273)*L22)</f>
        <v>7.5433626571756172</v>
      </c>
      <c r="V22" s="11">
        <f t="shared" si="2"/>
        <v>7.5044462527280373</v>
      </c>
      <c r="W22" s="24"/>
      <c r="X22" s="19">
        <f t="shared" si="3"/>
        <v>0.9236432902240993</v>
      </c>
      <c r="Y22" s="19">
        <f t="shared" si="8"/>
        <v>0.92450655798989112</v>
      </c>
      <c r="AA22" s="9">
        <f>-LN(U22/T22)/($R$1*$J$1*(C22+273)*J22)</f>
        <v>114902645691.86322</v>
      </c>
      <c r="AB22" s="9">
        <f t="shared" si="4"/>
        <v>114902645691.86322</v>
      </c>
      <c r="AC22" s="11">
        <f t="shared" si="5"/>
        <v>25.45824847250509</v>
      </c>
      <c r="AD22" s="11">
        <f t="shared" si="6"/>
        <v>25.467351047574869</v>
      </c>
      <c r="AE22" s="11">
        <f t="shared" si="7"/>
        <v>25.455519977809136</v>
      </c>
    </row>
    <row r="23" spans="1:31" s="2" customFormat="1" x14ac:dyDescent="0.3">
      <c r="A23" s="2" t="s">
        <v>32</v>
      </c>
      <c r="B23" s="2">
        <v>92005</v>
      </c>
      <c r="C23" s="2">
        <v>24.8</v>
      </c>
      <c r="D23" s="2" t="s">
        <v>12</v>
      </c>
      <c r="E23" s="2" t="s">
        <v>16</v>
      </c>
      <c r="H23" s="2" t="s">
        <v>17</v>
      </c>
      <c r="I23" s="3">
        <v>45230.936805555553</v>
      </c>
      <c r="J23" s="4"/>
      <c r="K23" s="4">
        <f t="shared" si="0"/>
        <v>4439.9999998044223</v>
      </c>
      <c r="L23" s="4"/>
      <c r="M23" s="2">
        <v>89.08</v>
      </c>
      <c r="N23" s="2">
        <v>777.706278</v>
      </c>
      <c r="O23" s="2">
        <v>8094.0875859999996</v>
      </c>
      <c r="P23" s="12">
        <v>262.504524</v>
      </c>
      <c r="Q23" s="13">
        <v>0.100856</v>
      </c>
      <c r="R23" s="13">
        <v>9.5783999999999994E-2</v>
      </c>
      <c r="S23" s="26"/>
      <c r="T23" s="12">
        <f t="shared" si="1"/>
        <v>7.4842705196016475</v>
      </c>
      <c r="U23" s="12"/>
      <c r="V23" s="12">
        <f t="shared" si="2"/>
        <v>7.3884865196016474</v>
      </c>
      <c r="W23" s="24"/>
      <c r="X23" s="13">
        <f t="shared" si="3"/>
        <v>0.98720195912893083</v>
      </c>
      <c r="Y23" s="13">
        <f>EXP(-EXP(AE23)*IF(J23&gt;0,J23,K23)*(C23+273)*$R$1*$J$1)</f>
        <v>0.98687893238695534</v>
      </c>
      <c r="Z23" s="8">
        <f>-LN(V23/T23)/($R$1*$J$1*(C23+273)*K23)</f>
        <v>14945628664.831694</v>
      </c>
      <c r="AB23" s="8">
        <f t="shared" si="4"/>
        <v>14945628664.831694</v>
      </c>
      <c r="AC23" s="12">
        <f t="shared" si="5"/>
        <v>33.579583613163194</v>
      </c>
      <c r="AD23" s="12">
        <f t="shared" si="6"/>
        <v>23.427684697025544</v>
      </c>
      <c r="AE23" s="12">
        <f t="shared" si="7"/>
        <v>23.452775026162197</v>
      </c>
    </row>
    <row r="24" spans="1:31" x14ac:dyDescent="0.3">
      <c r="A24" t="s">
        <v>33</v>
      </c>
      <c r="B24">
        <v>92006</v>
      </c>
      <c r="C24">
        <v>150</v>
      </c>
      <c r="D24" t="s">
        <v>12</v>
      </c>
      <c r="E24" t="s">
        <v>16</v>
      </c>
      <c r="G24">
        <v>45</v>
      </c>
      <c r="H24" t="s">
        <v>34</v>
      </c>
      <c r="I24" s="18">
        <v>45230.999305555553</v>
      </c>
      <c r="J24" s="1">
        <f>G24*60</f>
        <v>2700</v>
      </c>
      <c r="K24" s="1">
        <f>((I24-I23)*3600*24)-(15*60)</f>
        <v>4500</v>
      </c>
      <c r="L24" s="1">
        <f>K24-J24</f>
        <v>1800</v>
      </c>
      <c r="M24">
        <v>90.08</v>
      </c>
      <c r="N24">
        <v>791.97213299999999</v>
      </c>
      <c r="O24">
        <v>8066.1397459999998</v>
      </c>
      <c r="P24" s="11">
        <v>2443.823613</v>
      </c>
      <c r="Q24" s="19">
        <v>0.94218000000000002</v>
      </c>
      <c r="R24" s="19">
        <v>0.93710800000000005</v>
      </c>
      <c r="S24" s="26"/>
      <c r="T24" s="11">
        <f t="shared" si="1"/>
        <v>7.3686225446716902</v>
      </c>
      <c r="U24" s="11">
        <f>V24/EXP(-$Z$30*$R$1*$J$1*(25+273)*L24)</f>
        <v>6.4660201248160591</v>
      </c>
      <c r="V24" s="11">
        <f t="shared" ref="V24:V29" si="10">T24-R24</f>
        <v>6.4315145446716899</v>
      </c>
      <c r="W24" s="24"/>
      <c r="X24" s="19">
        <f t="shared" si="3"/>
        <v>0.87750730691066403</v>
      </c>
      <c r="Y24" s="19">
        <f>EXP(-EXP(AE24)*IF(J24&gt;0,J24,K24)*(C24+273)*$R$1*$J$1)</f>
        <v>0.87604818826451947</v>
      </c>
      <c r="AA24" s="9">
        <f>-LN(U24/T24)/($R$1*$J$1*(C24+273)*J24)</f>
        <v>175531924184.77948</v>
      </c>
      <c r="AB24" s="9">
        <f t="shared" si="4"/>
        <v>175531924184.77948</v>
      </c>
      <c r="AC24" s="11">
        <f t="shared" si="5"/>
        <v>23.640661938534279</v>
      </c>
      <c r="AD24" s="11">
        <f t="shared" si="6"/>
        <v>25.891086767496549</v>
      </c>
      <c r="AE24" s="11">
        <f t="shared" si="7"/>
        <v>25.90374212257295</v>
      </c>
    </row>
    <row r="25" spans="1:31" s="2" customFormat="1" x14ac:dyDescent="0.3">
      <c r="A25" s="2" t="s">
        <v>32</v>
      </c>
      <c r="B25" s="2">
        <v>92007</v>
      </c>
      <c r="C25" s="2">
        <v>25</v>
      </c>
      <c r="D25" s="2" t="s">
        <v>12</v>
      </c>
      <c r="E25" s="2" t="s">
        <v>35</v>
      </c>
      <c r="H25" s="2" t="s">
        <v>17</v>
      </c>
      <c r="I25" s="3">
        <v>45231.061111111114</v>
      </c>
      <c r="J25" s="4"/>
      <c r="K25" s="22">
        <v>34860</v>
      </c>
      <c r="L25" s="4"/>
      <c r="M25" s="2">
        <v>89</v>
      </c>
      <c r="N25" s="2">
        <v>596.13596399999994</v>
      </c>
      <c r="O25" s="2">
        <v>7850.7023250000002</v>
      </c>
      <c r="P25" s="12">
        <v>1572.8341009999999</v>
      </c>
      <c r="Q25" s="13">
        <v>0.62299099999999996</v>
      </c>
      <c r="R25" s="13">
        <v>0.617919</v>
      </c>
      <c r="S25" s="26"/>
      <c r="T25" s="12">
        <f t="shared" si="1"/>
        <v>6.41422339264237</v>
      </c>
      <c r="U25" s="12"/>
      <c r="V25" s="12">
        <f t="shared" si="10"/>
        <v>5.7963043926423703</v>
      </c>
      <c r="W25" s="24"/>
      <c r="X25" s="13">
        <f t="shared" si="3"/>
        <v>0.90366425330480349</v>
      </c>
      <c r="Y25" s="13">
        <f>EXP(-EXP(AE25)*IF(J25&gt;0,J25,K25)*(C25+273)*$R$1*$J$1)</f>
        <v>0.90091181944628707</v>
      </c>
      <c r="Z25" s="8">
        <f>-LN(V25/T25)/($R$1*$J$1*(C25+273)*K25)</f>
        <v>14960254045.694485</v>
      </c>
      <c r="AA25" s="8"/>
      <c r="AB25" s="8">
        <f>IF(Z25&gt;0,Z25,AA25)</f>
        <v>14960254045.694485</v>
      </c>
      <c r="AC25" s="12">
        <f t="shared" si="5"/>
        <v>33.557046979865774</v>
      </c>
      <c r="AD25" s="12">
        <f t="shared" si="6"/>
        <v>23.428662791012627</v>
      </c>
      <c r="AE25" s="12">
        <f t="shared" si="7"/>
        <v>23.458332625717173</v>
      </c>
    </row>
    <row r="26" spans="1:31" x14ac:dyDescent="0.3">
      <c r="A26" t="s">
        <v>36</v>
      </c>
      <c r="B26">
        <v>92008</v>
      </c>
      <c r="C26">
        <v>300</v>
      </c>
      <c r="D26" t="s">
        <v>12</v>
      </c>
      <c r="E26" t="s">
        <v>16</v>
      </c>
      <c r="G26">
        <v>90</v>
      </c>
      <c r="H26" t="s">
        <v>37</v>
      </c>
      <c r="I26" s="18">
        <v>45231.506944444445</v>
      </c>
      <c r="J26" s="1">
        <f>G26*60</f>
        <v>5400</v>
      </c>
      <c r="K26" s="20">
        <f>J26+L26</f>
        <v>7200</v>
      </c>
      <c r="L26" s="20">
        <v>1800</v>
      </c>
      <c r="M26">
        <v>641.95000000000005</v>
      </c>
      <c r="N26">
        <v>778.20311700000002</v>
      </c>
      <c r="O26">
        <v>7887.5869030000003</v>
      </c>
      <c r="P26" s="11">
        <v>11550.9409</v>
      </c>
      <c r="Q26" s="19">
        <v>4.5540430000000001</v>
      </c>
      <c r="R26" s="19">
        <v>4.5489709999999999</v>
      </c>
      <c r="S26" s="26"/>
      <c r="T26" s="11">
        <f t="shared" si="1"/>
        <v>5.7807210055932918</v>
      </c>
      <c r="U26" s="11">
        <f>V26/EXP(-$Z$30*$R$1*$J$1*(25+273)*L26)</f>
        <v>1.2383584410155577</v>
      </c>
      <c r="V26" s="11">
        <f t="shared" si="10"/>
        <v>1.231750005593292</v>
      </c>
      <c r="W26" s="24"/>
      <c r="X26" s="19">
        <f t="shared" si="3"/>
        <v>0.21422214284642879</v>
      </c>
      <c r="Y26" s="19">
        <f t="shared" si="8"/>
        <v>0.19217638663209369</v>
      </c>
      <c r="Z26" s="9"/>
      <c r="AA26" s="9">
        <f>-LN(U26/T26)/($R$1*$J$1*(C26+273)*J26)</f>
        <v>763951582033.95483</v>
      </c>
      <c r="AB26" s="9">
        <f>IF(Z26&gt;0,Z26,AA26)</f>
        <v>763951582033.95483</v>
      </c>
      <c r="AC26" s="11">
        <f t="shared" si="5"/>
        <v>17.452006980802793</v>
      </c>
      <c r="AD26" s="11">
        <f t="shared" si="6"/>
        <v>27.361770249803591</v>
      </c>
      <c r="AE26" s="11">
        <f t="shared" si="7"/>
        <v>27.429882499668285</v>
      </c>
    </row>
    <row r="27" spans="1:31" s="2" customFormat="1" x14ac:dyDescent="0.3">
      <c r="A27" s="2" t="s">
        <v>38</v>
      </c>
      <c r="B27" s="2">
        <v>92009</v>
      </c>
      <c r="C27" s="2">
        <v>24.7</v>
      </c>
      <c r="D27" s="2" t="s">
        <v>12</v>
      </c>
      <c r="E27" s="2" t="s">
        <v>35</v>
      </c>
      <c r="H27" s="2" t="s">
        <v>17</v>
      </c>
      <c r="I27" s="3">
        <v>45231.568749999999</v>
      </c>
      <c r="J27" s="4"/>
      <c r="K27" s="1">
        <f t="shared" ref="K27:K29" si="11">((I27-I26)*3600*24)-(15*60)</f>
        <v>4439.9999998044223</v>
      </c>
      <c r="L27" s="4"/>
      <c r="M27" s="2">
        <v>88.97</v>
      </c>
      <c r="N27" s="2">
        <v>741.62976500000002</v>
      </c>
      <c r="O27" s="2">
        <v>7987.4504020000004</v>
      </c>
      <c r="P27" s="12">
        <v>55.984262000000001</v>
      </c>
      <c r="Q27" s="13">
        <v>2.1797E-2</v>
      </c>
      <c r="R27" s="13">
        <v>1.6725E-2</v>
      </c>
      <c r="S27" s="26"/>
      <c r="T27" s="12">
        <f t="shared" si="1"/>
        <v>1.228438440881606</v>
      </c>
      <c r="U27" s="12"/>
      <c r="V27" s="12">
        <f t="shared" si="10"/>
        <v>1.2117134408816059</v>
      </c>
      <c r="W27" s="24"/>
      <c r="X27" s="13">
        <f>IF(U27&gt;0,U27/T27,V27/T27)</f>
        <v>0.98638515415717765</v>
      </c>
      <c r="Y27" s="13">
        <f>EXP(-EXP(AE27)*IF(J27&gt;0,J27,K27)*(C27+273)*$R$1*$J$1)</f>
        <v>0.9869195047147814</v>
      </c>
      <c r="Z27" s="8">
        <f>-LN(V27/T27)/($R$1*$J$1*(C27+273)*K27)</f>
        <v>15911408453.205566</v>
      </c>
      <c r="AB27" s="8">
        <f t="shared" si="4"/>
        <v>15911408453.205566</v>
      </c>
      <c r="AC27" s="12">
        <f t="shared" si="5"/>
        <v>33.59086328518643</v>
      </c>
      <c r="AD27" s="12">
        <f t="shared" si="6"/>
        <v>23.490302201663592</v>
      </c>
      <c r="AE27" s="12">
        <f t="shared" si="7"/>
        <v>23.449993426116205</v>
      </c>
    </row>
    <row r="28" spans="1:31" x14ac:dyDescent="0.3">
      <c r="A28" t="s">
        <v>39</v>
      </c>
      <c r="B28">
        <v>92010</v>
      </c>
      <c r="C28">
        <v>400</v>
      </c>
      <c r="D28" t="s">
        <v>12</v>
      </c>
      <c r="E28" t="s">
        <v>35</v>
      </c>
      <c r="G28">
        <v>90</v>
      </c>
      <c r="H28" t="s">
        <v>40</v>
      </c>
      <c r="I28" s="18">
        <v>45231.663194444445</v>
      </c>
      <c r="J28" s="1">
        <f t="shared" si="9"/>
        <v>5400</v>
      </c>
      <c r="K28" s="1">
        <f t="shared" si="11"/>
        <v>7260.0000001955777</v>
      </c>
      <c r="L28" s="1">
        <f>K28-J28</f>
        <v>1860.0000001955777</v>
      </c>
      <c r="M28">
        <v>135.47</v>
      </c>
      <c r="N28">
        <v>969.01521300000002</v>
      </c>
      <c r="O28">
        <v>7978.3273840000002</v>
      </c>
      <c r="P28" s="11">
        <v>3034.5195869999998</v>
      </c>
      <c r="Q28" s="19">
        <v>1.1828000000000001</v>
      </c>
      <c r="R28" s="19">
        <v>1.1777280000000001</v>
      </c>
      <c r="S28" s="26"/>
      <c r="T28" s="12">
        <f>R28/(1-EXP(-R1*EXP(AE28)*J28*J1*(273+400)))</f>
        <v>1.2084557445525799</v>
      </c>
      <c r="V28" s="37">
        <f t="shared" si="10"/>
        <v>3.0727744552579761E-2</v>
      </c>
      <c r="W28" s="24"/>
      <c r="X28" s="13"/>
      <c r="Y28" s="13">
        <f>EXP(-EXP(AE28)*IF(J28&gt;0,J28,K28)*(C28+273)*$R$1*$J$1)</f>
        <v>2.5427281628717279E-2</v>
      </c>
      <c r="AA28" s="9"/>
      <c r="AC28" s="11"/>
      <c r="AD28" s="11"/>
      <c r="AE28" s="12">
        <f t="shared" si="7"/>
        <v>28.069364797351618</v>
      </c>
    </row>
    <row r="29" spans="1:31" x14ac:dyDescent="0.3">
      <c r="A29" t="s">
        <v>38</v>
      </c>
      <c r="B29">
        <v>92011</v>
      </c>
      <c r="C29">
        <v>24.7</v>
      </c>
      <c r="D29" t="s">
        <v>12</v>
      </c>
      <c r="E29" t="s">
        <v>35</v>
      </c>
      <c r="G29">
        <v>45</v>
      </c>
      <c r="H29" t="s">
        <v>17</v>
      </c>
      <c r="I29" s="18">
        <v>45231.724999999999</v>
      </c>
      <c r="J29" s="1">
        <f t="shared" si="9"/>
        <v>2700</v>
      </c>
      <c r="K29" s="1">
        <f t="shared" si="11"/>
        <v>4439.9999998044223</v>
      </c>
      <c r="N29">
        <v>870.97723299999996</v>
      </c>
      <c r="O29">
        <v>8004.5702430000001</v>
      </c>
      <c r="P29" s="11">
        <v>16.068847000000002</v>
      </c>
      <c r="Q29" s="19">
        <v>6.2420000000000002E-3</v>
      </c>
      <c r="R29" s="19">
        <v>1.17E-3</v>
      </c>
      <c r="S29" s="26"/>
      <c r="T29" s="37">
        <f>V28*(EXP(-(273+25)*(15*60)*Z30*R1*J1))</f>
        <v>3.06456463724618E-2</v>
      </c>
      <c r="V29" s="37">
        <f t="shared" si="10"/>
        <v>2.9475646372461799E-2</v>
      </c>
      <c r="W29" s="24"/>
      <c r="Z29" s="8">
        <f>-LN(V29/T29)/($R$1*$J$1*(C29+273)*K29)</f>
        <v>45181946941.368004</v>
      </c>
      <c r="AC29" s="11"/>
      <c r="AD29" s="11"/>
      <c r="AE29" s="11"/>
    </row>
    <row r="30" spans="1:31" x14ac:dyDescent="0.3">
      <c r="U30" t="s">
        <v>54</v>
      </c>
      <c r="Z30" s="9">
        <f>AVERAGE(Z6:Z25)</f>
        <v>15304151536.350058</v>
      </c>
    </row>
    <row r="31" spans="1:31" x14ac:dyDescent="0.3">
      <c r="U31" t="s">
        <v>53</v>
      </c>
      <c r="Z31" s="9">
        <v>15400000000</v>
      </c>
    </row>
    <row r="32" spans="1:31" s="1" customFormat="1" x14ac:dyDescent="0.3">
      <c r="A32"/>
      <c r="B32"/>
      <c r="C32"/>
      <c r="D32"/>
      <c r="E32"/>
      <c r="F32"/>
      <c r="G32"/>
      <c r="H32"/>
      <c r="K32"/>
      <c r="M32"/>
      <c r="N32"/>
      <c r="O32"/>
      <c r="P32"/>
      <c r="Q32"/>
      <c r="R32"/>
      <c r="S32" s="23"/>
      <c r="T32"/>
      <c r="U32" s="11"/>
      <c r="V32"/>
      <c r="W32" s="23"/>
      <c r="X32" s="19"/>
      <c r="Y32" s="19"/>
      <c r="Z32"/>
      <c r="AA32"/>
      <c r="AB32" s="9"/>
      <c r="AC32"/>
      <c r="AD32"/>
      <c r="AE32"/>
    </row>
    <row r="33" spans="1:31" s="1" customFormat="1" x14ac:dyDescent="0.3">
      <c r="A33"/>
      <c r="B33"/>
      <c r="C33"/>
      <c r="D33"/>
      <c r="E33"/>
      <c r="F33"/>
      <c r="G33"/>
      <c r="H33"/>
      <c r="M33"/>
      <c r="N33"/>
      <c r="O33"/>
      <c r="P33"/>
      <c r="Q33"/>
      <c r="R33"/>
      <c r="S33" s="23"/>
      <c r="T33"/>
      <c r="U33" s="11"/>
      <c r="V33"/>
      <c r="W33" s="23"/>
      <c r="X33" s="19"/>
      <c r="Y33" s="19"/>
      <c r="Z33"/>
      <c r="AA33"/>
      <c r="AB33" s="9"/>
      <c r="AC33"/>
      <c r="AD33"/>
      <c r="AE33"/>
    </row>
    <row r="34" spans="1:31" s="1" customFormat="1" x14ac:dyDescent="0.3">
      <c r="A34"/>
      <c r="B34"/>
      <c r="C34"/>
      <c r="D34"/>
      <c r="E34"/>
      <c r="F34"/>
      <c r="G34"/>
      <c r="H34"/>
      <c r="K34" s="21"/>
      <c r="M34"/>
      <c r="N34"/>
      <c r="O34"/>
      <c r="P34"/>
      <c r="Q34"/>
      <c r="R34"/>
      <c r="S34" s="23"/>
      <c r="T34"/>
      <c r="U34" s="11"/>
      <c r="V34"/>
      <c r="W34" s="23"/>
      <c r="X34" s="19"/>
      <c r="Y34" s="19"/>
      <c r="Z34"/>
      <c r="AA34"/>
      <c r="AB34" s="9"/>
      <c r="AC34"/>
      <c r="AD34"/>
      <c r="AE34"/>
    </row>
    <row r="37" spans="1:31" s="1" customFormat="1" x14ac:dyDescent="0.3">
      <c r="A37"/>
      <c r="B37"/>
      <c r="C37"/>
      <c r="D37"/>
      <c r="E37"/>
      <c r="F37"/>
      <c r="G37"/>
      <c r="H37"/>
      <c r="I37"/>
      <c r="M37"/>
      <c r="N37"/>
      <c r="O37"/>
      <c r="P37"/>
      <c r="Q37"/>
      <c r="R37"/>
      <c r="S37" s="23"/>
      <c r="T37"/>
      <c r="U37" s="11"/>
      <c r="V37"/>
      <c r="W37" s="23"/>
      <c r="X37" s="19"/>
      <c r="Y37" s="19"/>
      <c r="Z37"/>
      <c r="AA37"/>
      <c r="AB37" s="9"/>
      <c r="AC37"/>
      <c r="AD37"/>
      <c r="AE37"/>
    </row>
    <row r="38" spans="1:31" s="1" customFormat="1" x14ac:dyDescent="0.3">
      <c r="A38"/>
      <c r="B38"/>
      <c r="C38"/>
      <c r="D38"/>
      <c r="E38"/>
      <c r="F38"/>
      <c r="G38"/>
      <c r="H38"/>
      <c r="I38"/>
      <c r="M38"/>
      <c r="N38"/>
      <c r="O38"/>
      <c r="P38"/>
      <c r="Q38"/>
      <c r="R38"/>
      <c r="S38" s="23"/>
      <c r="T38"/>
      <c r="U38" s="11"/>
      <c r="V38"/>
      <c r="W38" s="23"/>
      <c r="X38" s="19"/>
      <c r="Y38" s="19"/>
      <c r="Z38"/>
      <c r="AA38"/>
      <c r="AB38" s="9"/>
      <c r="AC38"/>
      <c r="AD38"/>
      <c r="AE38"/>
    </row>
    <row r="39" spans="1:31" s="1" customFormat="1" x14ac:dyDescent="0.3">
      <c r="A39"/>
      <c r="B39"/>
      <c r="C39"/>
      <c r="D39"/>
      <c r="E39"/>
      <c r="F39"/>
      <c r="G39"/>
      <c r="H39"/>
      <c r="I39"/>
      <c r="M39"/>
      <c r="N39"/>
      <c r="O39"/>
      <c r="P39"/>
      <c r="Q39"/>
      <c r="R39"/>
      <c r="S39" s="23"/>
      <c r="T39"/>
      <c r="U39" s="11"/>
      <c r="V39"/>
      <c r="W39" s="23"/>
      <c r="X39" s="19"/>
      <c r="Y39" s="19"/>
      <c r="Z39"/>
      <c r="AA39"/>
      <c r="AB39" s="9"/>
      <c r="AC39"/>
      <c r="AD39"/>
      <c r="AE39"/>
    </row>
    <row r="40" spans="1:31" s="1" customFormat="1" x14ac:dyDescent="0.3">
      <c r="A40"/>
      <c r="B40"/>
      <c r="C40"/>
      <c r="D40"/>
      <c r="E40"/>
      <c r="F40"/>
      <c r="G40"/>
      <c r="H40"/>
      <c r="I40"/>
      <c r="M40"/>
      <c r="N40"/>
      <c r="O40"/>
      <c r="P40"/>
      <c r="Q40"/>
      <c r="R40"/>
      <c r="S40" s="23"/>
      <c r="T40"/>
      <c r="U40" s="11"/>
      <c r="V40"/>
      <c r="W40" s="23"/>
      <c r="X40" s="19"/>
      <c r="Y40" s="19"/>
      <c r="Z40"/>
      <c r="AA40"/>
      <c r="AB40" s="9"/>
      <c r="AC40"/>
      <c r="AD40"/>
      <c r="AE40"/>
    </row>
    <row r="41" spans="1:31" s="1" customFormat="1" x14ac:dyDescent="0.3">
      <c r="A41"/>
      <c r="B41"/>
      <c r="C41"/>
      <c r="D41"/>
      <c r="E41"/>
      <c r="F41"/>
      <c r="G41"/>
      <c r="H41"/>
      <c r="I41"/>
      <c r="M41"/>
      <c r="N41"/>
      <c r="O41"/>
      <c r="P41"/>
      <c r="Q41"/>
      <c r="R41"/>
      <c r="S41" s="23"/>
      <c r="T41"/>
      <c r="U41" s="11"/>
      <c r="V41"/>
      <c r="W41" s="23"/>
      <c r="X41" s="19"/>
      <c r="Y41" s="19"/>
      <c r="Z41"/>
      <c r="AA41"/>
      <c r="AB41" s="9"/>
      <c r="AC41"/>
      <c r="AD41"/>
      <c r="AE41"/>
    </row>
    <row r="42" spans="1:31" s="1" customFormat="1" x14ac:dyDescent="0.3">
      <c r="A42"/>
      <c r="B42"/>
      <c r="C42"/>
      <c r="D42"/>
      <c r="E42"/>
      <c r="F42"/>
      <c r="G42"/>
      <c r="H42"/>
      <c r="I42"/>
      <c r="M42"/>
      <c r="N42"/>
      <c r="O42"/>
      <c r="P42"/>
      <c r="Q42"/>
      <c r="R42"/>
      <c r="S42" s="23"/>
      <c r="T42"/>
      <c r="U42" s="11"/>
      <c r="V42"/>
      <c r="W42" s="23"/>
      <c r="X42" s="19"/>
      <c r="Y42" s="19"/>
      <c r="Z42"/>
      <c r="AA42"/>
      <c r="AB42" s="9"/>
      <c r="AC42"/>
      <c r="AD42"/>
      <c r="AE42"/>
    </row>
    <row r="43" spans="1:31" s="1" customFormat="1" x14ac:dyDescent="0.3">
      <c r="A43"/>
      <c r="B43"/>
      <c r="C43"/>
      <c r="D43"/>
      <c r="E43"/>
      <c r="F43"/>
      <c r="G43"/>
      <c r="H43"/>
      <c r="I43"/>
      <c r="M43"/>
      <c r="N43"/>
      <c r="O43"/>
      <c r="P43"/>
      <c r="Q43"/>
      <c r="R43"/>
      <c r="S43" s="23"/>
      <c r="T43"/>
      <c r="U43" s="11"/>
      <c r="V43"/>
      <c r="W43" s="23"/>
      <c r="X43" s="19"/>
      <c r="Y43" s="19"/>
      <c r="Z43"/>
      <c r="AA43"/>
      <c r="AB43" s="9"/>
      <c r="AC43"/>
      <c r="AD43"/>
      <c r="AE43"/>
    </row>
    <row r="44" spans="1:31" s="1" customFormat="1" x14ac:dyDescent="0.3">
      <c r="A44"/>
      <c r="B44"/>
      <c r="C44"/>
      <c r="D44"/>
      <c r="E44"/>
      <c r="F44"/>
      <c r="G44"/>
      <c r="H44"/>
      <c r="I44"/>
      <c r="M44"/>
      <c r="N44"/>
      <c r="O44"/>
      <c r="P44"/>
      <c r="Q44"/>
      <c r="R44"/>
      <c r="S44" s="23"/>
      <c r="T44"/>
      <c r="U44" s="11"/>
      <c r="V44"/>
      <c r="W44" s="23"/>
      <c r="X44" s="19"/>
      <c r="Y44" s="19"/>
      <c r="Z44"/>
      <c r="AA44"/>
      <c r="AB44" s="9"/>
      <c r="AC44"/>
      <c r="AD44"/>
      <c r="AE44"/>
    </row>
    <row r="45" spans="1:31" s="1" customFormat="1" x14ac:dyDescent="0.3">
      <c r="A45"/>
      <c r="B45"/>
      <c r="C45"/>
      <c r="D45"/>
      <c r="E45"/>
      <c r="F45"/>
      <c r="G45"/>
      <c r="H45"/>
      <c r="I45"/>
      <c r="M45"/>
      <c r="N45"/>
      <c r="O45"/>
      <c r="P45"/>
      <c r="Q45"/>
      <c r="R45"/>
      <c r="S45" s="23"/>
      <c r="T45"/>
      <c r="U45" s="11"/>
      <c r="V45"/>
      <c r="W45" s="23"/>
      <c r="X45" s="19"/>
      <c r="Y45" s="19"/>
      <c r="Z45"/>
      <c r="AA45"/>
      <c r="AB45" s="9"/>
      <c r="AC45"/>
      <c r="AD45"/>
      <c r="AE45"/>
    </row>
    <row r="46" spans="1:31" s="1" customFormat="1" x14ac:dyDescent="0.3">
      <c r="A46"/>
      <c r="B46"/>
      <c r="C46"/>
      <c r="D46"/>
      <c r="E46"/>
      <c r="F46"/>
      <c r="G46"/>
      <c r="H46"/>
      <c r="I46"/>
      <c r="M46"/>
      <c r="N46"/>
      <c r="O46"/>
      <c r="P46"/>
      <c r="Q46"/>
      <c r="R46"/>
      <c r="S46" s="23"/>
      <c r="T46"/>
      <c r="U46" s="11"/>
      <c r="V46"/>
      <c r="W46" s="23"/>
      <c r="X46" s="19"/>
      <c r="Y46" s="19"/>
      <c r="Z46"/>
      <c r="AA46"/>
      <c r="AB46" s="9"/>
      <c r="AC46"/>
      <c r="AD46"/>
      <c r="AE46"/>
    </row>
    <row r="47" spans="1:31" s="1" customFormat="1" x14ac:dyDescent="0.3">
      <c r="A47"/>
      <c r="B47"/>
      <c r="C47"/>
      <c r="D47"/>
      <c r="E47"/>
      <c r="F47"/>
      <c r="G47"/>
      <c r="H47"/>
      <c r="I47"/>
      <c r="M47"/>
      <c r="N47"/>
      <c r="O47"/>
      <c r="P47"/>
      <c r="Q47"/>
      <c r="R47"/>
      <c r="S47" s="23"/>
      <c r="T47"/>
      <c r="U47" s="11"/>
      <c r="V47"/>
      <c r="W47" s="23"/>
      <c r="X47" s="19"/>
      <c r="Y47" s="19"/>
      <c r="Z47"/>
      <c r="AA47"/>
      <c r="AB47" s="9"/>
      <c r="AC47"/>
      <c r="AD47"/>
      <c r="AE47"/>
    </row>
    <row r="48" spans="1:31" s="1" customFormat="1" x14ac:dyDescent="0.3">
      <c r="A48"/>
      <c r="B48"/>
      <c r="C48"/>
      <c r="D48"/>
      <c r="E48"/>
      <c r="F48"/>
      <c r="G48"/>
      <c r="H48"/>
      <c r="I48"/>
      <c r="M48"/>
      <c r="N48"/>
      <c r="O48"/>
      <c r="P48"/>
      <c r="Q48"/>
      <c r="R48"/>
      <c r="S48" s="23"/>
      <c r="T48"/>
      <c r="U48" s="11"/>
      <c r="V48"/>
      <c r="W48" s="23"/>
      <c r="X48" s="19"/>
      <c r="Y48" s="19"/>
      <c r="Z48"/>
      <c r="AA48"/>
      <c r="AB48" s="9"/>
      <c r="AC48"/>
      <c r="AD48"/>
      <c r="AE48"/>
    </row>
    <row r="49" spans="1:31" s="1" customFormat="1" x14ac:dyDescent="0.3">
      <c r="A49"/>
      <c r="B49"/>
      <c r="C49"/>
      <c r="D49"/>
      <c r="E49"/>
      <c r="F49"/>
      <c r="G49"/>
      <c r="H49"/>
      <c r="I49"/>
      <c r="M49"/>
      <c r="N49"/>
      <c r="O49"/>
      <c r="P49"/>
      <c r="Q49"/>
      <c r="R49"/>
      <c r="S49" s="23"/>
      <c r="T49"/>
      <c r="U49" s="11"/>
      <c r="V49"/>
      <c r="W49" s="23"/>
      <c r="X49" s="19"/>
      <c r="Y49" s="19"/>
      <c r="Z49"/>
      <c r="AA49"/>
      <c r="AB49" s="9"/>
      <c r="AC49"/>
      <c r="AD49"/>
      <c r="AE49"/>
    </row>
    <row r="50" spans="1:31" s="1" customFormat="1" x14ac:dyDescent="0.3">
      <c r="A50"/>
      <c r="B50"/>
      <c r="C50"/>
      <c r="D50"/>
      <c r="E50"/>
      <c r="F50"/>
      <c r="G50"/>
      <c r="H50"/>
      <c r="I50"/>
      <c r="M50"/>
      <c r="N50"/>
      <c r="O50"/>
      <c r="P50"/>
      <c r="Q50"/>
      <c r="R50"/>
      <c r="S50" s="23"/>
      <c r="T50"/>
      <c r="U50" s="11"/>
      <c r="V50"/>
      <c r="W50" s="23"/>
      <c r="X50" s="19"/>
      <c r="Y50" s="19"/>
      <c r="Z50"/>
      <c r="AA50"/>
      <c r="AB50" s="9"/>
      <c r="AC50"/>
      <c r="AD50"/>
      <c r="AE50"/>
    </row>
    <row r="51" spans="1:31" s="1" customFormat="1" x14ac:dyDescent="0.3">
      <c r="A51"/>
      <c r="B51"/>
      <c r="C51"/>
      <c r="D51"/>
      <c r="E51"/>
      <c r="F51"/>
      <c r="G51"/>
      <c r="H51"/>
      <c r="I51"/>
      <c r="M51"/>
      <c r="N51"/>
      <c r="O51"/>
      <c r="P51"/>
      <c r="Q51"/>
      <c r="R51"/>
      <c r="S51" s="23"/>
      <c r="T51"/>
      <c r="U51" s="11"/>
      <c r="V51"/>
      <c r="W51" s="23"/>
      <c r="X51" s="19"/>
      <c r="Y51" s="19"/>
      <c r="Z51"/>
      <c r="AA51"/>
      <c r="AB51" s="9"/>
      <c r="AC51"/>
      <c r="AD51"/>
      <c r="AE51"/>
    </row>
    <row r="52" spans="1:31" s="1" customFormat="1" x14ac:dyDescent="0.3">
      <c r="A52"/>
      <c r="B52"/>
      <c r="C52"/>
      <c r="D52"/>
      <c r="E52"/>
      <c r="F52"/>
      <c r="G52"/>
      <c r="H52"/>
      <c r="I52"/>
      <c r="M52"/>
      <c r="N52"/>
      <c r="O52"/>
      <c r="P52"/>
      <c r="Q52"/>
      <c r="R52"/>
      <c r="S52" s="23"/>
      <c r="T52"/>
      <c r="U52" s="11"/>
      <c r="V52"/>
      <c r="W52" s="23"/>
      <c r="X52" s="19"/>
      <c r="Y52" s="19"/>
      <c r="Z52"/>
      <c r="AA52"/>
      <c r="AB52" s="9"/>
      <c r="AC52"/>
      <c r="AD52"/>
      <c r="AE52"/>
    </row>
    <row r="53" spans="1:31" s="1" customFormat="1" x14ac:dyDescent="0.3">
      <c r="A53"/>
      <c r="B53"/>
      <c r="C53"/>
      <c r="D53"/>
      <c r="E53"/>
      <c r="F53"/>
      <c r="G53"/>
      <c r="H53"/>
      <c r="I53"/>
      <c r="M53"/>
      <c r="N53"/>
      <c r="O53"/>
      <c r="P53"/>
      <c r="Q53"/>
      <c r="R53"/>
      <c r="S53" s="23"/>
      <c r="T53"/>
      <c r="U53" s="11"/>
      <c r="V53"/>
      <c r="W53" s="23"/>
      <c r="X53" s="19"/>
      <c r="Y53" s="19"/>
      <c r="Z53"/>
      <c r="AA53"/>
      <c r="AB53" s="9"/>
      <c r="AC53"/>
      <c r="AD53"/>
      <c r="AE53"/>
    </row>
    <row r="54" spans="1:31" s="1" customFormat="1" x14ac:dyDescent="0.3">
      <c r="A54"/>
      <c r="B54"/>
      <c r="C54"/>
      <c r="D54"/>
      <c r="E54"/>
      <c r="F54"/>
      <c r="G54"/>
      <c r="H54"/>
      <c r="I54"/>
      <c r="M54"/>
      <c r="N54"/>
      <c r="O54"/>
      <c r="P54"/>
      <c r="Q54"/>
      <c r="R54"/>
      <c r="S54" s="23"/>
      <c r="T54"/>
      <c r="U54" s="11"/>
      <c r="V54"/>
      <c r="W54" s="23"/>
      <c r="X54" s="19"/>
      <c r="Y54" s="19"/>
      <c r="Z54"/>
      <c r="AA54"/>
      <c r="AB54" s="9"/>
      <c r="AC54"/>
      <c r="AD54"/>
      <c r="AE54"/>
    </row>
    <row r="55" spans="1:31" s="1" customFormat="1" x14ac:dyDescent="0.3">
      <c r="A55"/>
      <c r="B55"/>
      <c r="C55"/>
      <c r="D55"/>
      <c r="E55"/>
      <c r="F55"/>
      <c r="G55"/>
      <c r="H55"/>
      <c r="I55"/>
      <c r="M55"/>
      <c r="N55"/>
      <c r="O55"/>
      <c r="P55"/>
      <c r="Q55"/>
      <c r="R55"/>
      <c r="S55" s="23"/>
      <c r="T55"/>
      <c r="U55" s="11"/>
      <c r="V55"/>
      <c r="W55" s="23"/>
      <c r="X55" s="19"/>
      <c r="Y55" s="19"/>
      <c r="Z55"/>
      <c r="AA55"/>
      <c r="AB55" s="9"/>
      <c r="AC55"/>
      <c r="AD55"/>
      <c r="AE55"/>
    </row>
    <row r="56" spans="1:31" s="1" customFormat="1" x14ac:dyDescent="0.3">
      <c r="A56"/>
      <c r="B56"/>
      <c r="C56"/>
      <c r="D56"/>
      <c r="E56"/>
      <c r="F56"/>
      <c r="G56"/>
      <c r="H56"/>
      <c r="I56"/>
      <c r="M56"/>
      <c r="N56"/>
      <c r="O56"/>
      <c r="P56"/>
      <c r="Q56"/>
      <c r="R56"/>
      <c r="S56" s="23"/>
      <c r="T56"/>
      <c r="U56" s="11"/>
      <c r="V56"/>
      <c r="W56" s="23"/>
      <c r="X56" s="19"/>
      <c r="Y56" s="19"/>
      <c r="Z56"/>
      <c r="AA56"/>
      <c r="AB56" s="9"/>
      <c r="AC56"/>
      <c r="AD56"/>
      <c r="AE56"/>
    </row>
    <row r="57" spans="1:31" s="1" customFormat="1" x14ac:dyDescent="0.3">
      <c r="A57"/>
      <c r="B57"/>
      <c r="C57"/>
      <c r="D57"/>
      <c r="E57"/>
      <c r="F57"/>
      <c r="G57"/>
      <c r="H57"/>
      <c r="I57"/>
      <c r="M57"/>
      <c r="N57"/>
      <c r="O57"/>
      <c r="P57"/>
      <c r="Q57"/>
      <c r="R57"/>
      <c r="S57" s="23"/>
      <c r="T57"/>
      <c r="U57" s="11"/>
      <c r="V57"/>
      <c r="W57" s="23"/>
      <c r="X57" s="19"/>
      <c r="Y57" s="19"/>
      <c r="Z57"/>
      <c r="AA57"/>
      <c r="AB57" s="9"/>
      <c r="AC57"/>
      <c r="AD57"/>
      <c r="AE57"/>
    </row>
    <row r="58" spans="1:31" s="1" customFormat="1" x14ac:dyDescent="0.3">
      <c r="A58"/>
      <c r="B58"/>
      <c r="C58"/>
      <c r="D58"/>
      <c r="E58"/>
      <c r="F58"/>
      <c r="G58"/>
      <c r="H58"/>
      <c r="I58"/>
      <c r="M58"/>
      <c r="N58"/>
      <c r="O58"/>
      <c r="P58"/>
      <c r="Q58"/>
      <c r="R58"/>
      <c r="S58" s="23"/>
      <c r="T58"/>
      <c r="U58" s="11"/>
      <c r="V58"/>
      <c r="W58" s="23"/>
      <c r="X58" s="19"/>
      <c r="Y58" s="19"/>
      <c r="Z58"/>
      <c r="AA58"/>
      <c r="AB58" s="9"/>
      <c r="AC58"/>
      <c r="AD58"/>
      <c r="AE58"/>
    </row>
    <row r="59" spans="1:31" s="1" customFormat="1" x14ac:dyDescent="0.3">
      <c r="A59"/>
      <c r="B59"/>
      <c r="C59"/>
      <c r="D59"/>
      <c r="E59"/>
      <c r="F59"/>
      <c r="G59"/>
      <c r="H59"/>
      <c r="I59"/>
      <c r="M59"/>
      <c r="N59"/>
      <c r="O59"/>
      <c r="P59"/>
      <c r="Q59"/>
      <c r="R59"/>
      <c r="S59" s="23"/>
      <c r="T59"/>
      <c r="U59" s="11"/>
      <c r="V59"/>
      <c r="W59" s="23"/>
      <c r="X59" s="19"/>
      <c r="Y59" s="19"/>
      <c r="Z59"/>
      <c r="AA59"/>
      <c r="AB59" s="9"/>
      <c r="AC59"/>
      <c r="AD59"/>
      <c r="AE59"/>
    </row>
    <row r="60" spans="1:31" s="1" customFormat="1" x14ac:dyDescent="0.3">
      <c r="A60"/>
      <c r="B60"/>
      <c r="C60"/>
      <c r="D60"/>
      <c r="E60"/>
      <c r="F60"/>
      <c r="G60"/>
      <c r="H60"/>
      <c r="I60"/>
      <c r="M60"/>
      <c r="N60"/>
      <c r="O60"/>
      <c r="P60"/>
      <c r="Q60"/>
      <c r="R60"/>
      <c r="S60" s="23"/>
      <c r="T60"/>
      <c r="U60" s="11"/>
      <c r="V60"/>
      <c r="W60" s="23"/>
      <c r="X60" s="19"/>
      <c r="Y60" s="19"/>
      <c r="Z60"/>
      <c r="AA60"/>
      <c r="AB60" s="9"/>
      <c r="AC60"/>
      <c r="AD60"/>
      <c r="AE60"/>
    </row>
    <row r="61" spans="1:31" s="1" customFormat="1" x14ac:dyDescent="0.3">
      <c r="A61"/>
      <c r="B61"/>
      <c r="C61"/>
      <c r="D61"/>
      <c r="E61"/>
      <c r="F61"/>
      <c r="G61"/>
      <c r="H61"/>
      <c r="I61"/>
      <c r="M61"/>
      <c r="N61"/>
      <c r="O61"/>
      <c r="P61"/>
      <c r="Q61"/>
      <c r="R61"/>
      <c r="S61" s="23"/>
      <c r="T61"/>
      <c r="U61" s="11"/>
      <c r="V61"/>
      <c r="W61" s="23"/>
      <c r="X61" s="19"/>
      <c r="Y61" s="19"/>
      <c r="Z61"/>
      <c r="AA61"/>
      <c r="AB61" s="9"/>
      <c r="AC61"/>
      <c r="AD61"/>
      <c r="AE6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F9D5-15AE-482C-832B-EFD5D46AA4BF}">
  <dimension ref="A1:K25"/>
  <sheetViews>
    <sheetView tabSelected="1" workbookViewId="0">
      <selection activeCell="K1" sqref="K1"/>
    </sheetView>
  </sheetViews>
  <sheetFormatPr defaultRowHeight="14.4" x14ac:dyDescent="0.3"/>
  <cols>
    <col min="2" max="2" width="13.109375" customWidth="1"/>
    <col min="3" max="3" width="9.88671875" customWidth="1"/>
    <col min="4" max="4" width="8.88671875" style="31"/>
    <col min="6" max="6" width="8.88671875" style="32"/>
    <col min="7" max="7" width="9.44140625" style="31" customWidth="1"/>
    <col min="8" max="8" width="8.88671875" style="32"/>
  </cols>
  <sheetData>
    <row r="1" spans="1:11" s="28" customFormat="1" ht="97.2" customHeight="1" x14ac:dyDescent="0.3">
      <c r="A1" s="28" t="s">
        <v>69</v>
      </c>
      <c r="B1" s="28" t="s">
        <v>75</v>
      </c>
      <c r="C1" s="28" t="s">
        <v>70</v>
      </c>
      <c r="D1" s="29" t="s">
        <v>73</v>
      </c>
      <c r="E1" s="28" t="s">
        <v>74</v>
      </c>
      <c r="F1" s="30" t="s">
        <v>71</v>
      </c>
      <c r="G1" s="29" t="s">
        <v>65</v>
      </c>
      <c r="H1" s="30" t="s">
        <v>66</v>
      </c>
      <c r="I1" s="28" t="s">
        <v>67</v>
      </c>
      <c r="J1" s="28" t="s">
        <v>68</v>
      </c>
      <c r="K1" s="28" t="s">
        <v>72</v>
      </c>
    </row>
    <row r="2" spans="1:11" x14ac:dyDescent="0.3">
      <c r="A2">
        <v>25</v>
      </c>
      <c r="B2" s="1">
        <v>77.000000006519258</v>
      </c>
      <c r="C2" s="19">
        <v>0.18770500000000001</v>
      </c>
      <c r="D2" s="33">
        <v>12.866386509800634</v>
      </c>
      <c r="E2" s="19"/>
      <c r="F2" s="34">
        <v>12.678681509800635</v>
      </c>
      <c r="G2" s="33">
        <v>0.98541121084330707</v>
      </c>
      <c r="H2" s="34">
        <v>0.98626594544100965</v>
      </c>
      <c r="I2" s="11">
        <v>33.557046979865774</v>
      </c>
      <c r="J2" s="11">
        <v>23.519139986649133</v>
      </c>
      <c r="K2" s="11">
        <v>23.458332625717173</v>
      </c>
    </row>
    <row r="3" spans="1:11" x14ac:dyDescent="0.3">
      <c r="A3">
        <v>25</v>
      </c>
      <c r="B3">
        <v>76.999999996041879</v>
      </c>
      <c r="C3" s="19">
        <v>0.179337</v>
      </c>
      <c r="D3" s="33">
        <v>12.644594824931218</v>
      </c>
      <c r="E3" s="19"/>
      <c r="F3" s="34">
        <v>12.465257824931218</v>
      </c>
      <c r="G3" s="33">
        <v>0.98581710189349814</v>
      </c>
      <c r="H3" s="34">
        <v>0.9862659454428655</v>
      </c>
      <c r="I3" s="11">
        <v>33.557046979865774</v>
      </c>
      <c r="J3" s="11">
        <v>23.490718088691761</v>
      </c>
      <c r="K3" s="11">
        <v>23.458332625717173</v>
      </c>
    </row>
    <row r="4" spans="1:11" x14ac:dyDescent="0.3">
      <c r="A4">
        <v>50</v>
      </c>
      <c r="B4">
        <v>45</v>
      </c>
      <c r="C4" s="19">
        <v>0.29024800000000001</v>
      </c>
      <c r="D4" s="33">
        <v>12.431744930474013</v>
      </c>
      <c r="E4" s="19">
        <v>12.206641603621209</v>
      </c>
      <c r="F4" s="34">
        <v>12.141496930474013</v>
      </c>
      <c r="G4" s="33">
        <v>0.9818928615321727</v>
      </c>
      <c r="H4" s="34">
        <v>0.98351580229955271</v>
      </c>
      <c r="I4" s="11">
        <v>30.959752321981423</v>
      </c>
      <c r="J4" s="11">
        <v>24.193560465239365</v>
      </c>
      <c r="K4" s="11">
        <v>24.098833069785279</v>
      </c>
    </row>
    <row r="5" spans="1:11" x14ac:dyDescent="0.3">
      <c r="A5">
        <v>24.8</v>
      </c>
      <c r="B5">
        <v>73.999999996740371</v>
      </c>
      <c r="C5" s="19">
        <v>0.15933</v>
      </c>
      <c r="D5" s="33">
        <v>12.108854468448909</v>
      </c>
      <c r="E5" s="19"/>
      <c r="F5" s="34">
        <v>11.949524468448908</v>
      </c>
      <c r="G5" s="33">
        <v>0.98684186019287334</v>
      </c>
      <c r="H5" s="34">
        <v>0.98687893238695534</v>
      </c>
      <c r="I5" s="11">
        <v>33.579583613163194</v>
      </c>
      <c r="J5" s="11">
        <v>23.455615178366411</v>
      </c>
      <c r="K5" s="11">
        <v>23.452775026162197</v>
      </c>
    </row>
    <row r="6" spans="1:11" x14ac:dyDescent="0.3">
      <c r="A6">
        <v>100</v>
      </c>
      <c r="B6">
        <v>45</v>
      </c>
      <c r="C6" s="19">
        <v>0.71290500000000001</v>
      </c>
      <c r="D6" s="33">
        <v>11.91739812513943</v>
      </c>
      <c r="E6" s="19">
        <v>11.264610345165671</v>
      </c>
      <c r="F6" s="34">
        <v>11.204493125139431</v>
      </c>
      <c r="G6" s="33">
        <v>0.94522396809109532</v>
      </c>
      <c r="H6" s="34">
        <v>0.94798839216849307</v>
      </c>
      <c r="I6" s="11">
        <v>26.809651474530831</v>
      </c>
      <c r="J6" s="11">
        <v>25.175492679997618</v>
      </c>
      <c r="K6" s="11">
        <v>25.122260052800272</v>
      </c>
    </row>
    <row r="7" spans="1:11" x14ac:dyDescent="0.3">
      <c r="A7">
        <v>24.7</v>
      </c>
      <c r="B7" s="1">
        <v>74.00000000721775</v>
      </c>
      <c r="C7" s="19">
        <v>0.14501500000000001</v>
      </c>
      <c r="D7" s="33">
        <v>11.174369801512842</v>
      </c>
      <c r="E7" s="19"/>
      <c r="F7" s="34">
        <v>11.029354801512842</v>
      </c>
      <c r="G7" s="33">
        <v>0.9870225343732254</v>
      </c>
      <c r="H7" s="34">
        <v>0.98691950471294154</v>
      </c>
      <c r="I7" s="11">
        <v>33.59086328518643</v>
      </c>
      <c r="J7" s="11">
        <v>23.442033574067526</v>
      </c>
      <c r="K7" s="11">
        <v>23.449993426116205</v>
      </c>
    </row>
    <row r="8" spans="1:11" x14ac:dyDescent="0.3">
      <c r="A8">
        <v>60</v>
      </c>
      <c r="B8">
        <v>45</v>
      </c>
      <c r="C8" s="19">
        <v>0.30941099999999999</v>
      </c>
      <c r="D8" s="33">
        <v>10.999702337954897</v>
      </c>
      <c r="E8" s="19">
        <v>10.747649630680025</v>
      </c>
      <c r="F8" s="34">
        <v>10.690291337954896</v>
      </c>
      <c r="G8" s="33">
        <v>0.97708549744976692</v>
      </c>
      <c r="H8" s="34">
        <v>0.97867868482856968</v>
      </c>
      <c r="I8" s="11">
        <v>30.03003003003003</v>
      </c>
      <c r="J8" s="11">
        <v>24.400979600174558</v>
      </c>
      <c r="K8" s="11">
        <v>24.328105300815064</v>
      </c>
    </row>
    <row r="9" spans="1:11" x14ac:dyDescent="0.3">
      <c r="A9">
        <v>70</v>
      </c>
      <c r="B9">
        <v>45</v>
      </c>
      <c r="C9" s="19">
        <v>0.361871</v>
      </c>
      <c r="D9" s="33">
        <v>10.661550447845981</v>
      </c>
      <c r="E9" s="19">
        <v>10.354941929481729</v>
      </c>
      <c r="F9" s="34">
        <v>10.29967944784598</v>
      </c>
      <c r="G9" s="33">
        <v>0.97124165759341341</v>
      </c>
      <c r="H9" s="34">
        <v>0.97282730263164097</v>
      </c>
      <c r="I9" s="11">
        <v>29.154518950437318</v>
      </c>
      <c r="J9" s="11">
        <v>24.601535865006039</v>
      </c>
      <c r="K9" s="11">
        <v>24.544008888636117</v>
      </c>
    </row>
    <row r="10" spans="1:11" x14ac:dyDescent="0.3">
      <c r="A10">
        <v>80</v>
      </c>
      <c r="B10">
        <v>45</v>
      </c>
      <c r="C10" s="19">
        <v>0.422541</v>
      </c>
      <c r="D10" s="33">
        <v>10.271988719332661</v>
      </c>
      <c r="E10" s="19">
        <v>9.9022945022318822</v>
      </c>
      <c r="F10" s="34">
        <v>9.8494477193326606</v>
      </c>
      <c r="G10" s="33">
        <v>0.96400947983860352</v>
      </c>
      <c r="H10" s="34">
        <v>0.96584065305943934</v>
      </c>
      <c r="I10" s="11">
        <v>28.328611898016998</v>
      </c>
      <c r="J10" s="11">
        <v>24.800842524318416</v>
      </c>
      <c r="K10" s="11">
        <v>24.747679978563625</v>
      </c>
    </row>
    <row r="11" spans="1:11" x14ac:dyDescent="0.3">
      <c r="A11">
        <v>24.7</v>
      </c>
      <c r="B11">
        <v>73.999999996740371</v>
      </c>
      <c r="C11" s="19">
        <v>0.127225</v>
      </c>
      <c r="D11" s="33">
        <v>9.8229674405838683</v>
      </c>
      <c r="E11" s="19"/>
      <c r="F11" s="34">
        <v>9.695742440583869</v>
      </c>
      <c r="G11" s="33">
        <v>0.98704821116739472</v>
      </c>
      <c r="H11" s="34">
        <v>0.9869195047147814</v>
      </c>
      <c r="I11" s="11">
        <v>33.59086328518643</v>
      </c>
      <c r="J11" s="11">
        <v>23.440040067830303</v>
      </c>
      <c r="K11" s="11">
        <v>23.449993426116205</v>
      </c>
    </row>
    <row r="12" spans="1:11" x14ac:dyDescent="0.3">
      <c r="A12">
        <v>24.8</v>
      </c>
      <c r="B12">
        <v>73.999999996740371</v>
      </c>
      <c r="C12" s="19">
        <v>0.12515699999999999</v>
      </c>
      <c r="D12" s="33">
        <v>9.6696753990786668</v>
      </c>
      <c r="E12" s="19"/>
      <c r="F12" s="34">
        <v>9.5445183990786671</v>
      </c>
      <c r="G12" s="33">
        <v>0.98705675270010362</v>
      </c>
      <c r="H12" s="34">
        <v>0.98687893238695534</v>
      </c>
      <c r="I12" s="11">
        <v>33.579583613163194</v>
      </c>
      <c r="J12" s="11">
        <v>23.439040193937434</v>
      </c>
      <c r="K12" s="11">
        <v>23.452775026162197</v>
      </c>
    </row>
    <row r="13" spans="1:11" x14ac:dyDescent="0.3">
      <c r="A13">
        <v>24.8</v>
      </c>
      <c r="B13">
        <v>75</v>
      </c>
      <c r="C13" s="19">
        <v>0.12377299999999999</v>
      </c>
      <c r="D13" s="33">
        <v>9.5188579240010132</v>
      </c>
      <c r="E13" s="19"/>
      <c r="F13" s="34">
        <v>9.3950849240010132</v>
      </c>
      <c r="G13" s="33">
        <v>0.98699707454526486</v>
      </c>
      <c r="H13" s="34">
        <v>0.98670280476137506</v>
      </c>
      <c r="I13" s="11">
        <v>33.579583613163194</v>
      </c>
      <c r="J13" s="11">
        <v>23.430247498040263</v>
      </c>
      <c r="K13" s="11">
        <v>23.452775026162197</v>
      </c>
    </row>
    <row r="14" spans="1:11" x14ac:dyDescent="0.3">
      <c r="A14">
        <v>70</v>
      </c>
      <c r="B14">
        <v>45</v>
      </c>
      <c r="C14" s="19">
        <v>0.320853</v>
      </c>
      <c r="D14" s="33">
        <v>9.3698262014060596</v>
      </c>
      <c r="E14" s="19">
        <v>9.0975250731315125</v>
      </c>
      <c r="F14" s="34">
        <v>9.04897320140606</v>
      </c>
      <c r="G14" s="33">
        <v>0.97093850809808135</v>
      </c>
      <c r="H14" s="34">
        <v>0.97282730263164097</v>
      </c>
      <c r="I14" s="11">
        <v>29.154518950437318</v>
      </c>
      <c r="J14" s="11">
        <v>24.612177288754843</v>
      </c>
      <c r="K14" s="11">
        <v>24.544008888636117</v>
      </c>
    </row>
    <row r="15" spans="1:11" x14ac:dyDescent="0.3">
      <c r="A15">
        <v>60</v>
      </c>
      <c r="B15">
        <v>45</v>
      </c>
      <c r="C15" s="19">
        <v>0.25340699999999999</v>
      </c>
      <c r="D15" s="33">
        <v>9.0246450015321464</v>
      </c>
      <c r="E15" s="19">
        <v>8.8198727615682664</v>
      </c>
      <c r="F15" s="34">
        <v>8.7712380015321472</v>
      </c>
      <c r="G15" s="33">
        <v>0.97730966260400098</v>
      </c>
      <c r="H15" s="34">
        <v>0.97867868482856968</v>
      </c>
      <c r="I15" s="11">
        <v>30.03003003003003</v>
      </c>
      <c r="J15" s="11">
        <v>24.39103450239099</v>
      </c>
      <c r="K15" s="11">
        <v>24.328105300815064</v>
      </c>
    </row>
    <row r="16" spans="1:11" x14ac:dyDescent="0.3">
      <c r="A16">
        <v>24.8</v>
      </c>
      <c r="B16">
        <v>73.999999996740371</v>
      </c>
      <c r="C16" s="19">
        <v>0.112999</v>
      </c>
      <c r="D16" s="33">
        <v>8.7476564938302808</v>
      </c>
      <c r="E16" s="19"/>
      <c r="F16" s="34">
        <v>8.6346574938302805</v>
      </c>
      <c r="G16" s="33">
        <v>0.98708236885162348</v>
      </c>
      <c r="H16" s="34">
        <v>0.98687893238695534</v>
      </c>
      <c r="I16" s="11">
        <v>33.579583613163194</v>
      </c>
      <c r="J16" s="11">
        <v>23.437046171996787</v>
      </c>
      <c r="K16" s="11">
        <v>23.452775026162197</v>
      </c>
    </row>
    <row r="17" spans="1:11" x14ac:dyDescent="0.3">
      <c r="A17">
        <v>90</v>
      </c>
      <c r="B17">
        <v>45</v>
      </c>
      <c r="C17" s="19">
        <v>0.42312100000000002</v>
      </c>
      <c r="D17" s="33">
        <v>8.611443183358011</v>
      </c>
      <c r="E17" s="19">
        <v>8.2307880091752761</v>
      </c>
      <c r="F17" s="34">
        <v>8.1883221833580109</v>
      </c>
      <c r="G17" s="33">
        <v>0.95579658762443354</v>
      </c>
      <c r="H17" s="34">
        <v>0.95759934740008701</v>
      </c>
      <c r="I17" s="11">
        <v>27.548209366391184</v>
      </c>
      <c r="J17" s="11">
        <v>24.982702983611965</v>
      </c>
      <c r="K17" s="11">
        <v>24.940129520836724</v>
      </c>
    </row>
    <row r="18" spans="1:11" x14ac:dyDescent="0.3">
      <c r="A18">
        <v>119.8</v>
      </c>
      <c r="B18">
        <v>45</v>
      </c>
      <c r="C18" s="19">
        <v>0.66251899999999997</v>
      </c>
      <c r="D18" s="33">
        <v>8.166307847115112</v>
      </c>
      <c r="E18" s="19">
        <v>7.5427045838069757</v>
      </c>
      <c r="F18" s="34">
        <v>7.5037888471151124</v>
      </c>
      <c r="G18" s="33">
        <v>0.92363706157263781</v>
      </c>
      <c r="H18" s="34">
        <v>0.92450655798989112</v>
      </c>
      <c r="I18" s="11">
        <v>25.45824847250509</v>
      </c>
      <c r="J18" s="11">
        <v>25.467435944482641</v>
      </c>
      <c r="K18" s="11">
        <v>25.455519977809136</v>
      </c>
    </row>
    <row r="19" spans="1:11" x14ac:dyDescent="0.3">
      <c r="A19">
        <v>24.8</v>
      </c>
      <c r="B19">
        <v>73.999999996740371</v>
      </c>
      <c r="C19" s="19">
        <v>9.5783999999999994E-2</v>
      </c>
      <c r="D19" s="33">
        <v>7.4836148814262877</v>
      </c>
      <c r="E19" s="19"/>
      <c r="F19" s="34">
        <v>7.3878308814262876</v>
      </c>
      <c r="G19" s="33">
        <v>0.98720083789483504</v>
      </c>
      <c r="H19" s="34">
        <v>0.98687893238695534</v>
      </c>
      <c r="I19" s="11">
        <v>33.579583613163194</v>
      </c>
      <c r="J19" s="11">
        <v>23.427772869677067</v>
      </c>
      <c r="K19" s="11">
        <v>23.452775026162197</v>
      </c>
    </row>
    <row r="20" spans="1:11" x14ac:dyDescent="0.3">
      <c r="A20">
        <v>150</v>
      </c>
      <c r="B20">
        <v>45</v>
      </c>
      <c r="C20" s="19">
        <v>0.93710800000000005</v>
      </c>
      <c r="D20" s="33">
        <v>7.3679686691821313</v>
      </c>
      <c r="E20" s="19">
        <v>6.4653651721069352</v>
      </c>
      <c r="F20" s="34">
        <v>6.4308606691821311</v>
      </c>
      <c r="G20" s="33">
        <v>0.87749629000860174</v>
      </c>
      <c r="H20" s="34">
        <v>0.87604818826451947</v>
      </c>
      <c r="I20" s="11">
        <v>23.640661938534279</v>
      </c>
      <c r="J20" s="11">
        <v>25.891182843456061</v>
      </c>
      <c r="K20" s="11">
        <v>25.90374212257295</v>
      </c>
    </row>
    <row r="21" spans="1:11" x14ac:dyDescent="0.3">
      <c r="A21">
        <v>25</v>
      </c>
      <c r="B21">
        <v>581</v>
      </c>
      <c r="C21" s="19">
        <v>0.617919</v>
      </c>
      <c r="D21" s="33">
        <v>6.4135712750996241</v>
      </c>
      <c r="E21" s="19"/>
      <c r="F21" s="34">
        <v>5.7956522750996244</v>
      </c>
      <c r="G21" s="33">
        <v>0.90365445810214351</v>
      </c>
      <c r="H21" s="34">
        <v>0.90091181944628707</v>
      </c>
      <c r="I21" s="11">
        <v>33.557046979865774</v>
      </c>
      <c r="J21" s="11">
        <v>23.428769791853604</v>
      </c>
      <c r="K21" s="11">
        <v>23.458332625717173</v>
      </c>
    </row>
    <row r="22" spans="1:11" x14ac:dyDescent="0.3">
      <c r="A22">
        <v>300</v>
      </c>
      <c r="B22">
        <v>90</v>
      </c>
      <c r="C22" s="19">
        <v>4.5489709999999999</v>
      </c>
      <c r="D22" s="33">
        <v>5.780070641271112</v>
      </c>
      <c r="E22" s="19">
        <v>1.237705052795036</v>
      </c>
      <c r="F22" s="34">
        <v>1.2310996412711122</v>
      </c>
      <c r="G22" s="33">
        <v>0.21413320521682216</v>
      </c>
      <c r="H22" s="34">
        <v>0.19217638663209369</v>
      </c>
      <c r="I22" s="11">
        <v>17.452006980802793</v>
      </c>
      <c r="J22" s="11">
        <v>27.362039727601413</v>
      </c>
      <c r="K22" s="11">
        <v>27.429882499668285</v>
      </c>
    </row>
    <row r="23" spans="1:11" x14ac:dyDescent="0.3">
      <c r="A23">
        <v>24.7</v>
      </c>
      <c r="B23">
        <v>74</v>
      </c>
      <c r="C23" s="19">
        <v>1.6725E-2</v>
      </c>
      <c r="D23" s="33">
        <v>1.2277898250664523</v>
      </c>
      <c r="E23" s="19"/>
      <c r="F23" s="34">
        <v>1.2110648250664522</v>
      </c>
      <c r="G23" s="33">
        <v>0.98637796171743408</v>
      </c>
      <c r="H23" s="34">
        <v>0.9869195047147814</v>
      </c>
      <c r="I23" s="11">
        <v>33.59086328518643</v>
      </c>
      <c r="J23" s="11">
        <v>23.490833978902916</v>
      </c>
      <c r="K23" s="11">
        <v>23.449993426116205</v>
      </c>
    </row>
    <row r="24" spans="1:11" x14ac:dyDescent="0.3">
      <c r="A24">
        <v>400</v>
      </c>
      <c r="B24">
        <v>90</v>
      </c>
      <c r="C24" s="19">
        <v>1.1779999999999999</v>
      </c>
      <c r="D24" s="33">
        <v>1.2084557445525799</v>
      </c>
      <c r="E24" s="19"/>
      <c r="F24" s="35">
        <v>3.0727744552579761E-2</v>
      </c>
      <c r="G24" s="33"/>
      <c r="H24" s="35">
        <v>2.5427281628717279E-2</v>
      </c>
      <c r="I24" s="11"/>
      <c r="J24" s="11"/>
      <c r="K24" s="11">
        <v>28.069364797351618</v>
      </c>
    </row>
    <row r="25" spans="1:11" x14ac:dyDescent="0.3">
      <c r="A25">
        <v>24.7</v>
      </c>
      <c r="B25">
        <v>74</v>
      </c>
      <c r="C25" s="36">
        <v>1.17E-3</v>
      </c>
      <c r="D25" s="38">
        <v>3.06456463724618E-2</v>
      </c>
      <c r="E25" s="19"/>
      <c r="F25" s="34"/>
      <c r="G25" s="33"/>
      <c r="H2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76</vt:lpstr>
      <vt:lpstr>Distilled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Thyer</dc:creator>
  <cp:lastModifiedBy>Thyer, Benjamin J.</cp:lastModifiedBy>
  <dcterms:created xsi:type="dcterms:W3CDTF">2024-12-10T00:31:23Z</dcterms:created>
  <dcterms:modified xsi:type="dcterms:W3CDTF">2026-06-05T03:10:00Z</dcterms:modified>
</cp:coreProperties>
</file>