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itories\Dissertation\Chapter1\Tables\"/>
    </mc:Choice>
  </mc:AlternateContent>
  <xr:revisionPtr revIDLastSave="0" documentId="13_ncr:1_{DEED5B2F-479B-4F21-84E5-AE9E00CCBC10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Distilled MC Empty Tube" sheetId="12" r:id="rId1"/>
    <sheet name="MC Empty Tube OD1159 ID747 (2)" sheetId="13" r:id="rId2"/>
    <sheet name="MC Empty Tube OD1159 ID747" sheetId="8" r:id="rId3"/>
    <sheet name="MC Empty Tube Cooling" sheetId="9" r:id="rId4"/>
    <sheet name="MC Empty Tube Cooling simulatio" sheetId="10" r:id="rId5"/>
    <sheet name="Distilled H2O Isothermal" sheetId="14" r:id="rId6"/>
    <sheet name="H2O Isothermal OD734 ID487" sheetId="1" r:id="rId7"/>
    <sheet name="H2O Isothermal Simulations" sheetId="7" r:id="rId8"/>
    <sheet name="Isothermal H2O Cooling Rate" sheetId="6" r:id="rId9"/>
    <sheet name="Distilled Sulfur Isothermal" sheetId="15" r:id="rId10"/>
    <sheet name="SulfurBlank" sheetId="2" r:id="rId11"/>
    <sheet name="SulfurBlank Simulations" sheetId="4" r:id="rId12"/>
    <sheet name="SulfurBlank Cooling Rate" sheetId="5" r:id="rId13"/>
    <sheet name="STDs" sheetId="11" r:id="rId14"/>
  </sheets>
  <externalReferences>
    <externalReference r:id="rId15"/>
    <externalReference r:id="rId16"/>
    <externalReference r:id="rId17"/>
  </externalReferences>
  <definedNames>
    <definedName name="solver_adj" localSheetId="6" hidden="1">'H2O Isothermal OD734 ID487'!$AO$17:$AP$17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0</definedName>
    <definedName name="solver_nwt" localSheetId="6" hidden="1">1</definedName>
    <definedName name="solver_opt" localSheetId="6" hidden="1">'H2O Isothermal OD734 ID487'!$AS$21</definedName>
    <definedName name="solver_pre" localSheetId="6" hidden="1">0.000001</definedName>
    <definedName name="solver_rbv" localSheetId="6" hidden="1">1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2" l="1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28" i="2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24" i="1"/>
  <c r="R4" i="12" l="1"/>
  <c r="R5" i="12"/>
  <c r="R8" i="12"/>
  <c r="R9" i="12"/>
  <c r="R10" i="12"/>
  <c r="R12" i="12"/>
  <c r="R13" i="12"/>
  <c r="R14" i="12"/>
  <c r="R15" i="12"/>
  <c r="R16" i="12"/>
  <c r="R1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2" i="12"/>
  <c r="T36" i="8"/>
  <c r="V36" i="8"/>
  <c r="W36" i="8"/>
  <c r="X36" i="8"/>
  <c r="Y36" i="8"/>
  <c r="Q43" i="13"/>
  <c r="AF42" i="13"/>
  <c r="AG42" i="13" s="1"/>
  <c r="Y42" i="13"/>
  <c r="AG41" i="13"/>
  <c r="Q41" i="13"/>
  <c r="S41" i="13" s="1"/>
  <c r="M41" i="13"/>
  <c r="O41" i="13" s="1"/>
  <c r="K41" i="13"/>
  <c r="Q40" i="13"/>
  <c r="S40" i="13" s="1"/>
  <c r="M40" i="13"/>
  <c r="K40" i="13"/>
  <c r="Q39" i="13"/>
  <c r="S39" i="13" s="1"/>
  <c r="M39" i="13"/>
  <c r="K39" i="13"/>
  <c r="Q38" i="13"/>
  <c r="S38" i="13" s="1"/>
  <c r="M38" i="13"/>
  <c r="K38" i="13" s="1"/>
  <c r="F38" i="13" s="1"/>
  <c r="AM35" i="13"/>
  <c r="AI35" i="13"/>
  <c r="Q35" i="13"/>
  <c r="M35" i="13"/>
  <c r="K35" i="13"/>
  <c r="AM34" i="13"/>
  <c r="AI34" i="13"/>
  <c r="AH34" i="13" s="1"/>
  <c r="AP34" i="13" s="1"/>
  <c r="Q34" i="13"/>
  <c r="M34" i="13"/>
  <c r="K34" i="13"/>
  <c r="O34" i="13" s="1"/>
  <c r="AM33" i="13"/>
  <c r="AI33" i="13"/>
  <c r="AQ33" i="13" s="1"/>
  <c r="Q33" i="13"/>
  <c r="P33" i="13" s="1"/>
  <c r="M33" i="13"/>
  <c r="K33" i="13"/>
  <c r="O33" i="13" s="1"/>
  <c r="AM32" i="13"/>
  <c r="AI32" i="13"/>
  <c r="AH32" i="13" s="1"/>
  <c r="AP32" i="13" s="1"/>
  <c r="Q32" i="13"/>
  <c r="P32" i="13" s="1"/>
  <c r="AA32" i="13" s="1"/>
  <c r="M32" i="13"/>
  <c r="K32" i="13"/>
  <c r="O32" i="13" s="1"/>
  <c r="AM31" i="13"/>
  <c r="AI31" i="13"/>
  <c r="AH31" i="13" s="1"/>
  <c r="AP31" i="13" s="1"/>
  <c r="Q31" i="13"/>
  <c r="M31" i="13"/>
  <c r="K31" i="13"/>
  <c r="AM30" i="13"/>
  <c r="AI30" i="13"/>
  <c r="AQ30" i="13" s="1"/>
  <c r="Q30" i="13"/>
  <c r="P30" i="13" s="1"/>
  <c r="M30" i="13"/>
  <c r="K30" i="13"/>
  <c r="O30" i="13" s="1"/>
  <c r="AM29" i="13"/>
  <c r="AI29" i="13"/>
  <c r="AH29" i="13" s="1"/>
  <c r="AP29" i="13" s="1"/>
  <c r="Q29" i="13"/>
  <c r="P29" i="13" s="1"/>
  <c r="Z29" i="13" s="1"/>
  <c r="M29" i="13"/>
  <c r="K29" i="13"/>
  <c r="AM28" i="13"/>
  <c r="AI28" i="13"/>
  <c r="AQ28" i="13" s="1"/>
  <c r="AH28" i="13"/>
  <c r="AP28" i="13" s="1"/>
  <c r="Q28" i="13"/>
  <c r="P28" i="13" s="1"/>
  <c r="M28" i="13"/>
  <c r="K28" i="13"/>
  <c r="AM27" i="13"/>
  <c r="AI27" i="13"/>
  <c r="Q27" i="13"/>
  <c r="M27" i="13"/>
  <c r="K27" i="13"/>
  <c r="AM26" i="13"/>
  <c r="AI26" i="13"/>
  <c r="AQ26" i="13" s="1"/>
  <c r="Q26" i="13"/>
  <c r="P26" i="13"/>
  <c r="AA26" i="13" s="1"/>
  <c r="M26" i="13"/>
  <c r="K26" i="13"/>
  <c r="O26" i="13" s="1"/>
  <c r="AM25" i="13"/>
  <c r="AI25" i="13"/>
  <c r="AQ25" i="13" s="1"/>
  <c r="Q25" i="13"/>
  <c r="P25" i="13" s="1"/>
  <c r="M25" i="13"/>
  <c r="K25" i="13"/>
  <c r="Q24" i="13"/>
  <c r="P24" i="13"/>
  <c r="M24" i="13"/>
  <c r="K24" i="13"/>
  <c r="O24" i="13" s="1"/>
  <c r="AM23" i="13"/>
  <c r="AI23" i="13"/>
  <c r="Q23" i="13"/>
  <c r="M23" i="13"/>
  <c r="K23" i="13"/>
  <c r="AM22" i="13"/>
  <c r="AI22" i="13"/>
  <c r="AQ22" i="13" s="1"/>
  <c r="Q22" i="13"/>
  <c r="P22" i="13" s="1"/>
  <c r="AA22" i="13" s="1"/>
  <c r="M22" i="13"/>
  <c r="K22" i="13"/>
  <c r="AM21" i="13"/>
  <c r="AI21" i="13"/>
  <c r="AQ21" i="13" s="1"/>
  <c r="Q21" i="13"/>
  <c r="P21" i="13" s="1"/>
  <c r="M21" i="13"/>
  <c r="K21" i="13"/>
  <c r="O21" i="13" s="1"/>
  <c r="AM20" i="13"/>
  <c r="AI20" i="13"/>
  <c r="AQ20" i="13" s="1"/>
  <c r="AH20" i="13"/>
  <c r="AP20" i="13" s="1"/>
  <c r="Q20" i="13"/>
  <c r="P20" i="13" s="1"/>
  <c r="M20" i="13"/>
  <c r="K20" i="13"/>
  <c r="AM19" i="13"/>
  <c r="AI19" i="13"/>
  <c r="AH19" i="13" s="1"/>
  <c r="AP19" i="13" s="1"/>
  <c r="Q19" i="13"/>
  <c r="M19" i="13"/>
  <c r="K19" i="13"/>
  <c r="O19" i="13" s="1"/>
  <c r="AM18" i="13"/>
  <c r="AI18" i="13"/>
  <c r="AQ18" i="13" s="1"/>
  <c r="Q18" i="13"/>
  <c r="P18" i="13" s="1"/>
  <c r="M18" i="13"/>
  <c r="K18" i="13"/>
  <c r="AM17" i="13"/>
  <c r="AI17" i="13"/>
  <c r="AH17" i="13" s="1"/>
  <c r="AP17" i="13" s="1"/>
  <c r="Q17" i="13"/>
  <c r="P17" i="13" s="1"/>
  <c r="S17" i="13" s="1"/>
  <c r="M17" i="13"/>
  <c r="K17" i="13"/>
  <c r="Q16" i="13"/>
  <c r="P16" i="13" s="1"/>
  <c r="S16" i="13" s="1"/>
  <c r="M16" i="13"/>
  <c r="K16" i="13"/>
  <c r="AM15" i="13"/>
  <c r="AI15" i="13"/>
  <c r="AQ15" i="13" s="1"/>
  <c r="Q15" i="13"/>
  <c r="P15" i="13"/>
  <c r="M15" i="13"/>
  <c r="K15" i="13"/>
  <c r="AM14" i="13"/>
  <c r="AI14" i="13"/>
  <c r="AQ14" i="13" s="1"/>
  <c r="Q14" i="13"/>
  <c r="P14" i="13" s="1"/>
  <c r="M14" i="13"/>
  <c r="K14" i="13"/>
  <c r="AM13" i="13"/>
  <c r="AI13" i="13"/>
  <c r="AH13" i="13" s="1"/>
  <c r="AP13" i="13" s="1"/>
  <c r="Q13" i="13"/>
  <c r="P13" i="13" s="1"/>
  <c r="S13" i="13" s="1"/>
  <c r="M13" i="13"/>
  <c r="O13" i="13" s="1"/>
  <c r="K13" i="13"/>
  <c r="Q12" i="13"/>
  <c r="P12" i="13" s="1"/>
  <c r="S12" i="13" s="1"/>
  <c r="M12" i="13"/>
  <c r="K12" i="13"/>
  <c r="AM9" i="13"/>
  <c r="AI9" i="13"/>
  <c r="AQ9" i="13" s="1"/>
  <c r="Q9" i="13"/>
  <c r="P9" i="13"/>
  <c r="M9" i="13"/>
  <c r="K9" i="13"/>
  <c r="AM8" i="13"/>
  <c r="AI8" i="13"/>
  <c r="AQ8" i="13" s="1"/>
  <c r="Q8" i="13"/>
  <c r="P8" i="13" s="1"/>
  <c r="M8" i="13"/>
  <c r="O8" i="13" s="1"/>
  <c r="K8" i="13"/>
  <c r="AM7" i="13"/>
  <c r="AI7" i="13"/>
  <c r="AH7" i="13" s="1"/>
  <c r="AP7" i="13" s="1"/>
  <c r="Q7" i="13"/>
  <c r="P7" i="13" s="1"/>
  <c r="M7" i="13"/>
  <c r="K7" i="13"/>
  <c r="AM6" i="13"/>
  <c r="AI6" i="13"/>
  <c r="Q6" i="13"/>
  <c r="S6" i="13" s="1"/>
  <c r="M6" i="13"/>
  <c r="K6" i="13"/>
  <c r="O6" i="13" s="1"/>
  <c r="AM5" i="13"/>
  <c r="AI5" i="13"/>
  <c r="AQ5" i="13" s="1"/>
  <c r="Q5" i="13"/>
  <c r="P5" i="13" s="1"/>
  <c r="M5" i="13"/>
  <c r="K5" i="13"/>
  <c r="AM4" i="13"/>
  <c r="AI4" i="13"/>
  <c r="AH4" i="13" s="1"/>
  <c r="Q4" i="13"/>
  <c r="R4" i="13" s="1"/>
  <c r="M4" i="13"/>
  <c r="U4" i="13" s="1"/>
  <c r="K4" i="13"/>
  <c r="T4" i="13" s="1"/>
  <c r="AM3" i="13"/>
  <c r="M3" i="13"/>
  <c r="K3" i="13"/>
  <c r="Y12" i="8"/>
  <c r="M36" i="8"/>
  <c r="K36" i="8" s="1"/>
  <c r="F36" i="8" s="1"/>
  <c r="O5" i="13" l="1"/>
  <c r="O20" i="13"/>
  <c r="O23" i="13"/>
  <c r="O29" i="13"/>
  <c r="O25" i="13"/>
  <c r="U5" i="13"/>
  <c r="U6" i="13" s="1"/>
  <c r="U7" i="13" s="1"/>
  <c r="U8" i="13" s="1"/>
  <c r="U9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U29" i="13" s="1"/>
  <c r="U30" i="13" s="1"/>
  <c r="U31" i="13" s="1"/>
  <c r="U32" i="13" s="1"/>
  <c r="U33" i="13" s="1"/>
  <c r="U34" i="13" s="1"/>
  <c r="U35" i="13" s="1"/>
  <c r="U38" i="13" s="1"/>
  <c r="O9" i="13"/>
  <c r="AH25" i="13"/>
  <c r="AP25" i="13" s="1"/>
  <c r="R5" i="13"/>
  <c r="R6" i="13" s="1"/>
  <c r="AH22" i="13"/>
  <c r="AP22" i="13" s="1"/>
  <c r="O39" i="13"/>
  <c r="O16" i="13"/>
  <c r="O22" i="13"/>
  <c r="O3" i="13"/>
  <c r="S9" i="13"/>
  <c r="O15" i="13"/>
  <c r="AH30" i="13"/>
  <c r="AP30" i="13" s="1"/>
  <c r="AH33" i="13"/>
  <c r="AP33" i="13" s="1"/>
  <c r="AH18" i="13"/>
  <c r="AP18" i="13" s="1"/>
  <c r="AH26" i="13"/>
  <c r="AP26" i="13" s="1"/>
  <c r="T5" i="13"/>
  <c r="T6" i="13" s="1"/>
  <c r="T7" i="13" s="1"/>
  <c r="T8" i="13" s="1"/>
  <c r="T9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8" i="13" s="1"/>
  <c r="AH8" i="13"/>
  <c r="AP8" i="13" s="1"/>
  <c r="AA15" i="13"/>
  <c r="O17" i="13"/>
  <c r="Z7" i="13"/>
  <c r="O12" i="13"/>
  <c r="O14" i="13"/>
  <c r="AA20" i="13"/>
  <c r="AH21" i="13"/>
  <c r="AP21" i="13" s="1"/>
  <c r="O31" i="13"/>
  <c r="O40" i="13"/>
  <c r="Z4" i="13"/>
  <c r="AP4" i="13"/>
  <c r="AA28" i="13"/>
  <c r="Z28" i="13"/>
  <c r="S4" i="13"/>
  <c r="AQ4" i="13"/>
  <c r="AQ17" i="13"/>
  <c r="AQ7" i="13"/>
  <c r="AQ13" i="13"/>
  <c r="O18" i="13"/>
  <c r="S26" i="13"/>
  <c r="AQ29" i="13"/>
  <c r="AA4" i="13"/>
  <c r="AA9" i="13"/>
  <c r="S15" i="13"/>
  <c r="O28" i="13"/>
  <c r="R7" i="13"/>
  <c r="R8" i="13" s="1"/>
  <c r="R9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8" i="13" s="1"/>
  <c r="R39" i="13" s="1"/>
  <c r="R40" i="13" s="1"/>
  <c r="R41" i="13" s="1"/>
  <c r="S5" i="13"/>
  <c r="AH15" i="13"/>
  <c r="AP15" i="13" s="1"/>
  <c r="S24" i="13"/>
  <c r="S22" i="13"/>
  <c r="O4" i="13"/>
  <c r="AH9" i="13"/>
  <c r="AP9" i="13" s="1"/>
  <c r="AH14" i="13"/>
  <c r="AP14" i="13" s="1"/>
  <c r="O27" i="13"/>
  <c r="S28" i="13"/>
  <c r="AQ32" i="13"/>
  <c r="O35" i="13"/>
  <c r="AF43" i="13"/>
  <c r="AF44" i="13" s="1"/>
  <c r="AG44" i="13" s="1"/>
  <c r="AA18" i="13"/>
  <c r="X4" i="13"/>
  <c r="T39" i="13"/>
  <c r="T40" i="13" s="1"/>
  <c r="T41" i="13" s="1"/>
  <c r="AA14" i="13"/>
  <c r="AA25" i="13"/>
  <c r="S25" i="13"/>
  <c r="Z25" i="13"/>
  <c r="S29" i="13"/>
  <c r="P27" i="13"/>
  <c r="S27" i="13" s="1"/>
  <c r="S32" i="13"/>
  <c r="AA8" i="13"/>
  <c r="Z8" i="13"/>
  <c r="S20" i="13"/>
  <c r="AH27" i="13"/>
  <c r="AP27" i="13" s="1"/>
  <c r="AQ27" i="13"/>
  <c r="AA29" i="13"/>
  <c r="AA30" i="13"/>
  <c r="Z32" i="13"/>
  <c r="AF45" i="13"/>
  <c r="S7" i="13"/>
  <c r="AA6" i="13"/>
  <c r="AH6" i="13"/>
  <c r="AH23" i="13"/>
  <c r="AP23" i="13" s="1"/>
  <c r="AQ23" i="13"/>
  <c r="AH5" i="13"/>
  <c r="AP5" i="13" s="1"/>
  <c r="AQ6" i="13"/>
  <c r="S8" i="13"/>
  <c r="Z20" i="13"/>
  <c r="S30" i="13"/>
  <c r="AA33" i="13"/>
  <c r="Z5" i="13"/>
  <c r="AA5" i="13"/>
  <c r="Z13" i="13"/>
  <c r="Z17" i="13"/>
  <c r="P35" i="13"/>
  <c r="Z35" i="13" s="1"/>
  <c r="X35" i="13" s="1"/>
  <c r="V35" i="13" s="1"/>
  <c r="K36" i="13" s="1"/>
  <c r="T36" i="13" s="1"/>
  <c r="S35" i="13"/>
  <c r="AA7" i="13"/>
  <c r="AA13" i="13"/>
  <c r="AA17" i="13"/>
  <c r="S33" i="13"/>
  <c r="O7" i="13"/>
  <c r="S14" i="13"/>
  <c r="S18" i="13"/>
  <c r="AA21" i="13"/>
  <c r="S21" i="13"/>
  <c r="Z21" i="13"/>
  <c r="P23" i="13"/>
  <c r="S23" i="13" s="1"/>
  <c r="AH35" i="13"/>
  <c r="AP35" i="13" s="1"/>
  <c r="AQ35" i="13"/>
  <c r="AQ19" i="13"/>
  <c r="AQ31" i="13"/>
  <c r="P19" i="13"/>
  <c r="S19" i="13" s="1"/>
  <c r="P31" i="13"/>
  <c r="AQ34" i="13"/>
  <c r="P34" i="13"/>
  <c r="Z9" i="13"/>
  <c r="Z22" i="13"/>
  <c r="Z26" i="13"/>
  <c r="AI5" i="8"/>
  <c r="AI4" i="8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9" i="8"/>
  <c r="Q8" i="8"/>
  <c r="Q7" i="8"/>
  <c r="Q6" i="8"/>
  <c r="Q5" i="8"/>
  <c r="Q4" i="8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R4" i="1"/>
  <c r="V34" i="13" l="1"/>
  <c r="V30" i="13"/>
  <c r="V15" i="13"/>
  <c r="V31" i="13"/>
  <c r="V26" i="13"/>
  <c r="V11" i="13"/>
  <c r="V13" i="13"/>
  <c r="V12" i="13"/>
  <c r="V17" i="13"/>
  <c r="V33" i="13"/>
  <c r="V32" i="13"/>
  <c r="V16" i="13"/>
  <c r="V28" i="13"/>
  <c r="V19" i="13"/>
  <c r="V8" i="13"/>
  <c r="V6" i="13"/>
  <c r="V27" i="13"/>
  <c r="V22" i="13"/>
  <c r="V5" i="13"/>
  <c r="V21" i="13"/>
  <c r="V10" i="13"/>
  <c r="V29" i="13"/>
  <c r="V7" i="13"/>
  <c r="V23" i="13"/>
  <c r="V14" i="13"/>
  <c r="V20" i="13"/>
  <c r="V24" i="13"/>
  <c r="V4" i="13"/>
  <c r="V9" i="13"/>
  <c r="V25" i="13"/>
  <c r="V18" i="13"/>
  <c r="Y19" i="13"/>
  <c r="Y27" i="13"/>
  <c r="Y5" i="13"/>
  <c r="Y9" i="13"/>
  <c r="Y13" i="13"/>
  <c r="Y17" i="13"/>
  <c r="Y21" i="13"/>
  <c r="Y25" i="13"/>
  <c r="Y29" i="13"/>
  <c r="Y33" i="13"/>
  <c r="Y23" i="13"/>
  <c r="Y15" i="13"/>
  <c r="Y34" i="13"/>
  <c r="Y6" i="13"/>
  <c r="Y10" i="13"/>
  <c r="Y14" i="13"/>
  <c r="Y18" i="13"/>
  <c r="Y22" i="13"/>
  <c r="Y26" i="13"/>
  <c r="Y30" i="13"/>
  <c r="Y7" i="13"/>
  <c r="Y8" i="13"/>
  <c r="Y12" i="13"/>
  <c r="Y16" i="13"/>
  <c r="Y20" i="13"/>
  <c r="Y24" i="13"/>
  <c r="Y28" i="13"/>
  <c r="Y32" i="13"/>
  <c r="Y11" i="13"/>
  <c r="Y31" i="13"/>
  <c r="Z15" i="13"/>
  <c r="Z30" i="13"/>
  <c r="S34" i="13"/>
  <c r="Z34" i="13"/>
  <c r="AA34" i="13"/>
  <c r="X5" i="13"/>
  <c r="X9" i="13"/>
  <c r="X13" i="13"/>
  <c r="X17" i="13"/>
  <c r="X21" i="13"/>
  <c r="X25" i="13"/>
  <c r="X29" i="13"/>
  <c r="X33" i="13"/>
  <c r="X8" i="13"/>
  <c r="X24" i="13"/>
  <c r="X34" i="13"/>
  <c r="X6" i="13"/>
  <c r="X10" i="13"/>
  <c r="X14" i="13"/>
  <c r="X18" i="13"/>
  <c r="X22" i="13"/>
  <c r="X26" i="13"/>
  <c r="X30" i="13"/>
  <c r="X12" i="13"/>
  <c r="X32" i="13"/>
  <c r="X16" i="13"/>
  <c r="X28" i="13"/>
  <c r="X7" i="13"/>
  <c r="X11" i="13"/>
  <c r="X15" i="13"/>
  <c r="X19" i="13"/>
  <c r="X23" i="13"/>
  <c r="X27" i="13"/>
  <c r="X31" i="13"/>
  <c r="X20" i="13"/>
  <c r="V38" i="13"/>
  <c r="X38" i="13"/>
  <c r="Z33" i="13"/>
  <c r="Z18" i="13"/>
  <c r="Z14" i="13"/>
  <c r="AG43" i="13"/>
  <c r="U39" i="13"/>
  <c r="U40" i="13" s="1"/>
  <c r="U41" i="13" s="1"/>
  <c r="O42" i="13" s="1"/>
  <c r="Y38" i="13"/>
  <c r="W38" i="13"/>
  <c r="Y4" i="13"/>
  <c r="Z6" i="13"/>
  <c r="AP6" i="13"/>
  <c r="AA23" i="13"/>
  <c r="Z23" i="13"/>
  <c r="AA35" i="13"/>
  <c r="Y35" i="13" s="1"/>
  <c r="W35" i="13" s="1"/>
  <c r="M36" i="13" s="1"/>
  <c r="U36" i="13" s="1"/>
  <c r="AA31" i="13"/>
  <c r="Z31" i="13"/>
  <c r="AA19" i="13"/>
  <c r="Z19" i="13"/>
  <c r="AA27" i="13"/>
  <c r="Z27" i="13"/>
  <c r="AF46" i="13"/>
  <c r="AG45" i="13"/>
  <c r="S31" i="13"/>
  <c r="AD38" i="2"/>
  <c r="W34" i="13" l="1"/>
  <c r="W16" i="13"/>
  <c r="W32" i="13"/>
  <c r="W17" i="13"/>
  <c r="W33" i="13"/>
  <c r="W31" i="13"/>
  <c r="W18" i="13"/>
  <c r="W4" i="13"/>
  <c r="W19" i="13"/>
  <c r="W14" i="13"/>
  <c r="W20" i="13"/>
  <c r="W5" i="13"/>
  <c r="W21" i="13"/>
  <c r="W30" i="13"/>
  <c r="W6" i="13"/>
  <c r="W22" i="13"/>
  <c r="W7" i="13"/>
  <c r="W23" i="13"/>
  <c r="W12" i="13"/>
  <c r="W29" i="13"/>
  <c r="W15" i="13"/>
  <c r="W8" i="13"/>
  <c r="W24" i="13"/>
  <c r="W9" i="13"/>
  <c r="W25" i="13"/>
  <c r="W13" i="13"/>
  <c r="W10" i="13"/>
  <c r="W26" i="13"/>
  <c r="W11" i="13"/>
  <c r="W27" i="13"/>
  <c r="W28" i="13"/>
  <c r="AG46" i="13"/>
  <c r="AF47" i="13"/>
  <c r="E47" i="11"/>
  <c r="G47" i="11"/>
  <c r="E33" i="11"/>
  <c r="G33" i="11"/>
  <c r="G21" i="11"/>
  <c r="E21" i="1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3" i="1"/>
  <c r="T4" i="1" s="1"/>
  <c r="I21" i="1"/>
  <c r="AF48" i="13" l="1"/>
  <c r="AG47" i="13"/>
  <c r="AQ5" i="8"/>
  <c r="AQ4" i="8"/>
  <c r="AM35" i="8"/>
  <c r="AM34" i="8"/>
  <c r="AM33" i="8"/>
  <c r="AM32" i="8"/>
  <c r="AM31" i="8"/>
  <c r="AM30" i="8"/>
  <c r="AM29" i="8"/>
  <c r="AM28" i="8"/>
  <c r="AM27" i="8"/>
  <c r="AM26" i="8"/>
  <c r="AM25" i="8"/>
  <c r="AM23" i="8"/>
  <c r="AM22" i="8"/>
  <c r="AM21" i="8"/>
  <c r="AM20" i="8"/>
  <c r="AM19" i="8"/>
  <c r="AM18" i="8"/>
  <c r="AM17" i="8"/>
  <c r="AM15" i="8"/>
  <c r="AM14" i="8"/>
  <c r="AM13" i="8"/>
  <c r="AM9" i="8"/>
  <c r="AM8" i="8"/>
  <c r="AM7" i="8"/>
  <c r="AM6" i="8"/>
  <c r="AM5" i="8"/>
  <c r="AM4" i="8"/>
  <c r="AM3" i="8"/>
  <c r="P35" i="8"/>
  <c r="AG39" i="8"/>
  <c r="AF40" i="8"/>
  <c r="AG40" i="8" s="1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S3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M39" i="8"/>
  <c r="M38" i="8"/>
  <c r="M37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9" i="8"/>
  <c r="M8" i="8"/>
  <c r="M7" i="8"/>
  <c r="M6" i="8"/>
  <c r="M5" i="8"/>
  <c r="O5" i="8" s="1"/>
  <c r="M4" i="8"/>
  <c r="U4" i="8" s="1"/>
  <c r="M3" i="8"/>
  <c r="K39" i="8"/>
  <c r="K38" i="8"/>
  <c r="K37" i="8"/>
  <c r="K35" i="8"/>
  <c r="K34" i="8"/>
  <c r="K33" i="8"/>
  <c r="O33" i="8" s="1"/>
  <c r="K32" i="8"/>
  <c r="O32" i="8" s="1"/>
  <c r="K31" i="8"/>
  <c r="K30" i="8"/>
  <c r="K29" i="8"/>
  <c r="K28" i="8"/>
  <c r="K27" i="8"/>
  <c r="K26" i="8"/>
  <c r="K25" i="8"/>
  <c r="O25" i="8" s="1"/>
  <c r="K24" i="8"/>
  <c r="K23" i="8"/>
  <c r="K22" i="8"/>
  <c r="K21" i="8"/>
  <c r="O21" i="8" s="1"/>
  <c r="K20" i="8"/>
  <c r="K19" i="8"/>
  <c r="K18" i="8"/>
  <c r="K17" i="8"/>
  <c r="O17" i="8" s="1"/>
  <c r="K16" i="8"/>
  <c r="K15" i="8"/>
  <c r="K14" i="8"/>
  <c r="K13" i="8"/>
  <c r="O13" i="8" s="1"/>
  <c r="K12" i="8"/>
  <c r="K9" i="8"/>
  <c r="K8" i="8"/>
  <c r="K7" i="8"/>
  <c r="O7" i="8" s="1"/>
  <c r="K6" i="8"/>
  <c r="O6" i="8" s="1"/>
  <c r="K5" i="8"/>
  <c r="K4" i="8"/>
  <c r="T4" i="8" s="1"/>
  <c r="T5" i="8" s="1"/>
  <c r="K3" i="8"/>
  <c r="O3" i="8" s="1"/>
  <c r="AI35" i="8"/>
  <c r="AH35" i="8" s="1"/>
  <c r="AP35" i="8" s="1"/>
  <c r="AI34" i="8"/>
  <c r="AH34" i="8" s="1"/>
  <c r="AP34" i="8" s="1"/>
  <c r="AI33" i="8"/>
  <c r="AH33" i="8" s="1"/>
  <c r="AP33" i="8" s="1"/>
  <c r="AI32" i="8"/>
  <c r="AH32" i="8" s="1"/>
  <c r="AP32" i="8" s="1"/>
  <c r="AI31" i="8"/>
  <c r="AH31" i="8" s="1"/>
  <c r="AP31" i="8" s="1"/>
  <c r="AI30" i="8"/>
  <c r="AH30" i="8" s="1"/>
  <c r="AP30" i="8" s="1"/>
  <c r="AI29" i="8"/>
  <c r="AH29" i="8" s="1"/>
  <c r="AP29" i="8" s="1"/>
  <c r="AI28" i="8"/>
  <c r="AH28" i="8" s="1"/>
  <c r="AP28" i="8" s="1"/>
  <c r="AI27" i="8"/>
  <c r="AH27" i="8" s="1"/>
  <c r="AP27" i="8" s="1"/>
  <c r="AI26" i="8"/>
  <c r="AH26" i="8" s="1"/>
  <c r="AP26" i="8" s="1"/>
  <c r="AI25" i="8"/>
  <c r="AH25" i="8" s="1"/>
  <c r="AP25" i="8" s="1"/>
  <c r="AI23" i="8"/>
  <c r="AH23" i="8" s="1"/>
  <c r="AP23" i="8" s="1"/>
  <c r="AI22" i="8"/>
  <c r="AH22" i="8" s="1"/>
  <c r="AP22" i="8" s="1"/>
  <c r="AI21" i="8"/>
  <c r="AH21" i="8" s="1"/>
  <c r="AP21" i="8" s="1"/>
  <c r="AI20" i="8"/>
  <c r="AH20" i="8" s="1"/>
  <c r="AP20" i="8" s="1"/>
  <c r="AI19" i="8"/>
  <c r="AH19" i="8" s="1"/>
  <c r="AP19" i="8" s="1"/>
  <c r="AI18" i="8"/>
  <c r="AH18" i="8" s="1"/>
  <c r="AP18" i="8" s="1"/>
  <c r="AI17" i="8"/>
  <c r="AH17" i="8" s="1"/>
  <c r="AP17" i="8" s="1"/>
  <c r="AI15" i="8"/>
  <c r="AH15" i="8" s="1"/>
  <c r="AP15" i="8" s="1"/>
  <c r="AI14" i="8"/>
  <c r="AH14" i="8" s="1"/>
  <c r="AP14" i="8" s="1"/>
  <c r="AI13" i="8"/>
  <c r="AH13" i="8" s="1"/>
  <c r="AP13" i="8" s="1"/>
  <c r="AI9" i="8"/>
  <c r="AH9" i="8" s="1"/>
  <c r="AP9" i="8" s="1"/>
  <c r="Y40" i="8"/>
  <c r="S36" i="8"/>
  <c r="S39" i="8"/>
  <c r="S38" i="8"/>
  <c r="S37" i="8"/>
  <c r="S35" i="8"/>
  <c r="P34" i="8"/>
  <c r="P33" i="8"/>
  <c r="S33" i="8" s="1"/>
  <c r="P32" i="8"/>
  <c r="P26" i="8"/>
  <c r="P25" i="8"/>
  <c r="P24" i="8"/>
  <c r="P31" i="8"/>
  <c r="S31" i="8" s="1"/>
  <c r="P30" i="8"/>
  <c r="S30" i="8" s="1"/>
  <c r="P28" i="8"/>
  <c r="P27" i="8"/>
  <c r="P22" i="8"/>
  <c r="P14" i="8"/>
  <c r="P13" i="8"/>
  <c r="P12" i="8"/>
  <c r="S12" i="8" s="1"/>
  <c r="R4" i="8"/>
  <c r="R5" i="8" s="1"/>
  <c r="P9" i="8"/>
  <c r="S9" i="8" s="1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O38" i="8"/>
  <c r="O29" i="8"/>
  <c r="O20" i="8"/>
  <c r="O9" i="8"/>
  <c r="P21" i="8"/>
  <c r="P20" i="8"/>
  <c r="AI8" i="8"/>
  <c r="AH8" i="8" s="1"/>
  <c r="AP8" i="8" s="1"/>
  <c r="AI7" i="8"/>
  <c r="AH7" i="8" s="1"/>
  <c r="AP7" i="8" s="1"/>
  <c r="P7" i="8"/>
  <c r="AI6" i="8"/>
  <c r="AH6" i="8" s="1"/>
  <c r="AP6" i="8" s="1"/>
  <c r="S6" i="8"/>
  <c r="AH5" i="8"/>
  <c r="AP5" i="8" s="1"/>
  <c r="AH4" i="8"/>
  <c r="AP4" i="8" s="1"/>
  <c r="S4" i="8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55" i="7"/>
  <c r="I54" i="7"/>
  <c r="I53" i="7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X2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I22" i="1" s="1"/>
  <c r="AF49" i="13" l="1"/>
  <c r="AG48" i="13"/>
  <c r="O19" i="8"/>
  <c r="T6" i="8"/>
  <c r="O14" i="8"/>
  <c r="O22" i="8"/>
  <c r="O30" i="8"/>
  <c r="O39" i="8"/>
  <c r="O28" i="8"/>
  <c r="AQ25" i="8"/>
  <c r="O15" i="8"/>
  <c r="O23" i="8"/>
  <c r="O31" i="8"/>
  <c r="AQ15" i="8"/>
  <c r="AQ29" i="8"/>
  <c r="AQ33" i="8"/>
  <c r="O12" i="8"/>
  <c r="O37" i="8"/>
  <c r="O8" i="8"/>
  <c r="O18" i="8"/>
  <c r="O26" i="8"/>
  <c r="O34" i="8"/>
  <c r="AQ20" i="8"/>
  <c r="AQ7" i="8"/>
  <c r="AQ14" i="8"/>
  <c r="AQ19" i="8"/>
  <c r="AQ23" i="8"/>
  <c r="AQ28" i="8"/>
  <c r="AQ32" i="8"/>
  <c r="AA35" i="8"/>
  <c r="AQ8" i="8"/>
  <c r="Z6" i="8"/>
  <c r="T7" i="8"/>
  <c r="T8" i="8" s="1"/>
  <c r="T9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AQ9" i="8"/>
  <c r="AQ17" i="8"/>
  <c r="AQ21" i="8"/>
  <c r="AQ26" i="8"/>
  <c r="AQ30" i="8"/>
  <c r="AQ34" i="8"/>
  <c r="U5" i="8"/>
  <c r="U6" i="8" s="1"/>
  <c r="U7" i="8" s="1"/>
  <c r="U8" i="8" s="1"/>
  <c r="U9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AQ6" i="8"/>
  <c r="AQ13" i="8"/>
  <c r="AQ18" i="8"/>
  <c r="AQ22" i="8"/>
  <c r="AQ27" i="8"/>
  <c r="AQ31" i="8"/>
  <c r="AQ35" i="8"/>
  <c r="AA34" i="8"/>
  <c r="Z28" i="8"/>
  <c r="AA26" i="8"/>
  <c r="Z30" i="8"/>
  <c r="AA27" i="8"/>
  <c r="S27" i="8"/>
  <c r="AA14" i="8"/>
  <c r="AA21" i="8"/>
  <c r="S28" i="8"/>
  <c r="Z32" i="8"/>
  <c r="AA25" i="8"/>
  <c r="AA30" i="8"/>
  <c r="S25" i="8"/>
  <c r="AA31" i="8"/>
  <c r="S32" i="8"/>
  <c r="AA33" i="8"/>
  <c r="AA7" i="8"/>
  <c r="S13" i="8"/>
  <c r="AA13" i="8"/>
  <c r="AA22" i="8"/>
  <c r="S22" i="8"/>
  <c r="Z20" i="8"/>
  <c r="Z22" i="8"/>
  <c r="P19" i="8"/>
  <c r="Z19" i="8" s="1"/>
  <c r="P29" i="8"/>
  <c r="S26" i="8"/>
  <c r="S34" i="8"/>
  <c r="Z31" i="8"/>
  <c r="O27" i="8"/>
  <c r="O35" i="8"/>
  <c r="Z14" i="8"/>
  <c r="P5" i="8"/>
  <c r="Z25" i="8"/>
  <c r="Z26" i="8"/>
  <c r="AA32" i="8"/>
  <c r="S14" i="8"/>
  <c r="Z4" i="8"/>
  <c r="P8" i="8"/>
  <c r="S8" i="8" s="1"/>
  <c r="Z27" i="8"/>
  <c r="Z33" i="8"/>
  <c r="AF41" i="8"/>
  <c r="P18" i="8"/>
  <c r="P15" i="8"/>
  <c r="P23" i="8"/>
  <c r="AA4" i="8"/>
  <c r="Z34" i="8"/>
  <c r="S7" i="8"/>
  <c r="P16" i="8"/>
  <c r="S16" i="8" s="1"/>
  <c r="Z9" i="8"/>
  <c r="AA20" i="8"/>
  <c r="AA28" i="8"/>
  <c r="Z35" i="8"/>
  <c r="O4" i="8"/>
  <c r="P17" i="8"/>
  <c r="S24" i="8"/>
  <c r="Z13" i="8"/>
  <c r="Z21" i="8"/>
  <c r="Z29" i="8"/>
  <c r="AA6" i="8"/>
  <c r="O16" i="8"/>
  <c r="O24" i="8"/>
  <c r="AA9" i="8"/>
  <c r="Z7" i="8"/>
  <c r="S20" i="8"/>
  <c r="S21" i="8"/>
  <c r="R6" i="8"/>
  <c r="R7" i="8" s="1"/>
  <c r="R8" i="8" s="1"/>
  <c r="R9" i="8" s="1"/>
  <c r="R12" i="8" s="1"/>
  <c r="Z21" i="1"/>
  <c r="Z13" i="1"/>
  <c r="Z5" i="1"/>
  <c r="Z20" i="1"/>
  <c r="Z12" i="1"/>
  <c r="Z4" i="1"/>
  <c r="Z19" i="1"/>
  <c r="Z11" i="1"/>
  <c r="Z3" i="1"/>
  <c r="Z18" i="1"/>
  <c r="Z10" i="1"/>
  <c r="Z17" i="1"/>
  <c r="Z9" i="1"/>
  <c r="X3" i="1"/>
  <c r="Z7" i="1"/>
  <c r="Z16" i="1"/>
  <c r="Z8" i="1"/>
  <c r="Z15" i="1"/>
  <c r="Z14" i="1"/>
  <c r="Z6" i="1"/>
  <c r="Y18" i="1"/>
  <c r="Y10" i="1"/>
  <c r="Y20" i="1"/>
  <c r="Y17" i="1"/>
  <c r="Y9" i="1"/>
  <c r="Y12" i="1"/>
  <c r="Y16" i="1"/>
  <c r="Y8" i="1"/>
  <c r="Y15" i="1"/>
  <c r="Y7" i="1"/>
  <c r="W3" i="1"/>
  <c r="Y4" i="1"/>
  <c r="Y14" i="1"/>
  <c r="Y6" i="1"/>
  <c r="Y21" i="1"/>
  <c r="Y13" i="1"/>
  <c r="Y5" i="1"/>
  <c r="Y19" i="1"/>
  <c r="Y11" i="1"/>
  <c r="Y3" i="1"/>
  <c r="AF50" i="13" l="1"/>
  <c r="AG50" i="13" s="1"/>
  <c r="AG49" i="13"/>
  <c r="U37" i="8"/>
  <c r="U38" i="8" s="1"/>
  <c r="U39" i="8" s="1"/>
  <c r="Y4" i="8"/>
  <c r="Y9" i="8"/>
  <c r="Y11" i="8"/>
  <c r="Y17" i="8"/>
  <c r="Y23" i="8"/>
  <c r="Y29" i="8"/>
  <c r="Y35" i="8"/>
  <c r="W5" i="8"/>
  <c r="W7" i="8"/>
  <c r="W9" i="8"/>
  <c r="W11" i="8"/>
  <c r="W13" i="8"/>
  <c r="W15" i="8"/>
  <c r="W17" i="8"/>
  <c r="W19" i="8"/>
  <c r="AG19" i="8" s="1"/>
  <c r="AO19" i="8" s="1"/>
  <c r="W21" i="8"/>
  <c r="W23" i="8"/>
  <c r="W25" i="8"/>
  <c r="W27" i="8"/>
  <c r="W29" i="8"/>
  <c r="W31" i="8"/>
  <c r="W33" i="8"/>
  <c r="W35" i="8"/>
  <c r="Y7" i="8"/>
  <c r="Y15" i="8"/>
  <c r="Y21" i="8"/>
  <c r="Y27" i="8"/>
  <c r="Y33" i="8"/>
  <c r="W4" i="8"/>
  <c r="Y5" i="8"/>
  <c r="Y13" i="8"/>
  <c r="Y19" i="8"/>
  <c r="Y25" i="8"/>
  <c r="Y31" i="8"/>
  <c r="W6" i="8"/>
  <c r="W8" i="8"/>
  <c r="AG8" i="8" s="1"/>
  <c r="AO8" i="8" s="1"/>
  <c r="W10" i="8"/>
  <c r="W12" i="8"/>
  <c r="W14" i="8"/>
  <c r="W16" i="8"/>
  <c r="W18" i="8"/>
  <c r="W20" i="8"/>
  <c r="W22" i="8"/>
  <c r="W24" i="8"/>
  <c r="W26" i="8"/>
  <c r="W28" i="8"/>
  <c r="W30" i="8"/>
  <c r="AG30" i="8" s="1"/>
  <c r="AO30" i="8" s="1"/>
  <c r="W32" i="8"/>
  <c r="W34" i="8"/>
  <c r="Y8" i="8"/>
  <c r="Y14" i="8"/>
  <c r="Y18" i="8"/>
  <c r="Y24" i="8"/>
  <c r="Y28" i="8"/>
  <c r="Y32" i="8"/>
  <c r="Y6" i="8"/>
  <c r="Y10" i="8"/>
  <c r="Y16" i="8"/>
  <c r="Y20" i="8"/>
  <c r="AG20" i="8" s="1"/>
  <c r="AO20" i="8" s="1"/>
  <c r="Y22" i="8"/>
  <c r="AG22" i="8" s="1"/>
  <c r="AO22" i="8" s="1"/>
  <c r="Y26" i="8"/>
  <c r="Y30" i="8"/>
  <c r="Y34" i="8"/>
  <c r="AF3" i="1"/>
  <c r="AA15" i="8"/>
  <c r="AA18" i="8"/>
  <c r="AA17" i="8"/>
  <c r="Z17" i="8"/>
  <c r="AA29" i="8"/>
  <c r="AA23" i="8"/>
  <c r="AA19" i="8"/>
  <c r="T30" i="8"/>
  <c r="T31" i="8" s="1"/>
  <c r="T32" i="8" s="1"/>
  <c r="T33" i="8" s="1"/>
  <c r="T34" i="8" s="1"/>
  <c r="T35" i="8" s="1"/>
  <c r="S23" i="8"/>
  <c r="AA5" i="8"/>
  <c r="Z5" i="8"/>
  <c r="S29" i="8"/>
  <c r="S15" i="8"/>
  <c r="S5" i="8"/>
  <c r="Z23" i="8"/>
  <c r="AA8" i="8"/>
  <c r="Z8" i="8"/>
  <c r="AF42" i="8"/>
  <c r="AG41" i="8"/>
  <c r="Z15" i="8"/>
  <c r="S17" i="8"/>
  <c r="Z18" i="8"/>
  <c r="S19" i="8"/>
  <c r="R13" i="8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S18" i="8"/>
  <c r="AG25" i="8"/>
  <c r="AO25" i="8" s="1"/>
  <c r="AG6" i="8"/>
  <c r="AO6" i="8" s="1"/>
  <c r="AG32" i="8"/>
  <c r="AO32" i="8" s="1"/>
  <c r="AG23" i="8"/>
  <c r="AO23" i="8" s="1"/>
  <c r="AG15" i="8"/>
  <c r="AO15" i="8" s="1"/>
  <c r="AG21" i="8"/>
  <c r="AO21" i="8" s="1"/>
  <c r="AG9" i="8"/>
  <c r="AO9" i="8" s="1"/>
  <c r="AG34" i="8"/>
  <c r="AO34" i="8" s="1"/>
  <c r="AG26" i="8"/>
  <c r="AO26" i="8" s="1"/>
  <c r="AG18" i="8"/>
  <c r="AO18" i="8" s="1"/>
  <c r="AG7" i="8"/>
  <c r="AO7" i="8" s="1"/>
  <c r="AE3" i="1"/>
  <c r="X13" i="8" l="1"/>
  <c r="X12" i="8"/>
  <c r="AG29" i="8"/>
  <c r="AO29" i="8" s="1"/>
  <c r="AG17" i="8"/>
  <c r="AO17" i="8" s="1"/>
  <c r="AG28" i="8"/>
  <c r="AO28" i="8" s="1"/>
  <c r="AG5" i="8"/>
  <c r="AO5" i="8" s="1"/>
  <c r="T37" i="8"/>
  <c r="T38" i="8" s="1"/>
  <c r="V5" i="8"/>
  <c r="V7" i="8"/>
  <c r="V9" i="8"/>
  <c r="V11" i="8"/>
  <c r="V13" i="8"/>
  <c r="AF13" i="8" s="1"/>
  <c r="V15" i="8"/>
  <c r="V17" i="8"/>
  <c r="V19" i="8"/>
  <c r="V21" i="8"/>
  <c r="V23" i="8"/>
  <c r="V25" i="8"/>
  <c r="V27" i="8"/>
  <c r="V29" i="8"/>
  <c r="V31" i="8"/>
  <c r="V33" i="8"/>
  <c r="V35" i="8"/>
  <c r="V8" i="8"/>
  <c r="V14" i="8"/>
  <c r="V20" i="8"/>
  <c r="V26" i="8"/>
  <c r="V32" i="8"/>
  <c r="X4" i="8"/>
  <c r="V4" i="8"/>
  <c r="V10" i="8"/>
  <c r="V16" i="8"/>
  <c r="V22" i="8"/>
  <c r="V28" i="8"/>
  <c r="AD28" i="8" s="1"/>
  <c r="V34" i="8"/>
  <c r="X5" i="8"/>
  <c r="X7" i="8"/>
  <c r="X9" i="8"/>
  <c r="X11" i="8"/>
  <c r="X15" i="8"/>
  <c r="X17" i="8"/>
  <c r="X19" i="8"/>
  <c r="X21" i="8"/>
  <c r="X23" i="8"/>
  <c r="X25" i="8"/>
  <c r="X27" i="8"/>
  <c r="X29" i="8"/>
  <c r="X31" i="8"/>
  <c r="X33" i="8"/>
  <c r="X35" i="8"/>
  <c r="V6" i="8"/>
  <c r="V12" i="8"/>
  <c r="V18" i="8"/>
  <c r="V24" i="8"/>
  <c r="V30" i="8"/>
  <c r="X6" i="8"/>
  <c r="X8" i="8"/>
  <c r="X10" i="8"/>
  <c r="X14" i="8"/>
  <c r="X16" i="8"/>
  <c r="X18" i="8"/>
  <c r="X20" i="8"/>
  <c r="X22" i="8"/>
  <c r="X24" i="8"/>
  <c r="X26" i="8"/>
  <c r="X28" i="8"/>
  <c r="X30" i="8"/>
  <c r="X32" i="8"/>
  <c r="X34" i="8"/>
  <c r="AG33" i="8"/>
  <c r="AO33" i="8" s="1"/>
  <c r="AE35" i="8"/>
  <c r="AG35" i="8"/>
  <c r="AO35" i="8" s="1"/>
  <c r="AE27" i="8"/>
  <c r="AG27" i="8"/>
  <c r="AO27" i="8" s="1"/>
  <c r="AG4" i="8"/>
  <c r="AO4" i="8" s="1"/>
  <c r="AG13" i="8"/>
  <c r="AO13" i="8" s="1"/>
  <c r="AG14" i="8"/>
  <c r="AO14" i="8" s="1"/>
  <c r="AG31" i="8"/>
  <c r="AO31" i="8" s="1"/>
  <c r="AE34" i="8"/>
  <c r="AE28" i="8"/>
  <c r="AF43" i="8"/>
  <c r="AG42" i="8"/>
  <c r="AE23" i="8"/>
  <c r="AE30" i="8"/>
  <c r="AE26" i="8"/>
  <c r="AE4" i="8"/>
  <c r="AE29" i="8"/>
  <c r="AE31" i="8"/>
  <c r="AE24" i="8"/>
  <c r="AE32" i="8"/>
  <c r="AE25" i="8"/>
  <c r="AE33" i="8"/>
  <c r="AE5" i="8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Y35" i="1"/>
  <c r="Y34" i="1"/>
  <c r="AQ23" i="2"/>
  <c r="AR23" i="2" s="1"/>
  <c r="AQ22" i="2"/>
  <c r="AR22" i="2" s="1"/>
  <c r="AQ21" i="2"/>
  <c r="AR21" i="2" s="1"/>
  <c r="AQ20" i="2"/>
  <c r="AR20" i="2" s="1"/>
  <c r="AQ19" i="2"/>
  <c r="AR19" i="2" s="1"/>
  <c r="AQ18" i="2"/>
  <c r="AR18" i="2" s="1"/>
  <c r="AQ17" i="2"/>
  <c r="AR17" i="2" s="1"/>
  <c r="AQ16" i="2"/>
  <c r="AR16" i="2" s="1"/>
  <c r="AQ15" i="2"/>
  <c r="AR15" i="2" s="1"/>
  <c r="AQ14" i="2"/>
  <c r="AR14" i="2" s="1"/>
  <c r="AQ13" i="2"/>
  <c r="AR13" i="2" s="1"/>
  <c r="AQ12" i="2"/>
  <c r="AR12" i="2" s="1"/>
  <c r="AQ11" i="2"/>
  <c r="AR11" i="2" s="1"/>
  <c r="AQ10" i="2"/>
  <c r="AR10" i="2" s="1"/>
  <c r="AQ9" i="2"/>
  <c r="AR9" i="2" s="1"/>
  <c r="AQ8" i="2"/>
  <c r="AR8" i="2" s="1"/>
  <c r="AQ7" i="2"/>
  <c r="AR7" i="2" s="1"/>
  <c r="AQ6" i="2"/>
  <c r="AR6" i="2" s="1"/>
  <c r="AQ5" i="2"/>
  <c r="AR5" i="2" s="1"/>
  <c r="AQ4" i="2"/>
  <c r="AR4" i="2" s="1"/>
  <c r="AQ3" i="2"/>
  <c r="AR3" i="2" s="1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AM23" i="2"/>
  <c r="AN23" i="2" s="1"/>
  <c r="AM22" i="2"/>
  <c r="AN22" i="2" s="1"/>
  <c r="AM21" i="2"/>
  <c r="AN21" i="2" s="1"/>
  <c r="AM20" i="2"/>
  <c r="AN20" i="2" s="1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N4" i="2" s="1"/>
  <c r="AM3" i="2"/>
  <c r="AN3" i="2" s="1"/>
  <c r="E71" i="4"/>
  <c r="E68" i="4"/>
  <c r="E65" i="4"/>
  <c r="E62" i="4"/>
  <c r="E59" i="4"/>
  <c r="E56" i="4"/>
  <c r="E53" i="4"/>
  <c r="E50" i="4"/>
  <c r="E47" i="4"/>
  <c r="E44" i="4"/>
  <c r="E41" i="4"/>
  <c r="E38" i="4"/>
  <c r="E35" i="4"/>
  <c r="E32" i="4"/>
  <c r="E29" i="4"/>
  <c r="E26" i="4"/>
  <c r="E23" i="4"/>
  <c r="E20" i="4"/>
  <c r="E17" i="4"/>
  <c r="E14" i="4"/>
  <c r="E11" i="4"/>
  <c r="E8" i="4"/>
  <c r="E5" i="4"/>
  <c r="AB37" i="2"/>
  <c r="AB36" i="2"/>
  <c r="L24" i="2"/>
  <c r="J24" i="2"/>
  <c r="L23" i="2"/>
  <c r="J23" i="2"/>
  <c r="L22" i="2"/>
  <c r="J22" i="2"/>
  <c r="L21" i="2"/>
  <c r="J21" i="2"/>
  <c r="N21" i="2" s="1"/>
  <c r="L20" i="2"/>
  <c r="J20" i="2"/>
  <c r="L19" i="2"/>
  <c r="J19" i="2"/>
  <c r="L18" i="2"/>
  <c r="J18" i="2"/>
  <c r="L17" i="2"/>
  <c r="J17" i="2"/>
  <c r="N17" i="2" s="1"/>
  <c r="L16" i="2"/>
  <c r="J16" i="2"/>
  <c r="L15" i="2"/>
  <c r="J15" i="2"/>
  <c r="L14" i="2"/>
  <c r="J14" i="2"/>
  <c r="L13" i="2"/>
  <c r="J13" i="2"/>
  <c r="N13" i="2" s="1"/>
  <c r="L12" i="2"/>
  <c r="J12" i="2"/>
  <c r="L11" i="2"/>
  <c r="J11" i="2"/>
  <c r="L10" i="2"/>
  <c r="J10" i="2"/>
  <c r="L9" i="2"/>
  <c r="J9" i="2"/>
  <c r="N9" i="2" s="1"/>
  <c r="L8" i="2"/>
  <c r="J8" i="2"/>
  <c r="L7" i="2"/>
  <c r="J7" i="2"/>
  <c r="L6" i="2"/>
  <c r="J6" i="2"/>
  <c r="L5" i="2"/>
  <c r="J5" i="2"/>
  <c r="N5" i="2" s="1"/>
  <c r="L4" i="2"/>
  <c r="J4" i="2"/>
  <c r="L3" i="2"/>
  <c r="S3" i="2" s="1"/>
  <c r="J3" i="2"/>
  <c r="N4" i="4"/>
  <c r="E25" i="2"/>
  <c r="AA32" i="1"/>
  <c r="AA36" i="1" s="1"/>
  <c r="AG3" i="1" s="1"/>
  <c r="AA29" i="1"/>
  <c r="AD34" i="2"/>
  <c r="AD31" i="2"/>
  <c r="AJ23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J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L20" i="1"/>
  <c r="AK20" i="1" s="1"/>
  <c r="AL19" i="1"/>
  <c r="AK19" i="1" s="1"/>
  <c r="AL18" i="1"/>
  <c r="AK18" i="1" s="1"/>
  <c r="AL17" i="1"/>
  <c r="AK17" i="1" s="1"/>
  <c r="AL16" i="1"/>
  <c r="AK16" i="1" s="1"/>
  <c r="AL15" i="1"/>
  <c r="AK15" i="1" s="1"/>
  <c r="AL14" i="1"/>
  <c r="AK14" i="1" s="1"/>
  <c r="AL13" i="1"/>
  <c r="AK13" i="1" s="1"/>
  <c r="AL12" i="1"/>
  <c r="AK12" i="1" s="1"/>
  <c r="AL11" i="1"/>
  <c r="AK11" i="1" s="1"/>
  <c r="AL10" i="1"/>
  <c r="AK10" i="1" s="1"/>
  <c r="AL9" i="1"/>
  <c r="AK9" i="1" s="1"/>
  <c r="AL8" i="1"/>
  <c r="AK8" i="1" s="1"/>
  <c r="AL7" i="1"/>
  <c r="AK7" i="1" s="1"/>
  <c r="AL6" i="1"/>
  <c r="AK6" i="1" s="1"/>
  <c r="AL5" i="1"/>
  <c r="AK5" i="1" s="1"/>
  <c r="AL4" i="1"/>
  <c r="AK4" i="1" s="1"/>
  <c r="AL3" i="1"/>
  <c r="AK3" i="1" s="1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X4" i="1"/>
  <c r="AF4" i="1" s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AF21" i="8" l="1"/>
  <c r="AF26" i="8"/>
  <c r="AD32" i="8"/>
  <c r="AD4" i="8"/>
  <c r="AF4" i="8"/>
  <c r="AF22" i="8"/>
  <c r="AF30" i="8"/>
  <c r="AJ30" i="8" s="1"/>
  <c r="AF18" i="8"/>
  <c r="AJ18" i="8" s="1"/>
  <c r="AF25" i="8"/>
  <c r="AN25" i="8" s="1"/>
  <c r="AF9" i="8"/>
  <c r="AN9" i="8" s="1"/>
  <c r="AF17" i="8"/>
  <c r="AJ17" i="8" s="1"/>
  <c r="AF28" i="8"/>
  <c r="AN28" i="8" s="1"/>
  <c r="AD23" i="8"/>
  <c r="AF6" i="8"/>
  <c r="AJ6" i="8" s="1"/>
  <c r="AD5" i="8"/>
  <c r="AF29" i="8"/>
  <c r="AN29" i="8" s="1"/>
  <c r="AD8" i="8"/>
  <c r="AD35" i="8"/>
  <c r="AD27" i="8"/>
  <c r="AD12" i="8"/>
  <c r="AF5" i="8"/>
  <c r="AN5" i="8" s="1"/>
  <c r="T39" i="8"/>
  <c r="AF34" i="8"/>
  <c r="AN30" i="8"/>
  <c r="AD24" i="8"/>
  <c r="AD26" i="8"/>
  <c r="AF31" i="8"/>
  <c r="AJ28" i="8"/>
  <c r="AN21" i="8"/>
  <c r="AJ21" i="8"/>
  <c r="AN13" i="8"/>
  <c r="AJ13" i="8"/>
  <c r="AD25" i="8"/>
  <c r="AJ4" i="8"/>
  <c r="AN4" i="8"/>
  <c r="AF33" i="8"/>
  <c r="AF23" i="8"/>
  <c r="AF27" i="8"/>
  <c r="AN26" i="8"/>
  <c r="AJ26" i="8"/>
  <c r="AJ22" i="8"/>
  <c r="AN22" i="8"/>
  <c r="AF15" i="8"/>
  <c r="AF32" i="8"/>
  <c r="AD31" i="8"/>
  <c r="AF35" i="8"/>
  <c r="AF14" i="8"/>
  <c r="AF19" i="8"/>
  <c r="AF8" i="8"/>
  <c r="AD22" i="8"/>
  <c r="AF20" i="8"/>
  <c r="AD7" i="8"/>
  <c r="AF7" i="8"/>
  <c r="AH4" i="1"/>
  <c r="AH3" i="1"/>
  <c r="N24" i="2"/>
  <c r="N14" i="2"/>
  <c r="N22" i="2"/>
  <c r="R3" i="2"/>
  <c r="N7" i="2"/>
  <c r="N11" i="2"/>
  <c r="N15" i="2"/>
  <c r="N19" i="2"/>
  <c r="N23" i="2"/>
  <c r="AI9" i="2"/>
  <c r="Y9" i="2"/>
  <c r="AI10" i="2"/>
  <c r="Y10" i="2"/>
  <c r="AI18" i="2"/>
  <c r="Y18" i="2"/>
  <c r="AI15" i="2"/>
  <c r="Y15" i="2"/>
  <c r="AI16" i="2"/>
  <c r="Y16" i="2"/>
  <c r="AW11" i="2"/>
  <c r="Y11" i="2"/>
  <c r="AI19" i="2"/>
  <c r="Y19" i="2"/>
  <c r="AI4" i="2"/>
  <c r="Y4" i="2"/>
  <c r="AI12" i="2"/>
  <c r="Y12" i="2"/>
  <c r="AI20" i="2"/>
  <c r="Y20" i="2"/>
  <c r="AI3" i="2"/>
  <c r="Y3" i="2"/>
  <c r="AI17" i="2"/>
  <c r="Y17" i="2"/>
  <c r="AI5" i="2"/>
  <c r="Y5" i="2"/>
  <c r="AI13" i="2"/>
  <c r="Y13" i="2"/>
  <c r="AI21" i="2"/>
  <c r="Y21" i="2"/>
  <c r="AI23" i="2"/>
  <c r="Y23" i="2"/>
  <c r="AW7" i="2"/>
  <c r="Y7" i="2"/>
  <c r="AI8" i="2"/>
  <c r="Y8" i="2"/>
  <c r="AI6" i="2"/>
  <c r="Y6" i="2"/>
  <c r="AI14" i="2"/>
  <c r="Y14" i="2"/>
  <c r="AI22" i="2"/>
  <c r="Y22" i="2"/>
  <c r="AD33" i="8"/>
  <c r="AD30" i="8"/>
  <c r="AF44" i="8"/>
  <c r="AG43" i="8"/>
  <c r="AD29" i="8"/>
  <c r="AD34" i="8"/>
  <c r="AE6" i="8"/>
  <c r="AD6" i="8"/>
  <c r="S4" i="1"/>
  <c r="N4" i="2"/>
  <c r="N8" i="2"/>
  <c r="N12" i="2"/>
  <c r="N16" i="2"/>
  <c r="N20" i="2"/>
  <c r="AW17" i="2"/>
  <c r="AW9" i="2"/>
  <c r="AW20" i="2"/>
  <c r="AW16" i="2"/>
  <c r="AW12" i="2"/>
  <c r="AW8" i="2"/>
  <c r="AW4" i="2"/>
  <c r="AW5" i="2"/>
  <c r="AW23" i="2"/>
  <c r="AW19" i="2"/>
  <c r="AW15" i="2"/>
  <c r="AW3" i="2"/>
  <c r="N10" i="2"/>
  <c r="AW21" i="2"/>
  <c r="AW13" i="2"/>
  <c r="AW22" i="2"/>
  <c r="AW18" i="2"/>
  <c r="AW14" i="2"/>
  <c r="AW10" i="2"/>
  <c r="AW6" i="2"/>
  <c r="N18" i="2"/>
  <c r="N6" i="2"/>
  <c r="N3" i="2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N25" i="2" s="1"/>
  <c r="S4" i="2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AI11" i="2"/>
  <c r="X11" i="2" s="1"/>
  <c r="AI7" i="2"/>
  <c r="X7" i="2" s="1"/>
  <c r="W10" i="1"/>
  <c r="AE10" i="1" s="1"/>
  <c r="AG10" i="1" s="1"/>
  <c r="Q3" i="2"/>
  <c r="W17" i="1"/>
  <c r="AE17" i="1" s="1"/>
  <c r="AG17" i="1" s="1"/>
  <c r="W9" i="1"/>
  <c r="AE9" i="1" s="1"/>
  <c r="AG9" i="1" s="1"/>
  <c r="W4" i="1"/>
  <c r="AE4" i="1" s="1"/>
  <c r="AG4" i="1" s="1"/>
  <c r="W19" i="1"/>
  <c r="AE19" i="1" s="1"/>
  <c r="AG19" i="1" s="1"/>
  <c r="W18" i="1"/>
  <c r="AE18" i="1" s="1"/>
  <c r="AG18" i="1" s="1"/>
  <c r="W14" i="1"/>
  <c r="AE14" i="1" s="1"/>
  <c r="AG14" i="1" s="1"/>
  <c r="W6" i="1"/>
  <c r="AE6" i="1" s="1"/>
  <c r="AG6" i="1" s="1"/>
  <c r="W5" i="1"/>
  <c r="AE5" i="1" s="1"/>
  <c r="AG5" i="1" s="1"/>
  <c r="W16" i="1"/>
  <c r="AE16" i="1" s="1"/>
  <c r="AG16" i="1" s="1"/>
  <c r="W20" i="1"/>
  <c r="AE20" i="1" s="1"/>
  <c r="AG20" i="1" s="1"/>
  <c r="W21" i="1"/>
  <c r="W13" i="1"/>
  <c r="AE13" i="1" s="1"/>
  <c r="AG13" i="1" s="1"/>
  <c r="W8" i="1"/>
  <c r="AE8" i="1" s="1"/>
  <c r="AG8" i="1" s="1"/>
  <c r="W15" i="1"/>
  <c r="AE15" i="1" s="1"/>
  <c r="AG15" i="1" s="1"/>
  <c r="W7" i="1"/>
  <c r="AE7" i="1" s="1"/>
  <c r="AG7" i="1" s="1"/>
  <c r="W12" i="1"/>
  <c r="AE12" i="1" s="1"/>
  <c r="AG12" i="1" s="1"/>
  <c r="W11" i="1"/>
  <c r="AE11" i="1" s="1"/>
  <c r="AG11" i="1" s="1"/>
  <c r="X18" i="1"/>
  <c r="AF18" i="1" s="1"/>
  <c r="AH18" i="1" s="1"/>
  <c r="X14" i="1"/>
  <c r="AF14" i="1" s="1"/>
  <c r="AH14" i="1" s="1"/>
  <c r="X10" i="1"/>
  <c r="AF10" i="1" s="1"/>
  <c r="AH10" i="1" s="1"/>
  <c r="X6" i="1"/>
  <c r="AF6" i="1" s="1"/>
  <c r="AH6" i="1" s="1"/>
  <c r="X20" i="1"/>
  <c r="AF20" i="1" s="1"/>
  <c r="AH20" i="1" s="1"/>
  <c r="X11" i="1"/>
  <c r="AF11" i="1" s="1"/>
  <c r="AH11" i="1" s="1"/>
  <c r="X21" i="1"/>
  <c r="X12" i="1"/>
  <c r="AF12" i="1" s="1"/>
  <c r="AH12" i="1" s="1"/>
  <c r="X15" i="1"/>
  <c r="AF15" i="1" s="1"/>
  <c r="AH15" i="1" s="1"/>
  <c r="X17" i="1"/>
  <c r="AF17" i="1" s="1"/>
  <c r="AH17" i="1" s="1"/>
  <c r="X13" i="1"/>
  <c r="AF13" i="1" s="1"/>
  <c r="AH13" i="1" s="1"/>
  <c r="X9" i="1"/>
  <c r="AF9" i="1" s="1"/>
  <c r="AH9" i="1" s="1"/>
  <c r="X5" i="1"/>
  <c r="AF5" i="1" s="1"/>
  <c r="AH5" i="1" s="1"/>
  <c r="X16" i="1"/>
  <c r="AF16" i="1" s="1"/>
  <c r="AH16" i="1" s="1"/>
  <c r="X8" i="1"/>
  <c r="AF8" i="1" s="1"/>
  <c r="AH8" i="1" s="1"/>
  <c r="X19" i="1"/>
  <c r="AF19" i="1" s="1"/>
  <c r="AH19" i="1" s="1"/>
  <c r="X7" i="1"/>
  <c r="AF7" i="1" s="1"/>
  <c r="AH7" i="1" s="1"/>
  <c r="AN18" i="8" l="1"/>
  <c r="AJ9" i="8"/>
  <c r="AJ25" i="8"/>
  <c r="AJ29" i="8"/>
  <c r="AN6" i="8"/>
  <c r="AJ5" i="8"/>
  <c r="AN17" i="8"/>
  <c r="O40" i="8"/>
  <c r="AN32" i="8"/>
  <c r="AJ32" i="8"/>
  <c r="AJ27" i="8"/>
  <c r="AN27" i="8"/>
  <c r="AJ15" i="8"/>
  <c r="AN15" i="8"/>
  <c r="AN23" i="8"/>
  <c r="AJ23" i="8"/>
  <c r="AJ8" i="8"/>
  <c r="AN8" i="8"/>
  <c r="AN33" i="8"/>
  <c r="AJ33" i="8"/>
  <c r="AJ20" i="8"/>
  <c r="AN20" i="8"/>
  <c r="AN19" i="8"/>
  <c r="AJ19" i="8"/>
  <c r="AJ35" i="8"/>
  <c r="AN35" i="8"/>
  <c r="AJ34" i="8"/>
  <c r="AN34" i="8"/>
  <c r="AJ7" i="8"/>
  <c r="AN7" i="8"/>
  <c r="AN31" i="8"/>
  <c r="AJ31" i="8"/>
  <c r="AJ14" i="8"/>
  <c r="AN14" i="8"/>
  <c r="AV14" i="2"/>
  <c r="X14" i="2"/>
  <c r="AV23" i="2"/>
  <c r="X23" i="2"/>
  <c r="AV17" i="2"/>
  <c r="X17" i="2"/>
  <c r="AV4" i="2"/>
  <c r="X4" i="2"/>
  <c r="AV15" i="2"/>
  <c r="X15" i="2"/>
  <c r="AV21" i="2"/>
  <c r="X21" i="2"/>
  <c r="AV18" i="2"/>
  <c r="X18" i="2"/>
  <c r="AV8" i="2"/>
  <c r="X8" i="2"/>
  <c r="AV13" i="2"/>
  <c r="X13" i="2"/>
  <c r="AV20" i="2"/>
  <c r="X20" i="2"/>
  <c r="AV10" i="2"/>
  <c r="X10" i="2"/>
  <c r="AV6" i="2"/>
  <c r="X6" i="2"/>
  <c r="AV3" i="2"/>
  <c r="X3" i="2"/>
  <c r="AV19" i="2"/>
  <c r="X19" i="2"/>
  <c r="T4" i="2"/>
  <c r="AV22" i="2"/>
  <c r="X22" i="2"/>
  <c r="AV5" i="2"/>
  <c r="X5" i="2"/>
  <c r="AV12" i="2"/>
  <c r="X12" i="2"/>
  <c r="AV16" i="2"/>
  <c r="X16" i="2"/>
  <c r="AV9" i="2"/>
  <c r="X9" i="2"/>
  <c r="AI18" i="1"/>
  <c r="AJ18" i="1" s="1"/>
  <c r="AI10" i="1"/>
  <c r="AJ10" i="1" s="1"/>
  <c r="AI15" i="1"/>
  <c r="AJ15" i="1" s="1"/>
  <c r="R5" i="1"/>
  <c r="AF45" i="8"/>
  <c r="AG44" i="8"/>
  <c r="AE7" i="8"/>
  <c r="AB19" i="1"/>
  <c r="AB11" i="1"/>
  <c r="AB3" i="1"/>
  <c r="AA13" i="1"/>
  <c r="AA5" i="1"/>
  <c r="AB9" i="1"/>
  <c r="AA19" i="1"/>
  <c r="AA3" i="1"/>
  <c r="AB16" i="1"/>
  <c r="AB8" i="1"/>
  <c r="AA10" i="1"/>
  <c r="AB6" i="1"/>
  <c r="AB18" i="1"/>
  <c r="AB10" i="1"/>
  <c r="AA20" i="1"/>
  <c r="AA12" i="1"/>
  <c r="AA4" i="1"/>
  <c r="AB7" i="1"/>
  <c r="AA9" i="1"/>
  <c r="AA16" i="1"/>
  <c r="AB13" i="1"/>
  <c r="AB5" i="1"/>
  <c r="AA15" i="1"/>
  <c r="AA7" i="1"/>
  <c r="AB20" i="1"/>
  <c r="AB12" i="1"/>
  <c r="AB4" i="1"/>
  <c r="AA14" i="1"/>
  <c r="AA6" i="1"/>
  <c r="AB17" i="1"/>
  <c r="AA11" i="1"/>
  <c r="AA18" i="1"/>
  <c r="AB15" i="1"/>
  <c r="AA17" i="1"/>
  <c r="AB14" i="1"/>
  <c r="AA8" i="1"/>
  <c r="T5" i="2"/>
  <c r="AV7" i="2"/>
  <c r="AV11" i="2"/>
  <c r="T3" i="2"/>
  <c r="T11" i="2"/>
  <c r="T8" i="2"/>
  <c r="T12" i="2"/>
  <c r="T17" i="2"/>
  <c r="V18" i="2" s="1"/>
  <c r="AD18" i="2" s="1"/>
  <c r="T23" i="2"/>
  <c r="T6" i="2"/>
  <c r="T10" i="2"/>
  <c r="T16" i="2"/>
  <c r="T7" i="2"/>
  <c r="T14" i="2"/>
  <c r="T15" i="2"/>
  <c r="T20" i="2"/>
  <c r="T18" i="2"/>
  <c r="T19" i="2"/>
  <c r="T13" i="2"/>
  <c r="T22" i="2"/>
  <c r="T9" i="2"/>
  <c r="V3" i="2"/>
  <c r="AD3" i="2" s="1"/>
  <c r="T21" i="2"/>
  <c r="U20" i="2"/>
  <c r="U16" i="2"/>
  <c r="U12" i="2"/>
  <c r="U8" i="2"/>
  <c r="U4" i="2"/>
  <c r="U19" i="2"/>
  <c r="U15" i="2"/>
  <c r="U11" i="2"/>
  <c r="U7" i="2"/>
  <c r="U3" i="2"/>
  <c r="AC3" i="2" s="1"/>
  <c r="U13" i="2"/>
  <c r="U21" i="2"/>
  <c r="U5" i="2"/>
  <c r="U22" i="2"/>
  <c r="U18" i="2"/>
  <c r="U14" i="2"/>
  <c r="U10" i="2"/>
  <c r="U6" i="2"/>
  <c r="U23" i="2"/>
  <c r="U17" i="2"/>
  <c r="U9" i="2"/>
  <c r="W3" i="2"/>
  <c r="AE3" i="2" s="1"/>
  <c r="V5" i="2"/>
  <c r="AD5" i="2" s="1"/>
  <c r="AF3" i="2" l="1"/>
  <c r="V19" i="2"/>
  <c r="AD19" i="2" s="1"/>
  <c r="AB18" i="2"/>
  <c r="V6" i="2"/>
  <c r="AD6" i="2" s="1"/>
  <c r="AB5" i="2"/>
  <c r="V22" i="2"/>
  <c r="AD22" i="2" s="1"/>
  <c r="V16" i="2"/>
  <c r="AD16" i="2" s="1"/>
  <c r="AB15" i="2"/>
  <c r="V13" i="2"/>
  <c r="AD13" i="2" s="1"/>
  <c r="V21" i="2"/>
  <c r="AD21" i="2" s="1"/>
  <c r="AF21" i="2" s="1"/>
  <c r="V15" i="2"/>
  <c r="AD15" i="2" s="1"/>
  <c r="V9" i="2"/>
  <c r="AD9" i="2" s="1"/>
  <c r="V10" i="2"/>
  <c r="AD10" i="2" s="1"/>
  <c r="AB9" i="2"/>
  <c r="V12" i="2"/>
  <c r="AD12" i="2" s="1"/>
  <c r="V23" i="2"/>
  <c r="AD23" i="2" s="1"/>
  <c r="AT23" i="2" s="1"/>
  <c r="V17" i="2"/>
  <c r="AD17" i="2" s="1"/>
  <c r="AB16" i="2"/>
  <c r="V4" i="2"/>
  <c r="AD4" i="2" s="1"/>
  <c r="AB3" i="2"/>
  <c r="V8" i="2"/>
  <c r="AD8" i="2" s="1"/>
  <c r="V14" i="2"/>
  <c r="AD14" i="2" s="1"/>
  <c r="AF14" i="2" s="1"/>
  <c r="AB13" i="2"/>
  <c r="V11" i="2"/>
  <c r="AD11" i="2" s="1"/>
  <c r="V20" i="2"/>
  <c r="AD20" i="2" s="1"/>
  <c r="AB19" i="2"/>
  <c r="V7" i="2"/>
  <c r="AD7" i="2" s="1"/>
  <c r="AB6" i="2"/>
  <c r="AI20" i="1"/>
  <c r="AJ20" i="1" s="1"/>
  <c r="AG22" i="1"/>
  <c r="AI5" i="1"/>
  <c r="AJ5" i="1" s="1"/>
  <c r="AI6" i="1"/>
  <c r="AJ6" i="1" s="1"/>
  <c r="AI7" i="1"/>
  <c r="AJ7" i="1" s="1"/>
  <c r="AI19" i="1"/>
  <c r="AJ19" i="1" s="1"/>
  <c r="AI17" i="1"/>
  <c r="AJ17" i="1" s="1"/>
  <c r="AI14" i="1"/>
  <c r="AI4" i="1"/>
  <c r="AJ4" i="1" s="1"/>
  <c r="AI9" i="1"/>
  <c r="AJ9" i="1" s="1"/>
  <c r="AI12" i="1"/>
  <c r="AJ12" i="1" s="1"/>
  <c r="AI11" i="1"/>
  <c r="AJ11" i="1" s="1"/>
  <c r="AI16" i="1"/>
  <c r="AJ16" i="1" s="1"/>
  <c r="AI13" i="1"/>
  <c r="AJ13" i="1" s="1"/>
  <c r="AI8" i="1"/>
  <c r="AJ8" i="1" s="1"/>
  <c r="AI3" i="1"/>
  <c r="AJ3" i="1" s="1"/>
  <c r="AG21" i="1"/>
  <c r="R6" i="1"/>
  <c r="AF46" i="8"/>
  <c r="AG45" i="8"/>
  <c r="AE8" i="8"/>
  <c r="AT3" i="2"/>
  <c r="AU3" i="2"/>
  <c r="AT5" i="2"/>
  <c r="AT13" i="2"/>
  <c r="AT6" i="2"/>
  <c r="W18" i="2"/>
  <c r="AE18" i="2" s="1"/>
  <c r="AF18" i="2" s="1"/>
  <c r="W13" i="2"/>
  <c r="AE13" i="2" s="1"/>
  <c r="W12" i="2"/>
  <c r="AE12" i="2" s="1"/>
  <c r="W10" i="2"/>
  <c r="AE10" i="2" s="1"/>
  <c r="W11" i="2"/>
  <c r="AE11" i="2" s="1"/>
  <c r="W4" i="2"/>
  <c r="AE4" i="2" s="1"/>
  <c r="W19" i="2"/>
  <c r="AE19" i="2" s="1"/>
  <c r="W5" i="2"/>
  <c r="AE5" i="2" s="1"/>
  <c r="AF5" i="2" s="1"/>
  <c r="W6" i="2"/>
  <c r="AE6" i="2" s="1"/>
  <c r="W20" i="2"/>
  <c r="AE20" i="2" s="1"/>
  <c r="W22" i="2"/>
  <c r="AE22" i="2" s="1"/>
  <c r="W14" i="2"/>
  <c r="AE14" i="2" s="1"/>
  <c r="W9" i="2"/>
  <c r="AE9" i="2" s="1"/>
  <c r="W8" i="2"/>
  <c r="AE8" i="2" s="1"/>
  <c r="W15" i="2"/>
  <c r="AE15" i="2" s="1"/>
  <c r="W23" i="2"/>
  <c r="AE23" i="2" s="1"/>
  <c r="W21" i="2"/>
  <c r="AE21" i="2" s="1"/>
  <c r="W17" i="2"/>
  <c r="AE17" i="2" s="1"/>
  <c r="W7" i="2"/>
  <c r="AE7" i="2" s="1"/>
  <c r="W16" i="2"/>
  <c r="AE16" i="2" s="1"/>
  <c r="AC15" i="2" l="1"/>
  <c r="AC16" i="2"/>
  <c r="AB10" i="2"/>
  <c r="AC9" i="2"/>
  <c r="AF4" i="2"/>
  <c r="AF22" i="2"/>
  <c r="AB23" i="2"/>
  <c r="AC11" i="2"/>
  <c r="AF11" i="2"/>
  <c r="AF17" i="2"/>
  <c r="AF9" i="2"/>
  <c r="AF7" i="2"/>
  <c r="AF23" i="2"/>
  <c r="AF15" i="2"/>
  <c r="AF6" i="2"/>
  <c r="AT20" i="2"/>
  <c r="AF20" i="2"/>
  <c r="AF8" i="2"/>
  <c r="AF12" i="2"/>
  <c r="AF13" i="2"/>
  <c r="AF19" i="2"/>
  <c r="AC12" i="2"/>
  <c r="AC7" i="2"/>
  <c r="AC21" i="2"/>
  <c r="AF10" i="2"/>
  <c r="AF16" i="2"/>
  <c r="AC13" i="2"/>
  <c r="AC22" i="2"/>
  <c r="AB4" i="2"/>
  <c r="AC6" i="2"/>
  <c r="AC14" i="2"/>
  <c r="AC5" i="2"/>
  <c r="AC23" i="2"/>
  <c r="AC10" i="2"/>
  <c r="AB8" i="2"/>
  <c r="AB12" i="2"/>
  <c r="AC20" i="2"/>
  <c r="AB11" i="2"/>
  <c r="AB20" i="2"/>
  <c r="AC17" i="2"/>
  <c r="AC8" i="2"/>
  <c r="AB22" i="2"/>
  <c r="AB14" i="2"/>
  <c r="AC19" i="2"/>
  <c r="AB7" i="2"/>
  <c r="AB17" i="2"/>
  <c r="AC4" i="2"/>
  <c r="AC18" i="2"/>
  <c r="AB21" i="2"/>
  <c r="AI22" i="1"/>
  <c r="AJ14" i="1"/>
  <c r="AI21" i="1"/>
  <c r="R7" i="1"/>
  <c r="R8" i="1" s="1"/>
  <c r="R9" i="1" s="1"/>
  <c r="R10" i="1" s="1"/>
  <c r="R11" i="1" s="1"/>
  <c r="R12" i="1" s="1"/>
  <c r="R13" i="1" s="1"/>
  <c r="AF47" i="8"/>
  <c r="AG46" i="8"/>
  <c r="AD9" i="8"/>
  <c r="AE9" i="8"/>
  <c r="AT21" i="2"/>
  <c r="AT10" i="2"/>
  <c r="AT12" i="2"/>
  <c r="AT18" i="2"/>
  <c r="AT11" i="2"/>
  <c r="AT15" i="2"/>
  <c r="AT4" i="2"/>
  <c r="AT16" i="2"/>
  <c r="AT22" i="2"/>
  <c r="AT9" i="2"/>
  <c r="AT17" i="2"/>
  <c r="AT19" i="2"/>
  <c r="AT7" i="2"/>
  <c r="AT8" i="2"/>
  <c r="AT14" i="2"/>
  <c r="AU23" i="2"/>
  <c r="AJ22" i="1" l="1"/>
  <c r="AJ21" i="1"/>
  <c r="R14" i="1"/>
  <c r="AF48" i="8"/>
  <c r="AG48" i="8" s="1"/>
  <c r="AG47" i="8"/>
  <c r="AE12" i="8"/>
  <c r="AU18" i="2"/>
  <c r="AU19" i="2"/>
  <c r="AU11" i="2"/>
  <c r="AU7" i="2"/>
  <c r="AU14" i="2"/>
  <c r="AU8" i="2"/>
  <c r="AU20" i="2"/>
  <c r="AU10" i="2"/>
  <c r="AU5" i="2"/>
  <c r="AU17" i="2"/>
  <c r="AU13" i="2"/>
  <c r="AU6" i="2"/>
  <c r="AU9" i="2"/>
  <c r="AU15" i="2"/>
  <c r="AU21" i="2"/>
  <c r="AU22" i="2"/>
  <c r="AU12" i="2"/>
  <c r="AU16" i="2"/>
  <c r="AU4" i="2"/>
  <c r="R15" i="1" l="1"/>
  <c r="AD13" i="8"/>
  <c r="AE13" i="8"/>
  <c r="R16" i="1" l="1"/>
  <c r="R17" i="1" s="1"/>
  <c r="AE14" i="8"/>
  <c r="AD14" i="8"/>
  <c r="R18" i="1" l="1"/>
  <c r="AD15" i="8"/>
  <c r="AE15" i="8"/>
  <c r="R19" i="1" l="1"/>
  <c r="AE16" i="8"/>
  <c r="AD16" i="8"/>
  <c r="R20" i="1" l="1"/>
  <c r="R21" i="1" s="1"/>
  <c r="AD17" i="8"/>
  <c r="AE17" i="8"/>
  <c r="AE18" i="8" l="1"/>
  <c r="AD18" i="8"/>
  <c r="AD19" i="8" l="1"/>
  <c r="AE19" i="8"/>
  <c r="AE20" i="8" l="1"/>
  <c r="AD20" i="8"/>
  <c r="AD21" i="8" l="1"/>
  <c r="AE21" i="8"/>
  <c r="AE22" i="8" l="1"/>
  <c r="AF29" i="13" l="1"/>
  <c r="AN29" i="13" s="1"/>
  <c r="AF27" i="13"/>
  <c r="AF15" i="13"/>
  <c r="AN15" i="13" s="1"/>
  <c r="AG33" i="13"/>
  <c r="AO33" i="13" s="1"/>
  <c r="AE33" i="13"/>
  <c r="AE16" i="13"/>
  <c r="AG5" i="13"/>
  <c r="AO5" i="13" s="1"/>
  <c r="AE5" i="13"/>
  <c r="AE23" i="13"/>
  <c r="AG23" i="13"/>
  <c r="AO23" i="13" s="1"/>
  <c r="AF9" i="13"/>
  <c r="AN9" i="13" s="1"/>
  <c r="AE7" i="13"/>
  <c r="AG7" i="13"/>
  <c r="AO7" i="13" s="1"/>
  <c r="AF23" i="13"/>
  <c r="AN23" i="13" s="1"/>
  <c r="AF7" i="13"/>
  <c r="AN7" i="13" s="1"/>
  <c r="AE13" i="13"/>
  <c r="AG13" i="13"/>
  <c r="AJ13" i="13" s="1"/>
  <c r="AE30" i="13"/>
  <c r="AG30" i="13"/>
  <c r="AO30" i="13" s="1"/>
  <c r="AF34" i="13"/>
  <c r="AE20" i="13"/>
  <c r="AG20" i="13"/>
  <c r="AO20" i="13" s="1"/>
  <c r="AF18" i="13"/>
  <c r="AN18" i="13"/>
  <c r="AF21" i="13"/>
  <c r="AN21" i="13" s="1"/>
  <c r="AF20" i="13"/>
  <c r="AN20" i="13" s="1"/>
  <c r="AE24" i="13"/>
  <c r="AG31" i="13"/>
  <c r="AO31" i="13" s="1"/>
  <c r="AE31" i="13"/>
  <c r="AG14" i="13"/>
  <c r="AO14" i="13" s="1"/>
  <c r="AE14" i="13"/>
  <c r="AG6" i="13"/>
  <c r="AO6" i="13" s="1"/>
  <c r="AE6" i="13"/>
  <c r="AG19" i="13"/>
  <c r="AO19" i="13" s="1"/>
  <c r="AE19" i="13"/>
  <c r="AF13" i="13"/>
  <c r="AN13" i="13" s="1"/>
  <c r="AF31" i="13"/>
  <c r="AJ31" i="13" s="1"/>
  <c r="AE29" i="13"/>
  <c r="AG29" i="13"/>
  <c r="AO29" i="13" s="1"/>
  <c r="AF32" i="13"/>
  <c r="AE27" i="13"/>
  <c r="AG27" i="13"/>
  <c r="AO27" i="13" s="1"/>
  <c r="AG25" i="13"/>
  <c r="AO25" i="13" s="1"/>
  <c r="AE25" i="13"/>
  <c r="AD12" i="13"/>
  <c r="AG9" i="13"/>
  <c r="AO9" i="13" s="1"/>
  <c r="AE9" i="13"/>
  <c r="AF26" i="13"/>
  <c r="AE12" i="13"/>
  <c r="AF5" i="13"/>
  <c r="AN5" i="13" s="1"/>
  <c r="AE32" i="13"/>
  <c r="AG32" i="13"/>
  <c r="AO32" i="13" s="1"/>
  <c r="AF19" i="13"/>
  <c r="AJ19" i="13" s="1"/>
  <c r="AG28" i="13"/>
  <c r="AO28" i="13" s="1"/>
  <c r="AE28" i="13"/>
  <c r="AE26" i="13"/>
  <c r="AG26" i="13"/>
  <c r="AO26" i="13" s="1"/>
  <c r="AF30" i="13"/>
  <c r="AN30" i="13" s="1"/>
  <c r="AF14" i="13"/>
  <c r="AN14" i="13" s="1"/>
  <c r="AF8" i="13"/>
  <c r="AN8" i="13" s="1"/>
  <c r="AF33" i="13"/>
  <c r="AN33" i="13" s="1"/>
  <c r="AE22" i="13"/>
  <c r="AG22" i="13"/>
  <c r="AO22" i="13" s="1"/>
  <c r="AG21" i="13"/>
  <c r="AO21" i="13" s="1"/>
  <c r="AE21" i="13"/>
  <c r="AF25" i="13"/>
  <c r="AJ25" i="13" s="1"/>
  <c r="AE34" i="13"/>
  <c r="AG34" i="13"/>
  <c r="AO34" i="13" s="1"/>
  <c r="AF35" i="13"/>
  <c r="AG15" i="13"/>
  <c r="AO15" i="13" s="1"/>
  <c r="AE15" i="13"/>
  <c r="AE17" i="13"/>
  <c r="AG17" i="13"/>
  <c r="AF28" i="13"/>
  <c r="AN28" i="13" s="1"/>
  <c r="AF6" i="13"/>
  <c r="AG18" i="13"/>
  <c r="AO18" i="13" s="1"/>
  <c r="AE18" i="13"/>
  <c r="AF22" i="13"/>
  <c r="AN22" i="13" s="1"/>
  <c r="AF17" i="13"/>
  <c r="AN17" i="13" s="1"/>
  <c r="AG8" i="13"/>
  <c r="AJ8" i="13" s="1"/>
  <c r="AE8" i="13"/>
  <c r="AD32" i="13"/>
  <c r="AD28" i="13"/>
  <c r="AD27" i="13"/>
  <c r="AD17" i="13"/>
  <c r="AD14" i="13"/>
  <c r="AD16" i="13"/>
  <c r="AD23" i="13"/>
  <c r="AD19" i="13"/>
  <c r="AD34" i="13"/>
  <c r="AD7" i="13"/>
  <c r="AD21" i="13"/>
  <c r="AD26" i="13"/>
  <c r="AD25" i="13"/>
  <c r="AD20" i="13"/>
  <c r="AD5" i="13"/>
  <c r="AD30" i="13"/>
  <c r="AD15" i="13"/>
  <c r="AD9" i="13"/>
  <c r="AD13" i="13"/>
  <c r="AD31" i="13"/>
  <c r="AD6" i="13"/>
  <c r="AD8" i="13"/>
  <c r="AD29" i="13"/>
  <c r="AD33" i="13"/>
  <c r="AD22" i="13"/>
  <c r="AD18" i="13"/>
  <c r="AD24" i="13"/>
  <c r="AG35" i="13"/>
  <c r="AO35" i="13" s="1"/>
  <c r="O36" i="13"/>
  <c r="AJ6" i="13" l="1"/>
  <c r="AN25" i="13"/>
  <c r="AJ20" i="13"/>
  <c r="AJ9" i="13"/>
  <c r="AJ27" i="13"/>
  <c r="AO8" i="13"/>
  <c r="AN31" i="13"/>
  <c r="AJ18" i="13"/>
  <c r="AJ17" i="13"/>
  <c r="AJ26" i="13"/>
  <c r="AJ7" i="13"/>
  <c r="AJ33" i="13"/>
  <c r="AJ22" i="13"/>
  <c r="AN19" i="13"/>
  <c r="AJ5" i="13"/>
  <c r="AJ32" i="13"/>
  <c r="AJ34" i="13"/>
  <c r="AJ23" i="13"/>
  <c r="AN27" i="13"/>
  <c r="AJ35" i="13"/>
  <c r="AG4" i="13"/>
  <c r="AO4" i="13" s="1"/>
  <c r="AE4" i="13"/>
  <c r="AF4" i="13"/>
  <c r="AD4" i="13"/>
  <c r="AO17" i="13"/>
  <c r="AJ14" i="13"/>
  <c r="AO13" i="13"/>
  <c r="AJ29" i="13"/>
  <c r="AN6" i="13"/>
  <c r="AN35" i="13"/>
  <c r="AJ30" i="13"/>
  <c r="AN32" i="13"/>
  <c r="AN34" i="13"/>
  <c r="AJ21" i="13"/>
  <c r="AJ15" i="13"/>
  <c r="AJ28" i="13"/>
  <c r="AN26" i="13"/>
  <c r="AJ4" i="13" l="1"/>
  <c r="AN4" i="13"/>
</calcChain>
</file>

<file path=xl/sharedStrings.xml><?xml version="1.0" encoding="utf-8"?>
<sst xmlns="http://schemas.openxmlformats.org/spreadsheetml/2006/main" count="982" uniqueCount="353">
  <si>
    <t>He30415.txt</t>
  </si>
  <si>
    <t>H2OBlank020924: 9905_60.0_100.0 100.00</t>
  </si>
  <si>
    <t>He30417.txt</t>
  </si>
  <si>
    <t>H2OBlank020924: 1015_60.0_100.0 100.00</t>
  </si>
  <si>
    <t>He30420.txt</t>
  </si>
  <si>
    <t>H2OBlank020924: 1025_60.0_100.0 100.00</t>
  </si>
  <si>
    <t>He30423.txt</t>
  </si>
  <si>
    <t>H2OBlank020924: 1045_60.0_100.0 99.98</t>
  </si>
  <si>
    <t>He30428.txt</t>
  </si>
  <si>
    <t>H2OBlank020924: 1055_60.0_100.0 99.99</t>
  </si>
  <si>
    <t>He30429.txt</t>
  </si>
  <si>
    <t>H2OBlank020924: 1075_60.0_100.0 99.98</t>
  </si>
  <si>
    <t>He30430.txt</t>
  </si>
  <si>
    <t>H2OBlank020924: 1085_60.0_100.0 99.99</t>
  </si>
  <si>
    <t>He30435.txt</t>
  </si>
  <si>
    <t>H2OBlank020924: 1115_1.0_21.0 24.00</t>
  </si>
  <si>
    <t>He30437.txt</t>
  </si>
  <si>
    <t>H2OBlank020924: 1125_60.0_100.0 99.92</t>
  </si>
  <si>
    <t>He30439.txt</t>
  </si>
  <si>
    <t>H2OBlank020924: 1145_60.0_100.0 99.92</t>
  </si>
  <si>
    <t>He30441.txt</t>
  </si>
  <si>
    <t>H2OBlank020924: 1155_60.0_100.0 100.18</t>
  </si>
  <si>
    <t>He30442.txt</t>
  </si>
  <si>
    <t>H2OBlank020924: 1175_60.0_100.0 99.96</t>
  </si>
  <si>
    <t>He30443.txt</t>
  </si>
  <si>
    <t>H2OBlank020924: 1185_60.0_100.0 99.98</t>
  </si>
  <si>
    <t>He30444.txt</t>
  </si>
  <si>
    <t>H2OBlank020924: 1195_60.0_100.0 99.95</t>
  </si>
  <si>
    <t>He30446.txt</t>
  </si>
  <si>
    <t>H2OBlank020924: 1205_60.0_100.0 99.99</t>
  </si>
  <si>
    <t>He30447.txt</t>
  </si>
  <si>
    <t>H2OBlank020924: 1215_60.0_100.0 99.96</t>
  </si>
  <si>
    <t>He30448.txt</t>
  </si>
  <si>
    <t>H2OBlank020924: 1225_60.0_100.0 99.99</t>
  </si>
  <si>
    <t>He30449.txt</t>
  </si>
  <si>
    <t>H2OBlank020924: 1235_60.0_100.0 99.95</t>
  </si>
  <si>
    <t>He30454.txt</t>
  </si>
  <si>
    <t>H2OBlank020924: 1245_240.0_300.0 299.98</t>
  </si>
  <si>
    <t>cum4</t>
  </si>
  <si>
    <t>cum3</t>
  </si>
  <si>
    <t>n1 3</t>
  </si>
  <si>
    <t>n0 3</t>
  </si>
  <si>
    <t>n1 4</t>
  </si>
  <si>
    <t>n0 4</t>
  </si>
  <si>
    <t>cold time</t>
  </si>
  <si>
    <t>hot time</t>
  </si>
  <si>
    <t>4He (fA)</t>
  </si>
  <si>
    <t>3He (cps)</t>
  </si>
  <si>
    <t>T (C)</t>
  </si>
  <si>
    <t>total time</t>
  </si>
  <si>
    <t>He30488.txt</t>
  </si>
  <si>
    <t>SulfurBlank021324: 1355_60.0_80.0 80.00</t>
  </si>
  <si>
    <t>He30492.txt</t>
  </si>
  <si>
    <t>SulfurBlank021324: 1375_60.0_80.0 80.00</t>
  </si>
  <si>
    <t>He30496.txt</t>
  </si>
  <si>
    <t>SulfurBlank021324: 1395_60.0_80.0 80.01</t>
  </si>
  <si>
    <t>He30498.txt</t>
  </si>
  <si>
    <t>SulfurBlank021324: 1415_60.0_80.0 80.00</t>
  </si>
  <si>
    <t>He30501.txt</t>
  </si>
  <si>
    <t>SulfurBlank021324: 1435_60.0_80.0 79.98</t>
  </si>
  <si>
    <t>He30506.txt</t>
  </si>
  <si>
    <t>SulfurBlank021324: 1455_60.0_100.0 99.98</t>
  </si>
  <si>
    <t>He30508.txt</t>
  </si>
  <si>
    <t>SulfurBlank021324: 1485_60.0_100.0 99.98</t>
  </si>
  <si>
    <t>He30511.txt</t>
  </si>
  <si>
    <t>SulfurBlank021324: 1505_60.0_100.0 99.97</t>
  </si>
  <si>
    <t>He30513.txt</t>
  </si>
  <si>
    <t>SulfurBlank021324: 1535_60.0_100.0 99.98</t>
  </si>
  <si>
    <t>He30519.txt</t>
  </si>
  <si>
    <t>SulfurBlank021324: 1545_60.0_100.0 99.98</t>
  </si>
  <si>
    <t>He30521.txt</t>
  </si>
  <si>
    <t>SulfurBlank021324: 1575_60.0_120.0 119.98</t>
  </si>
  <si>
    <t>He30525.txt</t>
  </si>
  <si>
    <t>SulfurBlank021324: 1595_60.0_120.0 119.98</t>
  </si>
  <si>
    <t>He30527.txt</t>
  </si>
  <si>
    <t>SulfurBlank021324: 1615_60.0_120.0 119.99</t>
  </si>
  <si>
    <t>He30532.txt</t>
  </si>
  <si>
    <t>SulfurBlank021324: 1635_60.0_120.0 120.18</t>
  </si>
  <si>
    <t>He30534.txt</t>
  </si>
  <si>
    <t>SulfurBlank021324: 1645_60.0_120.0 119.98</t>
  </si>
  <si>
    <t>He30536.txt</t>
  </si>
  <si>
    <t>SulfurBlank021324: 1655_60.0_150.0 150.01</t>
  </si>
  <si>
    <t>He30540.txt</t>
  </si>
  <si>
    <t>SulfurBlank021324: 1665_60.0_150.0 150.00</t>
  </si>
  <si>
    <t>He30554.txt</t>
  </si>
  <si>
    <t>SulfurBlank021324: 1685_60.0_150.0 150.01</t>
  </si>
  <si>
    <t>He30557.txt</t>
  </si>
  <si>
    <t>SulfurBlank021324: 1715_60.0_150.0 150.00</t>
  </si>
  <si>
    <t>He30562.txt</t>
  </si>
  <si>
    <t>SulfurBlank021324: 1725_60.0_150.0 150.01</t>
  </si>
  <si>
    <t>He30563.txt</t>
  </si>
  <si>
    <t>SulfurBlank021324: 1745_60.0_150.0 150.01</t>
  </si>
  <si>
    <t>He30566.txt</t>
  </si>
  <si>
    <t>SulfurBlank021324: 1755_180.0_425.0 423.81</t>
  </si>
  <si>
    <t>remainder</t>
  </si>
  <si>
    <t xml:space="preserve">G </t>
  </si>
  <si>
    <t>G</t>
  </si>
  <si>
    <t>R (cc/(atm*K*atom))</t>
  </si>
  <si>
    <t>K 3He (atom/(atm*sec*cm))</t>
  </si>
  <si>
    <t>K 4He (atom/(atm*sec*cm))</t>
  </si>
  <si>
    <t>K 3He Literature (atom/(atm*sec*cm))</t>
  </si>
  <si>
    <t>K 4He Literature (atom/(atm*sec*cm))</t>
  </si>
  <si>
    <t>10^4/T</t>
  </si>
  <si>
    <t>ln(K3 uncorr)</t>
  </si>
  <si>
    <t>ln(K4 uncorr)</t>
  </si>
  <si>
    <t>ln(K3 Literature)</t>
  </si>
  <si>
    <t>ln(K4 literature)</t>
  </si>
  <si>
    <t>OD</t>
  </si>
  <si>
    <t>ID</t>
  </si>
  <si>
    <t>average</t>
  </si>
  <si>
    <t>cm</t>
  </si>
  <si>
    <t>Type</t>
  </si>
  <si>
    <t>T (K)</t>
  </si>
  <si>
    <t>t(minutes)</t>
  </si>
  <si>
    <t>m</t>
  </si>
  <si>
    <t>n0</t>
  </si>
  <si>
    <t>nt</t>
  </si>
  <si>
    <t>Apparent K</t>
  </si>
  <si>
    <t>Initial</t>
  </si>
  <si>
    <t>Hold T</t>
  </si>
  <si>
    <t>Cooling</t>
  </si>
  <si>
    <t>Measurement</t>
  </si>
  <si>
    <t>Apparent K simulation</t>
  </si>
  <si>
    <t>a</t>
  </si>
  <si>
    <t>b</t>
  </si>
  <si>
    <t>Ratoms</t>
  </si>
  <si>
    <t>3He Simulated</t>
  </si>
  <si>
    <t>4He Simulated</t>
  </si>
  <si>
    <t>4He</t>
  </si>
  <si>
    <t>3He</t>
  </si>
  <si>
    <t>3He pcc</t>
  </si>
  <si>
    <t>4He ncc</t>
  </si>
  <si>
    <t xml:space="preserve">3He Sens </t>
  </si>
  <si>
    <t>4He Sens</t>
  </si>
  <si>
    <t>DATA</t>
  </si>
  <si>
    <t>High T Evolved</t>
  </si>
  <si>
    <t>Cooling T Evolved</t>
  </si>
  <si>
    <t>Total Evolved</t>
  </si>
  <si>
    <t>Proportion Cold</t>
  </si>
  <si>
    <t>Model 4He (nccSTP) Swets et al., 1961</t>
  </si>
  <si>
    <t>Model 3He (pccSTP) Swets et al., 1961; Jones, 1953</t>
  </si>
  <si>
    <t>3/4 He (Ra)</t>
  </si>
  <si>
    <t>T</t>
  </si>
  <si>
    <t>T-24</t>
  </si>
  <si>
    <t>dTdt</t>
  </si>
  <si>
    <t>Note: This experiment allowed the sulfur tube to permeate while cooling before each measurement. A diffusive model was made using a fit cooling rate for the tube to demonstrate that the observed data was compatible with the literature values</t>
  </si>
  <si>
    <t>REST</t>
  </si>
  <si>
    <t>Sens3 (pccSTP/cps)</t>
  </si>
  <si>
    <t>Sens4 (nccSTP/fA)</t>
  </si>
  <si>
    <t>3He (pcccSTP)</t>
  </si>
  <si>
    <t>3He 2sigma (pccSTP)</t>
  </si>
  <si>
    <t>4He (nccSTP)</t>
  </si>
  <si>
    <t>4He 2sigma (nccSTP)</t>
  </si>
  <si>
    <t>Predicted nt/n0</t>
  </si>
  <si>
    <t xml:space="preserve">Predicted nt/n0 </t>
  </si>
  <si>
    <t>3He without cooling (literature)</t>
  </si>
  <si>
    <t>4He without cooling (literature)</t>
  </si>
  <si>
    <t>3He with cooling model</t>
  </si>
  <si>
    <t>4He with cooling model</t>
  </si>
  <si>
    <t>3He measured</t>
  </si>
  <si>
    <t>4He measured</t>
  </si>
  <si>
    <t>3He (pccSTP)</t>
  </si>
  <si>
    <t>3He high temp only</t>
  </si>
  <si>
    <t>4He high temp only</t>
  </si>
  <si>
    <t>nt 3</t>
  </si>
  <si>
    <t>nt 4</t>
  </si>
  <si>
    <t>NA</t>
  </si>
  <si>
    <t>Note: This experiment allowed the water tube to permeate while cooling before each measurement. A diffusive model was made using a fit cooling rate for the tube to demonstrate that the observed data was distinct from the literature values of permeability for dry tubes</t>
  </si>
  <si>
    <t>hot time (s)</t>
  </si>
  <si>
    <t>total time (s)</t>
  </si>
  <si>
    <t>cumulative time (s)</t>
  </si>
  <si>
    <t>Measured Apparent Permeabilities</t>
  </si>
  <si>
    <t xml:space="preserve">3/4 He Ra </t>
  </si>
  <si>
    <t>Apparent K 3He After Cooling Simulation (atom/(atm*sec*cm))</t>
  </si>
  <si>
    <t>Apparent K 4He after cooling Simulation (atom/(atm*sec*cm))</t>
  </si>
  <si>
    <t>Literature Permeabilities, Anhydrous</t>
  </si>
  <si>
    <t>He29104.txt</t>
  </si>
  <si>
    <t>He29105.txt</t>
  </si>
  <si>
    <t>He29106.txt</t>
  </si>
  <si>
    <t>He29107.txt</t>
  </si>
  <si>
    <t>He29109.txt</t>
  </si>
  <si>
    <t>He29111.txt</t>
  </si>
  <si>
    <t>He29112.txt</t>
  </si>
  <si>
    <t>He29114.txt</t>
  </si>
  <si>
    <t>He29115.txt</t>
  </si>
  <si>
    <t>He29116.txt</t>
  </si>
  <si>
    <t>He29117.txt</t>
  </si>
  <si>
    <t>He29118.txt</t>
  </si>
  <si>
    <t>He29119.txt</t>
  </si>
  <si>
    <t>He29120.txt</t>
  </si>
  <si>
    <t>He29121.txt</t>
  </si>
  <si>
    <t>He29123.txt</t>
  </si>
  <si>
    <t>He29124.txt</t>
  </si>
  <si>
    <t>He29125.txt</t>
  </si>
  <si>
    <t>He29126.txt</t>
  </si>
  <si>
    <t>He29127.txt</t>
  </si>
  <si>
    <t>He29128.txt</t>
  </si>
  <si>
    <t>He29129.txt</t>
  </si>
  <si>
    <t>He29131.txt</t>
  </si>
  <si>
    <t>He29132.txt</t>
  </si>
  <si>
    <t>RECALC_He29133.txt</t>
  </si>
  <si>
    <t>111923SmallSIlicaTube: 9935_15.0_24.0 0</t>
  </si>
  <si>
    <t>Transition</t>
  </si>
  <si>
    <t>He29081.txt</t>
  </si>
  <si>
    <t>111923SmallSIlicaTube: 5435_1.0_24.0 26.00</t>
  </si>
  <si>
    <t>He29084.txt</t>
  </si>
  <si>
    <t>111923SmallSIlicaTube: 5635_30.0_100.0 99.98</t>
  </si>
  <si>
    <t>He29087.txt</t>
  </si>
  <si>
    <t>111923SmallSIlicaTube: 5835_1.0_24.0 26.00</t>
  </si>
  <si>
    <t>He29091.txt</t>
  </si>
  <si>
    <t>111923SmallSIlicaTube: 6035_30.0_110.0 110.00</t>
  </si>
  <si>
    <t>He29094.txt</t>
  </si>
  <si>
    <t>111923SmallSIlicaTube: 6235_1.0_24.0 26.00</t>
  </si>
  <si>
    <t>He29098.txt</t>
  </si>
  <si>
    <t>111923SmallSIlicaTube: 6435_1.0_24.0 26.00</t>
  </si>
  <si>
    <t>He29102.txt</t>
  </si>
  <si>
    <t>111923SmallSIlicaTube: 6635_45.0_100.0 100.00</t>
  </si>
  <si>
    <t>111923SmallSIlicaTube: 7035_1.0_23.0 24.00</t>
  </si>
  <si>
    <t>111923SmallSIlicaTube: 7135_15.0_24.0 24.00</t>
  </si>
  <si>
    <t>111923SmallSIlicaTube: 7235_15.0_24.0 24.00</t>
  </si>
  <si>
    <t>111923SmallSIlicaTube: 7335_15.0_24.0 24.00</t>
  </si>
  <si>
    <t>111923SmallSIlicaTube: 7435_15.0_24.0 24.00</t>
  </si>
  <si>
    <t>111923SmallSIlicaTube: 7635_15.0_24.0 22.00</t>
  </si>
  <si>
    <t>111923SmallSIlicaTube: 7735_15.0_24.0 22.00</t>
  </si>
  <si>
    <t>111923SmallSIlicaTube: 7835_15.0_24.0 22.00</t>
  </si>
  <si>
    <t>111923SmallSIlicaTube: 7935_15.0_24.0 22.00</t>
  </si>
  <si>
    <t>111923SmallSIlicaTube: 8035_15.0_24.0 22.00</t>
  </si>
  <si>
    <t>111923SmallSIlicaTube: 8135_15.0_24.0 22.00</t>
  </si>
  <si>
    <t>111923SmallSIlicaTube: 8235_15.0_24.0 22.00</t>
  </si>
  <si>
    <t>111923SmallSIlicaTube: 8335_15.0_24.0 22.00</t>
  </si>
  <si>
    <t>111923SmallSIlicaTube: 8435_15.0_24.0 22.00</t>
  </si>
  <si>
    <t>111923SmallSIlicaTube: 8535_15.0_24.0 28.36</t>
  </si>
  <si>
    <t>111923SmallSIlicaTube: 8635_15.0_24.0 25.39</t>
  </si>
  <si>
    <t>111923SmallSIlicaTube: 8735_15.0_24.0 24.00</t>
  </si>
  <si>
    <t>111923SmallSIlicaTube: 8835_15.0_24.0 24.00</t>
  </si>
  <si>
    <t>111923SmallSIlicaTube: 8935_15.0_24.0 24.00</t>
  </si>
  <si>
    <t>111923SmallSIlicaTube: 9035_15.0_24.0 24.00</t>
  </si>
  <si>
    <t>111923SmallSIlicaTube: 9135_15.0_24.0 24.00</t>
  </si>
  <si>
    <t>111923SmallSIlicaTube: 9235_15.0_24.0 24.00</t>
  </si>
  <si>
    <t>111923SmallSIlicaTube: 9735_1.0_24.0 24.00</t>
  </si>
  <si>
    <t>111923SmallSIlicaTube: 9835_15.0_24.0 24.00</t>
  </si>
  <si>
    <t>He29141.txt</t>
  </si>
  <si>
    <t>111923SmallSIlicaTube: 1025_60.0_15.0 20.01</t>
  </si>
  <si>
    <t>He29160.txt</t>
  </si>
  <si>
    <t>111923SmallSIlicaTube: 1055_60.0_250.0 249.96</t>
  </si>
  <si>
    <t>He29188.txt</t>
  </si>
  <si>
    <t>111923SmallSIlicaTube: 1065_60.0_260.0 259.99</t>
  </si>
  <si>
    <t>Temp ©</t>
  </si>
  <si>
    <t>Automatic Temperature Control (With Cooling)</t>
  </si>
  <si>
    <t>Manual Temperature Control (No Cooling)</t>
  </si>
  <si>
    <t>cum 3He</t>
  </si>
  <si>
    <t>cum 4He</t>
  </si>
  <si>
    <t>nt 3He</t>
  </si>
  <si>
    <t>nt 4He</t>
  </si>
  <si>
    <t>n0 3He</t>
  </si>
  <si>
    <t>n0 4He</t>
  </si>
  <si>
    <t>Measured nt/n0</t>
  </si>
  <si>
    <t>Measured APPARENT Permeabilities</t>
  </si>
  <si>
    <t>Simulation Predicted APPARENT Permeabilities</t>
  </si>
  <si>
    <t>Literature Permeabilities</t>
  </si>
  <si>
    <t xml:space="preserve"> Model 4He (nccSTP) Swets et al., 1961</t>
  </si>
  <si>
    <t>Measured Permeabilities</t>
  </si>
  <si>
    <t>Apparent K 3He for Cooling Simulation (atom/(atm*sec*cm))</t>
  </si>
  <si>
    <t>Apparent K 4He for cooling Simulation (atom/(atm*sec*cm))</t>
  </si>
  <si>
    <t>nt/n0 predicted</t>
  </si>
  <si>
    <t>T {C}</t>
  </si>
  <si>
    <t>K 3He/4He</t>
  </si>
  <si>
    <t>K 3He/4He (Jones, 1954)</t>
  </si>
  <si>
    <t>Swets et al., 1961</t>
  </si>
  <si>
    <t>Jones, 1954</t>
  </si>
  <si>
    <t>1E4/T(K)</t>
  </si>
  <si>
    <t>ln(K) 3He measured</t>
  </si>
  <si>
    <t>ln(K) 4He measured</t>
  </si>
  <si>
    <t>ln(K) 3He Swets et al 1961; Jones 1954</t>
  </si>
  <si>
    <t>ln(K) 4He Swets et al 1961</t>
  </si>
  <si>
    <t>Log  Plots</t>
  </si>
  <si>
    <t>Cooling Model Apparent Permeabilities</t>
  </si>
  <si>
    <t>EQN 1.9, high temp only</t>
  </si>
  <si>
    <t>Average</t>
  </si>
  <si>
    <r>
      <t>(2</t>
    </r>
    <r>
      <rPr>
        <sz val="10"/>
        <color theme="1"/>
        <rFont val="Aptos Narrow"/>
        <family val="2"/>
      </rPr>
      <t>σ)</t>
    </r>
  </si>
  <si>
    <t>Total IR</t>
  </si>
  <si>
    <t>Ra</t>
  </si>
  <si>
    <t>Bulk IR</t>
  </si>
  <si>
    <t>3/4K</t>
  </si>
  <si>
    <t>K 4He/3He</t>
  </si>
  <si>
    <t>cumulative hot time (s)</t>
  </si>
  <si>
    <t>He29043.txt</t>
  </si>
  <si>
    <t>STD</t>
  </si>
  <si>
    <t>He29052.txt</t>
  </si>
  <si>
    <t>He29059.txt</t>
  </si>
  <si>
    <t>He29066.txt</t>
  </si>
  <si>
    <t>He29073.txt</t>
  </si>
  <si>
    <t>He29089.txt</t>
  </si>
  <si>
    <t>He29099.txt</t>
  </si>
  <si>
    <t>He29108.txt</t>
  </si>
  <si>
    <t>He29113.txt</t>
  </si>
  <si>
    <t>He29122.txt</t>
  </si>
  <si>
    <t>He29130.txt</t>
  </si>
  <si>
    <t>He29134.txt</t>
  </si>
  <si>
    <t>He29136.txt</t>
  </si>
  <si>
    <t>He29139.txt</t>
  </si>
  <si>
    <t>He29143.txt</t>
  </si>
  <si>
    <t>He29145.txt</t>
  </si>
  <si>
    <t>He29146.txt</t>
  </si>
  <si>
    <t>He29161.txt</t>
  </si>
  <si>
    <t>3He cps</t>
  </si>
  <si>
    <t>4He fA</t>
  </si>
  <si>
    <t>He30386.txt</t>
  </si>
  <si>
    <t>He30396.txt</t>
  </si>
  <si>
    <t>He30425.txt</t>
  </si>
  <si>
    <t>He30431.txt</t>
  </si>
  <si>
    <t>He30433.txt</t>
  </si>
  <si>
    <t>He30438.txt</t>
  </si>
  <si>
    <t>He30445.txt</t>
  </si>
  <si>
    <t>He30452.txt</t>
  </si>
  <si>
    <t>He30460.txt</t>
  </si>
  <si>
    <t>He30468.txt</t>
  </si>
  <si>
    <t>He30476.txt</t>
  </si>
  <si>
    <t>He30489.txt</t>
  </si>
  <si>
    <t>He30504.txt</t>
  </si>
  <si>
    <t>He30515.txt</t>
  </si>
  <si>
    <t>He30529.txt</t>
  </si>
  <si>
    <t>He30542.txt</t>
  </si>
  <si>
    <t>He30549.txt</t>
  </si>
  <si>
    <t>He30561.txt</t>
  </si>
  <si>
    <t>He30568.txt</t>
  </si>
  <si>
    <t>Empty Tube, MC</t>
  </si>
  <si>
    <t>Encapsulated Water, MC</t>
  </si>
  <si>
    <t>REPRODUCIBILITY (%)</t>
  </si>
  <si>
    <t>3He Signal (cps)</t>
  </si>
  <si>
    <t>4He overspray (cps)</t>
  </si>
  <si>
    <t>4 He signal (fA)</t>
  </si>
  <si>
    <t>High T</t>
  </si>
  <si>
    <t>Temp °C</t>
  </si>
  <si>
    <t>±2σ</t>
  </si>
  <si>
    <t>--</t>
  </si>
  <si>
    <t>3He (pccSTP) measured</t>
  </si>
  <si>
    <t>4He (nccSTP) measured</t>
  </si>
  <si>
    <t>Time (minutes)</t>
  </si>
  <si>
    <r>
      <t>3He 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/n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Measured</t>
    </r>
  </si>
  <si>
    <r>
      <t>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3He (pccSTP)</t>
    </r>
  </si>
  <si>
    <r>
      <t>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3He (pccSTP)</t>
    </r>
  </si>
  <si>
    <t>K measured 3He (atom/(atm*sec*cm))</t>
  </si>
  <si>
    <r>
      <t>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4He (nccSTP)</t>
    </r>
  </si>
  <si>
    <r>
      <t>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4He (nccSTP)</t>
    </r>
  </si>
  <si>
    <r>
      <t>4He 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/n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Measured</t>
    </r>
  </si>
  <si>
    <r>
      <t>4He 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/n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Predicted</t>
    </r>
  </si>
  <si>
    <t>K measured 4He (atom/(atm*sec*cm))</t>
  </si>
  <si>
    <t>K (3/4)</t>
  </si>
  <si>
    <r>
      <t>3He n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/n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Predicted</t>
    </r>
  </si>
  <si>
    <t xml:space="preserve">3/4 He Measured (Ra) </t>
  </si>
  <si>
    <t>Hot Time (minutes)</t>
  </si>
  <si>
    <t>Cold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</si>
</sst>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</font>
    <font>
      <vertAlign val="subscript"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5">
    <xf numFmtId="0" fontId="0" fillId="0" borderId="0" xfId="0"/>
    <xf numFmtId="22" fontId="0" fillId="0" borderId="0" xfId="0" applyNumberFormat="1"/>
    <xf numFmtId="11" fontId="0" fillId="0" borderId="0" xfId="0" applyNumberFormat="1"/>
    <xf numFmtId="11" fontId="18" fillId="0" borderId="0" xfId="0" applyNumberFormat="1" applyFont="1" applyAlignment="1">
      <alignment vertical="center"/>
    </xf>
    <xf numFmtId="16" fontId="0" fillId="0" borderId="0" xfId="0" applyNumberFormat="1"/>
    <xf numFmtId="0" fontId="0" fillId="0" borderId="10" xfId="0" applyBorder="1"/>
    <xf numFmtId="22" fontId="0" fillId="0" borderId="10" xfId="0" applyNumberFormat="1" applyBorder="1"/>
    <xf numFmtId="11" fontId="0" fillId="0" borderId="10" xfId="0" applyNumberFormat="1" applyBorder="1"/>
    <xf numFmtId="11" fontId="18" fillId="0" borderId="10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12" xfId="0" applyBorder="1"/>
    <xf numFmtId="11" fontId="0" fillId="0" borderId="12" xfId="0" applyNumberFormat="1" applyBorder="1"/>
    <xf numFmtId="11" fontId="0" fillId="0" borderId="11" xfId="0" applyNumberFormat="1" applyBorder="1"/>
    <xf numFmtId="2" fontId="0" fillId="0" borderId="0" xfId="0" applyNumberFormat="1"/>
    <xf numFmtId="0" fontId="0" fillId="0" borderId="13" xfId="0" applyBorder="1"/>
    <xf numFmtId="11" fontId="0" fillId="0" borderId="13" xfId="0" applyNumberFormat="1" applyBorder="1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2" fontId="0" fillId="33" borderId="0" xfId="0" applyNumberFormat="1" applyFill="1"/>
    <xf numFmtId="11" fontId="0" fillId="33" borderId="12" xfId="0" applyNumberFormat="1" applyFill="1" applyBorder="1"/>
    <xf numFmtId="11" fontId="0" fillId="33" borderId="13" xfId="0" applyNumberFormat="1" applyFill="1" applyBorder="1"/>
    <xf numFmtId="0" fontId="16" fillId="33" borderId="0" xfId="0" applyFont="1" applyFill="1"/>
    <xf numFmtId="0" fontId="0" fillId="0" borderId="14" xfId="0" applyBorder="1"/>
    <xf numFmtId="11" fontId="0" fillId="0" borderId="15" xfId="0" applyNumberFormat="1" applyBorder="1"/>
    <xf numFmtId="0" fontId="0" fillId="0" borderId="16" xfId="0" applyBorder="1"/>
    <xf numFmtId="11" fontId="0" fillId="0" borderId="14" xfId="0" applyNumberFormat="1" applyBorder="1"/>
    <xf numFmtId="2" fontId="0" fillId="0" borderId="15" xfId="0" applyNumberFormat="1" applyBorder="1"/>
    <xf numFmtId="0" fontId="0" fillId="0" borderId="17" xfId="0" applyBorder="1"/>
    <xf numFmtId="11" fontId="18" fillId="0" borderId="18" xfId="0" applyNumberFormat="1" applyFont="1" applyBorder="1" applyAlignment="1">
      <alignment vertical="center"/>
    </xf>
    <xf numFmtId="0" fontId="0" fillId="0" borderId="11" xfId="0" applyBorder="1"/>
    <xf numFmtId="0" fontId="0" fillId="0" borderId="19" xfId="0" applyBorder="1"/>
    <xf numFmtId="2" fontId="0" fillId="0" borderId="20" xfId="0" applyNumberFormat="1" applyBorder="1"/>
    <xf numFmtId="11" fontId="16" fillId="33" borderId="0" xfId="0" applyNumberFormat="1" applyFont="1" applyFill="1"/>
    <xf numFmtId="11" fontId="16" fillId="33" borderId="0" xfId="0" quotePrefix="1" applyNumberFormat="1" applyFont="1" applyFill="1"/>
    <xf numFmtId="2" fontId="16" fillId="33" borderId="0" xfId="0" applyNumberFormat="1" applyFont="1" applyFill="1"/>
    <xf numFmtId="164" fontId="0" fillId="0" borderId="0" xfId="0" applyNumberFormat="1" applyAlignment="1">
      <alignment wrapText="1"/>
    </xf>
    <xf numFmtId="164" fontId="0" fillId="0" borderId="0" xfId="0" applyNumberFormat="1"/>
    <xf numFmtId="164" fontId="16" fillId="33" borderId="0" xfId="0" applyNumberFormat="1" applyFont="1" applyFill="1"/>
    <xf numFmtId="11" fontId="0" fillId="0" borderId="13" xfId="0" applyNumberFormat="1" applyBorder="1" applyAlignment="1">
      <alignment wrapText="1"/>
    </xf>
    <xf numFmtId="0" fontId="0" fillId="0" borderId="0" xfId="0" quotePrefix="1"/>
    <xf numFmtId="165" fontId="0" fillId="0" borderId="0" xfId="0" applyNumberFormat="1"/>
    <xf numFmtId="165" fontId="0" fillId="0" borderId="0" xfId="0" applyNumberFormat="1" applyAlignment="1">
      <alignment wrapText="1"/>
    </xf>
    <xf numFmtId="164" fontId="0" fillId="0" borderId="12" xfId="0" applyNumberFormat="1" applyBorder="1"/>
    <xf numFmtId="164" fontId="0" fillId="0" borderId="12" xfId="0" applyNumberFormat="1" applyBorder="1" applyAlignment="1">
      <alignment wrapText="1"/>
    </xf>
    <xf numFmtId="0" fontId="0" fillId="0" borderId="21" xfId="0" applyBorder="1"/>
    <xf numFmtId="0" fontId="0" fillId="0" borderId="21" xfId="0" applyBorder="1" applyAlignment="1">
      <alignment wrapText="1"/>
    </xf>
    <xf numFmtId="11" fontId="0" fillId="0" borderId="21" xfId="0" applyNumberFormat="1" applyBorder="1" applyAlignment="1">
      <alignment wrapText="1"/>
    </xf>
    <xf numFmtId="11" fontId="0" fillId="0" borderId="21" xfId="0" applyNumberFormat="1" applyBorder="1"/>
    <xf numFmtId="11" fontId="16" fillId="33" borderId="21" xfId="0" applyNumberFormat="1" applyFont="1" applyFill="1" applyBorder="1"/>
    <xf numFmtId="0" fontId="0" fillId="0" borderId="22" xfId="0" applyBorder="1" applyAlignment="1">
      <alignment wrapText="1"/>
    </xf>
    <xf numFmtId="11" fontId="0" fillId="0" borderId="22" xfId="0" applyNumberFormat="1" applyBorder="1"/>
    <xf numFmtId="0" fontId="0" fillId="0" borderId="22" xfId="0" applyBorder="1"/>
    <xf numFmtId="0" fontId="0" fillId="0" borderId="23" xfId="0" applyBorder="1" applyAlignment="1">
      <alignment wrapText="1"/>
    </xf>
    <xf numFmtId="0" fontId="0" fillId="0" borderId="23" xfId="0" applyBorder="1"/>
    <xf numFmtId="0" fontId="0" fillId="0" borderId="0" xfId="0" applyAlignment="1">
      <alignment horizontal="center" wrapText="1"/>
    </xf>
    <xf numFmtId="164" fontId="16" fillId="0" borderId="0" xfId="0" applyNumberFormat="1" applyFont="1" applyFill="1"/>
    <xf numFmtId="0" fontId="0" fillId="0" borderId="0" xfId="0" applyFill="1" applyAlignment="1">
      <alignment wrapText="1"/>
    </xf>
    <xf numFmtId="165" fontId="0" fillId="0" borderId="0" xfId="0" applyNumberFormat="1" applyFill="1" applyAlignment="1">
      <alignment wrapText="1"/>
    </xf>
    <xf numFmtId="11" fontId="0" fillId="0" borderId="13" xfId="0" applyNumberFormat="1" applyFill="1" applyBorder="1" applyAlignment="1">
      <alignment wrapText="1"/>
    </xf>
    <xf numFmtId="164" fontId="0" fillId="0" borderId="12" xfId="0" applyNumberFormat="1" applyFill="1" applyBorder="1" applyAlignment="1">
      <alignment wrapText="1"/>
    </xf>
    <xf numFmtId="164" fontId="0" fillId="0" borderId="0" xfId="0" applyNumberFormat="1" applyFill="1" applyAlignment="1">
      <alignment wrapText="1"/>
    </xf>
    <xf numFmtId="0" fontId="0" fillId="0" borderId="23" xfId="0" applyFill="1" applyBorder="1" applyAlignment="1">
      <alignment wrapText="1"/>
    </xf>
    <xf numFmtId="0" fontId="0" fillId="0" borderId="0" xfId="0" applyFill="1"/>
    <xf numFmtId="165" fontId="0" fillId="0" borderId="0" xfId="0" applyNumberFormat="1" applyFill="1"/>
    <xf numFmtId="11" fontId="0" fillId="0" borderId="0" xfId="0" applyNumberFormat="1" applyFill="1"/>
    <xf numFmtId="164" fontId="0" fillId="0" borderId="12" xfId="0" quotePrefix="1" applyNumberFormat="1" applyFill="1" applyBorder="1"/>
    <xf numFmtId="164" fontId="0" fillId="0" borderId="0" xfId="0" applyNumberFormat="1" applyFill="1"/>
    <xf numFmtId="0" fontId="0" fillId="0" borderId="23" xfId="0" applyFill="1" applyBorder="1"/>
    <xf numFmtId="164" fontId="0" fillId="0" borderId="12" xfId="0" applyNumberFormat="1" applyFill="1" applyBorder="1"/>
    <xf numFmtId="11" fontId="0" fillId="0" borderId="13" xfId="0" applyNumberFormat="1" applyFill="1" applyBorder="1"/>
    <xf numFmtId="164" fontId="0" fillId="0" borderId="21" xfId="0" applyNumberFormat="1" applyFill="1" applyBorder="1" applyAlignment="1">
      <alignment wrapText="1"/>
    </xf>
    <xf numFmtId="164" fontId="0" fillId="0" borderId="13" xfId="0" applyNumberFormat="1" applyFill="1" applyBorder="1" applyAlignment="1">
      <alignment wrapText="1"/>
    </xf>
    <xf numFmtId="164" fontId="0" fillId="0" borderId="21" xfId="0" applyNumberFormat="1" applyFill="1" applyBorder="1"/>
    <xf numFmtId="164" fontId="0" fillId="0" borderId="13" xfId="0" applyNumberFormat="1" applyFill="1" applyBorder="1"/>
    <xf numFmtId="164" fontId="0" fillId="0" borderId="21" xfId="0" applyNumberFormat="1" applyBorder="1"/>
    <xf numFmtId="164" fontId="0" fillId="0" borderId="13" xfId="0" applyNumberFormat="1" applyBorder="1"/>
    <xf numFmtId="164" fontId="16" fillId="0" borderId="21" xfId="0" applyNumberFormat="1" applyFont="1" applyFill="1" applyBorder="1"/>
    <xf numFmtId="164" fontId="0" fillId="0" borderId="0" xfId="0" applyNumberFormat="1" applyFill="1" applyBorder="1" applyAlignment="1">
      <alignment wrapText="1"/>
    </xf>
    <xf numFmtId="164" fontId="0" fillId="0" borderId="0" xfId="0" quotePrefix="1" applyNumberFormat="1" applyFill="1" applyBorder="1"/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Fill="1" applyBorder="1" applyAlignment="1">
      <alignment wrapText="1"/>
    </xf>
    <xf numFmtId="11" fontId="0" fillId="0" borderId="0" xfId="0" applyNumberFormat="1" applyFill="1" applyBorder="1"/>
    <xf numFmtId="11" fontId="0" fillId="0" borderId="0" xfId="0" applyNumberFormat="1" applyBorder="1"/>
    <xf numFmtId="11" fontId="16" fillId="0" borderId="0" xfId="0" applyNumberFormat="1" applyFont="1" applyFill="1" applyBorder="1"/>
    <xf numFmtId="0" fontId="0" fillId="0" borderId="0" xfId="0" applyBorder="1"/>
    <xf numFmtId="165" fontId="0" fillId="0" borderId="24" xfId="0" applyNumberFormat="1" applyFill="1" applyBorder="1" applyAlignment="1">
      <alignment wrapText="1"/>
    </xf>
    <xf numFmtId="165" fontId="0" fillId="0" borderId="24" xfId="0" applyNumberFormat="1" applyFill="1" applyBorder="1"/>
    <xf numFmtId="165" fontId="0" fillId="0" borderId="2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</a:t>
            </a:r>
            <a:r>
              <a:rPr lang="en-US" baseline="0"/>
              <a:t> nt/n0 Predictions and Measurement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Cooling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(2)'!$AD$5,'MC Empty Tube OD1159 ID747 (2)'!$AD$7:$AD$8,'MC Empty Tube OD1159 ID747 (2)'!$AD$13:$AD$15,'MC Empty Tube OD1159 ID747 (2)'!$AD$17:$AD$23,'MC Empty Tube OD1159 ID747 (2)'!$AD$25:$AD$35)</c:f>
              <c:numCache>
                <c:formatCode>0.00E+00</c:formatCode>
                <c:ptCount val="24"/>
                <c:pt idx="0">
                  <c:v>0.99168251567319254</c:v>
                </c:pt>
                <c:pt idx="1">
                  <c:v>0.9918499658026726</c:v>
                </c:pt>
                <c:pt idx="2">
                  <c:v>0.99167837249162205</c:v>
                </c:pt>
                <c:pt idx="3">
                  <c:v>0.93680151903516962</c:v>
                </c:pt>
                <c:pt idx="4">
                  <c:v>0.92979549036412334</c:v>
                </c:pt>
                <c:pt idx="5">
                  <c:v>0.92931327034255951</c:v>
                </c:pt>
                <c:pt idx="6">
                  <c:v>0.85161674911450691</c:v>
                </c:pt>
                <c:pt idx="7">
                  <c:v>0.89641305958018913</c:v>
                </c:pt>
                <c:pt idx="8">
                  <c:v>0.82526837968342359</c:v>
                </c:pt>
                <c:pt idx="9">
                  <c:v>0.85047005302288592</c:v>
                </c:pt>
                <c:pt idx="10">
                  <c:v>0.84969827450342805</c:v>
                </c:pt>
                <c:pt idx="11">
                  <c:v>0.85203278549795602</c:v>
                </c:pt>
                <c:pt idx="12">
                  <c:v>0.85295761170589524</c:v>
                </c:pt>
                <c:pt idx="13">
                  <c:v>0.8174689110974408</c:v>
                </c:pt>
                <c:pt idx="14">
                  <c:v>0.7930383861624829</c:v>
                </c:pt>
                <c:pt idx="15">
                  <c:v>0.71238214052288185</c:v>
                </c:pt>
                <c:pt idx="16">
                  <c:v>0.64816056338368377</c:v>
                </c:pt>
                <c:pt idx="17">
                  <c:v>0.65138902411508004</c:v>
                </c:pt>
                <c:pt idx="18">
                  <c:v>0.66838687443159128</c:v>
                </c:pt>
                <c:pt idx="19">
                  <c:v>0.69248966752716667</c:v>
                </c:pt>
                <c:pt idx="20">
                  <c:v>0.71000292115536534</c:v>
                </c:pt>
                <c:pt idx="21">
                  <c:v>0.74490235837171304</c:v>
                </c:pt>
                <c:pt idx="22">
                  <c:v>0.32107637129996924</c:v>
                </c:pt>
              </c:numCache>
            </c:numRef>
          </c:xVal>
          <c:yVal>
            <c:numRef>
              <c:f>('MC Empty Tube OD1159 ID747 (2)'!$Z$5,'MC Empty Tube OD1159 ID747 (2)'!$Z$7:$Z$8,'MC Empty Tube OD1159 ID747 (2)'!$Z$13:$Z$15,'MC Empty Tube OD1159 ID747 (2)'!$Z$17:$Z$23,'MC Empty Tube OD1159 ID747 (2)'!$Z$25:$Z$35)</c:f>
              <c:numCache>
                <c:formatCode>0.00E+00</c:formatCode>
                <c:ptCount val="24"/>
                <c:pt idx="0">
                  <c:v>0.99018020920464844</c:v>
                </c:pt>
                <c:pt idx="1">
                  <c:v>0.99017135631665798</c:v>
                </c:pt>
                <c:pt idx="2">
                  <c:v>0.98995448530130159</c:v>
                </c:pt>
                <c:pt idx="3">
                  <c:v>0.92747402101310528</c:v>
                </c:pt>
                <c:pt idx="4">
                  <c:v>0.92725417938780597</c:v>
                </c:pt>
                <c:pt idx="5">
                  <c:v>0.92725417938780597</c:v>
                </c:pt>
                <c:pt idx="6">
                  <c:v>0.85119447929776326</c:v>
                </c:pt>
                <c:pt idx="7">
                  <c:v>0.89072645882245916</c:v>
                </c:pt>
                <c:pt idx="8">
                  <c:v>0.82402325217396633</c:v>
                </c:pt>
                <c:pt idx="9">
                  <c:v>0.8426691532065822</c:v>
                </c:pt>
                <c:pt idx="10">
                  <c:v>0.8426691532065822</c:v>
                </c:pt>
                <c:pt idx="11">
                  <c:v>0.84271441606802644</c:v>
                </c:pt>
                <c:pt idx="12">
                  <c:v>0.84266915323503555</c:v>
                </c:pt>
                <c:pt idx="13">
                  <c:v>0.7843000095412872</c:v>
                </c:pt>
                <c:pt idx="14">
                  <c:v>0.78465828012523631</c:v>
                </c:pt>
                <c:pt idx="15">
                  <c:v>0.71463886163584145</c:v>
                </c:pt>
                <c:pt idx="16">
                  <c:v>0.6410410012273241</c:v>
                </c:pt>
                <c:pt idx="17">
                  <c:v>0.64130904204233063</c:v>
                </c:pt>
                <c:pt idx="18">
                  <c:v>0.64130904204233063</c:v>
                </c:pt>
                <c:pt idx="19">
                  <c:v>0.64139841384686891</c:v>
                </c:pt>
                <c:pt idx="20">
                  <c:v>0.64274048701584563</c:v>
                </c:pt>
                <c:pt idx="21">
                  <c:v>0.64148779816231383</c:v>
                </c:pt>
                <c:pt idx="22">
                  <c:v>0.26254574409431303</c:v>
                </c:pt>
                <c:pt idx="23">
                  <c:v>0.64238232648366189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A-486C-876F-6861F7D61872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 (2)'!$Z$39:$Z$40</c:f>
              <c:numCache>
                <c:formatCode>General</c:formatCode>
                <c:ptCount val="2"/>
              </c:numCache>
            </c:numRef>
          </c:xVal>
          <c:yVal>
            <c:numRef>
              <c:f>'MC Empty Tube OD1159 ID747 (2)'!$AA$39:$AA$40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A-486C-876F-6861F7D61872}"/>
            </c:ext>
          </c:extLst>
        </c:ser>
        <c:ser>
          <c:idx val="2"/>
          <c:order val="2"/>
          <c:tx>
            <c:v>Measurement and simulation with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 (2)'!$AE$4,'MC Empty Tube OD1159 ID747 (2)'!$AE$6,'MC Empty Tube OD1159 ID747 (2)'!$AE$9)</c:f>
              <c:numCache>
                <c:formatCode>0.00E+00</c:formatCode>
                <c:ptCount val="3"/>
                <c:pt idx="0">
                  <c:v>0.9663626827715035</c:v>
                </c:pt>
                <c:pt idx="1">
                  <c:v>0.95755169406683471</c:v>
                </c:pt>
                <c:pt idx="2">
                  <c:v>0.95339008410042547</c:v>
                </c:pt>
              </c:numCache>
            </c:numRef>
          </c:xVal>
          <c:yVal>
            <c:numRef>
              <c:f>('MC Empty Tube OD1159 ID747 (2)'!$AC$4,'MC Empty Tube OD1159 ID747 (2)'!$AC$6,'MC Empty Tube OD1159 ID747 (2)'!$AC$9)</c:f>
              <c:numCache>
                <c:formatCode>General</c:formatCode>
                <c:ptCount val="3"/>
                <c:pt idx="0">
                  <c:v>0.96643484236845834</c:v>
                </c:pt>
                <c:pt idx="1">
                  <c:v>0.95738378402887669</c:v>
                </c:pt>
                <c:pt idx="2">
                  <c:v>0.95317270495475448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A-486C-876F-6861F7D6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33535"/>
        <c:axId val="1941034015"/>
      </c:scatterChart>
      <c:valAx>
        <c:axId val="194103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4015"/>
        <c:crosses val="autoZero"/>
        <c:crossBetween val="midCat"/>
      </c:valAx>
      <c:valAx>
        <c:axId val="19410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ntt/n0 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nt/n0</a:t>
            </a:r>
            <a:r>
              <a:rPr lang="en-US" baseline="0"/>
              <a:t> Predictions and Measurement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(2)'!$AE$5,'MC Empty Tube OD1159 ID747 (2)'!$AE$7:$AE$8,'MC Empty Tube OD1159 ID747 (2)'!$AE$13:$AE$15,'MC Empty Tube OD1159 ID747 (2)'!$AE$17:$AE$23,'MC Empty Tube OD1159 ID747 (2)'!$AE$25:$AE$35)</c:f>
              <c:numCache>
                <c:formatCode>0.00E+00</c:formatCode>
                <c:ptCount val="24"/>
                <c:pt idx="0">
                  <c:v>0.99226011586446838</c:v>
                </c:pt>
                <c:pt idx="1">
                  <c:v>0.99241432304386212</c:v>
                </c:pt>
                <c:pt idx="2">
                  <c:v>0.99225317815712066</c:v>
                </c:pt>
                <c:pt idx="3">
                  <c:v>0.94197898289630011</c:v>
                </c:pt>
                <c:pt idx="4">
                  <c:v>0.93554650083632174</c:v>
                </c:pt>
                <c:pt idx="5">
                  <c:v>0.93550793519233211</c:v>
                </c:pt>
                <c:pt idx="6">
                  <c:v>0.86814746399119957</c:v>
                </c:pt>
                <c:pt idx="7">
                  <c:v>0.90580012620411543</c:v>
                </c:pt>
                <c:pt idx="8">
                  <c:v>0.84303104094855041</c:v>
                </c:pt>
                <c:pt idx="9">
                  <c:v>0.86507627943146692</c:v>
                </c:pt>
                <c:pt idx="10">
                  <c:v>0.86534413138690347</c:v>
                </c:pt>
                <c:pt idx="11">
                  <c:v>0.86582532558422931</c:v>
                </c:pt>
                <c:pt idx="12">
                  <c:v>0.86669350385203914</c:v>
                </c:pt>
                <c:pt idx="13">
                  <c:v>0.83669886685544492</c:v>
                </c:pt>
                <c:pt idx="14">
                  <c:v>0.8172483016140567</c:v>
                </c:pt>
                <c:pt idx="15">
                  <c:v>0.74805948145439127</c:v>
                </c:pt>
                <c:pt idx="16">
                  <c:v>0.69096797326012382</c:v>
                </c:pt>
                <c:pt idx="17">
                  <c:v>0.69658310980588334</c:v>
                </c:pt>
                <c:pt idx="18">
                  <c:v>0.7063412366221723</c:v>
                </c:pt>
                <c:pt idx="19">
                  <c:v>0.72053167750075453</c:v>
                </c:pt>
                <c:pt idx="20">
                  <c:v>0.74249053102508178</c:v>
                </c:pt>
                <c:pt idx="21">
                  <c:v>0.7683699922123739</c:v>
                </c:pt>
                <c:pt idx="22">
                  <c:v>0.35310838748952295</c:v>
                </c:pt>
              </c:numCache>
            </c:numRef>
          </c:xVal>
          <c:yVal>
            <c:numRef>
              <c:f>('MC Empty Tube OD1159 ID747 (2)'!$AA$5,'MC Empty Tube OD1159 ID747 (2)'!$AA$7:$AA$8,'MC Empty Tube OD1159 ID747 (2)'!$AA$13:$AA$15,'MC Empty Tube OD1159 ID747 (2)'!$AA$17:$AA$23,'MC Empty Tube OD1159 ID747 (2)'!$AA$25:$AA$35)</c:f>
              <c:numCache>
                <c:formatCode>0.00E+00</c:formatCode>
                <c:ptCount val="24"/>
                <c:pt idx="0">
                  <c:v>0.99075919295121195</c:v>
                </c:pt>
                <c:pt idx="1">
                  <c:v>0.99075085959611675</c:v>
                </c:pt>
                <c:pt idx="2">
                  <c:v>0.99054671430635977</c:v>
                </c:pt>
                <c:pt idx="3">
                  <c:v>0.93317710024917355</c:v>
                </c:pt>
                <c:pt idx="4">
                  <c:v>0.93297391460631873</c:v>
                </c:pt>
                <c:pt idx="5">
                  <c:v>0.93297391460631873</c:v>
                </c:pt>
                <c:pt idx="6">
                  <c:v>0.86297681598657128</c:v>
                </c:pt>
                <c:pt idx="7">
                  <c:v>0.89956477924210143</c:v>
                </c:pt>
                <c:pt idx="8">
                  <c:v>0.83774525519665255</c:v>
                </c:pt>
                <c:pt idx="9">
                  <c:v>0.85557344498045418</c:v>
                </c:pt>
                <c:pt idx="10">
                  <c:v>0.85557344498045418</c:v>
                </c:pt>
                <c:pt idx="11">
                  <c:v>0.85561532088250014</c:v>
                </c:pt>
                <c:pt idx="12">
                  <c:v>0.85557344500677857</c:v>
                </c:pt>
                <c:pt idx="13">
                  <c:v>0.80200116341022543</c:v>
                </c:pt>
                <c:pt idx="14">
                  <c:v>0.8023338597405596</c:v>
                </c:pt>
                <c:pt idx="15">
                  <c:v>0.7370383968991967</c:v>
                </c:pt>
                <c:pt idx="16">
                  <c:v>0.66932803666650309</c:v>
                </c:pt>
                <c:pt idx="17">
                  <c:v>0.66958072223577714</c:v>
                </c:pt>
                <c:pt idx="18">
                  <c:v>0.66958072223577714</c:v>
                </c:pt>
                <c:pt idx="19">
                  <c:v>0.66966497192048535</c:v>
                </c:pt>
                <c:pt idx="20">
                  <c:v>0.6709299905503342</c:v>
                </c:pt>
                <c:pt idx="21">
                  <c:v>0.6697492322588442</c:v>
                </c:pt>
                <c:pt idx="22">
                  <c:v>0.29895488573609208</c:v>
                </c:pt>
                <c:pt idx="23">
                  <c:v>0.67059241876180098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A-43B8-87C8-D81245A13B8D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 (2)'!$Z$39:$Z$40</c:f>
              <c:numCache>
                <c:formatCode>General</c:formatCode>
                <c:ptCount val="2"/>
              </c:numCache>
            </c:numRef>
          </c:xVal>
          <c:yVal>
            <c:numRef>
              <c:f>'MC Empty Tube OD1159 ID747 (2)'!$AA$39:$AA$40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A-43B8-87C8-D81245A13B8D}"/>
            </c:ext>
          </c:extLst>
        </c:ser>
        <c:ser>
          <c:idx val="2"/>
          <c:order val="2"/>
          <c:tx>
            <c:v>Measurement and Simulation with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 (2)'!$AE$4,'MC Empty Tube OD1159 ID747 (2)'!$AE$6,'MC Empty Tube OD1159 ID747 (2)'!$AE$9)</c:f>
              <c:numCache>
                <c:formatCode>0.00E+00</c:formatCode>
                <c:ptCount val="3"/>
                <c:pt idx="0">
                  <c:v>0.9663626827715035</c:v>
                </c:pt>
                <c:pt idx="1">
                  <c:v>0.95755169406683471</c:v>
                </c:pt>
                <c:pt idx="2">
                  <c:v>0.95339008410042547</c:v>
                </c:pt>
              </c:numCache>
            </c:numRef>
          </c:xVal>
          <c:yVal>
            <c:numRef>
              <c:f>('MC Empty Tube OD1159 ID747 (2)'!$AC$4,'MC Empty Tube OD1159 ID747 (2)'!$AC$6,'MC Empty Tube OD1159 ID747 (2)'!$AC$9)</c:f>
              <c:numCache>
                <c:formatCode>General</c:formatCode>
                <c:ptCount val="3"/>
                <c:pt idx="0">
                  <c:v>0.96643484236845834</c:v>
                </c:pt>
                <c:pt idx="1">
                  <c:v>0.95738378402887669</c:v>
                </c:pt>
                <c:pt idx="2">
                  <c:v>0.95317270495475448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2A-43B8-87C8-D81245A1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58560"/>
        <c:axId val="511959040"/>
      </c:scatterChart>
      <c:valAx>
        <c:axId val="5119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9040"/>
        <c:crosses val="autoZero"/>
        <c:crossBetween val="midCat"/>
      </c:valAx>
      <c:valAx>
        <c:axId val="5119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</a:t>
            </a:r>
            <a:r>
              <a:rPr lang="en-US" baseline="0"/>
              <a:t> Measured Permeabilities (K) Vs Literature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Permeabilities (No Cooling)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(2)'!$AF$5,'MC Empty Tube OD1159 ID747 (2)'!$AF$7:$AF$8,'MC Empty Tube OD1159 ID747 (2)'!$AF$13:$AF$15,'MC Empty Tube OD1159 ID747 (2)'!$AF$17:$AF$23,'MC Empty Tube OD1159 ID747 (2)'!$AF$25:$AF$35)</c:f>
              <c:numCache>
                <c:formatCode>0.00E+00</c:formatCode>
                <c:ptCount val="24"/>
                <c:pt idx="0">
                  <c:v>14253590170.703745</c:v>
                </c:pt>
                <c:pt idx="1">
                  <c:v>13952813876.210409</c:v>
                </c:pt>
                <c:pt idx="2">
                  <c:v>13938693605.179016</c:v>
                </c:pt>
                <c:pt idx="3">
                  <c:v>116349339828.34163</c:v>
                </c:pt>
                <c:pt idx="4">
                  <c:v>129320786479.92897</c:v>
                </c:pt>
                <c:pt idx="5">
                  <c:v>130242430831.17738</c:v>
                </c:pt>
                <c:pt idx="6">
                  <c:v>193752241621.4762</c:v>
                </c:pt>
                <c:pt idx="7">
                  <c:v>183662165642.12991</c:v>
                </c:pt>
                <c:pt idx="8">
                  <c:v>192834433541.25473</c:v>
                </c:pt>
                <c:pt idx="9">
                  <c:v>255555806815.6261</c:v>
                </c:pt>
                <c:pt idx="10">
                  <c:v>256988299710.32422</c:v>
                </c:pt>
                <c:pt idx="11">
                  <c:v>252738509323.21317</c:v>
                </c:pt>
                <c:pt idx="12">
                  <c:v>250947497477.72861</c:v>
                </c:pt>
                <c:pt idx="13">
                  <c:v>300721292165.52924</c:v>
                </c:pt>
                <c:pt idx="14">
                  <c:v>346645034063.42865</c:v>
                </c:pt>
                <c:pt idx="15">
                  <c:v>365938691082.59918</c:v>
                </c:pt>
                <c:pt idx="16">
                  <c:v>585328135829.14832</c:v>
                </c:pt>
                <c:pt idx="17">
                  <c:v>579165658132.72742</c:v>
                </c:pt>
                <c:pt idx="18">
                  <c:v>544360021690.10571</c:v>
                </c:pt>
                <c:pt idx="19">
                  <c:v>496649954156.19513</c:v>
                </c:pt>
                <c:pt idx="20">
                  <c:v>465082465056.62323</c:v>
                </c:pt>
                <c:pt idx="21">
                  <c:v>398164692012.4895</c:v>
                </c:pt>
                <c:pt idx="22">
                  <c:v>509908283173.45673</c:v>
                </c:pt>
                <c:pt idx="23">
                  <c:v>600237535013.72363</c:v>
                </c:pt>
              </c:numCache>
            </c:numRef>
          </c:xVal>
          <c:yVal>
            <c:numRef>
              <c:f>('MC Empty Tube OD1159 ID747 (2)'!$AH$5,'MC Empty Tube OD1159 ID747 (2)'!$AH$7:$AH$8,'MC Empty Tube OD1159 ID747 (2)'!$AH$13:$AH$15,'MC Empty Tube OD1159 ID747 (2)'!$AH$17:$AH$23,'MC Empty Tube OD1159 ID747 (2)'!$AH$25:$AH$35)</c:f>
              <c:numCache>
                <c:formatCode>0.00E+00</c:formatCode>
                <c:ptCount val="24"/>
                <c:pt idx="0">
                  <c:v>16840819425.918863</c:v>
                </c:pt>
                <c:pt idx="1">
                  <c:v>16840819425.918863</c:v>
                </c:pt>
                <c:pt idx="2">
                  <c:v>16840819425.918863</c:v>
                </c:pt>
                <c:pt idx="3">
                  <c:v>134183262569.17139</c:v>
                </c:pt>
                <c:pt idx="4">
                  <c:v>134183262569.17139</c:v>
                </c:pt>
                <c:pt idx="5">
                  <c:v>134183262569.17139</c:v>
                </c:pt>
                <c:pt idx="6">
                  <c:v>194350521265.9346</c:v>
                </c:pt>
                <c:pt idx="7">
                  <c:v>194350521265.9346</c:v>
                </c:pt>
                <c:pt idx="8">
                  <c:v>194350521265.9346</c:v>
                </c:pt>
                <c:pt idx="9">
                  <c:v>270095216980.86789</c:v>
                </c:pt>
                <c:pt idx="10">
                  <c:v>270095216980.86789</c:v>
                </c:pt>
                <c:pt idx="11">
                  <c:v>270095216980.86789</c:v>
                </c:pt>
                <c:pt idx="12">
                  <c:v>270095216980.86789</c:v>
                </c:pt>
                <c:pt idx="13">
                  <c:v>362525927700.55499</c:v>
                </c:pt>
                <c:pt idx="14">
                  <c:v>362525927700.55499</c:v>
                </c:pt>
                <c:pt idx="15">
                  <c:v>362525927700.55499</c:v>
                </c:pt>
                <c:pt idx="16">
                  <c:v>600237535013.72363</c:v>
                </c:pt>
                <c:pt idx="17">
                  <c:v>600237535013.72363</c:v>
                </c:pt>
                <c:pt idx="18">
                  <c:v>600237535013.72363</c:v>
                </c:pt>
                <c:pt idx="19">
                  <c:v>600237535013.72363</c:v>
                </c:pt>
                <c:pt idx="20">
                  <c:v>600237535013.72363</c:v>
                </c:pt>
                <c:pt idx="21">
                  <c:v>600237535013.72363</c:v>
                </c:pt>
                <c:pt idx="22">
                  <c:v>600237535013.72363</c:v>
                </c:pt>
                <c:pt idx="23">
                  <c:v>600237535013.72363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9-4757-A393-91F7BEFA8AB7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 (2)'!$AB$39:$AB$40</c:f>
              <c:numCache>
                <c:formatCode>0.00E+00</c:formatCode>
                <c:ptCount val="2"/>
              </c:numCache>
            </c:numRef>
          </c:xVal>
          <c:yVal>
            <c:numRef>
              <c:f>'MC Empty Tube OD1159 ID747 (2)'!$AC$39:$AC$40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9-4757-A393-91F7BEFA8AB7}"/>
            </c:ext>
          </c:extLst>
        </c:ser>
        <c:ser>
          <c:idx val="2"/>
          <c:order val="2"/>
          <c:tx>
            <c:v>Apparent Permeabilities (with cooling model)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 (2)'!$AF$4,'MC Empty Tube OD1159 ID747 (2)'!$AF$6,'MC Empty Tube OD1159 ID747 (2)'!$AF$9)</c:f>
              <c:numCache>
                <c:formatCode>0.00E+00</c:formatCode>
                <c:ptCount val="3"/>
                <c:pt idx="0">
                  <c:v>122417203846.34799</c:v>
                </c:pt>
                <c:pt idx="1">
                  <c:v>154855139572.86917</c:v>
                </c:pt>
                <c:pt idx="2">
                  <c:v>114288564309.10632</c:v>
                </c:pt>
              </c:numCache>
            </c:numRef>
          </c:xVal>
          <c:yVal>
            <c:numRef>
              <c:f>('MC Empty Tube OD1159 ID747 (2)'!$AK$4,'MC Empty Tube OD1159 ID747 (2)'!$AK$6,'MC Empty Tube OD1159 ID747 (2)'!$AK$9)</c:f>
              <c:numCache>
                <c:formatCode>General</c:formatCode>
                <c:ptCount val="3"/>
                <c:pt idx="0">
                  <c:v>123685663230.709</c:v>
                </c:pt>
                <c:pt idx="1">
                  <c:v>153752348802.677</c:v>
                </c:pt>
                <c:pt idx="2">
                  <c:v>115934762957.97099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29-4757-A393-91F7BEFA8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59455"/>
        <c:axId val="1941060415"/>
      </c:scatterChart>
      <c:valAx>
        <c:axId val="19410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Permeability 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60415"/>
        <c:crosses val="autoZero"/>
        <c:crossBetween val="midCat"/>
      </c:valAx>
      <c:valAx>
        <c:axId val="19410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Swets</a:t>
                </a:r>
                <a:r>
                  <a:rPr lang="en-US" baseline="0"/>
                  <a:t> et al., 1961 and Jones 1954 Permeability 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5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Measured Permeabilities (K) Vs Literature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Permeabilities (No cooling)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(2)'!$AG$5,'MC Empty Tube OD1159 ID747 (2)'!$AG$7:$AG$8,'MC Empty Tube OD1159 ID747 (2)'!$AG$13:$AG$15,'MC Empty Tube OD1159 ID747 (2)'!$AG$17:$AG$23,'MC Empty Tube OD1159 ID747 (2)'!$AG$25:$AG$35)</c:f>
              <c:numCache>
                <c:formatCode>0.00E+00</c:formatCode>
                <c:ptCount val="24"/>
                <c:pt idx="0">
                  <c:v>13259906636.633036</c:v>
                </c:pt>
                <c:pt idx="1">
                  <c:v>12982949146.631292</c:v>
                </c:pt>
                <c:pt idx="2">
                  <c:v>12972142441.718374</c:v>
                </c:pt>
                <c:pt idx="3">
                  <c:v>106526652408.77303</c:v>
                </c:pt>
                <c:pt idx="4">
                  <c:v>118365846996.56709</c:v>
                </c:pt>
                <c:pt idx="5">
                  <c:v>118439085098.44954</c:v>
                </c:pt>
                <c:pt idx="6">
                  <c:v>170561385190.79211</c:v>
                </c:pt>
                <c:pt idx="7">
                  <c:v>166166002719.20874</c:v>
                </c:pt>
                <c:pt idx="8">
                  <c:v>171451941329.58698</c:v>
                </c:pt>
                <c:pt idx="9">
                  <c:v>228687657575.28558</c:v>
                </c:pt>
                <c:pt idx="10">
                  <c:v>228199190971.19147</c:v>
                </c:pt>
                <c:pt idx="11">
                  <c:v>227393394061.11603</c:v>
                </c:pt>
                <c:pt idx="12">
                  <c:v>225740713230.31326</c:v>
                </c:pt>
                <c:pt idx="13">
                  <c:v>266027958834.2973</c:v>
                </c:pt>
                <c:pt idx="14">
                  <c:v>301691106424.21686</c:v>
                </c:pt>
                <c:pt idx="15">
                  <c:v>313209272636.95697</c:v>
                </c:pt>
                <c:pt idx="16">
                  <c:v>498996902081.40222</c:v>
                </c:pt>
                <c:pt idx="17">
                  <c:v>488530800751.36102</c:v>
                </c:pt>
                <c:pt idx="18">
                  <c:v>469734561394.29883</c:v>
                </c:pt>
                <c:pt idx="19">
                  <c:v>442998012023.79132</c:v>
                </c:pt>
                <c:pt idx="20">
                  <c:v>404325942764.46936</c:v>
                </c:pt>
                <c:pt idx="21">
                  <c:v>356228274877.70764</c:v>
                </c:pt>
                <c:pt idx="22">
                  <c:v>467226059834.49323</c:v>
                </c:pt>
                <c:pt idx="23">
                  <c:v>541948810548.7168</c:v>
                </c:pt>
              </c:numCache>
            </c:numRef>
          </c:xVal>
          <c:yVal>
            <c:numRef>
              <c:f>('MC Empty Tube OD1159 ID747 (2)'!$AI$5,'MC Empty Tube OD1159 ID747 (2)'!$AI$7:$AI$8,'MC Empty Tube OD1159 ID747 (2)'!$AI$13:$AI$15,'MC Empty Tube OD1159 ID747 (2)'!$AI$17:$AI$23,'MC Empty Tube OD1159 ID747 (2)'!$AI$25:$AI$35)</c:f>
              <c:numCache>
                <c:formatCode>0.00E+00</c:formatCode>
                <c:ptCount val="24"/>
                <c:pt idx="0">
                  <c:v>15843245574.991554</c:v>
                </c:pt>
                <c:pt idx="1">
                  <c:v>15843245574.991554</c:v>
                </c:pt>
                <c:pt idx="2">
                  <c:v>15843245574.991554</c:v>
                </c:pt>
                <c:pt idx="3">
                  <c:v>123257946512.99637</c:v>
                </c:pt>
                <c:pt idx="4">
                  <c:v>123257946512.99637</c:v>
                </c:pt>
                <c:pt idx="5">
                  <c:v>123257946512.99637</c:v>
                </c:pt>
                <c:pt idx="6">
                  <c:v>177767458919.01862</c:v>
                </c:pt>
                <c:pt idx="7">
                  <c:v>177767458919.01862</c:v>
                </c:pt>
                <c:pt idx="8">
                  <c:v>177767458919.01862</c:v>
                </c:pt>
                <c:pt idx="9">
                  <c:v>246116028366.41577</c:v>
                </c:pt>
                <c:pt idx="10">
                  <c:v>246116028366.41577</c:v>
                </c:pt>
                <c:pt idx="11">
                  <c:v>246116028366.41577</c:v>
                </c:pt>
                <c:pt idx="12">
                  <c:v>246116028366.41577</c:v>
                </c:pt>
                <c:pt idx="13">
                  <c:v>329224588875.15723</c:v>
                </c:pt>
                <c:pt idx="14">
                  <c:v>329224588875.15723</c:v>
                </c:pt>
                <c:pt idx="15">
                  <c:v>329224588875.15723</c:v>
                </c:pt>
                <c:pt idx="16">
                  <c:v>541948810548.71667</c:v>
                </c:pt>
                <c:pt idx="17">
                  <c:v>541948810548.71667</c:v>
                </c:pt>
                <c:pt idx="18">
                  <c:v>541948810548.71667</c:v>
                </c:pt>
                <c:pt idx="19">
                  <c:v>541948810548.71667</c:v>
                </c:pt>
                <c:pt idx="20">
                  <c:v>541948810548.71667</c:v>
                </c:pt>
                <c:pt idx="21">
                  <c:v>541948810548.71667</c:v>
                </c:pt>
                <c:pt idx="22">
                  <c:v>541948810548.71667</c:v>
                </c:pt>
                <c:pt idx="23">
                  <c:v>541948810548.71667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1-465B-99EE-875FFA82A230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accent1">
                    <a:alpha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81-465B-99EE-875FFA82A230}"/>
              </c:ext>
            </c:extLst>
          </c:dPt>
          <c:xVal>
            <c:numRef>
              <c:f>'MC Empty Tube OD1159 ID747 (2)'!$AB$39:$AB$40</c:f>
              <c:numCache>
                <c:formatCode>0.00E+00</c:formatCode>
                <c:ptCount val="2"/>
              </c:numCache>
            </c:numRef>
          </c:xVal>
          <c:yVal>
            <c:numRef>
              <c:f>'MC Empty Tube OD1159 ID747 (2)'!$AC$39:$AC$40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81-465B-99EE-875FFA82A230}"/>
            </c:ext>
          </c:extLst>
        </c:ser>
        <c:ser>
          <c:idx val="2"/>
          <c:order val="2"/>
          <c:tx>
            <c:v>Apparent Permeabilities (with cooling model)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 (2)'!$AG$4,'MC Empty Tube OD1159 ID747 (2)'!$AG$6,'MC Empty Tube OD1159 ID747 (2)'!$AG$9)</c:f>
              <c:numCache>
                <c:formatCode>0.00E+00</c:formatCode>
                <c:ptCount val="3"/>
                <c:pt idx="0">
                  <c:v>114807567854.09283</c:v>
                </c:pt>
                <c:pt idx="1">
                  <c:v>141741063480.87515</c:v>
                </c:pt>
                <c:pt idx="2">
                  <c:v>106770418584.54636</c:v>
                </c:pt>
              </c:numCache>
            </c:numRef>
          </c:xVal>
          <c:yVal>
            <c:numRef>
              <c:f>('MC Empty Tube OD1159 ID747 (2)'!$AL$4,'MC Empty Tube OD1159 ID747 (2)'!$AL$6,'MC Empty Tube OD1159 ID747 (2)'!$AL$9)</c:f>
              <c:numCache>
                <c:formatCode>General</c:formatCode>
                <c:ptCount val="3"/>
                <c:pt idx="0">
                  <c:v>114563170024.399</c:v>
                </c:pt>
                <c:pt idx="1">
                  <c:v>142314127307.10101</c:v>
                </c:pt>
                <c:pt idx="2">
                  <c:v>107280507551.155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81-465B-99EE-875FFA82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474143"/>
        <c:axId val="1450474623"/>
      </c:scatterChart>
      <c:valAx>
        <c:axId val="145047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Permeability (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4623"/>
        <c:crosses val="autoZero"/>
        <c:crossBetween val="midCat"/>
      </c:valAx>
      <c:valAx>
        <c:axId val="14504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Swets</a:t>
                </a:r>
                <a:r>
                  <a:rPr lang="en-US" baseline="0"/>
                  <a:t> et al., 1961</a:t>
                </a:r>
              </a:p>
              <a:p>
                <a:pPr>
                  <a:defRPr/>
                </a:pPr>
                <a:r>
                  <a:rPr lang="en-US" baseline="0"/>
                  <a:t> </a:t>
                </a:r>
                <a:r>
                  <a:rPr lang="en-US"/>
                  <a:t>Permeability</a:t>
                </a:r>
                <a:r>
                  <a:rPr lang="en-US" baseline="0"/>
                  <a:t> 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3He/4He Relative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Jones, 1954</c:v>
          </c:tx>
          <c:spPr>
            <a:ln w="25400" cap="rnd">
              <a:solidFill>
                <a:schemeClr val="accent1">
                  <a:alpha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 (2)'!$AF$41:$AF$50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'MC Empty Tube OD1159 ID747 (2)'!$AG$41:$AG$50</c:f>
              <c:numCache>
                <c:formatCode>General</c:formatCode>
                <c:ptCount val="10"/>
                <c:pt idx="0">
                  <c:v>1.0626230782891961</c:v>
                </c:pt>
                <c:pt idx="1">
                  <c:v>1.0705699529318393</c:v>
                </c:pt>
                <c:pt idx="2">
                  <c:v>1.0774222544307648</c:v>
                </c:pt>
                <c:pt idx="3">
                  <c:v>1.0833914408858101</c:v>
                </c:pt>
                <c:pt idx="4">
                  <c:v>1.0886378230796101</c:v>
                </c:pt>
                <c:pt idx="5">
                  <c:v>1.093285140304955</c:v>
                </c:pt>
                <c:pt idx="6">
                  <c:v>1.0974304224459208</c:v>
                </c:pt>
                <c:pt idx="7">
                  <c:v>1.101150825153056</c:v>
                </c:pt>
                <c:pt idx="8">
                  <c:v>1.1045084688703461</c:v>
                </c:pt>
                <c:pt idx="9">
                  <c:v>1.1075539300584318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D-48E7-9AED-5842873CA3E7}"/>
            </c:ext>
          </c:extLst>
        </c:ser>
        <c:ser>
          <c:idx val="0"/>
          <c:order val="1"/>
          <c:tx>
            <c:v>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(2)'!$E$5,'MC Empty Tube OD1159 ID747 (2)'!$E$7:$E$8,'MC Empty Tube OD1159 ID747 (2)'!$E$13:$E$15,'MC Empty Tube OD1159 ID747 (2)'!$E$17:$E$23,'MC Empty Tube OD1159 ID747 (2)'!$E$25:$E$35)</c:f>
              <c:numCache>
                <c:formatCode>General</c:formatCode>
                <c:ptCount val="2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175</c:v>
                </c:pt>
                <c:pt idx="10">
                  <c:v>175</c:v>
                </c:pt>
                <c:pt idx="11">
                  <c:v>175</c:v>
                </c:pt>
                <c:pt idx="12">
                  <c:v>175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</c:numCache>
            </c:numRef>
          </c:xVal>
          <c:yVal>
            <c:numRef>
              <c:f>('MC Empty Tube OD1159 ID747 (2)'!$AJ$5,'MC Empty Tube OD1159 ID747 (2)'!$AJ$7:$AJ$8,'MC Empty Tube OD1159 ID747 (2)'!$AJ$13:$AJ$15,'MC Empty Tube OD1159 ID747 (2)'!$AJ$17:$AJ$23,'MC Empty Tube OD1159 ID747 (2)'!$AJ$25:$AJ$35)</c:f>
              <c:numCache>
                <c:formatCode>0.00E+00</c:formatCode>
                <c:ptCount val="24"/>
                <c:pt idx="0">
                  <c:v>1.0749389540440253</c:v>
                </c:pt>
                <c:pt idx="1">
                  <c:v>1.074702959907285</c:v>
                </c:pt>
                <c:pt idx="2">
                  <c:v>1.074509755640072</c:v>
                </c:pt>
                <c:pt idx="3">
                  <c:v>1.0922087308430211</c:v>
                </c:pt>
                <c:pt idx="4">
                  <c:v>1.0925515236137295</c:v>
                </c:pt>
                <c:pt idx="5">
                  <c:v>1.0996575220326685</c:v>
                </c:pt>
                <c:pt idx="6">
                  <c:v>1.1359678007114125</c:v>
                </c:pt>
                <c:pt idx="7">
                  <c:v>1.1052932768232175</c:v>
                </c:pt>
                <c:pt idx="8">
                  <c:v>1.1247142029763524</c:v>
                </c:pt>
                <c:pt idx="9">
                  <c:v>1.1174884098478088</c:v>
                </c:pt>
                <c:pt idx="10">
                  <c:v>1.1261578037003961</c:v>
                </c:pt>
                <c:pt idx="11">
                  <c:v>1.1114593296201261</c:v>
                </c:pt>
                <c:pt idx="12">
                  <c:v>1.1116625525219193</c:v>
                </c:pt>
                <c:pt idx="13">
                  <c:v>1.1304123577207974</c:v>
                </c:pt>
                <c:pt idx="14">
                  <c:v>1.1490064727861111</c:v>
                </c:pt>
                <c:pt idx="15">
                  <c:v>1.1683520350521719</c:v>
                </c:pt>
                <c:pt idx="16">
                  <c:v>1.1730095585516536</c:v>
                </c:pt>
                <c:pt idx="17">
                  <c:v>1.1855253696224881</c:v>
                </c:pt>
                <c:pt idx="18">
                  <c:v>1.158867297467528</c:v>
                </c:pt>
                <c:pt idx="19">
                  <c:v>1.1211110223436451</c:v>
                </c:pt>
                <c:pt idx="20">
                  <c:v>1.1502661982972142</c:v>
                </c:pt>
                <c:pt idx="21">
                  <c:v>1.1177234377287388</c:v>
                </c:pt>
                <c:pt idx="22">
                  <c:v>1.0913524030617705</c:v>
                </c:pt>
                <c:pt idx="23">
                  <c:v>1.1075539300584316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D-48E7-9AED-5842873CA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31615"/>
        <c:axId val="1941043135"/>
      </c:scatterChart>
      <c:valAx>
        <c:axId val="19410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43135"/>
        <c:crosses val="autoZero"/>
        <c:crossBetween val="midCat"/>
      </c:valAx>
      <c:valAx>
        <c:axId val="194104313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 3He / K 4He 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3He, 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 (2)'!$AM$5,'MC Empty Tube OD1159 ID747 (2)'!$AM$7:$AM$8,'MC Empty Tube OD1159 ID747 (2)'!$AM$13:$AM$15,'MC Empty Tube OD1159 ID747 (2)'!$AM$17:$AM$23,'MC Empty Tube OD1159 ID747 (2)'!$AM$25:$AM$35)</c:f>
              <c:numCache>
                <c:formatCode>General</c:formatCode>
                <c:ptCount val="24"/>
                <c:pt idx="0">
                  <c:v>33.444816053511708</c:v>
                </c:pt>
                <c:pt idx="1">
                  <c:v>33.444816053511708</c:v>
                </c:pt>
                <c:pt idx="2">
                  <c:v>33.444816053511708</c:v>
                </c:pt>
                <c:pt idx="3">
                  <c:v>25.125628140703519</c:v>
                </c:pt>
                <c:pt idx="4">
                  <c:v>25.125628140703519</c:v>
                </c:pt>
                <c:pt idx="5">
                  <c:v>25.125628140703519</c:v>
                </c:pt>
                <c:pt idx="6">
                  <c:v>23.640661938534279</c:v>
                </c:pt>
                <c:pt idx="7">
                  <c:v>23.640661938534279</c:v>
                </c:pt>
                <c:pt idx="8">
                  <c:v>23.640661938534279</c:v>
                </c:pt>
                <c:pt idx="9">
                  <c:v>22.321428571428573</c:v>
                </c:pt>
                <c:pt idx="10">
                  <c:v>22.321428571428573</c:v>
                </c:pt>
                <c:pt idx="11">
                  <c:v>22.321428571428573</c:v>
                </c:pt>
                <c:pt idx="12">
                  <c:v>22.321428571428573</c:v>
                </c:pt>
                <c:pt idx="13">
                  <c:v>21.141649048625794</c:v>
                </c:pt>
                <c:pt idx="14">
                  <c:v>21.141649048625794</c:v>
                </c:pt>
                <c:pt idx="15">
                  <c:v>21.141649048625794</c:v>
                </c:pt>
                <c:pt idx="16">
                  <c:v>19.120458891013385</c:v>
                </c:pt>
                <c:pt idx="17">
                  <c:v>19.120458891013385</c:v>
                </c:pt>
                <c:pt idx="18">
                  <c:v>19.120458891013385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</c:numCache>
            </c:numRef>
          </c:xVal>
          <c:yVal>
            <c:numRef>
              <c:f>('MC Empty Tube OD1159 ID747 (2)'!$AN$5,'MC Empty Tube OD1159 ID747 (2)'!$AN$7:$AN$8,'MC Empty Tube OD1159 ID747 (2)'!$AN$13:$AN$15,'MC Empty Tube OD1159 ID747 (2)'!$AN$17:$AN$23,'MC Empty Tube OD1159 ID747 (2)'!$AN$25:$AN$35)</c:f>
              <c:numCache>
                <c:formatCode>General</c:formatCode>
                <c:ptCount val="24"/>
                <c:pt idx="0">
                  <c:v>23.380274653732837</c:v>
                </c:pt>
                <c:pt idx="1">
                  <c:v>23.358947036429047</c:v>
                </c:pt>
                <c:pt idx="2">
                  <c:v>23.357934522333341</c:v>
                </c:pt>
                <c:pt idx="3">
                  <c:v>25.4798630526635</c:v>
                </c:pt>
                <c:pt idx="4">
                  <c:v>25.585561871442504</c:v>
                </c:pt>
                <c:pt idx="5">
                  <c:v>25.592663403270766</c:v>
                </c:pt>
                <c:pt idx="6">
                  <c:v>25.989846074772171</c:v>
                </c:pt>
                <c:pt idx="7">
                  <c:v>25.936363850645247</c:v>
                </c:pt>
                <c:pt idx="8">
                  <c:v>25.985097800381951</c:v>
                </c:pt>
                <c:pt idx="9">
                  <c:v>26.266706644718528</c:v>
                </c:pt>
                <c:pt idx="10">
                  <c:v>26.272296394386299</c:v>
                </c:pt>
                <c:pt idx="11">
                  <c:v>26.255621231195189</c:v>
                </c:pt>
                <c:pt idx="12">
                  <c:v>26.248509580802885</c:v>
                </c:pt>
                <c:pt idx="13">
                  <c:v>26.429449733098959</c:v>
                </c:pt>
                <c:pt idx="14">
                  <c:v>26.571567136726539</c:v>
                </c:pt>
                <c:pt idx="15">
                  <c:v>26.625731645613012</c:v>
                </c:pt>
                <c:pt idx="16">
                  <c:v>27.095438442870982</c:v>
                </c:pt>
                <c:pt idx="17">
                  <c:v>27.084854384362167</c:v>
                </c:pt>
                <c:pt idx="18">
                  <c:v>27.022876669483676</c:v>
                </c:pt>
                <c:pt idx="19">
                  <c:v>26.93115129730171</c:v>
                </c:pt>
                <c:pt idx="20">
                  <c:v>26.865480571017933</c:v>
                </c:pt>
                <c:pt idx="21">
                  <c:v>26.710131555665999</c:v>
                </c:pt>
                <c:pt idx="22">
                  <c:v>26.957496709577395</c:v>
                </c:pt>
                <c:pt idx="23">
                  <c:v>27.120591305507659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7-45BA-8D6A-38328C9F87CF}"/>
            </c:ext>
          </c:extLst>
        </c:ser>
        <c:ser>
          <c:idx val="1"/>
          <c:order val="1"/>
          <c:tx>
            <c:v>4He, Measured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('MC Empty Tube OD1159 ID747 (2)'!$AM$5,'MC Empty Tube OD1159 ID747 (2)'!$AM$7:$AM$8,'MC Empty Tube OD1159 ID747 (2)'!$AM$13:$AM$15,'MC Empty Tube OD1159 ID747 (2)'!$AM$17:$AM$23,'MC Empty Tube OD1159 ID747 (2)'!$AM$25:$AM$35)</c:f>
              <c:numCache>
                <c:formatCode>General</c:formatCode>
                <c:ptCount val="24"/>
                <c:pt idx="0">
                  <c:v>33.444816053511708</c:v>
                </c:pt>
                <c:pt idx="1">
                  <c:v>33.444816053511708</c:v>
                </c:pt>
                <c:pt idx="2">
                  <c:v>33.444816053511708</c:v>
                </c:pt>
                <c:pt idx="3">
                  <c:v>25.125628140703519</c:v>
                </c:pt>
                <c:pt idx="4">
                  <c:v>25.125628140703519</c:v>
                </c:pt>
                <c:pt idx="5">
                  <c:v>25.125628140703519</c:v>
                </c:pt>
                <c:pt idx="6">
                  <c:v>23.640661938534279</c:v>
                </c:pt>
                <c:pt idx="7">
                  <c:v>23.640661938534279</c:v>
                </c:pt>
                <c:pt idx="8">
                  <c:v>23.640661938534279</c:v>
                </c:pt>
                <c:pt idx="9">
                  <c:v>22.321428571428573</c:v>
                </c:pt>
                <c:pt idx="10">
                  <c:v>22.321428571428573</c:v>
                </c:pt>
                <c:pt idx="11">
                  <c:v>22.321428571428573</c:v>
                </c:pt>
                <c:pt idx="12">
                  <c:v>22.321428571428573</c:v>
                </c:pt>
                <c:pt idx="13">
                  <c:v>21.141649048625794</c:v>
                </c:pt>
                <c:pt idx="14">
                  <c:v>21.141649048625794</c:v>
                </c:pt>
                <c:pt idx="15">
                  <c:v>21.141649048625794</c:v>
                </c:pt>
                <c:pt idx="16">
                  <c:v>19.120458891013385</c:v>
                </c:pt>
                <c:pt idx="17">
                  <c:v>19.120458891013385</c:v>
                </c:pt>
                <c:pt idx="18">
                  <c:v>19.120458891013385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</c:numCache>
            </c:numRef>
          </c:xVal>
          <c:yVal>
            <c:numRef>
              <c:f>('MC Empty Tube OD1159 ID747 (2)'!$AO$5,'MC Empty Tube OD1159 ID747 (2)'!$AO$7:$AO$8,'MC Empty Tube OD1159 ID747 (2)'!$AO$13:$AO$15,'MC Empty Tube OD1159 ID747 (2)'!$AO$17:$AO$23,'MC Empty Tube OD1159 ID747 (2)'!$AO$25:$AO$35)</c:f>
              <c:numCache>
                <c:formatCode>General</c:formatCode>
                <c:ptCount val="24"/>
                <c:pt idx="0">
                  <c:v>23.308010780701441</c:v>
                </c:pt>
                <c:pt idx="1">
                  <c:v>23.286902729397138</c:v>
                </c:pt>
                <c:pt idx="2">
                  <c:v>23.286070006037207</c:v>
                </c:pt>
                <c:pt idx="3">
                  <c:v>25.391661048146112</c:v>
                </c:pt>
                <c:pt idx="4">
                  <c:v>25.497046063364451</c:v>
                </c:pt>
                <c:pt idx="5">
                  <c:v>25.497664615550587</c:v>
                </c:pt>
                <c:pt idx="6">
                  <c:v>25.862361099319102</c:v>
                </c:pt>
                <c:pt idx="7">
                  <c:v>25.836253142000448</c:v>
                </c:pt>
                <c:pt idx="8">
                  <c:v>25.867568838798451</c:v>
                </c:pt>
                <c:pt idx="9">
                  <c:v>26.15562296876757</c:v>
                </c:pt>
                <c:pt idx="10">
                  <c:v>26.153484729106015</c:v>
                </c:pt>
                <c:pt idx="11">
                  <c:v>26.149947367977724</c:v>
                </c:pt>
                <c:pt idx="12">
                  <c:v>26.142652890990089</c:v>
                </c:pt>
                <c:pt idx="13">
                  <c:v>26.306867248604224</c:v>
                </c:pt>
                <c:pt idx="14">
                  <c:v>26.432669504467512</c:v>
                </c:pt>
                <c:pt idx="15">
                  <c:v>26.470137406745359</c:v>
                </c:pt>
                <c:pt idx="16">
                  <c:v>26.935865724424957</c:v>
                </c:pt>
                <c:pt idx="17">
                  <c:v>26.914668358133202</c:v>
                </c:pt>
                <c:pt idx="18">
                  <c:v>26.875433609120975</c:v>
                </c:pt>
                <c:pt idx="19">
                  <c:v>26.816831119450534</c:v>
                </c:pt>
                <c:pt idx="20">
                  <c:v>26.725487178649207</c:v>
                </c:pt>
                <c:pt idx="21">
                  <c:v>26.598837583870328</c:v>
                </c:pt>
                <c:pt idx="22">
                  <c:v>26.870079045660187</c:v>
                </c:pt>
                <c:pt idx="23">
                  <c:v>27.018437388443729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7-45BA-8D6A-38328C9F87CF}"/>
            </c:ext>
          </c:extLst>
        </c:ser>
        <c:ser>
          <c:idx val="2"/>
          <c:order val="2"/>
          <c:tx>
            <c:v>3He Jones 1954; Swets et al., 1961</c:v>
          </c:tx>
          <c:spPr>
            <a:ln w="25400" cap="rnd">
              <a:solidFill>
                <a:schemeClr val="accent1">
                  <a:alpha val="4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('MC Empty Tube OD1159 ID747 (2)'!$AM$4:$AM$9,'MC Empty Tube OD1159 ID747 (2)'!$AM$13:$AM$15,'MC Empty Tube OD1159 ID747 (2)'!$AM$17:$AM$23,'MC Empty Tube OD1159 ID747 (2)'!$AM$25:$AM$35)</c:f>
              <c:numCache>
                <c:formatCode>General</c:formatCode>
                <c:ptCount val="27"/>
                <c:pt idx="0">
                  <c:v>26.809651474530831</c:v>
                </c:pt>
                <c:pt idx="1">
                  <c:v>33.444816053511708</c:v>
                </c:pt>
                <c:pt idx="2">
                  <c:v>26.109660574412533</c:v>
                </c:pt>
                <c:pt idx="3">
                  <c:v>33.444816053511708</c:v>
                </c:pt>
                <c:pt idx="4">
                  <c:v>33.444816053511708</c:v>
                </c:pt>
                <c:pt idx="5">
                  <c:v>26.809651474530831</c:v>
                </c:pt>
                <c:pt idx="6">
                  <c:v>25.125628140703519</c:v>
                </c:pt>
                <c:pt idx="7">
                  <c:v>25.125628140703519</c:v>
                </c:pt>
                <c:pt idx="8">
                  <c:v>25.125628140703519</c:v>
                </c:pt>
                <c:pt idx="9">
                  <c:v>23.640661938534279</c:v>
                </c:pt>
                <c:pt idx="10">
                  <c:v>23.640661938534279</c:v>
                </c:pt>
                <c:pt idx="11">
                  <c:v>23.640661938534279</c:v>
                </c:pt>
                <c:pt idx="12">
                  <c:v>22.321428571428573</c:v>
                </c:pt>
                <c:pt idx="13">
                  <c:v>22.321428571428573</c:v>
                </c:pt>
                <c:pt idx="14">
                  <c:v>22.321428571428573</c:v>
                </c:pt>
                <c:pt idx="15">
                  <c:v>22.321428571428573</c:v>
                </c:pt>
                <c:pt idx="16">
                  <c:v>21.141649048625794</c:v>
                </c:pt>
                <c:pt idx="17">
                  <c:v>21.141649048625794</c:v>
                </c:pt>
                <c:pt idx="18">
                  <c:v>21.141649048625794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  <c:pt idx="24">
                  <c:v>19.120458891013385</c:v>
                </c:pt>
                <c:pt idx="25">
                  <c:v>19.120458891013385</c:v>
                </c:pt>
                <c:pt idx="26">
                  <c:v>19.120458891013385</c:v>
                </c:pt>
              </c:numCache>
            </c:numRef>
          </c:xVal>
          <c:yVal>
            <c:numRef>
              <c:f>('MC Empty Tube OD1159 ID747 (2)'!$AP$4:$AP$9,'MC Empty Tube OD1159 ID747 (2)'!$AP$13:$AP$15,'MC Empty Tube OD1159 ID747 (2)'!$AP$17:$AP$23,'MC Empty Tube OD1159 ID747 (2)'!$AP$25:$AP$35)</c:f>
              <c:numCache>
                <c:formatCode>General</c:formatCode>
                <c:ptCount val="27"/>
                <c:pt idx="0">
                  <c:v>25.202356396776104</c:v>
                </c:pt>
                <c:pt idx="1">
                  <c:v>23.547071504073127</c:v>
                </c:pt>
                <c:pt idx="2">
                  <c:v>25.376984222235915</c:v>
                </c:pt>
                <c:pt idx="3">
                  <c:v>23.547071504073127</c:v>
                </c:pt>
                <c:pt idx="4">
                  <c:v>23.547071504073127</c:v>
                </c:pt>
                <c:pt idx="5">
                  <c:v>25.202356396776104</c:v>
                </c:pt>
                <c:pt idx="6">
                  <c:v>25.622472333654915</c:v>
                </c:pt>
                <c:pt idx="7">
                  <c:v>25.622472333654915</c:v>
                </c:pt>
                <c:pt idx="8">
                  <c:v>25.622472333654915</c:v>
                </c:pt>
                <c:pt idx="9">
                  <c:v>25.992929176340017</c:v>
                </c:pt>
                <c:pt idx="10">
                  <c:v>25.992929176340017</c:v>
                </c:pt>
                <c:pt idx="11">
                  <c:v>25.992929176340017</c:v>
                </c:pt>
                <c:pt idx="12">
                  <c:v>26.322040389261151</c:v>
                </c:pt>
                <c:pt idx="13">
                  <c:v>26.322040389261151</c:v>
                </c:pt>
                <c:pt idx="14">
                  <c:v>26.322040389261151</c:v>
                </c:pt>
                <c:pt idx="15">
                  <c:v>26.322040389261151</c:v>
                </c:pt>
                <c:pt idx="16">
                  <c:v>26.616361833374558</c:v>
                </c:pt>
                <c:pt idx="17">
                  <c:v>26.616361833374558</c:v>
                </c:pt>
                <c:pt idx="18">
                  <c:v>26.616361833374558</c:v>
                </c:pt>
                <c:pt idx="19">
                  <c:v>27.120591305507659</c:v>
                </c:pt>
                <c:pt idx="20">
                  <c:v>27.120591305507659</c:v>
                </c:pt>
                <c:pt idx="21">
                  <c:v>27.120591305507659</c:v>
                </c:pt>
                <c:pt idx="22">
                  <c:v>27.120591305507659</c:v>
                </c:pt>
                <c:pt idx="23">
                  <c:v>27.120591305507659</c:v>
                </c:pt>
                <c:pt idx="24">
                  <c:v>27.120591305507659</c:v>
                </c:pt>
                <c:pt idx="25">
                  <c:v>27.120591305507659</c:v>
                </c:pt>
                <c:pt idx="26">
                  <c:v>27.120591305507659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97-45BA-8D6A-38328C9F87CF}"/>
            </c:ext>
          </c:extLst>
        </c:ser>
        <c:ser>
          <c:idx val="3"/>
          <c:order val="3"/>
          <c:tx>
            <c:v>4He Swets et al., 1961</c:v>
          </c:tx>
          <c:spPr>
            <a:ln w="25400" cap="rnd">
              <a:solidFill>
                <a:srgbClr val="FF0000">
                  <a:alpha val="43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('MC Empty Tube OD1159 ID747 (2)'!$AM$4:$AM$9,'MC Empty Tube OD1159 ID747 (2)'!$AM$13:$AM$15,'MC Empty Tube OD1159 ID747 (2)'!$AM$17:$AM$23,'MC Empty Tube OD1159 ID747 (2)'!$AM$25:$AM$35)</c:f>
              <c:numCache>
                <c:formatCode>General</c:formatCode>
                <c:ptCount val="27"/>
                <c:pt idx="0">
                  <c:v>26.809651474530831</c:v>
                </c:pt>
                <c:pt idx="1">
                  <c:v>33.444816053511708</c:v>
                </c:pt>
                <c:pt idx="2">
                  <c:v>26.109660574412533</c:v>
                </c:pt>
                <c:pt idx="3">
                  <c:v>33.444816053511708</c:v>
                </c:pt>
                <c:pt idx="4">
                  <c:v>33.444816053511708</c:v>
                </c:pt>
                <c:pt idx="5">
                  <c:v>26.809651474530831</c:v>
                </c:pt>
                <c:pt idx="6">
                  <c:v>25.125628140703519</c:v>
                </c:pt>
                <c:pt idx="7">
                  <c:v>25.125628140703519</c:v>
                </c:pt>
                <c:pt idx="8">
                  <c:v>25.125628140703519</c:v>
                </c:pt>
                <c:pt idx="9">
                  <c:v>23.640661938534279</c:v>
                </c:pt>
                <c:pt idx="10">
                  <c:v>23.640661938534279</c:v>
                </c:pt>
                <c:pt idx="11">
                  <c:v>23.640661938534279</c:v>
                </c:pt>
                <c:pt idx="12">
                  <c:v>22.321428571428573</c:v>
                </c:pt>
                <c:pt idx="13">
                  <c:v>22.321428571428573</c:v>
                </c:pt>
                <c:pt idx="14">
                  <c:v>22.321428571428573</c:v>
                </c:pt>
                <c:pt idx="15">
                  <c:v>22.321428571428573</c:v>
                </c:pt>
                <c:pt idx="16">
                  <c:v>21.141649048625794</c:v>
                </c:pt>
                <c:pt idx="17">
                  <c:v>21.141649048625794</c:v>
                </c:pt>
                <c:pt idx="18">
                  <c:v>21.141649048625794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  <c:pt idx="24">
                  <c:v>19.120458891013385</c:v>
                </c:pt>
                <c:pt idx="25">
                  <c:v>19.120458891013385</c:v>
                </c:pt>
                <c:pt idx="26">
                  <c:v>19.120458891013385</c:v>
                </c:pt>
              </c:numCache>
            </c:numRef>
          </c:xVal>
          <c:yVal>
            <c:numRef>
              <c:f>('MC Empty Tube OD1159 ID747 (2)'!$AQ$4:$AQ$9,'MC Empty Tube OD1159 ID747 (2)'!$AQ$13:$AQ$15,'MC Empty Tube OD1159 ID747 (2)'!$AQ$17:$AQ$23,'MC Empty Tube OD1159 ID747 (2)'!$AQ$25:$AQ$35)</c:f>
              <c:numCache>
                <c:formatCode>General</c:formatCode>
                <c:ptCount val="27"/>
                <c:pt idx="0">
                  <c:v>25.122260052800272</c:v>
                </c:pt>
                <c:pt idx="1">
                  <c:v>23.486009099755165</c:v>
                </c:pt>
                <c:pt idx="2">
                  <c:v>25.294879852024213</c:v>
                </c:pt>
                <c:pt idx="3">
                  <c:v>23.486009099755165</c:v>
                </c:pt>
                <c:pt idx="4">
                  <c:v>23.486009099755165</c:v>
                </c:pt>
                <c:pt idx="5">
                  <c:v>25.122260052800272</c:v>
                </c:pt>
                <c:pt idx="6">
                  <c:v>25.537545122541282</c:v>
                </c:pt>
                <c:pt idx="7">
                  <c:v>25.537545122541282</c:v>
                </c:pt>
                <c:pt idx="8">
                  <c:v>25.537545122541282</c:v>
                </c:pt>
                <c:pt idx="9">
                  <c:v>25.90374212257295</c:v>
                </c:pt>
                <c:pt idx="10">
                  <c:v>25.90374212257295</c:v>
                </c:pt>
                <c:pt idx="11">
                  <c:v>25.90374212257295</c:v>
                </c:pt>
                <c:pt idx="12">
                  <c:v>26.229068921708226</c:v>
                </c:pt>
                <c:pt idx="13">
                  <c:v>26.229068921708226</c:v>
                </c:pt>
                <c:pt idx="14">
                  <c:v>26.229068921708226</c:v>
                </c:pt>
                <c:pt idx="15">
                  <c:v>26.229068921708226</c:v>
                </c:pt>
                <c:pt idx="16">
                  <c:v>26.520005995776351</c:v>
                </c:pt>
                <c:pt idx="17">
                  <c:v>26.520005995776351</c:v>
                </c:pt>
                <c:pt idx="18">
                  <c:v>26.520005995776351</c:v>
                </c:pt>
                <c:pt idx="19">
                  <c:v>27.018437388443729</c:v>
                </c:pt>
                <c:pt idx="20">
                  <c:v>27.018437388443729</c:v>
                </c:pt>
                <c:pt idx="21">
                  <c:v>27.018437388443729</c:v>
                </c:pt>
                <c:pt idx="22">
                  <c:v>27.018437388443729</c:v>
                </c:pt>
                <c:pt idx="23">
                  <c:v>27.018437388443729</c:v>
                </c:pt>
                <c:pt idx="24">
                  <c:v>27.018437388443729</c:v>
                </c:pt>
                <c:pt idx="25">
                  <c:v>27.018437388443729</c:v>
                </c:pt>
                <c:pt idx="26">
                  <c:v>27.018437388443729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97-45BA-8D6A-38328C9F8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43599"/>
        <c:axId val="1839744079"/>
      </c:scatterChart>
      <c:valAx>
        <c:axId val="1839743599"/>
        <c:scaling>
          <c:orientation val="minMax"/>
          <c:max val="35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44079"/>
        <c:crosses val="autoZero"/>
        <c:crossBetween val="midCat"/>
      </c:valAx>
      <c:valAx>
        <c:axId val="18397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 (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4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</a:t>
            </a:r>
            <a:r>
              <a:rPr lang="en-US" baseline="0"/>
              <a:t> nt/n0 Predictions and Measurement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Cooling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ID747'!$AD$5,'MC Empty Tube OD1159 ID747'!$AD$7:$AD$8,'MC Empty Tube OD1159 ID747'!$AD$13:$AD$15,'MC Empty Tube OD1159 ID747'!$AD$17:$AD$23,'MC Empty Tube OD1159 ID747'!$AD$25:$AD$35)</c:f>
              <c:numCache>
                <c:formatCode>0.00E+00</c:formatCode>
                <c:ptCount val="24"/>
                <c:pt idx="0">
                  <c:v>0.99108599629030369</c:v>
                </c:pt>
                <c:pt idx="1">
                  <c:v>0.99121847350986447</c:v>
                </c:pt>
                <c:pt idx="2">
                  <c:v>0.99104128560342875</c:v>
                </c:pt>
                <c:pt idx="3">
                  <c:v>0.93606413842806935</c:v>
                </c:pt>
                <c:pt idx="4">
                  <c:v>0.92900774454967683</c:v>
                </c:pt>
                <c:pt idx="5">
                  <c:v>0.92846532712672725</c:v>
                </c:pt>
                <c:pt idx="6">
                  <c:v>0.85058858441587037</c:v>
                </c:pt>
                <c:pt idx="7">
                  <c:v>0.89520429106686294</c:v>
                </c:pt>
                <c:pt idx="8">
                  <c:v>0.82391810854935021</c:v>
                </c:pt>
                <c:pt idx="9">
                  <c:v>0.84883121158942032</c:v>
                </c:pt>
                <c:pt idx="10">
                  <c:v>0.84776757095354693</c:v>
                </c:pt>
                <c:pt idx="11">
                  <c:v>0.84975538823008268</c:v>
                </c:pt>
                <c:pt idx="12">
                  <c:v>0.85027754953810275</c:v>
                </c:pt>
                <c:pt idx="13">
                  <c:v>0.81376366918362808</c:v>
                </c:pt>
                <c:pt idx="14">
                  <c:v>0.7884851699719273</c:v>
                </c:pt>
                <c:pt idx="15">
                  <c:v>0.70660750282016171</c:v>
                </c:pt>
                <c:pt idx="16">
                  <c:v>0.63998822204896422</c:v>
                </c:pt>
                <c:pt idx="17">
                  <c:v>0.63861950578151572</c:v>
                </c:pt>
                <c:pt idx="18">
                  <c:v>0.64839137129089475</c:v>
                </c:pt>
                <c:pt idx="19">
                  <c:v>0.66165103514239709</c:v>
                </c:pt>
                <c:pt idx="20">
                  <c:v>0.66339431518812364</c:v>
                </c:pt>
                <c:pt idx="21">
                  <c:v>0.67464458723898246</c:v>
                </c:pt>
                <c:pt idx="22">
                  <c:v>0.21693595060784737</c:v>
                </c:pt>
                <c:pt idx="23">
                  <c:v>0.31285044533778672</c:v>
                </c:pt>
              </c:numCache>
            </c:numRef>
          </c:xVal>
          <c:yVal>
            <c:numRef>
              <c:f>('MC Empty Tube OD1159 ID747'!$Z$5,'MC Empty Tube OD1159 ID747'!$Z$7:$Z$8,'MC Empty Tube OD1159 ID747'!$Z$13:$Z$15,'MC Empty Tube OD1159 ID747'!$Z$17:$Z$23,'MC Empty Tube OD1159 ID747'!$Z$25:$Z$35)</c:f>
              <c:numCache>
                <c:formatCode>0.00E+00</c:formatCode>
                <c:ptCount val="24"/>
                <c:pt idx="0">
                  <c:v>0.99018020920464844</c:v>
                </c:pt>
                <c:pt idx="1">
                  <c:v>0.99017135631665798</c:v>
                </c:pt>
                <c:pt idx="2">
                  <c:v>0.98995448530130159</c:v>
                </c:pt>
                <c:pt idx="3">
                  <c:v>0.92747402101310528</c:v>
                </c:pt>
                <c:pt idx="4">
                  <c:v>0.92725417938780597</c:v>
                </c:pt>
                <c:pt idx="5">
                  <c:v>0.92725417938780597</c:v>
                </c:pt>
                <c:pt idx="6">
                  <c:v>0.85119447929776326</c:v>
                </c:pt>
                <c:pt idx="7">
                  <c:v>0.89072645882245916</c:v>
                </c:pt>
                <c:pt idx="8">
                  <c:v>0.82402325217396633</c:v>
                </c:pt>
                <c:pt idx="9">
                  <c:v>0.8426691532065822</c:v>
                </c:pt>
                <c:pt idx="10">
                  <c:v>0.8426691532065822</c:v>
                </c:pt>
                <c:pt idx="11">
                  <c:v>0.84271441606802644</c:v>
                </c:pt>
                <c:pt idx="12">
                  <c:v>0.84266915323503555</c:v>
                </c:pt>
                <c:pt idx="13">
                  <c:v>0.7843000095412872</c:v>
                </c:pt>
                <c:pt idx="14">
                  <c:v>0.78465828012523631</c:v>
                </c:pt>
                <c:pt idx="15">
                  <c:v>0.71463886163584145</c:v>
                </c:pt>
                <c:pt idx="16">
                  <c:v>0.6410410012273241</c:v>
                </c:pt>
                <c:pt idx="17">
                  <c:v>0.64130904204233063</c:v>
                </c:pt>
                <c:pt idx="18">
                  <c:v>0.64130904204233063</c:v>
                </c:pt>
                <c:pt idx="19">
                  <c:v>0.64139841384686891</c:v>
                </c:pt>
                <c:pt idx="20">
                  <c:v>0.64274048701584563</c:v>
                </c:pt>
                <c:pt idx="21">
                  <c:v>0.64148779816231383</c:v>
                </c:pt>
                <c:pt idx="22">
                  <c:v>0.26254574409431303</c:v>
                </c:pt>
                <c:pt idx="23">
                  <c:v>0.64238232648366189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8-475C-8BF2-EF6023AF1148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ID747'!$Z$37:$Z$38</c:f>
              <c:numCache>
                <c:formatCode>General</c:formatCode>
                <c:ptCount val="2"/>
              </c:numCache>
            </c:numRef>
          </c:xVal>
          <c:yVal>
            <c:numRef>
              <c:f>'MC Empty Tube OD1159 ID747'!$AA$37:$AA$38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18-475C-8BF2-EF6023AF1148}"/>
            </c:ext>
          </c:extLst>
        </c:ser>
        <c:ser>
          <c:idx val="2"/>
          <c:order val="2"/>
          <c:tx>
            <c:v>Measurement and simulation with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ID747'!$AE$4,'MC Empty Tube OD1159 ID747'!$AE$6,'MC Empty Tube OD1159 ID747'!$AE$9)</c:f>
              <c:numCache>
                <c:formatCode>0.00E+00</c:formatCode>
                <c:ptCount val="3"/>
                <c:pt idx="0">
                  <c:v>0.96525583585351693</c:v>
                </c:pt>
                <c:pt idx="1">
                  <c:v>0.95639472495690703</c:v>
                </c:pt>
                <c:pt idx="2">
                  <c:v>0.95215858730568403</c:v>
                </c:pt>
              </c:numCache>
            </c:numRef>
          </c:xVal>
          <c:yVal>
            <c:numRef>
              <c:f>('MC Empty Tube OD1159 ID747'!$AC$4,'MC Empty Tube OD1159 ID747'!$AC$6,'MC Empty Tube OD1159 ID747'!$AC$9)</c:f>
              <c:numCache>
                <c:formatCode>General</c:formatCode>
                <c:ptCount val="3"/>
                <c:pt idx="0">
                  <c:v>0.96643484236845834</c:v>
                </c:pt>
                <c:pt idx="1">
                  <c:v>0.95738378402887669</c:v>
                </c:pt>
                <c:pt idx="2">
                  <c:v>0.95317270495475448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18-475C-8BF2-EF6023AF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33535"/>
        <c:axId val="1941034015"/>
      </c:scatterChart>
      <c:valAx>
        <c:axId val="194103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4015"/>
        <c:crosses val="autoZero"/>
        <c:crossBetween val="midCat"/>
      </c:valAx>
      <c:valAx>
        <c:axId val="19410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ntt/n0 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nt/n0</a:t>
            </a:r>
            <a:r>
              <a:rPr lang="en-US" baseline="0"/>
              <a:t> Predictions and Measurement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ID747'!$AE$5,'MC Empty Tube OD1159 ID747'!$AE$7:$AE$8,'MC Empty Tube OD1159 ID747'!$AE$13:$AE$15,'MC Empty Tube OD1159 ID747'!$AE$17:$AE$23,'MC Empty Tube OD1159 ID747'!$AE$25:$AE$35)</c:f>
              <c:numCache>
                <c:formatCode>0.00E+00</c:formatCode>
                <c:ptCount val="24"/>
                <c:pt idx="0">
                  <c:v>0.99111342824355597</c:v>
                </c:pt>
                <c:pt idx="1">
                  <c:v>0.99120460379328823</c:v>
                </c:pt>
                <c:pt idx="2">
                  <c:v>0.99103272453337399</c:v>
                </c:pt>
                <c:pt idx="3">
                  <c:v>0.94058083691390693</c:v>
                </c:pt>
                <c:pt idx="4">
                  <c:v>0.93406003000093807</c:v>
                </c:pt>
                <c:pt idx="5">
                  <c:v>0.9339165269448535</c:v>
                </c:pt>
                <c:pt idx="6">
                  <c:v>0.86625037669328542</c:v>
                </c:pt>
                <c:pt idx="7">
                  <c:v>0.9036101273897359</c:v>
                </c:pt>
                <c:pt idx="8">
                  <c:v>0.8406074306458351</c:v>
                </c:pt>
                <c:pt idx="9">
                  <c:v>0.8621931139794875</c:v>
                </c:pt>
                <c:pt idx="10">
                  <c:v>0.86200014103806843</c:v>
                </c:pt>
                <c:pt idx="11">
                  <c:v>0.86194598706717529</c:v>
                </c:pt>
                <c:pt idx="12">
                  <c:v>0.86219282912849438</c:v>
                </c:pt>
                <c:pt idx="13">
                  <c:v>0.83064750579644553</c:v>
                </c:pt>
                <c:pt idx="14">
                  <c:v>0.80996318847428128</c:v>
                </c:pt>
                <c:pt idx="15">
                  <c:v>0.73906510585381824</c:v>
                </c:pt>
                <c:pt idx="16">
                  <c:v>0.67879803649902859</c:v>
                </c:pt>
                <c:pt idx="17">
                  <c:v>0.67865445340631148</c:v>
                </c:pt>
                <c:pt idx="18">
                  <c:v>0.6799232910689027</c:v>
                </c:pt>
                <c:pt idx="19">
                  <c:v>0.68167737452234334</c:v>
                </c:pt>
                <c:pt idx="20">
                  <c:v>0.6854924488962203</c:v>
                </c:pt>
                <c:pt idx="21">
                  <c:v>0.68522088937303582</c:v>
                </c:pt>
                <c:pt idx="22">
                  <c:v>0.23176196602327445</c:v>
                </c:pt>
                <c:pt idx="23">
                  <c:v>0.35582292572665059</c:v>
                </c:pt>
              </c:numCache>
            </c:numRef>
          </c:xVal>
          <c:yVal>
            <c:numRef>
              <c:f>('MC Empty Tube OD1159 ID747'!$AA$5,'MC Empty Tube OD1159 ID747'!$AA$7:$AA$8,'MC Empty Tube OD1159 ID747'!$AA$13:$AA$15,'MC Empty Tube OD1159 ID747'!$AA$17:$AA$23,'MC Empty Tube OD1159 ID747'!$AA$25:$AA$35)</c:f>
              <c:numCache>
                <c:formatCode>0.00E+00</c:formatCode>
                <c:ptCount val="24"/>
                <c:pt idx="0">
                  <c:v>0.99075919295121195</c:v>
                </c:pt>
                <c:pt idx="1">
                  <c:v>0.99075085959611675</c:v>
                </c:pt>
                <c:pt idx="2">
                  <c:v>0.99054671430635977</c:v>
                </c:pt>
                <c:pt idx="3">
                  <c:v>0.93317710024917355</c:v>
                </c:pt>
                <c:pt idx="4">
                  <c:v>0.93297391460631873</c:v>
                </c:pt>
                <c:pt idx="5">
                  <c:v>0.93297391460631873</c:v>
                </c:pt>
                <c:pt idx="6">
                  <c:v>0.86297681598657128</c:v>
                </c:pt>
                <c:pt idx="7">
                  <c:v>0.89956477924210143</c:v>
                </c:pt>
                <c:pt idx="8">
                  <c:v>0.83774525519665255</c:v>
                </c:pt>
                <c:pt idx="9">
                  <c:v>0.85557344498045418</c:v>
                </c:pt>
                <c:pt idx="10">
                  <c:v>0.85557344498045418</c:v>
                </c:pt>
                <c:pt idx="11">
                  <c:v>0.85561532088250014</c:v>
                </c:pt>
                <c:pt idx="12">
                  <c:v>0.85557344500677857</c:v>
                </c:pt>
                <c:pt idx="13">
                  <c:v>0.80200116341022543</c:v>
                </c:pt>
                <c:pt idx="14">
                  <c:v>0.8023338597405596</c:v>
                </c:pt>
                <c:pt idx="15">
                  <c:v>0.7370383968991967</c:v>
                </c:pt>
                <c:pt idx="16">
                  <c:v>0.66932803666650309</c:v>
                </c:pt>
                <c:pt idx="17">
                  <c:v>0.66958072223577714</c:v>
                </c:pt>
                <c:pt idx="18">
                  <c:v>0.66958072223577714</c:v>
                </c:pt>
                <c:pt idx="19">
                  <c:v>0.66966497192048535</c:v>
                </c:pt>
                <c:pt idx="20">
                  <c:v>0.6709299905503342</c:v>
                </c:pt>
                <c:pt idx="21">
                  <c:v>0.6697492322588442</c:v>
                </c:pt>
                <c:pt idx="22">
                  <c:v>0.29895488573609208</c:v>
                </c:pt>
                <c:pt idx="23">
                  <c:v>0.67059241876180098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D-4D25-9582-037DB3DDDB9D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ID747'!$Z$37:$Z$38</c:f>
              <c:numCache>
                <c:formatCode>General</c:formatCode>
                <c:ptCount val="2"/>
              </c:numCache>
            </c:numRef>
          </c:xVal>
          <c:yVal>
            <c:numRef>
              <c:f>'MC Empty Tube OD1159 ID747'!$AA$37:$AA$38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D-4D25-9582-037DB3DDDB9D}"/>
            </c:ext>
          </c:extLst>
        </c:ser>
        <c:ser>
          <c:idx val="2"/>
          <c:order val="2"/>
          <c:tx>
            <c:v>Measurement and Simulation with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ID747'!$AE$4,'MC Empty Tube OD1159 ID747'!$AE$6,'MC Empty Tube OD1159 ID747'!$AE$9)</c:f>
              <c:numCache>
                <c:formatCode>0.00E+00</c:formatCode>
                <c:ptCount val="3"/>
                <c:pt idx="0">
                  <c:v>0.96525583585351693</c:v>
                </c:pt>
                <c:pt idx="1">
                  <c:v>0.95639472495690703</c:v>
                </c:pt>
                <c:pt idx="2">
                  <c:v>0.95215858730568403</c:v>
                </c:pt>
              </c:numCache>
            </c:numRef>
          </c:xVal>
          <c:yVal>
            <c:numRef>
              <c:f>('MC Empty Tube OD1159 ID747'!$AC$4,'MC Empty Tube OD1159 ID747'!$AC$6,'MC Empty Tube OD1159 ID747'!$AC$9)</c:f>
              <c:numCache>
                <c:formatCode>General</c:formatCode>
                <c:ptCount val="3"/>
                <c:pt idx="0">
                  <c:v>0.96643484236845834</c:v>
                </c:pt>
                <c:pt idx="1">
                  <c:v>0.95738378402887669</c:v>
                </c:pt>
                <c:pt idx="2">
                  <c:v>0.95317270495475448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7D-4D25-9582-037DB3DDD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58560"/>
        <c:axId val="511959040"/>
      </c:scatterChart>
      <c:valAx>
        <c:axId val="5119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9040"/>
        <c:crosses val="autoZero"/>
        <c:crossBetween val="midCat"/>
      </c:valAx>
      <c:valAx>
        <c:axId val="5119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5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</a:t>
            </a:r>
            <a:r>
              <a:rPr lang="en-US" baseline="0"/>
              <a:t> Measured Permeabilities (K) Vs Literature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Permeabilities (No Cooling)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ID747'!$AF$5,'MC Empty Tube OD1159 ID747'!$AF$7:$AF$8,'MC Empty Tube OD1159 ID747'!$AF$13:$AF$15,'MC Empty Tube OD1159 ID747'!$AF$17:$AF$23,'MC Empty Tube OD1159 ID747'!$AF$25:$AF$35)</c:f>
              <c:numCache>
                <c:formatCode>0.00E+00</c:formatCode>
                <c:ptCount val="24"/>
                <c:pt idx="0">
                  <c:v>15280429329.269564</c:v>
                </c:pt>
                <c:pt idx="1">
                  <c:v>15038706630.320127</c:v>
                </c:pt>
                <c:pt idx="2">
                  <c:v>15010627119.003004</c:v>
                </c:pt>
                <c:pt idx="3">
                  <c:v>117752713423.13338</c:v>
                </c:pt>
                <c:pt idx="4">
                  <c:v>130826615372.8532</c:v>
                </c:pt>
                <c:pt idx="5">
                  <c:v>131864225094.60469</c:v>
                </c:pt>
                <c:pt idx="6">
                  <c:v>195209482944.08044</c:v>
                </c:pt>
                <c:pt idx="7">
                  <c:v>185928443179.71725</c:v>
                </c:pt>
                <c:pt idx="8">
                  <c:v>194478650746.91919</c:v>
                </c:pt>
                <c:pt idx="9">
                  <c:v>258599202150.57742</c:v>
                </c:pt>
                <c:pt idx="10">
                  <c:v>260577572106.45251</c:v>
                </c:pt>
                <c:pt idx="11">
                  <c:v>256962875206.58679</c:v>
                </c:pt>
                <c:pt idx="12">
                  <c:v>255912989562.39804</c:v>
                </c:pt>
                <c:pt idx="13">
                  <c:v>307499722913.27136</c:v>
                </c:pt>
                <c:pt idx="14">
                  <c:v>355252764402.18634</c:v>
                </c:pt>
                <c:pt idx="15">
                  <c:v>374720949315.73419</c:v>
                </c:pt>
                <c:pt idx="16">
                  <c:v>602456250492.82336</c:v>
                </c:pt>
                <c:pt idx="17">
                  <c:v>605915910072.89294</c:v>
                </c:pt>
                <c:pt idx="18">
                  <c:v>585397893952.96594</c:v>
                </c:pt>
                <c:pt idx="19">
                  <c:v>558220700941.46216</c:v>
                </c:pt>
                <c:pt idx="20">
                  <c:v>557287289410.98254</c:v>
                </c:pt>
                <c:pt idx="21">
                  <c:v>532102718304.91479</c:v>
                </c:pt>
                <c:pt idx="22">
                  <c:v>685885235066.15881</c:v>
                </c:pt>
                <c:pt idx="23">
                  <c:v>1576002585441.7698</c:v>
                </c:pt>
              </c:numCache>
            </c:numRef>
          </c:xVal>
          <c:yVal>
            <c:numRef>
              <c:f>('MC Empty Tube OD1159 ID747'!$AH$5,'MC Empty Tube OD1159 ID747'!$AH$7:$AH$8,'MC Empty Tube OD1159 ID747'!$AH$13:$AH$15,'MC Empty Tube OD1159 ID747'!$AH$17:$AH$23,'MC Empty Tube OD1159 ID747'!$AH$25:$AH$35)</c:f>
              <c:numCache>
                <c:formatCode>0.00E+00</c:formatCode>
                <c:ptCount val="24"/>
                <c:pt idx="0">
                  <c:v>16840819425.918863</c:v>
                </c:pt>
                <c:pt idx="1">
                  <c:v>16840819425.918863</c:v>
                </c:pt>
                <c:pt idx="2">
                  <c:v>16840819425.918863</c:v>
                </c:pt>
                <c:pt idx="3">
                  <c:v>134183262569.17139</c:v>
                </c:pt>
                <c:pt idx="4">
                  <c:v>134183262569.17139</c:v>
                </c:pt>
                <c:pt idx="5">
                  <c:v>134183262569.17139</c:v>
                </c:pt>
                <c:pt idx="6">
                  <c:v>194350521265.9346</c:v>
                </c:pt>
                <c:pt idx="7">
                  <c:v>194350521265.9346</c:v>
                </c:pt>
                <c:pt idx="8">
                  <c:v>194350521265.9346</c:v>
                </c:pt>
                <c:pt idx="9">
                  <c:v>270095216980.86789</c:v>
                </c:pt>
                <c:pt idx="10">
                  <c:v>270095216980.86789</c:v>
                </c:pt>
                <c:pt idx="11">
                  <c:v>270095216980.86789</c:v>
                </c:pt>
                <c:pt idx="12">
                  <c:v>270095216980.86789</c:v>
                </c:pt>
                <c:pt idx="13">
                  <c:v>362525927700.55499</c:v>
                </c:pt>
                <c:pt idx="14">
                  <c:v>362525927700.55499</c:v>
                </c:pt>
                <c:pt idx="15">
                  <c:v>362525927700.55499</c:v>
                </c:pt>
                <c:pt idx="16">
                  <c:v>600237535013.72363</c:v>
                </c:pt>
                <c:pt idx="17">
                  <c:v>600237535013.72363</c:v>
                </c:pt>
                <c:pt idx="18">
                  <c:v>600237535013.72363</c:v>
                </c:pt>
                <c:pt idx="19">
                  <c:v>600237535013.72363</c:v>
                </c:pt>
                <c:pt idx="20">
                  <c:v>600237535013.72363</c:v>
                </c:pt>
                <c:pt idx="21">
                  <c:v>600237535013.72363</c:v>
                </c:pt>
                <c:pt idx="22">
                  <c:v>600237535013.72363</c:v>
                </c:pt>
                <c:pt idx="23">
                  <c:v>600237535013.72363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2-4985-8BEE-7C6483F8B430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4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ID747'!$AB$37:$AB$38</c:f>
              <c:numCache>
                <c:formatCode>0.00E+00</c:formatCode>
                <c:ptCount val="2"/>
              </c:numCache>
            </c:numRef>
          </c:xVal>
          <c:yVal>
            <c:numRef>
              <c:f>'MC Empty Tube OD1159 ID747'!$AC$37:$AC$38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2-4985-8BEE-7C6483F8B430}"/>
            </c:ext>
          </c:extLst>
        </c:ser>
        <c:ser>
          <c:idx val="2"/>
          <c:order val="2"/>
          <c:tx>
            <c:v>Apparent Permeabilities (with cooling model)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ID747'!$AF$4,'MC Empty Tube OD1159 ID747'!$AF$6,'MC Empty Tube OD1159 ID747'!$AF$9)</c:f>
              <c:numCache>
                <c:formatCode>0.00E+00</c:formatCode>
                <c:ptCount val="3"/>
                <c:pt idx="0">
                  <c:v>124418150386.80544</c:v>
                </c:pt>
                <c:pt idx="1">
                  <c:v>156918055114.25293</c:v>
                </c:pt>
                <c:pt idx="2">
                  <c:v>115802446387.89667</c:v>
                </c:pt>
              </c:numCache>
            </c:numRef>
          </c:xVal>
          <c:yVal>
            <c:numRef>
              <c:f>('MC Empty Tube OD1159 ID747'!$AK$4,'MC Empty Tube OD1159 ID747'!$AK$6,'MC Empty Tube OD1159 ID747'!$AK$9)</c:f>
              <c:numCache>
                <c:formatCode>General</c:formatCode>
                <c:ptCount val="3"/>
                <c:pt idx="0">
                  <c:v>123685663230.709</c:v>
                </c:pt>
                <c:pt idx="1">
                  <c:v>153752348802.677</c:v>
                </c:pt>
                <c:pt idx="2">
                  <c:v>115934762957.97099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32-4985-8BEE-7C6483F8B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59455"/>
        <c:axId val="1941060415"/>
      </c:scatterChart>
      <c:valAx>
        <c:axId val="19410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Permeability 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60415"/>
        <c:crosses val="autoZero"/>
        <c:crossBetween val="midCat"/>
      </c:valAx>
      <c:valAx>
        <c:axId val="19410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Swets</a:t>
                </a:r>
                <a:r>
                  <a:rPr lang="en-US" baseline="0"/>
                  <a:t> et al., 1961 and Jones 1954 Permeability 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5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Measured Permeabilities (K) Vs Literature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Permeabilities (No cooling)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ID747'!$AG$5,'MC Empty Tube OD1159 ID747'!$AG$7:$AG$8,'MC Empty Tube OD1159 ID747'!$AG$13:$AG$15,'MC Empty Tube OD1159 ID747'!$AG$17:$AG$23,'MC Empty Tube OD1159 ID747'!$AG$25:$AG$35)</c:f>
              <c:numCache>
                <c:formatCode>0.00E+00</c:formatCode>
                <c:ptCount val="24"/>
                <c:pt idx="0">
                  <c:v>15233194837.285135</c:v>
                </c:pt>
                <c:pt idx="1">
                  <c:v>15062564288.427212</c:v>
                </c:pt>
                <c:pt idx="2">
                  <c:v>15025036279.003099</c:v>
                </c:pt>
                <c:pt idx="3">
                  <c:v>109173884425.06985</c:v>
                </c:pt>
                <c:pt idx="4">
                  <c:v>121190916799.40912</c:v>
                </c:pt>
                <c:pt idx="5">
                  <c:v>121463885369.34998</c:v>
                </c:pt>
                <c:pt idx="6">
                  <c:v>173200264018.61441</c:v>
                </c:pt>
                <c:pt idx="7">
                  <c:v>170231579749.31992</c:v>
                </c:pt>
                <c:pt idx="8">
                  <c:v>174342768480.62213</c:v>
                </c:pt>
                <c:pt idx="9">
                  <c:v>233955121529.12054</c:v>
                </c:pt>
                <c:pt idx="10">
                  <c:v>234308306453.80096</c:v>
                </c:pt>
                <c:pt idx="11">
                  <c:v>234481009127.63193</c:v>
                </c:pt>
                <c:pt idx="12">
                  <c:v>233955642859.92914</c:v>
                </c:pt>
                <c:pt idx="13">
                  <c:v>276858667633.95343</c:v>
                </c:pt>
                <c:pt idx="14">
                  <c:v>315076774355.73694</c:v>
                </c:pt>
                <c:pt idx="15">
                  <c:v>326261578736.25952</c:v>
                </c:pt>
                <c:pt idx="16">
                  <c:v>522983940449.34253</c:v>
                </c:pt>
                <c:pt idx="17">
                  <c:v>523761915162.43732</c:v>
                </c:pt>
                <c:pt idx="18">
                  <c:v>521238123805.51843</c:v>
                </c:pt>
                <c:pt idx="19">
                  <c:v>517919354550.88788</c:v>
                </c:pt>
                <c:pt idx="20">
                  <c:v>512789764746.94519</c:v>
                </c:pt>
                <c:pt idx="21">
                  <c:v>511072152561.84723</c:v>
                </c:pt>
                <c:pt idx="22">
                  <c:v>656213489411.44897</c:v>
                </c:pt>
                <c:pt idx="23">
                  <c:v>1401442508382.2932</c:v>
                </c:pt>
              </c:numCache>
            </c:numRef>
          </c:xVal>
          <c:yVal>
            <c:numRef>
              <c:f>('MC Empty Tube OD1159 ID747'!$AI$5,'MC Empty Tube OD1159 ID747'!$AI$7:$AI$8,'MC Empty Tube OD1159 ID747'!$AI$13:$AI$15,'MC Empty Tube OD1159 ID747'!$AI$17:$AI$23,'MC Empty Tube OD1159 ID747'!$AI$25:$AI$35)</c:f>
              <c:numCache>
                <c:formatCode>0.00E+00</c:formatCode>
                <c:ptCount val="24"/>
                <c:pt idx="0">
                  <c:v>15843245574.991554</c:v>
                </c:pt>
                <c:pt idx="1">
                  <c:v>15843245574.991554</c:v>
                </c:pt>
                <c:pt idx="2">
                  <c:v>15843245574.991554</c:v>
                </c:pt>
                <c:pt idx="3">
                  <c:v>123257946512.99637</c:v>
                </c:pt>
                <c:pt idx="4">
                  <c:v>123257946512.99637</c:v>
                </c:pt>
                <c:pt idx="5">
                  <c:v>123257946512.99637</c:v>
                </c:pt>
                <c:pt idx="6">
                  <c:v>177767458919.01862</c:v>
                </c:pt>
                <c:pt idx="7">
                  <c:v>177767458919.01862</c:v>
                </c:pt>
                <c:pt idx="8">
                  <c:v>177767458919.01862</c:v>
                </c:pt>
                <c:pt idx="9">
                  <c:v>246116028366.41577</c:v>
                </c:pt>
                <c:pt idx="10">
                  <c:v>246116028366.41577</c:v>
                </c:pt>
                <c:pt idx="11">
                  <c:v>246116028366.41577</c:v>
                </c:pt>
                <c:pt idx="12">
                  <c:v>246116028366.41577</c:v>
                </c:pt>
                <c:pt idx="13">
                  <c:v>329224588875.15723</c:v>
                </c:pt>
                <c:pt idx="14">
                  <c:v>329224588875.15723</c:v>
                </c:pt>
                <c:pt idx="15">
                  <c:v>329224588875.15723</c:v>
                </c:pt>
                <c:pt idx="16">
                  <c:v>541948810548.71667</c:v>
                </c:pt>
                <c:pt idx="17">
                  <c:v>541948810548.71667</c:v>
                </c:pt>
                <c:pt idx="18">
                  <c:v>541948810548.71667</c:v>
                </c:pt>
                <c:pt idx="19">
                  <c:v>541948810548.71667</c:v>
                </c:pt>
                <c:pt idx="20">
                  <c:v>541948810548.71667</c:v>
                </c:pt>
                <c:pt idx="21">
                  <c:v>541948810548.71667</c:v>
                </c:pt>
                <c:pt idx="22">
                  <c:v>541948810548.71667</c:v>
                </c:pt>
                <c:pt idx="23">
                  <c:v>541948810548.71667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6-47C5-88CB-BB66F6020493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accent1">
                    <a:alpha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D6-47C5-88CB-BB66F6020493}"/>
              </c:ext>
            </c:extLst>
          </c:dPt>
          <c:xVal>
            <c:numRef>
              <c:f>'MC Empty Tube OD1159 ID747'!$AB$37:$AB$38</c:f>
              <c:numCache>
                <c:formatCode>0.00E+00</c:formatCode>
                <c:ptCount val="2"/>
              </c:numCache>
            </c:numRef>
          </c:xVal>
          <c:yVal>
            <c:numRef>
              <c:f>'MC Empty Tube OD1159 ID747'!$AC$37:$AC$38</c:f>
              <c:numCache>
                <c:formatCode>0.00E+00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6-47C5-88CB-BB66F6020493}"/>
            </c:ext>
          </c:extLst>
        </c:ser>
        <c:ser>
          <c:idx val="2"/>
          <c:order val="2"/>
          <c:tx>
            <c:v>Apparent Permeabilities (with cooling model)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('MC Empty Tube OD1159 ID747'!$AG$4,'MC Empty Tube OD1159 ID747'!$AG$6,'MC Empty Tube OD1159 ID747'!$AG$9)</c:f>
              <c:numCache>
                <c:formatCode>0.00E+00</c:formatCode>
                <c:ptCount val="3"/>
                <c:pt idx="0">
                  <c:v>118652924885.09088</c:v>
                </c:pt>
                <c:pt idx="1">
                  <c:v>145691749548.70047</c:v>
                </c:pt>
                <c:pt idx="2">
                  <c:v>109661713969.96841</c:v>
                </c:pt>
              </c:numCache>
            </c:numRef>
          </c:xVal>
          <c:yVal>
            <c:numRef>
              <c:f>('MC Empty Tube OD1159 ID747'!$AL$4,'MC Empty Tube OD1159 ID747'!$AL$6,'MC Empty Tube OD1159 ID747'!$AL$9)</c:f>
              <c:numCache>
                <c:formatCode>General</c:formatCode>
                <c:ptCount val="3"/>
                <c:pt idx="0">
                  <c:v>114563170024.399</c:v>
                </c:pt>
                <c:pt idx="1">
                  <c:v>142314127307.10101</c:v>
                </c:pt>
                <c:pt idx="2">
                  <c:v>107280507551.155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D6-47C5-88CB-BB66F6020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474143"/>
        <c:axId val="1450474623"/>
      </c:scatterChart>
      <c:valAx>
        <c:axId val="145047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Permeability (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4623"/>
        <c:crosses val="autoZero"/>
        <c:crossBetween val="midCat"/>
      </c:valAx>
      <c:valAx>
        <c:axId val="14504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Swets</a:t>
                </a:r>
                <a:r>
                  <a:rPr lang="en-US" baseline="0"/>
                  <a:t> et al., 1961</a:t>
                </a:r>
              </a:p>
              <a:p>
                <a:pPr>
                  <a:defRPr/>
                </a:pPr>
                <a:r>
                  <a:rPr lang="en-US" baseline="0"/>
                  <a:t> </a:t>
                </a:r>
                <a:r>
                  <a:rPr lang="en-US"/>
                  <a:t>Permeability</a:t>
                </a:r>
                <a:r>
                  <a:rPr lang="en-US" baseline="0"/>
                  <a:t> 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3He/4He Relative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Jones, 1954</c:v>
          </c:tx>
          <c:spPr>
            <a:ln w="25400" cap="rnd">
              <a:solidFill>
                <a:schemeClr val="accent1">
                  <a:alpha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'MC Empty Tube OD1159 ID747'!$AF$39:$AF$48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'MC Empty Tube OD1159 ID747'!$AG$39:$AG$48</c:f>
              <c:numCache>
                <c:formatCode>General</c:formatCode>
                <c:ptCount val="10"/>
                <c:pt idx="0">
                  <c:v>1.0626230782891961</c:v>
                </c:pt>
                <c:pt idx="1">
                  <c:v>1.0705699529318393</c:v>
                </c:pt>
                <c:pt idx="2">
                  <c:v>1.0774222544307648</c:v>
                </c:pt>
                <c:pt idx="3">
                  <c:v>1.0833914408858101</c:v>
                </c:pt>
                <c:pt idx="4">
                  <c:v>1.0886378230796101</c:v>
                </c:pt>
                <c:pt idx="5">
                  <c:v>1.093285140304955</c:v>
                </c:pt>
                <c:pt idx="6">
                  <c:v>1.0974304224459208</c:v>
                </c:pt>
                <c:pt idx="7">
                  <c:v>1.101150825153056</c:v>
                </c:pt>
                <c:pt idx="8">
                  <c:v>1.1045084688703461</c:v>
                </c:pt>
                <c:pt idx="9">
                  <c:v>1.1075539300584318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D-480A-A3D0-98F5D00ADB8E}"/>
            </c:ext>
          </c:extLst>
        </c:ser>
        <c:ser>
          <c:idx val="0"/>
          <c:order val="1"/>
          <c:tx>
            <c:v>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ID747'!$E$5,'MC Empty Tube OD1159 ID747'!$E$7:$E$8,'MC Empty Tube OD1159 ID747'!$E$13:$E$15,'MC Empty Tube OD1159 ID747'!$E$17:$E$23,'MC Empty Tube OD1159 ID747'!$E$25:$E$35)</c:f>
              <c:numCache>
                <c:formatCode>General</c:formatCode>
                <c:ptCount val="2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175</c:v>
                </c:pt>
                <c:pt idx="10">
                  <c:v>175</c:v>
                </c:pt>
                <c:pt idx="11">
                  <c:v>175</c:v>
                </c:pt>
                <c:pt idx="12">
                  <c:v>175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</c:numCache>
            </c:numRef>
          </c:xVal>
          <c:yVal>
            <c:numRef>
              <c:f>('MC Empty Tube OD1159 ID747'!$AJ$5,'MC Empty Tube OD1159 ID747'!$AJ$7:$AJ$8,'MC Empty Tube OD1159 ID747'!$AJ$13:$AJ$15,'MC Empty Tube OD1159 ID747'!$AJ$17:$AJ$23,'MC Empty Tube OD1159 ID747'!$AJ$25:$AJ$35)</c:f>
              <c:numCache>
                <c:formatCode>0.00E+00</c:formatCode>
                <c:ptCount val="24"/>
                <c:pt idx="0">
                  <c:v>1.0031007607064026</c:v>
                </c:pt>
                <c:pt idx="1">
                  <c:v>0.99841609584860569</c:v>
                </c:pt>
                <c:pt idx="2">
                  <c:v>0.99904099000278412</c:v>
                </c:pt>
                <c:pt idx="3">
                  <c:v>1.0785794976815311</c:v>
                </c:pt>
                <c:pt idx="4">
                  <c:v>1.0795084221484414</c:v>
                </c:pt>
                <c:pt idx="5">
                  <c:v>1.0856249550525174</c:v>
                </c:pt>
                <c:pt idx="6">
                  <c:v>1.1270738185658922</c:v>
                </c:pt>
                <c:pt idx="7">
                  <c:v>1.0922088807112773</c:v>
                </c:pt>
                <c:pt idx="8">
                  <c:v>1.1154959419411488</c:v>
                </c:pt>
                <c:pt idx="9">
                  <c:v>1.1053367862194434</c:v>
                </c:pt>
                <c:pt idx="10">
                  <c:v>1.1121141032097004</c:v>
                </c:pt>
                <c:pt idx="11">
                  <c:v>1.0958792618753939</c:v>
                </c:pt>
                <c:pt idx="12">
                  <c:v>1.0938526057078901</c:v>
                </c:pt>
                <c:pt idx="13">
                  <c:v>1.1106739967405672</c:v>
                </c:pt>
                <c:pt idx="14">
                  <c:v>1.1275117473466603</c:v>
                </c:pt>
                <c:pt idx="15">
                  <c:v>1.1485291978515431</c:v>
                </c:pt>
                <c:pt idx="16">
                  <c:v>1.1519593698712796</c:v>
                </c:pt>
                <c:pt idx="17">
                  <c:v>1.1568537011420097</c:v>
                </c:pt>
                <c:pt idx="18">
                  <c:v>1.1230910925682529</c:v>
                </c:pt>
                <c:pt idx="19">
                  <c:v>1.0778139415653263</c:v>
                </c:pt>
                <c:pt idx="20">
                  <c:v>1.0867753760373831</c:v>
                </c:pt>
                <c:pt idx="21">
                  <c:v>1.0411498956412473</c:v>
                </c:pt>
                <c:pt idx="22">
                  <c:v>1.0452166042507327</c:v>
                </c:pt>
                <c:pt idx="23">
                  <c:v>1.1245574299447887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D-480A-A3D0-98F5D00AD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31615"/>
        <c:axId val="1941043135"/>
      </c:scatterChart>
      <c:valAx>
        <c:axId val="19410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43135"/>
        <c:crosses val="autoZero"/>
        <c:crossBetween val="midCat"/>
      </c:valAx>
      <c:valAx>
        <c:axId val="194104313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 3He / K 4He 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3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3He, 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('MC Empty Tube OD1159 ID747'!$AM$5,'MC Empty Tube OD1159 ID747'!$AM$7:$AM$8,'MC Empty Tube OD1159 ID747'!$AM$13:$AM$15,'MC Empty Tube OD1159 ID747'!$AM$17:$AM$23,'MC Empty Tube OD1159 ID747'!$AM$25:$AM$35)</c:f>
              <c:numCache>
                <c:formatCode>General</c:formatCode>
                <c:ptCount val="24"/>
                <c:pt idx="0">
                  <c:v>33.444816053511708</c:v>
                </c:pt>
                <c:pt idx="1">
                  <c:v>33.444816053511708</c:v>
                </c:pt>
                <c:pt idx="2">
                  <c:v>33.444816053511708</c:v>
                </c:pt>
                <c:pt idx="3">
                  <c:v>25.125628140703519</c:v>
                </c:pt>
                <c:pt idx="4">
                  <c:v>25.125628140703519</c:v>
                </c:pt>
                <c:pt idx="5">
                  <c:v>25.125628140703519</c:v>
                </c:pt>
                <c:pt idx="6">
                  <c:v>23.640661938534279</c:v>
                </c:pt>
                <c:pt idx="7">
                  <c:v>23.640661938534279</c:v>
                </c:pt>
                <c:pt idx="8">
                  <c:v>23.640661938534279</c:v>
                </c:pt>
                <c:pt idx="9">
                  <c:v>22.321428571428573</c:v>
                </c:pt>
                <c:pt idx="10">
                  <c:v>22.321428571428573</c:v>
                </c:pt>
                <c:pt idx="11">
                  <c:v>22.321428571428573</c:v>
                </c:pt>
                <c:pt idx="12">
                  <c:v>22.321428571428573</c:v>
                </c:pt>
                <c:pt idx="13">
                  <c:v>21.141649048625794</c:v>
                </c:pt>
                <c:pt idx="14">
                  <c:v>21.141649048625794</c:v>
                </c:pt>
                <c:pt idx="15">
                  <c:v>21.141649048625794</c:v>
                </c:pt>
                <c:pt idx="16">
                  <c:v>19.120458891013385</c:v>
                </c:pt>
                <c:pt idx="17">
                  <c:v>19.120458891013385</c:v>
                </c:pt>
                <c:pt idx="18">
                  <c:v>19.120458891013385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</c:numCache>
            </c:numRef>
          </c:xVal>
          <c:yVal>
            <c:numRef>
              <c:f>('MC Empty Tube OD1159 ID747'!$AN$5,'MC Empty Tube OD1159 ID747'!$AN$7:$AN$8,'MC Empty Tube OD1159 ID747'!$AN$13:$AN$15,'MC Empty Tube OD1159 ID747'!$AN$17:$AN$23,'MC Empty Tube OD1159 ID747'!$AN$25:$AN$35)</c:f>
              <c:numCache>
                <c:formatCode>General</c:formatCode>
                <c:ptCount val="24"/>
                <c:pt idx="0">
                  <c:v>23.449838717755345</c:v>
                </c:pt>
                <c:pt idx="1">
                  <c:v>23.433893156445837</c:v>
                </c:pt>
                <c:pt idx="2">
                  <c:v>23.432024261799164</c:v>
                </c:pt>
                <c:pt idx="3">
                  <c:v>25.491852613510623</c:v>
                </c:pt>
                <c:pt idx="4">
                  <c:v>25.597138736713799</c:v>
                </c:pt>
                <c:pt idx="5">
                  <c:v>25.605038632394916</c:v>
                </c:pt>
                <c:pt idx="6">
                  <c:v>25.99733909040155</c:v>
                </c:pt>
                <c:pt idx="7">
                  <c:v>25.948627722550622</c:v>
                </c:pt>
                <c:pt idx="8">
                  <c:v>25.993588229182986</c:v>
                </c:pt>
                <c:pt idx="9">
                  <c:v>26.27854521801482</c:v>
                </c:pt>
                <c:pt idx="10">
                  <c:v>26.286166435410358</c:v>
                </c:pt>
                <c:pt idx="11">
                  <c:v>26.272197456958004</c:v>
                </c:pt>
                <c:pt idx="12">
                  <c:v>26.268103339130256</c:v>
                </c:pt>
                <c:pt idx="13">
                  <c:v>26.451740023097525</c:v>
                </c:pt>
                <c:pt idx="14">
                  <c:v>26.59609538546178</c:v>
                </c:pt>
                <c:pt idx="15">
                  <c:v>26.649447450752785</c:v>
                </c:pt>
                <c:pt idx="16">
                  <c:v>27.124280886384827</c:v>
                </c:pt>
                <c:pt idx="17">
                  <c:v>27.1300070511314</c:v>
                </c:pt>
                <c:pt idx="18">
                  <c:v>27.095557613577238</c:v>
                </c:pt>
                <c:pt idx="19">
                  <c:v>27.048020242530221</c:v>
                </c:pt>
                <c:pt idx="20">
                  <c:v>27.046346723816953</c:v>
                </c:pt>
                <c:pt idx="21">
                  <c:v>27.000102387171122</c:v>
                </c:pt>
                <c:pt idx="22">
                  <c:v>27.253976154854865</c:v>
                </c:pt>
                <c:pt idx="23">
                  <c:v>28.085912747871628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7-4F66-8487-A54F7A0178C7}"/>
            </c:ext>
          </c:extLst>
        </c:ser>
        <c:ser>
          <c:idx val="1"/>
          <c:order val="1"/>
          <c:tx>
            <c:v>4He, Measured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('MC Empty Tube OD1159 ID747'!$AM$5,'MC Empty Tube OD1159 ID747'!$AM$7:$AM$8,'MC Empty Tube OD1159 ID747'!$AM$13:$AM$15,'MC Empty Tube OD1159 ID747'!$AM$17:$AM$23,'MC Empty Tube OD1159 ID747'!$AM$25:$AM$35)</c:f>
              <c:numCache>
                <c:formatCode>General</c:formatCode>
                <c:ptCount val="24"/>
                <c:pt idx="0">
                  <c:v>33.444816053511708</c:v>
                </c:pt>
                <c:pt idx="1">
                  <c:v>33.444816053511708</c:v>
                </c:pt>
                <c:pt idx="2">
                  <c:v>33.444816053511708</c:v>
                </c:pt>
                <c:pt idx="3">
                  <c:v>25.125628140703519</c:v>
                </c:pt>
                <c:pt idx="4">
                  <c:v>25.125628140703519</c:v>
                </c:pt>
                <c:pt idx="5">
                  <c:v>25.125628140703519</c:v>
                </c:pt>
                <c:pt idx="6">
                  <c:v>23.640661938534279</c:v>
                </c:pt>
                <c:pt idx="7">
                  <c:v>23.640661938534279</c:v>
                </c:pt>
                <c:pt idx="8">
                  <c:v>23.640661938534279</c:v>
                </c:pt>
                <c:pt idx="9">
                  <c:v>22.321428571428573</c:v>
                </c:pt>
                <c:pt idx="10">
                  <c:v>22.321428571428573</c:v>
                </c:pt>
                <c:pt idx="11">
                  <c:v>22.321428571428573</c:v>
                </c:pt>
                <c:pt idx="12">
                  <c:v>22.321428571428573</c:v>
                </c:pt>
                <c:pt idx="13">
                  <c:v>21.141649048625794</c:v>
                </c:pt>
                <c:pt idx="14">
                  <c:v>21.141649048625794</c:v>
                </c:pt>
                <c:pt idx="15">
                  <c:v>21.141649048625794</c:v>
                </c:pt>
                <c:pt idx="16">
                  <c:v>19.120458891013385</c:v>
                </c:pt>
                <c:pt idx="17">
                  <c:v>19.120458891013385</c:v>
                </c:pt>
                <c:pt idx="18">
                  <c:v>19.120458891013385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</c:numCache>
            </c:numRef>
          </c:xVal>
          <c:yVal>
            <c:numRef>
              <c:f>('MC Empty Tube OD1159 ID747'!$AO$5,'MC Empty Tube OD1159 ID747'!$AO$7:$AO$8,'MC Empty Tube OD1159 ID747'!$AO$13:$AO$15,'MC Empty Tube OD1159 ID747'!$AO$17:$AO$23,'MC Empty Tube OD1159 ID747'!$AO$25:$AO$35)</c:f>
              <c:numCache>
                <c:formatCode>General</c:formatCode>
                <c:ptCount val="24"/>
                <c:pt idx="0">
                  <c:v>23.446742754492828</c:v>
                </c:pt>
                <c:pt idx="1">
                  <c:v>23.435478316299527</c:v>
                </c:pt>
                <c:pt idx="2">
                  <c:v>23.432983731940681</c:v>
                </c:pt>
                <c:pt idx="3">
                  <c:v>25.416207718038851</c:v>
                </c:pt>
                <c:pt idx="4">
                  <c:v>25.520632963873926</c:v>
                </c:pt>
                <c:pt idx="5">
                  <c:v>25.522882815784087</c:v>
                </c:pt>
                <c:pt idx="6">
                  <c:v>25.877714357430481</c:v>
                </c:pt>
                <c:pt idx="7">
                  <c:v>25.860425580817477</c:v>
                </c:pt>
                <c:pt idx="8">
                  <c:v>25.884289132182481</c:v>
                </c:pt>
                <c:pt idx="9">
                  <c:v>26.178395145573287</c:v>
                </c:pt>
                <c:pt idx="10">
                  <c:v>26.179903634046006</c:v>
                </c:pt>
                <c:pt idx="11">
                  <c:v>26.180640437022966</c:v>
                </c:pt>
                <c:pt idx="12">
                  <c:v>26.178397373907611</c:v>
                </c:pt>
                <c:pt idx="13">
                  <c:v>26.346772987776422</c:v>
                </c:pt>
                <c:pt idx="14">
                  <c:v>26.476082174188623</c:v>
                </c:pt>
                <c:pt idx="15">
                  <c:v>26.510965285332887</c:v>
                </c:pt>
                <c:pt idx="16">
                  <c:v>26.982816593942061</c:v>
                </c:pt>
                <c:pt idx="17">
                  <c:v>26.984303057637472</c:v>
                </c:pt>
                <c:pt idx="18">
                  <c:v>26.979472825733708</c:v>
                </c:pt>
                <c:pt idx="19">
                  <c:v>26.973085380890343</c:v>
                </c:pt>
                <c:pt idx="20">
                  <c:v>26.963131782811839</c:v>
                </c:pt>
                <c:pt idx="21">
                  <c:v>26.959776615933681</c:v>
                </c:pt>
                <c:pt idx="22">
                  <c:v>27.209752014121996</c:v>
                </c:pt>
                <c:pt idx="23">
                  <c:v>27.968523185220228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7-4F66-8487-A54F7A0178C7}"/>
            </c:ext>
          </c:extLst>
        </c:ser>
        <c:ser>
          <c:idx val="2"/>
          <c:order val="2"/>
          <c:tx>
            <c:v>3He Jones 1954; Swets et al., 1961</c:v>
          </c:tx>
          <c:spPr>
            <a:ln w="25400" cap="rnd">
              <a:solidFill>
                <a:schemeClr val="accent1">
                  <a:alpha val="4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('MC Empty Tube OD1159 ID747'!$AM$4:$AM$9,'MC Empty Tube OD1159 ID747'!$AM$13:$AM$15,'MC Empty Tube OD1159 ID747'!$AM$17:$AM$23,'MC Empty Tube OD1159 ID747'!$AM$25:$AM$35)</c:f>
              <c:numCache>
                <c:formatCode>General</c:formatCode>
                <c:ptCount val="27"/>
                <c:pt idx="0">
                  <c:v>26.809651474530831</c:v>
                </c:pt>
                <c:pt idx="1">
                  <c:v>33.444816053511708</c:v>
                </c:pt>
                <c:pt idx="2">
                  <c:v>26.109660574412533</c:v>
                </c:pt>
                <c:pt idx="3">
                  <c:v>33.444816053511708</c:v>
                </c:pt>
                <c:pt idx="4">
                  <c:v>33.444816053511708</c:v>
                </c:pt>
                <c:pt idx="5">
                  <c:v>26.809651474530831</c:v>
                </c:pt>
                <c:pt idx="6">
                  <c:v>25.125628140703519</c:v>
                </c:pt>
                <c:pt idx="7">
                  <c:v>25.125628140703519</c:v>
                </c:pt>
                <c:pt idx="8">
                  <c:v>25.125628140703519</c:v>
                </c:pt>
                <c:pt idx="9">
                  <c:v>23.640661938534279</c:v>
                </c:pt>
                <c:pt idx="10">
                  <c:v>23.640661938534279</c:v>
                </c:pt>
                <c:pt idx="11">
                  <c:v>23.640661938534279</c:v>
                </c:pt>
                <c:pt idx="12">
                  <c:v>22.321428571428573</c:v>
                </c:pt>
                <c:pt idx="13">
                  <c:v>22.321428571428573</c:v>
                </c:pt>
                <c:pt idx="14">
                  <c:v>22.321428571428573</c:v>
                </c:pt>
                <c:pt idx="15">
                  <c:v>22.321428571428573</c:v>
                </c:pt>
                <c:pt idx="16">
                  <c:v>21.141649048625794</c:v>
                </c:pt>
                <c:pt idx="17">
                  <c:v>21.141649048625794</c:v>
                </c:pt>
                <c:pt idx="18">
                  <c:v>21.141649048625794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  <c:pt idx="24">
                  <c:v>19.120458891013385</c:v>
                </c:pt>
                <c:pt idx="25">
                  <c:v>19.120458891013385</c:v>
                </c:pt>
                <c:pt idx="26">
                  <c:v>19.120458891013385</c:v>
                </c:pt>
              </c:numCache>
            </c:numRef>
          </c:xVal>
          <c:yVal>
            <c:numRef>
              <c:f>('MC Empty Tube OD1159 ID747'!$AP$4:$AP$9,'MC Empty Tube OD1159 ID747'!$AP$13:$AP$15,'MC Empty Tube OD1159 ID747'!$AP$17:$AP$23,'MC Empty Tube OD1159 ID747'!$AP$25:$AP$35)</c:f>
              <c:numCache>
                <c:formatCode>General</c:formatCode>
                <c:ptCount val="27"/>
                <c:pt idx="0">
                  <c:v>25.202356396776104</c:v>
                </c:pt>
                <c:pt idx="1">
                  <c:v>23.547071504073127</c:v>
                </c:pt>
                <c:pt idx="2">
                  <c:v>25.376984222235915</c:v>
                </c:pt>
                <c:pt idx="3">
                  <c:v>23.547071504073127</c:v>
                </c:pt>
                <c:pt idx="4">
                  <c:v>23.547071504073127</c:v>
                </c:pt>
                <c:pt idx="5">
                  <c:v>25.202356396776104</c:v>
                </c:pt>
                <c:pt idx="6">
                  <c:v>25.622472333654915</c:v>
                </c:pt>
                <c:pt idx="7">
                  <c:v>25.622472333654915</c:v>
                </c:pt>
                <c:pt idx="8">
                  <c:v>25.622472333654915</c:v>
                </c:pt>
                <c:pt idx="9">
                  <c:v>25.992929176340017</c:v>
                </c:pt>
                <c:pt idx="10">
                  <c:v>25.992929176340017</c:v>
                </c:pt>
                <c:pt idx="11">
                  <c:v>25.992929176340017</c:v>
                </c:pt>
                <c:pt idx="12">
                  <c:v>26.322040389261151</c:v>
                </c:pt>
                <c:pt idx="13">
                  <c:v>26.322040389261151</c:v>
                </c:pt>
                <c:pt idx="14">
                  <c:v>26.322040389261151</c:v>
                </c:pt>
                <c:pt idx="15">
                  <c:v>26.322040389261151</c:v>
                </c:pt>
                <c:pt idx="16">
                  <c:v>26.616361833374558</c:v>
                </c:pt>
                <c:pt idx="17">
                  <c:v>26.616361833374558</c:v>
                </c:pt>
                <c:pt idx="18">
                  <c:v>26.616361833374558</c:v>
                </c:pt>
                <c:pt idx="19">
                  <c:v>27.120591305507659</c:v>
                </c:pt>
                <c:pt idx="20">
                  <c:v>27.120591305507659</c:v>
                </c:pt>
                <c:pt idx="21">
                  <c:v>27.120591305507659</c:v>
                </c:pt>
                <c:pt idx="22">
                  <c:v>27.120591305507659</c:v>
                </c:pt>
                <c:pt idx="23">
                  <c:v>27.120591305507659</c:v>
                </c:pt>
                <c:pt idx="24">
                  <c:v>27.120591305507659</c:v>
                </c:pt>
                <c:pt idx="25">
                  <c:v>27.120591305507659</c:v>
                </c:pt>
                <c:pt idx="26">
                  <c:v>27.120591305507659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07-4F66-8487-A54F7A0178C7}"/>
            </c:ext>
          </c:extLst>
        </c:ser>
        <c:ser>
          <c:idx val="3"/>
          <c:order val="3"/>
          <c:tx>
            <c:v>4He Swets et al., 1961</c:v>
          </c:tx>
          <c:spPr>
            <a:ln w="25400" cap="rnd">
              <a:solidFill>
                <a:srgbClr val="FF0000">
                  <a:alpha val="43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('MC Empty Tube OD1159 ID747'!$AM$4:$AM$9,'MC Empty Tube OD1159 ID747'!$AM$13:$AM$15,'MC Empty Tube OD1159 ID747'!$AM$17:$AM$23,'MC Empty Tube OD1159 ID747'!$AM$25:$AM$35)</c:f>
              <c:numCache>
                <c:formatCode>General</c:formatCode>
                <c:ptCount val="27"/>
                <c:pt idx="0">
                  <c:v>26.809651474530831</c:v>
                </c:pt>
                <c:pt idx="1">
                  <c:v>33.444816053511708</c:v>
                </c:pt>
                <c:pt idx="2">
                  <c:v>26.109660574412533</c:v>
                </c:pt>
                <c:pt idx="3">
                  <c:v>33.444816053511708</c:v>
                </c:pt>
                <c:pt idx="4">
                  <c:v>33.444816053511708</c:v>
                </c:pt>
                <c:pt idx="5">
                  <c:v>26.809651474530831</c:v>
                </c:pt>
                <c:pt idx="6">
                  <c:v>25.125628140703519</c:v>
                </c:pt>
                <c:pt idx="7">
                  <c:v>25.125628140703519</c:v>
                </c:pt>
                <c:pt idx="8">
                  <c:v>25.125628140703519</c:v>
                </c:pt>
                <c:pt idx="9">
                  <c:v>23.640661938534279</c:v>
                </c:pt>
                <c:pt idx="10">
                  <c:v>23.640661938534279</c:v>
                </c:pt>
                <c:pt idx="11">
                  <c:v>23.640661938534279</c:v>
                </c:pt>
                <c:pt idx="12">
                  <c:v>22.321428571428573</c:v>
                </c:pt>
                <c:pt idx="13">
                  <c:v>22.321428571428573</c:v>
                </c:pt>
                <c:pt idx="14">
                  <c:v>22.321428571428573</c:v>
                </c:pt>
                <c:pt idx="15">
                  <c:v>22.321428571428573</c:v>
                </c:pt>
                <c:pt idx="16">
                  <c:v>21.141649048625794</c:v>
                </c:pt>
                <c:pt idx="17">
                  <c:v>21.141649048625794</c:v>
                </c:pt>
                <c:pt idx="18">
                  <c:v>21.141649048625794</c:v>
                </c:pt>
                <c:pt idx="19">
                  <c:v>19.120458891013385</c:v>
                </c:pt>
                <c:pt idx="20">
                  <c:v>19.120458891013385</c:v>
                </c:pt>
                <c:pt idx="21">
                  <c:v>19.120458891013385</c:v>
                </c:pt>
                <c:pt idx="22">
                  <c:v>19.120458891013385</c:v>
                </c:pt>
                <c:pt idx="23">
                  <c:v>19.120458891013385</c:v>
                </c:pt>
                <c:pt idx="24">
                  <c:v>19.120458891013385</c:v>
                </c:pt>
                <c:pt idx="25">
                  <c:v>19.120458891013385</c:v>
                </c:pt>
                <c:pt idx="26">
                  <c:v>19.120458891013385</c:v>
                </c:pt>
              </c:numCache>
            </c:numRef>
          </c:xVal>
          <c:yVal>
            <c:numRef>
              <c:f>('MC Empty Tube OD1159 ID747'!$AQ$4:$AQ$9,'MC Empty Tube OD1159 ID747'!$AQ$13:$AQ$15,'MC Empty Tube OD1159 ID747'!$AQ$17:$AQ$23,'MC Empty Tube OD1159 ID747'!$AQ$25:$AQ$35)</c:f>
              <c:numCache>
                <c:formatCode>General</c:formatCode>
                <c:ptCount val="27"/>
                <c:pt idx="0">
                  <c:v>25.122260052800272</c:v>
                </c:pt>
                <c:pt idx="1">
                  <c:v>23.486009099755165</c:v>
                </c:pt>
                <c:pt idx="2">
                  <c:v>25.294879852024213</c:v>
                </c:pt>
                <c:pt idx="3">
                  <c:v>23.486009099755165</c:v>
                </c:pt>
                <c:pt idx="4">
                  <c:v>23.486009099755165</c:v>
                </c:pt>
                <c:pt idx="5">
                  <c:v>25.122260052800272</c:v>
                </c:pt>
                <c:pt idx="6">
                  <c:v>25.537545122541282</c:v>
                </c:pt>
                <c:pt idx="7">
                  <c:v>25.537545122541282</c:v>
                </c:pt>
                <c:pt idx="8">
                  <c:v>25.537545122541282</c:v>
                </c:pt>
                <c:pt idx="9">
                  <c:v>25.90374212257295</c:v>
                </c:pt>
                <c:pt idx="10">
                  <c:v>25.90374212257295</c:v>
                </c:pt>
                <c:pt idx="11">
                  <c:v>25.90374212257295</c:v>
                </c:pt>
                <c:pt idx="12">
                  <c:v>26.229068921708226</c:v>
                </c:pt>
                <c:pt idx="13">
                  <c:v>26.229068921708226</c:v>
                </c:pt>
                <c:pt idx="14">
                  <c:v>26.229068921708226</c:v>
                </c:pt>
                <c:pt idx="15">
                  <c:v>26.229068921708226</c:v>
                </c:pt>
                <c:pt idx="16">
                  <c:v>26.520005995776351</c:v>
                </c:pt>
                <c:pt idx="17">
                  <c:v>26.520005995776351</c:v>
                </c:pt>
                <c:pt idx="18">
                  <c:v>26.520005995776351</c:v>
                </c:pt>
                <c:pt idx="19">
                  <c:v>27.018437388443729</c:v>
                </c:pt>
                <c:pt idx="20">
                  <c:v>27.018437388443729</c:v>
                </c:pt>
                <c:pt idx="21">
                  <c:v>27.018437388443729</c:v>
                </c:pt>
                <c:pt idx="22">
                  <c:v>27.018437388443729</c:v>
                </c:pt>
                <c:pt idx="23">
                  <c:v>27.018437388443729</c:v>
                </c:pt>
                <c:pt idx="24">
                  <c:v>27.018437388443729</c:v>
                </c:pt>
                <c:pt idx="25">
                  <c:v>27.018437388443729</c:v>
                </c:pt>
                <c:pt idx="26">
                  <c:v>27.018437388443729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07-4F66-8487-A54F7A017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743599"/>
        <c:axId val="1839744079"/>
      </c:scatterChart>
      <c:valAx>
        <c:axId val="1839743599"/>
        <c:scaling>
          <c:orientation val="minMax"/>
          <c:max val="35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44079"/>
        <c:crosses val="autoZero"/>
        <c:crossBetween val="midCat"/>
      </c:valAx>
      <c:valAx>
        <c:axId val="18397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 (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4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[1]Nov_Empty_Tube_Cooling_Rates!$D$1</c:f>
              <c:strCache>
                <c:ptCount val="1"/>
                <c:pt idx="0">
                  <c:v>dTdt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6145647419072615"/>
                  <c:y val="-0.15724154272382618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[1]Nov_Empty_Tube_Cooling_Rates!$C$2:$C$958</c:f>
              <c:numCache>
                <c:formatCode>General</c:formatCode>
                <c:ptCount val="957"/>
                <c:pt idx="0">
                  <c:v>47.5</c:v>
                </c:pt>
                <c:pt idx="1">
                  <c:v>46.5</c:v>
                </c:pt>
                <c:pt idx="2">
                  <c:v>46.5</c:v>
                </c:pt>
                <c:pt idx="3">
                  <c:v>45.5</c:v>
                </c:pt>
                <c:pt idx="4">
                  <c:v>44.5</c:v>
                </c:pt>
                <c:pt idx="5">
                  <c:v>44.5</c:v>
                </c:pt>
                <c:pt idx="6">
                  <c:v>43</c:v>
                </c:pt>
                <c:pt idx="7">
                  <c:v>42</c:v>
                </c:pt>
                <c:pt idx="8">
                  <c:v>41.5</c:v>
                </c:pt>
                <c:pt idx="9">
                  <c:v>41</c:v>
                </c:pt>
                <c:pt idx="10">
                  <c:v>40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37</c:v>
                </c:pt>
                <c:pt idx="16">
                  <c:v>36</c:v>
                </c:pt>
                <c:pt idx="17">
                  <c:v>36</c:v>
                </c:pt>
                <c:pt idx="18">
                  <c:v>35</c:v>
                </c:pt>
                <c:pt idx="19">
                  <c:v>34.5</c:v>
                </c:pt>
                <c:pt idx="20">
                  <c:v>33.5</c:v>
                </c:pt>
                <c:pt idx="21">
                  <c:v>33.5</c:v>
                </c:pt>
                <c:pt idx="22">
                  <c:v>32.5</c:v>
                </c:pt>
                <c:pt idx="23">
                  <c:v>32</c:v>
                </c:pt>
                <c:pt idx="24">
                  <c:v>31.5</c:v>
                </c:pt>
                <c:pt idx="25">
                  <c:v>31</c:v>
                </c:pt>
                <c:pt idx="26">
                  <c:v>30.5</c:v>
                </c:pt>
                <c:pt idx="27">
                  <c:v>30.5</c:v>
                </c:pt>
                <c:pt idx="28">
                  <c:v>29.5</c:v>
                </c:pt>
                <c:pt idx="29">
                  <c:v>29</c:v>
                </c:pt>
                <c:pt idx="30">
                  <c:v>28.5</c:v>
                </c:pt>
                <c:pt idx="31">
                  <c:v>28</c:v>
                </c:pt>
                <c:pt idx="32">
                  <c:v>27.5</c:v>
                </c:pt>
                <c:pt idx="33">
                  <c:v>27.5</c:v>
                </c:pt>
                <c:pt idx="34">
                  <c:v>26.5</c:v>
                </c:pt>
                <c:pt idx="35">
                  <c:v>26.5</c:v>
                </c:pt>
                <c:pt idx="36">
                  <c:v>25.5</c:v>
                </c:pt>
                <c:pt idx="37">
                  <c:v>25.5</c:v>
                </c:pt>
                <c:pt idx="38">
                  <c:v>25</c:v>
                </c:pt>
                <c:pt idx="39">
                  <c:v>24.5</c:v>
                </c:pt>
                <c:pt idx="40">
                  <c:v>24</c:v>
                </c:pt>
                <c:pt idx="41">
                  <c:v>24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22</c:v>
                </c:pt>
                <c:pt idx="46">
                  <c:v>22</c:v>
                </c:pt>
                <c:pt idx="47">
                  <c:v>21.5</c:v>
                </c:pt>
                <c:pt idx="48">
                  <c:v>21</c:v>
                </c:pt>
                <c:pt idx="49">
                  <c:v>21</c:v>
                </c:pt>
                <c:pt idx="50">
                  <c:v>20.5</c:v>
                </c:pt>
                <c:pt idx="51">
                  <c:v>20</c:v>
                </c:pt>
                <c:pt idx="52">
                  <c:v>20</c:v>
                </c:pt>
                <c:pt idx="53">
                  <c:v>19.5</c:v>
                </c:pt>
                <c:pt idx="54">
                  <c:v>19</c:v>
                </c:pt>
                <c:pt idx="55">
                  <c:v>19</c:v>
                </c:pt>
                <c:pt idx="56">
                  <c:v>18.5</c:v>
                </c:pt>
                <c:pt idx="57">
                  <c:v>18.5</c:v>
                </c:pt>
                <c:pt idx="58">
                  <c:v>18</c:v>
                </c:pt>
                <c:pt idx="59">
                  <c:v>18</c:v>
                </c:pt>
                <c:pt idx="60">
                  <c:v>17.5</c:v>
                </c:pt>
                <c:pt idx="61">
                  <c:v>17.5</c:v>
                </c:pt>
                <c:pt idx="62">
                  <c:v>17</c:v>
                </c:pt>
                <c:pt idx="63">
                  <c:v>17</c:v>
                </c:pt>
                <c:pt idx="64">
                  <c:v>16.5</c:v>
                </c:pt>
                <c:pt idx="65">
                  <c:v>62.5</c:v>
                </c:pt>
                <c:pt idx="66">
                  <c:v>62</c:v>
                </c:pt>
                <c:pt idx="67">
                  <c:v>61.5</c:v>
                </c:pt>
                <c:pt idx="68">
                  <c:v>61</c:v>
                </c:pt>
                <c:pt idx="69">
                  <c:v>60</c:v>
                </c:pt>
                <c:pt idx="70">
                  <c:v>59.5</c:v>
                </c:pt>
                <c:pt idx="71">
                  <c:v>58</c:v>
                </c:pt>
                <c:pt idx="72">
                  <c:v>57.5</c:v>
                </c:pt>
                <c:pt idx="73">
                  <c:v>57</c:v>
                </c:pt>
                <c:pt idx="74">
                  <c:v>56.5</c:v>
                </c:pt>
                <c:pt idx="75">
                  <c:v>56</c:v>
                </c:pt>
                <c:pt idx="76">
                  <c:v>55</c:v>
                </c:pt>
                <c:pt idx="77">
                  <c:v>54</c:v>
                </c:pt>
                <c:pt idx="78">
                  <c:v>53.5</c:v>
                </c:pt>
                <c:pt idx="79">
                  <c:v>53</c:v>
                </c:pt>
                <c:pt idx="80">
                  <c:v>52</c:v>
                </c:pt>
                <c:pt idx="81">
                  <c:v>52</c:v>
                </c:pt>
                <c:pt idx="82">
                  <c:v>51</c:v>
                </c:pt>
                <c:pt idx="83">
                  <c:v>50.5</c:v>
                </c:pt>
                <c:pt idx="84">
                  <c:v>50</c:v>
                </c:pt>
                <c:pt idx="85">
                  <c:v>49.5</c:v>
                </c:pt>
                <c:pt idx="86">
                  <c:v>48.5</c:v>
                </c:pt>
                <c:pt idx="87">
                  <c:v>48</c:v>
                </c:pt>
                <c:pt idx="88">
                  <c:v>47</c:v>
                </c:pt>
                <c:pt idx="89">
                  <c:v>47</c:v>
                </c:pt>
                <c:pt idx="90">
                  <c:v>46.5</c:v>
                </c:pt>
                <c:pt idx="91">
                  <c:v>46</c:v>
                </c:pt>
                <c:pt idx="92">
                  <c:v>45.5</c:v>
                </c:pt>
                <c:pt idx="93">
                  <c:v>44.5</c:v>
                </c:pt>
                <c:pt idx="94">
                  <c:v>44</c:v>
                </c:pt>
                <c:pt idx="95">
                  <c:v>43.5</c:v>
                </c:pt>
                <c:pt idx="96">
                  <c:v>43.5</c:v>
                </c:pt>
                <c:pt idx="97">
                  <c:v>42.5</c:v>
                </c:pt>
                <c:pt idx="98">
                  <c:v>42.5</c:v>
                </c:pt>
                <c:pt idx="99">
                  <c:v>41.5</c:v>
                </c:pt>
                <c:pt idx="100">
                  <c:v>41.5</c:v>
                </c:pt>
                <c:pt idx="101">
                  <c:v>40.5</c:v>
                </c:pt>
                <c:pt idx="102">
                  <c:v>40.5</c:v>
                </c:pt>
                <c:pt idx="103">
                  <c:v>39.5</c:v>
                </c:pt>
                <c:pt idx="104">
                  <c:v>39.5</c:v>
                </c:pt>
                <c:pt idx="105">
                  <c:v>39</c:v>
                </c:pt>
                <c:pt idx="106">
                  <c:v>38.5</c:v>
                </c:pt>
                <c:pt idx="107">
                  <c:v>38</c:v>
                </c:pt>
                <c:pt idx="108">
                  <c:v>37.5</c:v>
                </c:pt>
                <c:pt idx="109">
                  <c:v>37</c:v>
                </c:pt>
                <c:pt idx="110">
                  <c:v>36.5</c:v>
                </c:pt>
                <c:pt idx="111">
                  <c:v>36.5</c:v>
                </c:pt>
                <c:pt idx="112">
                  <c:v>35.5</c:v>
                </c:pt>
                <c:pt idx="113">
                  <c:v>35.5</c:v>
                </c:pt>
                <c:pt idx="114">
                  <c:v>35</c:v>
                </c:pt>
                <c:pt idx="115">
                  <c:v>34.5</c:v>
                </c:pt>
                <c:pt idx="116">
                  <c:v>34</c:v>
                </c:pt>
                <c:pt idx="117">
                  <c:v>34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32</c:v>
                </c:pt>
                <c:pt idx="122">
                  <c:v>32</c:v>
                </c:pt>
                <c:pt idx="123">
                  <c:v>31.5</c:v>
                </c:pt>
                <c:pt idx="124">
                  <c:v>31</c:v>
                </c:pt>
                <c:pt idx="125">
                  <c:v>31</c:v>
                </c:pt>
                <c:pt idx="126">
                  <c:v>30.5</c:v>
                </c:pt>
                <c:pt idx="127">
                  <c:v>30</c:v>
                </c:pt>
                <c:pt idx="128">
                  <c:v>30</c:v>
                </c:pt>
                <c:pt idx="129">
                  <c:v>29.5</c:v>
                </c:pt>
                <c:pt idx="130">
                  <c:v>29</c:v>
                </c:pt>
                <c:pt idx="131">
                  <c:v>29</c:v>
                </c:pt>
                <c:pt idx="132">
                  <c:v>28.5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27.5</c:v>
                </c:pt>
                <c:pt idx="137">
                  <c:v>27</c:v>
                </c:pt>
                <c:pt idx="138">
                  <c:v>27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25</c:v>
                </c:pt>
                <c:pt idx="144">
                  <c:v>25</c:v>
                </c:pt>
                <c:pt idx="145">
                  <c:v>24.5</c:v>
                </c:pt>
                <c:pt idx="146">
                  <c:v>24.5</c:v>
                </c:pt>
                <c:pt idx="147">
                  <c:v>24</c:v>
                </c:pt>
                <c:pt idx="148">
                  <c:v>24</c:v>
                </c:pt>
                <c:pt idx="149">
                  <c:v>23.5</c:v>
                </c:pt>
                <c:pt idx="150">
                  <c:v>23.5</c:v>
                </c:pt>
                <c:pt idx="151">
                  <c:v>23.5</c:v>
                </c:pt>
                <c:pt idx="152">
                  <c:v>23</c:v>
                </c:pt>
                <c:pt idx="153">
                  <c:v>22.5</c:v>
                </c:pt>
                <c:pt idx="154">
                  <c:v>22.5</c:v>
                </c:pt>
                <c:pt idx="155">
                  <c:v>22.5</c:v>
                </c:pt>
                <c:pt idx="156">
                  <c:v>22</c:v>
                </c:pt>
                <c:pt idx="157">
                  <c:v>22</c:v>
                </c:pt>
                <c:pt idx="158">
                  <c:v>21.5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20.5</c:v>
                </c:pt>
                <c:pt idx="163">
                  <c:v>20.5</c:v>
                </c:pt>
                <c:pt idx="164">
                  <c:v>20</c:v>
                </c:pt>
                <c:pt idx="165">
                  <c:v>19.5</c:v>
                </c:pt>
                <c:pt idx="166">
                  <c:v>19.5</c:v>
                </c:pt>
                <c:pt idx="167">
                  <c:v>19.5</c:v>
                </c:pt>
                <c:pt idx="168">
                  <c:v>19.5</c:v>
                </c:pt>
                <c:pt idx="169">
                  <c:v>19.5</c:v>
                </c:pt>
                <c:pt idx="170">
                  <c:v>18.5</c:v>
                </c:pt>
                <c:pt idx="171">
                  <c:v>18.5</c:v>
                </c:pt>
                <c:pt idx="172">
                  <c:v>18.5</c:v>
                </c:pt>
                <c:pt idx="173">
                  <c:v>18.5</c:v>
                </c:pt>
                <c:pt idx="174">
                  <c:v>18.5</c:v>
                </c:pt>
                <c:pt idx="175">
                  <c:v>18.5</c:v>
                </c:pt>
                <c:pt idx="176">
                  <c:v>17.5</c:v>
                </c:pt>
                <c:pt idx="177">
                  <c:v>17.5</c:v>
                </c:pt>
                <c:pt idx="178">
                  <c:v>17.5</c:v>
                </c:pt>
                <c:pt idx="179">
                  <c:v>17.5</c:v>
                </c:pt>
                <c:pt idx="180">
                  <c:v>17.5</c:v>
                </c:pt>
                <c:pt idx="181">
                  <c:v>17.5</c:v>
                </c:pt>
                <c:pt idx="182">
                  <c:v>16.5</c:v>
                </c:pt>
                <c:pt idx="183">
                  <c:v>16.5</c:v>
                </c:pt>
                <c:pt idx="184">
                  <c:v>16.5</c:v>
                </c:pt>
                <c:pt idx="185">
                  <c:v>16.5</c:v>
                </c:pt>
                <c:pt idx="186">
                  <c:v>16</c:v>
                </c:pt>
                <c:pt idx="187">
                  <c:v>16</c:v>
                </c:pt>
                <c:pt idx="188">
                  <c:v>15.5</c:v>
                </c:pt>
                <c:pt idx="189">
                  <c:v>15.5</c:v>
                </c:pt>
                <c:pt idx="190">
                  <c:v>15.5</c:v>
                </c:pt>
                <c:pt idx="191">
                  <c:v>15.5</c:v>
                </c:pt>
                <c:pt idx="192">
                  <c:v>15</c:v>
                </c:pt>
                <c:pt idx="193">
                  <c:v>14.5</c:v>
                </c:pt>
                <c:pt idx="194">
                  <c:v>14.5</c:v>
                </c:pt>
                <c:pt idx="195">
                  <c:v>14.5</c:v>
                </c:pt>
                <c:pt idx="196">
                  <c:v>14.5</c:v>
                </c:pt>
                <c:pt idx="197">
                  <c:v>14.5</c:v>
                </c:pt>
                <c:pt idx="198">
                  <c:v>14.5</c:v>
                </c:pt>
                <c:pt idx="199">
                  <c:v>14</c:v>
                </c:pt>
                <c:pt idx="200">
                  <c:v>14</c:v>
                </c:pt>
                <c:pt idx="201">
                  <c:v>13.5</c:v>
                </c:pt>
                <c:pt idx="202">
                  <c:v>13.5</c:v>
                </c:pt>
                <c:pt idx="203">
                  <c:v>13.5</c:v>
                </c:pt>
                <c:pt idx="204">
                  <c:v>13.5</c:v>
                </c:pt>
                <c:pt idx="205">
                  <c:v>13.5</c:v>
                </c:pt>
                <c:pt idx="206">
                  <c:v>13.5</c:v>
                </c:pt>
                <c:pt idx="207">
                  <c:v>13</c:v>
                </c:pt>
                <c:pt idx="208">
                  <c:v>13</c:v>
                </c:pt>
                <c:pt idx="209">
                  <c:v>12.5</c:v>
                </c:pt>
                <c:pt idx="210">
                  <c:v>12.5</c:v>
                </c:pt>
                <c:pt idx="211">
                  <c:v>12.5</c:v>
                </c:pt>
                <c:pt idx="212">
                  <c:v>12.5</c:v>
                </c:pt>
                <c:pt idx="213">
                  <c:v>12.5</c:v>
                </c:pt>
                <c:pt idx="214">
                  <c:v>12.5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11.5</c:v>
                </c:pt>
                <c:pt idx="220">
                  <c:v>11.5</c:v>
                </c:pt>
                <c:pt idx="221">
                  <c:v>11.5</c:v>
                </c:pt>
                <c:pt idx="222">
                  <c:v>11.5</c:v>
                </c:pt>
                <c:pt idx="223">
                  <c:v>11.5</c:v>
                </c:pt>
                <c:pt idx="224">
                  <c:v>11.5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10.5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9.5</c:v>
                </c:pt>
                <c:pt idx="238">
                  <c:v>9.5</c:v>
                </c:pt>
                <c:pt idx="239">
                  <c:v>9.5</c:v>
                </c:pt>
                <c:pt idx="240">
                  <c:v>9.5</c:v>
                </c:pt>
                <c:pt idx="241">
                  <c:v>9.5</c:v>
                </c:pt>
                <c:pt idx="242">
                  <c:v>9.5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8.5</c:v>
                </c:pt>
                <c:pt idx="252">
                  <c:v>8.5</c:v>
                </c:pt>
                <c:pt idx="253">
                  <c:v>8.5</c:v>
                </c:pt>
                <c:pt idx="254">
                  <c:v>8.5</c:v>
                </c:pt>
                <c:pt idx="255">
                  <c:v>8.5</c:v>
                </c:pt>
                <c:pt idx="256">
                  <c:v>8.5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6.5</c:v>
                </c:pt>
                <c:pt idx="287">
                  <c:v>6.5</c:v>
                </c:pt>
                <c:pt idx="288">
                  <c:v>6.5</c:v>
                </c:pt>
                <c:pt idx="289">
                  <c:v>6.5</c:v>
                </c:pt>
                <c:pt idx="290">
                  <c:v>6.5</c:v>
                </c:pt>
                <c:pt idx="291">
                  <c:v>6.5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5.5</c:v>
                </c:pt>
                <c:pt idx="302">
                  <c:v>5.5</c:v>
                </c:pt>
                <c:pt idx="303">
                  <c:v>5.5</c:v>
                </c:pt>
                <c:pt idx="304">
                  <c:v>5.5</c:v>
                </c:pt>
                <c:pt idx="305">
                  <c:v>5.5</c:v>
                </c:pt>
                <c:pt idx="306">
                  <c:v>5.5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59</c:v>
                </c:pt>
                <c:pt idx="320">
                  <c:v>58.5</c:v>
                </c:pt>
                <c:pt idx="321">
                  <c:v>57.5</c:v>
                </c:pt>
                <c:pt idx="322">
                  <c:v>57</c:v>
                </c:pt>
                <c:pt idx="323">
                  <c:v>56.5</c:v>
                </c:pt>
                <c:pt idx="324">
                  <c:v>56</c:v>
                </c:pt>
                <c:pt idx="325">
                  <c:v>55.5</c:v>
                </c:pt>
                <c:pt idx="326">
                  <c:v>55</c:v>
                </c:pt>
                <c:pt idx="327">
                  <c:v>54.5</c:v>
                </c:pt>
                <c:pt idx="328">
                  <c:v>53.5</c:v>
                </c:pt>
                <c:pt idx="329">
                  <c:v>53.5</c:v>
                </c:pt>
                <c:pt idx="330">
                  <c:v>53</c:v>
                </c:pt>
                <c:pt idx="331">
                  <c:v>52.5</c:v>
                </c:pt>
                <c:pt idx="332">
                  <c:v>51.5</c:v>
                </c:pt>
                <c:pt idx="333">
                  <c:v>51.5</c:v>
                </c:pt>
                <c:pt idx="334">
                  <c:v>50.5</c:v>
                </c:pt>
                <c:pt idx="335">
                  <c:v>50.5</c:v>
                </c:pt>
                <c:pt idx="336">
                  <c:v>50</c:v>
                </c:pt>
                <c:pt idx="337">
                  <c:v>49.5</c:v>
                </c:pt>
                <c:pt idx="338">
                  <c:v>49</c:v>
                </c:pt>
                <c:pt idx="339">
                  <c:v>48.5</c:v>
                </c:pt>
                <c:pt idx="340">
                  <c:v>48</c:v>
                </c:pt>
                <c:pt idx="341">
                  <c:v>47.5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45.5</c:v>
                </c:pt>
                <c:pt idx="346">
                  <c:v>45.5</c:v>
                </c:pt>
                <c:pt idx="347">
                  <c:v>45</c:v>
                </c:pt>
                <c:pt idx="348">
                  <c:v>44</c:v>
                </c:pt>
                <c:pt idx="349">
                  <c:v>44</c:v>
                </c:pt>
                <c:pt idx="350">
                  <c:v>43.5</c:v>
                </c:pt>
                <c:pt idx="351">
                  <c:v>43</c:v>
                </c:pt>
                <c:pt idx="352">
                  <c:v>43</c:v>
                </c:pt>
                <c:pt idx="353">
                  <c:v>42.5</c:v>
                </c:pt>
                <c:pt idx="354">
                  <c:v>42</c:v>
                </c:pt>
                <c:pt idx="355">
                  <c:v>41.5</c:v>
                </c:pt>
                <c:pt idx="356">
                  <c:v>41</c:v>
                </c:pt>
                <c:pt idx="357">
                  <c:v>41</c:v>
                </c:pt>
                <c:pt idx="358">
                  <c:v>40.5</c:v>
                </c:pt>
                <c:pt idx="359">
                  <c:v>40</c:v>
                </c:pt>
                <c:pt idx="360">
                  <c:v>40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37</c:v>
                </c:pt>
                <c:pt idx="368">
                  <c:v>37</c:v>
                </c:pt>
                <c:pt idx="369">
                  <c:v>36.5</c:v>
                </c:pt>
                <c:pt idx="370">
                  <c:v>36</c:v>
                </c:pt>
                <c:pt idx="371">
                  <c:v>36</c:v>
                </c:pt>
                <c:pt idx="372">
                  <c:v>35.5</c:v>
                </c:pt>
                <c:pt idx="373">
                  <c:v>35</c:v>
                </c:pt>
                <c:pt idx="374">
                  <c:v>35</c:v>
                </c:pt>
                <c:pt idx="375">
                  <c:v>34.5</c:v>
                </c:pt>
                <c:pt idx="376">
                  <c:v>34</c:v>
                </c:pt>
                <c:pt idx="377">
                  <c:v>34</c:v>
                </c:pt>
                <c:pt idx="378">
                  <c:v>33.5</c:v>
                </c:pt>
                <c:pt idx="379">
                  <c:v>33</c:v>
                </c:pt>
                <c:pt idx="380">
                  <c:v>33</c:v>
                </c:pt>
                <c:pt idx="381">
                  <c:v>33</c:v>
                </c:pt>
                <c:pt idx="382">
                  <c:v>32.5</c:v>
                </c:pt>
                <c:pt idx="383">
                  <c:v>32</c:v>
                </c:pt>
                <c:pt idx="384">
                  <c:v>32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30</c:v>
                </c:pt>
                <c:pt idx="390">
                  <c:v>30</c:v>
                </c:pt>
                <c:pt idx="391">
                  <c:v>29.5</c:v>
                </c:pt>
                <c:pt idx="392">
                  <c:v>29.5</c:v>
                </c:pt>
                <c:pt idx="393">
                  <c:v>29</c:v>
                </c:pt>
                <c:pt idx="394">
                  <c:v>29</c:v>
                </c:pt>
                <c:pt idx="395">
                  <c:v>28.5</c:v>
                </c:pt>
                <c:pt idx="396">
                  <c:v>28.5</c:v>
                </c:pt>
                <c:pt idx="397">
                  <c:v>28.5</c:v>
                </c:pt>
                <c:pt idx="398">
                  <c:v>28</c:v>
                </c:pt>
                <c:pt idx="399">
                  <c:v>27.5</c:v>
                </c:pt>
                <c:pt idx="400">
                  <c:v>27.5</c:v>
                </c:pt>
                <c:pt idx="401">
                  <c:v>27.5</c:v>
                </c:pt>
                <c:pt idx="402">
                  <c:v>27.5</c:v>
                </c:pt>
                <c:pt idx="403">
                  <c:v>27</c:v>
                </c:pt>
                <c:pt idx="404">
                  <c:v>26.5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25.5</c:v>
                </c:pt>
                <c:pt idx="410">
                  <c:v>25</c:v>
                </c:pt>
                <c:pt idx="411">
                  <c:v>24.5</c:v>
                </c:pt>
                <c:pt idx="412">
                  <c:v>24.5</c:v>
                </c:pt>
                <c:pt idx="413">
                  <c:v>24.5</c:v>
                </c:pt>
                <c:pt idx="414">
                  <c:v>24.5</c:v>
                </c:pt>
                <c:pt idx="415">
                  <c:v>24</c:v>
                </c:pt>
                <c:pt idx="416">
                  <c:v>23.5</c:v>
                </c:pt>
                <c:pt idx="417">
                  <c:v>23.5</c:v>
                </c:pt>
                <c:pt idx="418">
                  <c:v>23.5</c:v>
                </c:pt>
                <c:pt idx="419">
                  <c:v>23.5</c:v>
                </c:pt>
                <c:pt idx="420">
                  <c:v>23.5</c:v>
                </c:pt>
                <c:pt idx="421">
                  <c:v>22.5</c:v>
                </c:pt>
                <c:pt idx="422">
                  <c:v>22.5</c:v>
                </c:pt>
                <c:pt idx="423">
                  <c:v>22.5</c:v>
                </c:pt>
                <c:pt idx="424">
                  <c:v>22.5</c:v>
                </c:pt>
                <c:pt idx="425">
                  <c:v>22.5</c:v>
                </c:pt>
                <c:pt idx="426">
                  <c:v>22.5</c:v>
                </c:pt>
                <c:pt idx="427">
                  <c:v>21.5</c:v>
                </c:pt>
                <c:pt idx="428">
                  <c:v>21.5</c:v>
                </c:pt>
                <c:pt idx="429">
                  <c:v>21.5</c:v>
                </c:pt>
                <c:pt idx="430">
                  <c:v>21</c:v>
                </c:pt>
                <c:pt idx="431">
                  <c:v>21</c:v>
                </c:pt>
                <c:pt idx="432">
                  <c:v>21</c:v>
                </c:pt>
                <c:pt idx="433">
                  <c:v>20.5</c:v>
                </c:pt>
                <c:pt idx="434">
                  <c:v>20.5</c:v>
                </c:pt>
                <c:pt idx="435">
                  <c:v>20.5</c:v>
                </c:pt>
                <c:pt idx="436">
                  <c:v>19.5</c:v>
                </c:pt>
                <c:pt idx="437">
                  <c:v>19.5</c:v>
                </c:pt>
                <c:pt idx="438">
                  <c:v>19.5</c:v>
                </c:pt>
                <c:pt idx="439">
                  <c:v>19.5</c:v>
                </c:pt>
                <c:pt idx="440">
                  <c:v>19.5</c:v>
                </c:pt>
                <c:pt idx="441">
                  <c:v>19.5</c:v>
                </c:pt>
                <c:pt idx="442">
                  <c:v>19</c:v>
                </c:pt>
                <c:pt idx="443">
                  <c:v>18.5</c:v>
                </c:pt>
                <c:pt idx="444">
                  <c:v>18.5</c:v>
                </c:pt>
                <c:pt idx="445">
                  <c:v>18.5</c:v>
                </c:pt>
                <c:pt idx="446">
                  <c:v>18.5</c:v>
                </c:pt>
                <c:pt idx="447">
                  <c:v>18.5</c:v>
                </c:pt>
                <c:pt idx="448">
                  <c:v>18.5</c:v>
                </c:pt>
                <c:pt idx="449">
                  <c:v>18</c:v>
                </c:pt>
                <c:pt idx="450">
                  <c:v>18</c:v>
                </c:pt>
                <c:pt idx="451">
                  <c:v>17.5</c:v>
                </c:pt>
                <c:pt idx="452">
                  <c:v>17.5</c:v>
                </c:pt>
                <c:pt idx="453">
                  <c:v>17.5</c:v>
                </c:pt>
                <c:pt idx="454">
                  <c:v>17.5</c:v>
                </c:pt>
                <c:pt idx="455">
                  <c:v>17.5</c:v>
                </c:pt>
                <c:pt idx="456">
                  <c:v>17.5</c:v>
                </c:pt>
                <c:pt idx="457">
                  <c:v>17</c:v>
                </c:pt>
                <c:pt idx="458">
                  <c:v>16.5</c:v>
                </c:pt>
                <c:pt idx="459">
                  <c:v>16.5</c:v>
                </c:pt>
                <c:pt idx="460">
                  <c:v>16.5</c:v>
                </c:pt>
                <c:pt idx="461">
                  <c:v>16.5</c:v>
                </c:pt>
                <c:pt idx="462">
                  <c:v>16.5</c:v>
                </c:pt>
                <c:pt idx="463">
                  <c:v>16</c:v>
                </c:pt>
                <c:pt idx="464">
                  <c:v>15.5</c:v>
                </c:pt>
                <c:pt idx="465">
                  <c:v>15.5</c:v>
                </c:pt>
                <c:pt idx="466">
                  <c:v>15.5</c:v>
                </c:pt>
                <c:pt idx="467">
                  <c:v>15.5</c:v>
                </c:pt>
                <c:pt idx="468">
                  <c:v>15.5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14.5</c:v>
                </c:pt>
                <c:pt idx="473">
                  <c:v>14.5</c:v>
                </c:pt>
                <c:pt idx="474">
                  <c:v>14.5</c:v>
                </c:pt>
                <c:pt idx="475">
                  <c:v>14.5</c:v>
                </c:pt>
                <c:pt idx="476">
                  <c:v>14.5</c:v>
                </c:pt>
                <c:pt idx="477">
                  <c:v>14.5</c:v>
                </c:pt>
                <c:pt idx="478">
                  <c:v>14</c:v>
                </c:pt>
                <c:pt idx="479">
                  <c:v>14</c:v>
                </c:pt>
                <c:pt idx="480">
                  <c:v>14</c:v>
                </c:pt>
                <c:pt idx="481">
                  <c:v>13.5</c:v>
                </c:pt>
                <c:pt idx="482">
                  <c:v>13.5</c:v>
                </c:pt>
                <c:pt idx="483">
                  <c:v>13.5</c:v>
                </c:pt>
                <c:pt idx="484">
                  <c:v>13.5</c:v>
                </c:pt>
                <c:pt idx="485">
                  <c:v>13.5</c:v>
                </c:pt>
                <c:pt idx="486">
                  <c:v>13.5</c:v>
                </c:pt>
                <c:pt idx="487">
                  <c:v>13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12.5</c:v>
                </c:pt>
                <c:pt idx="494">
                  <c:v>12.5</c:v>
                </c:pt>
                <c:pt idx="495">
                  <c:v>12.5</c:v>
                </c:pt>
                <c:pt idx="496">
                  <c:v>12.5</c:v>
                </c:pt>
                <c:pt idx="497">
                  <c:v>12.5</c:v>
                </c:pt>
                <c:pt idx="498">
                  <c:v>12.5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11.5</c:v>
                </c:pt>
                <c:pt idx="504">
                  <c:v>11.5</c:v>
                </c:pt>
                <c:pt idx="505">
                  <c:v>11.5</c:v>
                </c:pt>
                <c:pt idx="506">
                  <c:v>11.5</c:v>
                </c:pt>
                <c:pt idx="507">
                  <c:v>11.5</c:v>
                </c:pt>
                <c:pt idx="508">
                  <c:v>11.5</c:v>
                </c:pt>
                <c:pt idx="509">
                  <c:v>11</c:v>
                </c:pt>
                <c:pt idx="510">
                  <c:v>11</c:v>
                </c:pt>
                <c:pt idx="511">
                  <c:v>10.5</c:v>
                </c:pt>
                <c:pt idx="512">
                  <c:v>10.5</c:v>
                </c:pt>
                <c:pt idx="513">
                  <c:v>10.5</c:v>
                </c:pt>
                <c:pt idx="514">
                  <c:v>10.5</c:v>
                </c:pt>
                <c:pt idx="515">
                  <c:v>10.5</c:v>
                </c:pt>
                <c:pt idx="516">
                  <c:v>10.5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9.5</c:v>
                </c:pt>
                <c:pt idx="526">
                  <c:v>9.5</c:v>
                </c:pt>
                <c:pt idx="527">
                  <c:v>9.5</c:v>
                </c:pt>
                <c:pt idx="528">
                  <c:v>9.5</c:v>
                </c:pt>
                <c:pt idx="529">
                  <c:v>9.5</c:v>
                </c:pt>
                <c:pt idx="530">
                  <c:v>9.5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</c:v>
                </c:pt>
                <c:pt idx="543">
                  <c:v>8.5</c:v>
                </c:pt>
                <c:pt idx="544">
                  <c:v>8.5</c:v>
                </c:pt>
                <c:pt idx="545">
                  <c:v>8.5</c:v>
                </c:pt>
                <c:pt idx="546">
                  <c:v>8.5</c:v>
                </c:pt>
                <c:pt idx="547">
                  <c:v>8.5</c:v>
                </c:pt>
                <c:pt idx="548">
                  <c:v>8.5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7.5</c:v>
                </c:pt>
                <c:pt idx="563">
                  <c:v>7.5</c:v>
                </c:pt>
                <c:pt idx="564">
                  <c:v>7.5</c:v>
                </c:pt>
                <c:pt idx="565">
                  <c:v>7.5</c:v>
                </c:pt>
                <c:pt idx="566">
                  <c:v>7.5</c:v>
                </c:pt>
                <c:pt idx="567">
                  <c:v>7.5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7</c:v>
                </c:pt>
                <c:pt idx="581">
                  <c:v>7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6.5</c:v>
                </c:pt>
                <c:pt idx="586">
                  <c:v>6.5</c:v>
                </c:pt>
                <c:pt idx="587">
                  <c:v>6.5</c:v>
                </c:pt>
                <c:pt idx="588">
                  <c:v>6.5</c:v>
                </c:pt>
                <c:pt idx="589">
                  <c:v>6.5</c:v>
                </c:pt>
                <c:pt idx="590">
                  <c:v>6.5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5.5</c:v>
                </c:pt>
                <c:pt idx="600">
                  <c:v>5.5</c:v>
                </c:pt>
                <c:pt idx="601">
                  <c:v>5.5</c:v>
                </c:pt>
                <c:pt idx="602">
                  <c:v>5.5</c:v>
                </c:pt>
                <c:pt idx="603">
                  <c:v>5.5</c:v>
                </c:pt>
                <c:pt idx="604">
                  <c:v>5.5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4.5</c:v>
                </c:pt>
                <c:pt idx="633">
                  <c:v>4.5</c:v>
                </c:pt>
                <c:pt idx="634">
                  <c:v>4.5</c:v>
                </c:pt>
                <c:pt idx="635">
                  <c:v>4.5</c:v>
                </c:pt>
                <c:pt idx="636">
                  <c:v>4.5</c:v>
                </c:pt>
                <c:pt idx="637">
                  <c:v>4.5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3.5</c:v>
                </c:pt>
                <c:pt idx="679">
                  <c:v>3.5</c:v>
                </c:pt>
                <c:pt idx="680">
                  <c:v>3.5</c:v>
                </c:pt>
                <c:pt idx="681">
                  <c:v>3.5</c:v>
                </c:pt>
                <c:pt idx="682">
                  <c:v>3.5</c:v>
                </c:pt>
                <c:pt idx="683">
                  <c:v>3.5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102.5</c:v>
                </c:pt>
                <c:pt idx="719">
                  <c:v>100.5</c:v>
                </c:pt>
                <c:pt idx="720">
                  <c:v>98.5</c:v>
                </c:pt>
                <c:pt idx="721">
                  <c:v>96.5</c:v>
                </c:pt>
                <c:pt idx="722">
                  <c:v>94</c:v>
                </c:pt>
                <c:pt idx="723">
                  <c:v>92.5</c:v>
                </c:pt>
                <c:pt idx="724">
                  <c:v>90</c:v>
                </c:pt>
                <c:pt idx="725">
                  <c:v>88.5</c:v>
                </c:pt>
                <c:pt idx="726">
                  <c:v>86.5</c:v>
                </c:pt>
                <c:pt idx="727">
                  <c:v>85</c:v>
                </c:pt>
                <c:pt idx="728">
                  <c:v>83</c:v>
                </c:pt>
                <c:pt idx="729">
                  <c:v>82</c:v>
                </c:pt>
                <c:pt idx="730">
                  <c:v>80</c:v>
                </c:pt>
                <c:pt idx="731">
                  <c:v>78.5</c:v>
                </c:pt>
                <c:pt idx="732">
                  <c:v>77</c:v>
                </c:pt>
                <c:pt idx="733">
                  <c:v>76</c:v>
                </c:pt>
                <c:pt idx="734">
                  <c:v>74</c:v>
                </c:pt>
                <c:pt idx="735">
                  <c:v>73</c:v>
                </c:pt>
                <c:pt idx="736">
                  <c:v>71.5</c:v>
                </c:pt>
                <c:pt idx="737">
                  <c:v>70.5</c:v>
                </c:pt>
                <c:pt idx="738">
                  <c:v>69.5</c:v>
                </c:pt>
                <c:pt idx="739">
                  <c:v>68.5</c:v>
                </c:pt>
                <c:pt idx="740">
                  <c:v>67</c:v>
                </c:pt>
                <c:pt idx="741">
                  <c:v>66</c:v>
                </c:pt>
                <c:pt idx="742">
                  <c:v>65</c:v>
                </c:pt>
                <c:pt idx="743">
                  <c:v>64</c:v>
                </c:pt>
                <c:pt idx="744">
                  <c:v>63</c:v>
                </c:pt>
                <c:pt idx="745">
                  <c:v>62</c:v>
                </c:pt>
                <c:pt idx="746">
                  <c:v>61</c:v>
                </c:pt>
                <c:pt idx="747">
                  <c:v>60.5</c:v>
                </c:pt>
                <c:pt idx="748">
                  <c:v>59.5</c:v>
                </c:pt>
                <c:pt idx="749">
                  <c:v>58.5</c:v>
                </c:pt>
                <c:pt idx="750">
                  <c:v>57.5</c:v>
                </c:pt>
                <c:pt idx="751">
                  <c:v>56.5</c:v>
                </c:pt>
                <c:pt idx="752">
                  <c:v>56</c:v>
                </c:pt>
                <c:pt idx="753">
                  <c:v>55.5</c:v>
                </c:pt>
                <c:pt idx="754">
                  <c:v>54.5</c:v>
                </c:pt>
                <c:pt idx="755">
                  <c:v>54</c:v>
                </c:pt>
                <c:pt idx="756">
                  <c:v>52.5</c:v>
                </c:pt>
                <c:pt idx="757">
                  <c:v>52</c:v>
                </c:pt>
                <c:pt idx="758">
                  <c:v>51.5</c:v>
                </c:pt>
                <c:pt idx="759">
                  <c:v>51</c:v>
                </c:pt>
                <c:pt idx="760">
                  <c:v>50</c:v>
                </c:pt>
                <c:pt idx="761">
                  <c:v>49.5</c:v>
                </c:pt>
                <c:pt idx="762">
                  <c:v>48.5</c:v>
                </c:pt>
                <c:pt idx="763">
                  <c:v>48</c:v>
                </c:pt>
                <c:pt idx="764">
                  <c:v>47</c:v>
                </c:pt>
                <c:pt idx="765">
                  <c:v>47</c:v>
                </c:pt>
                <c:pt idx="766">
                  <c:v>46</c:v>
                </c:pt>
                <c:pt idx="767">
                  <c:v>45.5</c:v>
                </c:pt>
                <c:pt idx="768">
                  <c:v>45</c:v>
                </c:pt>
                <c:pt idx="769">
                  <c:v>44.5</c:v>
                </c:pt>
                <c:pt idx="770">
                  <c:v>43.5</c:v>
                </c:pt>
                <c:pt idx="771">
                  <c:v>43.5</c:v>
                </c:pt>
                <c:pt idx="772">
                  <c:v>42.5</c:v>
                </c:pt>
                <c:pt idx="773">
                  <c:v>42</c:v>
                </c:pt>
                <c:pt idx="774">
                  <c:v>41.5</c:v>
                </c:pt>
                <c:pt idx="775">
                  <c:v>41</c:v>
                </c:pt>
                <c:pt idx="776">
                  <c:v>40.5</c:v>
                </c:pt>
                <c:pt idx="777">
                  <c:v>40</c:v>
                </c:pt>
                <c:pt idx="778">
                  <c:v>39.5</c:v>
                </c:pt>
                <c:pt idx="779">
                  <c:v>39</c:v>
                </c:pt>
                <c:pt idx="780">
                  <c:v>38.5</c:v>
                </c:pt>
                <c:pt idx="781">
                  <c:v>38</c:v>
                </c:pt>
                <c:pt idx="782">
                  <c:v>37.5</c:v>
                </c:pt>
                <c:pt idx="783">
                  <c:v>36.5</c:v>
                </c:pt>
                <c:pt idx="784">
                  <c:v>36.5</c:v>
                </c:pt>
                <c:pt idx="785">
                  <c:v>36.5</c:v>
                </c:pt>
                <c:pt idx="786">
                  <c:v>35.5</c:v>
                </c:pt>
                <c:pt idx="787">
                  <c:v>35.5</c:v>
                </c:pt>
                <c:pt idx="788">
                  <c:v>34.5</c:v>
                </c:pt>
                <c:pt idx="789">
                  <c:v>34</c:v>
                </c:pt>
                <c:pt idx="790">
                  <c:v>34</c:v>
                </c:pt>
                <c:pt idx="791">
                  <c:v>33.5</c:v>
                </c:pt>
                <c:pt idx="792">
                  <c:v>33</c:v>
                </c:pt>
                <c:pt idx="793">
                  <c:v>33</c:v>
                </c:pt>
                <c:pt idx="794">
                  <c:v>32</c:v>
                </c:pt>
                <c:pt idx="795">
                  <c:v>31.5</c:v>
                </c:pt>
                <c:pt idx="796">
                  <c:v>31.5</c:v>
                </c:pt>
                <c:pt idx="797">
                  <c:v>31</c:v>
                </c:pt>
                <c:pt idx="798">
                  <c:v>30.5</c:v>
                </c:pt>
                <c:pt idx="799">
                  <c:v>30.5</c:v>
                </c:pt>
                <c:pt idx="800">
                  <c:v>30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28.5</c:v>
                </c:pt>
                <c:pt idx="805">
                  <c:v>28</c:v>
                </c:pt>
                <c:pt idx="806">
                  <c:v>28</c:v>
                </c:pt>
                <c:pt idx="807">
                  <c:v>27.5</c:v>
                </c:pt>
                <c:pt idx="808">
                  <c:v>27</c:v>
                </c:pt>
                <c:pt idx="809">
                  <c:v>27</c:v>
                </c:pt>
                <c:pt idx="810">
                  <c:v>26.5</c:v>
                </c:pt>
                <c:pt idx="811">
                  <c:v>26</c:v>
                </c:pt>
                <c:pt idx="812">
                  <c:v>26</c:v>
                </c:pt>
                <c:pt idx="813">
                  <c:v>25.5</c:v>
                </c:pt>
                <c:pt idx="814">
                  <c:v>25</c:v>
                </c:pt>
                <c:pt idx="815">
                  <c:v>25</c:v>
                </c:pt>
                <c:pt idx="816">
                  <c:v>24.5</c:v>
                </c:pt>
                <c:pt idx="817">
                  <c:v>24</c:v>
                </c:pt>
                <c:pt idx="818">
                  <c:v>24</c:v>
                </c:pt>
                <c:pt idx="819">
                  <c:v>23.5</c:v>
                </c:pt>
                <c:pt idx="820">
                  <c:v>23.5</c:v>
                </c:pt>
                <c:pt idx="821">
                  <c:v>23</c:v>
                </c:pt>
                <c:pt idx="822">
                  <c:v>23</c:v>
                </c:pt>
                <c:pt idx="823">
                  <c:v>22.5</c:v>
                </c:pt>
                <c:pt idx="824">
                  <c:v>22.5</c:v>
                </c:pt>
                <c:pt idx="825">
                  <c:v>22</c:v>
                </c:pt>
                <c:pt idx="826">
                  <c:v>22</c:v>
                </c:pt>
                <c:pt idx="827">
                  <c:v>21.5</c:v>
                </c:pt>
                <c:pt idx="828">
                  <c:v>21</c:v>
                </c:pt>
                <c:pt idx="829">
                  <c:v>21</c:v>
                </c:pt>
                <c:pt idx="830">
                  <c:v>21</c:v>
                </c:pt>
                <c:pt idx="831">
                  <c:v>20.5</c:v>
                </c:pt>
                <c:pt idx="832">
                  <c:v>20</c:v>
                </c:pt>
                <c:pt idx="833">
                  <c:v>20</c:v>
                </c:pt>
                <c:pt idx="834">
                  <c:v>19.5</c:v>
                </c:pt>
                <c:pt idx="835">
                  <c:v>19.5</c:v>
                </c:pt>
                <c:pt idx="836">
                  <c:v>19.5</c:v>
                </c:pt>
                <c:pt idx="837">
                  <c:v>19</c:v>
                </c:pt>
                <c:pt idx="838">
                  <c:v>18.5</c:v>
                </c:pt>
                <c:pt idx="839">
                  <c:v>18.5</c:v>
                </c:pt>
                <c:pt idx="840">
                  <c:v>18.5</c:v>
                </c:pt>
                <c:pt idx="841">
                  <c:v>18.5</c:v>
                </c:pt>
                <c:pt idx="842">
                  <c:v>18</c:v>
                </c:pt>
                <c:pt idx="843">
                  <c:v>17.5</c:v>
                </c:pt>
                <c:pt idx="844">
                  <c:v>17.5</c:v>
                </c:pt>
                <c:pt idx="845">
                  <c:v>17.5</c:v>
                </c:pt>
                <c:pt idx="846">
                  <c:v>17.5</c:v>
                </c:pt>
                <c:pt idx="847">
                  <c:v>17.5</c:v>
                </c:pt>
                <c:pt idx="848">
                  <c:v>16.5</c:v>
                </c:pt>
                <c:pt idx="849">
                  <c:v>16.5</c:v>
                </c:pt>
                <c:pt idx="850">
                  <c:v>16.5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15.5</c:v>
                </c:pt>
                <c:pt idx="855">
                  <c:v>15.5</c:v>
                </c:pt>
                <c:pt idx="856">
                  <c:v>15.5</c:v>
                </c:pt>
                <c:pt idx="857">
                  <c:v>14.5</c:v>
                </c:pt>
                <c:pt idx="858">
                  <c:v>14.5</c:v>
                </c:pt>
                <c:pt idx="859">
                  <c:v>14.5</c:v>
                </c:pt>
                <c:pt idx="860">
                  <c:v>14.5</c:v>
                </c:pt>
                <c:pt idx="861">
                  <c:v>14.5</c:v>
                </c:pt>
                <c:pt idx="862">
                  <c:v>14.5</c:v>
                </c:pt>
                <c:pt idx="863">
                  <c:v>13.5</c:v>
                </c:pt>
                <c:pt idx="864">
                  <c:v>13.5</c:v>
                </c:pt>
                <c:pt idx="865">
                  <c:v>13.5</c:v>
                </c:pt>
                <c:pt idx="866">
                  <c:v>13.5</c:v>
                </c:pt>
                <c:pt idx="867">
                  <c:v>13.5</c:v>
                </c:pt>
                <c:pt idx="868">
                  <c:v>13.5</c:v>
                </c:pt>
                <c:pt idx="869">
                  <c:v>13</c:v>
                </c:pt>
                <c:pt idx="870">
                  <c:v>12.5</c:v>
                </c:pt>
                <c:pt idx="871">
                  <c:v>12.5</c:v>
                </c:pt>
                <c:pt idx="872">
                  <c:v>12.5</c:v>
                </c:pt>
                <c:pt idx="873">
                  <c:v>12.5</c:v>
                </c:pt>
                <c:pt idx="874">
                  <c:v>12.5</c:v>
                </c:pt>
                <c:pt idx="875">
                  <c:v>12.5</c:v>
                </c:pt>
                <c:pt idx="876">
                  <c:v>12</c:v>
                </c:pt>
                <c:pt idx="877">
                  <c:v>11.5</c:v>
                </c:pt>
                <c:pt idx="878">
                  <c:v>11.5</c:v>
                </c:pt>
                <c:pt idx="879">
                  <c:v>11.5</c:v>
                </c:pt>
                <c:pt idx="880">
                  <c:v>11.5</c:v>
                </c:pt>
                <c:pt idx="881">
                  <c:v>11.5</c:v>
                </c:pt>
                <c:pt idx="882">
                  <c:v>11</c:v>
                </c:pt>
                <c:pt idx="883">
                  <c:v>10.5</c:v>
                </c:pt>
                <c:pt idx="884">
                  <c:v>10.5</c:v>
                </c:pt>
                <c:pt idx="885">
                  <c:v>10.5</c:v>
                </c:pt>
                <c:pt idx="886">
                  <c:v>10.5</c:v>
                </c:pt>
                <c:pt idx="887">
                  <c:v>10.5</c:v>
                </c:pt>
                <c:pt idx="888">
                  <c:v>10</c:v>
                </c:pt>
                <c:pt idx="889">
                  <c:v>10</c:v>
                </c:pt>
                <c:pt idx="890">
                  <c:v>10</c:v>
                </c:pt>
                <c:pt idx="891">
                  <c:v>9.5</c:v>
                </c:pt>
                <c:pt idx="892">
                  <c:v>9.5</c:v>
                </c:pt>
                <c:pt idx="893">
                  <c:v>9.5</c:v>
                </c:pt>
                <c:pt idx="894">
                  <c:v>9.5</c:v>
                </c:pt>
                <c:pt idx="895">
                  <c:v>9.5</c:v>
                </c:pt>
                <c:pt idx="896">
                  <c:v>9.5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8.5</c:v>
                </c:pt>
                <c:pt idx="901">
                  <c:v>8.5</c:v>
                </c:pt>
                <c:pt idx="902">
                  <c:v>8.5</c:v>
                </c:pt>
                <c:pt idx="903">
                  <c:v>8.5</c:v>
                </c:pt>
                <c:pt idx="904">
                  <c:v>8.5</c:v>
                </c:pt>
                <c:pt idx="905">
                  <c:v>8.5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7.5</c:v>
                </c:pt>
                <c:pt idx="911">
                  <c:v>7.5</c:v>
                </c:pt>
                <c:pt idx="912">
                  <c:v>7.5</c:v>
                </c:pt>
                <c:pt idx="913">
                  <c:v>7.5</c:v>
                </c:pt>
                <c:pt idx="914">
                  <c:v>7.5</c:v>
                </c:pt>
                <c:pt idx="915">
                  <c:v>7.5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6.5</c:v>
                </c:pt>
                <c:pt idx="922">
                  <c:v>6.5</c:v>
                </c:pt>
                <c:pt idx="923">
                  <c:v>6.5</c:v>
                </c:pt>
                <c:pt idx="924">
                  <c:v>6.5</c:v>
                </c:pt>
                <c:pt idx="925">
                  <c:v>6.5</c:v>
                </c:pt>
                <c:pt idx="926">
                  <c:v>6.5</c:v>
                </c:pt>
                <c:pt idx="927">
                  <c:v>5.5</c:v>
                </c:pt>
                <c:pt idx="928">
                  <c:v>5.5</c:v>
                </c:pt>
                <c:pt idx="929">
                  <c:v>5.5</c:v>
                </c:pt>
                <c:pt idx="930">
                  <c:v>5.5</c:v>
                </c:pt>
                <c:pt idx="931">
                  <c:v>5.5</c:v>
                </c:pt>
                <c:pt idx="932">
                  <c:v>5.5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4.5</c:v>
                </c:pt>
                <c:pt idx="942">
                  <c:v>4.5</c:v>
                </c:pt>
                <c:pt idx="943">
                  <c:v>4.5</c:v>
                </c:pt>
                <c:pt idx="944">
                  <c:v>4.5</c:v>
                </c:pt>
                <c:pt idx="945">
                  <c:v>4.5</c:v>
                </c:pt>
                <c:pt idx="946">
                  <c:v>4.5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0</c:v>
                </c:pt>
              </c:numCache>
            </c:numRef>
          </c:xVal>
          <c:yVal>
            <c:numRef>
              <c:f>[1]Nov_Empty_Tube_Cooling_Rates!$D$2:$D$958</c:f>
              <c:numCache>
                <c:formatCode>General</c:formatCode>
                <c:ptCount val="957"/>
                <c:pt idx="0">
                  <c:v>-0.13424620754463601</c:v>
                </c:pt>
                <c:pt idx="1">
                  <c:v>-0.13424620754463601</c:v>
                </c:pt>
                <c:pt idx="2">
                  <c:v>-0.13425702164223199</c:v>
                </c:pt>
                <c:pt idx="3">
                  <c:v>-0.13425702164223199</c:v>
                </c:pt>
                <c:pt idx="4">
                  <c:v>-0.13425702164223199</c:v>
                </c:pt>
                <c:pt idx="5">
                  <c:v>-0.134264232008592</c:v>
                </c:pt>
                <c:pt idx="6">
                  <c:v>-0.10741138560687399</c:v>
                </c:pt>
                <c:pt idx="7">
                  <c:v>-0.107414269985767</c:v>
                </c:pt>
                <c:pt idx="8">
                  <c:v>-0.134260626728606</c:v>
                </c:pt>
                <c:pt idx="9">
                  <c:v>-0.10740561731378501</c:v>
                </c:pt>
                <c:pt idx="10">
                  <c:v>-0.10740561731378399</c:v>
                </c:pt>
                <c:pt idx="11">
                  <c:v>-0.107414269985767</c:v>
                </c:pt>
                <c:pt idx="12">
                  <c:v>-0.10740273339956501</c:v>
                </c:pt>
                <c:pt idx="13">
                  <c:v>-0.107399849640211</c:v>
                </c:pt>
                <c:pt idx="14">
                  <c:v>-0.10740273339956299</c:v>
                </c:pt>
                <c:pt idx="15">
                  <c:v>-0.10740850138288401</c:v>
                </c:pt>
                <c:pt idx="16">
                  <c:v>-0.10740561731378601</c:v>
                </c:pt>
                <c:pt idx="17">
                  <c:v>-0.107399849640211</c:v>
                </c:pt>
                <c:pt idx="18">
                  <c:v>-0.10739984964021</c:v>
                </c:pt>
                <c:pt idx="19">
                  <c:v>-8.0552050049672905E-2</c:v>
                </c:pt>
                <c:pt idx="20">
                  <c:v>-8.0552050049673904E-2</c:v>
                </c:pt>
                <c:pt idx="21">
                  <c:v>-8.0552050049673904E-2</c:v>
                </c:pt>
                <c:pt idx="22">
                  <c:v>-8.05542129853387E-2</c:v>
                </c:pt>
                <c:pt idx="23">
                  <c:v>-0.10741138560687299</c:v>
                </c:pt>
                <c:pt idx="24">
                  <c:v>-8.0560702489325606E-2</c:v>
                </c:pt>
                <c:pt idx="25">
                  <c:v>-0.107414269985767</c:v>
                </c:pt>
                <c:pt idx="26">
                  <c:v>-8.0560702489325606E-2</c:v>
                </c:pt>
                <c:pt idx="27">
                  <c:v>-8.05563760371623E-2</c:v>
                </c:pt>
                <c:pt idx="28">
                  <c:v>-8.0560702489325606E-2</c:v>
                </c:pt>
                <c:pt idx="29">
                  <c:v>-5.3699924820105001E-2</c:v>
                </c:pt>
                <c:pt idx="30">
                  <c:v>-8.0554212985339699E-2</c:v>
                </c:pt>
                <c:pt idx="31">
                  <c:v>-5.3705692803437399E-2</c:v>
                </c:pt>
                <c:pt idx="32">
                  <c:v>-8.0545561939537894E-2</c:v>
                </c:pt>
                <c:pt idx="33">
                  <c:v>-8.0547724526782299E-2</c:v>
                </c:pt>
                <c:pt idx="34">
                  <c:v>-8.0547724526782299E-2</c:v>
                </c:pt>
                <c:pt idx="35">
                  <c:v>-8.0549887230158504E-2</c:v>
                </c:pt>
                <c:pt idx="36">
                  <c:v>-8.0545561939536894E-2</c:v>
                </c:pt>
                <c:pt idx="37">
                  <c:v>-8.0545561939536894E-2</c:v>
                </c:pt>
                <c:pt idx="38">
                  <c:v>-5.3699924820105001E-2</c:v>
                </c:pt>
                <c:pt idx="39">
                  <c:v>-8.0556376037163299E-2</c:v>
                </c:pt>
                <c:pt idx="40">
                  <c:v>-5.37028086568931E-2</c:v>
                </c:pt>
                <c:pt idx="41">
                  <c:v>-5.3705692803436803E-2</c:v>
                </c:pt>
                <c:pt idx="42">
                  <c:v>-5.3711462025996498E-2</c:v>
                </c:pt>
                <c:pt idx="43">
                  <c:v>-5.3711462025996498E-2</c:v>
                </c:pt>
                <c:pt idx="44">
                  <c:v>-5.3715789756398603E-2</c:v>
                </c:pt>
                <c:pt idx="45">
                  <c:v>-5.3711462025996498E-2</c:v>
                </c:pt>
                <c:pt idx="46">
                  <c:v>-5.3710019604157E-2</c:v>
                </c:pt>
                <c:pt idx="47">
                  <c:v>-8.0064051240993195E-2</c:v>
                </c:pt>
                <c:pt idx="48">
                  <c:v>-5.3373185311699101E-2</c:v>
                </c:pt>
                <c:pt idx="49">
                  <c:v>-5.3370336766824698E-2</c:v>
                </c:pt>
                <c:pt idx="50">
                  <c:v>-8.0055505150238099E-2</c:v>
                </c:pt>
                <c:pt idx="51">
                  <c:v>-5.3367488525989798E-2</c:v>
                </c:pt>
                <c:pt idx="52">
                  <c:v>-5.3367488525989798E-2</c:v>
                </c:pt>
                <c:pt idx="53">
                  <c:v>-2.6852125345721099E-2</c:v>
                </c:pt>
                <c:pt idx="54">
                  <c:v>-5.3705692803437399E-2</c:v>
                </c:pt>
                <c:pt idx="55">
                  <c:v>-5.3708577259788601E-2</c:v>
                </c:pt>
                <c:pt idx="56">
                  <c:v>-2.6853567496441799E-2</c:v>
                </c:pt>
                <c:pt idx="57">
                  <c:v>-2.68557310129982E-2</c:v>
                </c:pt>
                <c:pt idx="58">
                  <c:v>-5.3715789756398603E-2</c:v>
                </c:pt>
                <c:pt idx="59">
                  <c:v>-5.3712904525312001E-2</c:v>
                </c:pt>
                <c:pt idx="60">
                  <c:v>-2.6856452262656001E-2</c:v>
                </c:pt>
                <c:pt idx="61">
                  <c:v>-2.68542886298943E-2</c:v>
                </c:pt>
                <c:pt idx="62">
                  <c:v>-5.3705692803436803E-2</c:v>
                </c:pt>
                <c:pt idx="63">
                  <c:v>-5.3705692803436803E-2</c:v>
                </c:pt>
                <c:pt idx="64">
                  <c:v>-2.6848520646512601E-2</c:v>
                </c:pt>
                <c:pt idx="65">
                  <c:v>-0.134264232008592</c:v>
                </c:pt>
                <c:pt idx="66">
                  <c:v>-0.10740561731378501</c:v>
                </c:pt>
                <c:pt idx="67">
                  <c:v>-0.13425702164223099</c:v>
                </c:pt>
                <c:pt idx="68">
                  <c:v>-0.10740273339956501</c:v>
                </c:pt>
                <c:pt idx="69">
                  <c:v>-0.10739984964021</c:v>
                </c:pt>
                <c:pt idx="70">
                  <c:v>-0.131790505811961</c:v>
                </c:pt>
                <c:pt idx="71">
                  <c:v>-0.105432404649569</c:v>
                </c:pt>
                <c:pt idx="72">
                  <c:v>-0.13178703215603599</c:v>
                </c:pt>
                <c:pt idx="73">
                  <c:v>-0.10378288620206499</c:v>
                </c:pt>
                <c:pt idx="74">
                  <c:v>-0.129738706245621</c:v>
                </c:pt>
                <c:pt idx="75">
                  <c:v>-0.103788271925273</c:v>
                </c:pt>
                <c:pt idx="76">
                  <c:v>-0.10569986523267</c:v>
                </c:pt>
                <c:pt idx="77">
                  <c:v>-0.105691486550758</c:v>
                </c:pt>
                <c:pt idx="78">
                  <c:v>-7.9264426125554899E-2</c:v>
                </c:pt>
                <c:pt idx="79">
                  <c:v>-0.10739984964021</c:v>
                </c:pt>
                <c:pt idx="80">
                  <c:v>-0.107391199291217</c:v>
                </c:pt>
                <c:pt idx="81">
                  <c:v>-0.107396966035708</c:v>
                </c:pt>
                <c:pt idx="82">
                  <c:v>-0.107394082586049</c:v>
                </c:pt>
                <c:pt idx="83">
                  <c:v>-8.0552050049673904E-2</c:v>
                </c:pt>
                <c:pt idx="84">
                  <c:v>-0.10741138560687299</c:v>
                </c:pt>
                <c:pt idx="85">
                  <c:v>-8.0556376037163299E-2</c:v>
                </c:pt>
                <c:pt idx="86">
                  <c:v>-8.0558539205156196E-2</c:v>
                </c:pt>
                <c:pt idx="87">
                  <c:v>-0.10741138560687399</c:v>
                </c:pt>
                <c:pt idx="88">
                  <c:v>-0.10741715451957699</c:v>
                </c:pt>
                <c:pt idx="89">
                  <c:v>-0.10740850138288401</c:v>
                </c:pt>
                <c:pt idx="90">
                  <c:v>-8.0552050049673904E-2</c:v>
                </c:pt>
                <c:pt idx="91">
                  <c:v>-0.10741138560687399</c:v>
                </c:pt>
                <c:pt idx="92">
                  <c:v>-8.05650294062355E-2</c:v>
                </c:pt>
                <c:pt idx="93">
                  <c:v>-8.0560702489325606E-2</c:v>
                </c:pt>
                <c:pt idx="94">
                  <c:v>-5.37013666997826E-2</c:v>
                </c:pt>
                <c:pt idx="95">
                  <c:v>-8.0549887230157505E-2</c:v>
                </c:pt>
                <c:pt idx="96">
                  <c:v>-8.0549887230157505E-2</c:v>
                </c:pt>
                <c:pt idx="97">
                  <c:v>-8.0543399468413907E-2</c:v>
                </c:pt>
                <c:pt idx="98">
                  <c:v>-8.0545561939536894E-2</c:v>
                </c:pt>
                <c:pt idx="99">
                  <c:v>-7.93419904260661E-2</c:v>
                </c:pt>
                <c:pt idx="100">
                  <c:v>-7.8460089967569993E-2</c:v>
                </c:pt>
                <c:pt idx="101">
                  <c:v>-7.8267675450039195E-2</c:v>
                </c:pt>
                <c:pt idx="102">
                  <c:v>-7.8263591777105498E-2</c:v>
                </c:pt>
                <c:pt idx="103">
                  <c:v>-7.8265633560303402E-2</c:v>
                </c:pt>
                <c:pt idx="104">
                  <c:v>-7.8263591777105498E-2</c:v>
                </c:pt>
                <c:pt idx="105">
                  <c:v>-5.1318895617366599E-2</c:v>
                </c:pt>
                <c:pt idx="106">
                  <c:v>-7.7835145162545402E-2</c:v>
                </c:pt>
                <c:pt idx="107">
                  <c:v>-5.2022369618935901E-2</c:v>
                </c:pt>
                <c:pt idx="108">
                  <c:v>-7.8041674254051993E-2</c:v>
                </c:pt>
                <c:pt idx="109">
                  <c:v>-5.20264294261484E-2</c:v>
                </c:pt>
                <c:pt idx="110">
                  <c:v>-7.8043704474505607E-2</c:v>
                </c:pt>
                <c:pt idx="111">
                  <c:v>-8.0569356787968005E-2</c:v>
                </c:pt>
                <c:pt idx="112">
                  <c:v>-8.05650294062355E-2</c:v>
                </c:pt>
                <c:pt idx="113">
                  <c:v>-8.05650294062355E-2</c:v>
                </c:pt>
                <c:pt idx="114">
                  <c:v>-5.3704250691441503E-2</c:v>
                </c:pt>
                <c:pt idx="115">
                  <c:v>-8.05542129853387E-2</c:v>
                </c:pt>
                <c:pt idx="116">
                  <c:v>-5.3695599645609202E-2</c:v>
                </c:pt>
                <c:pt idx="117">
                  <c:v>-5.3697041293024599E-2</c:v>
                </c:pt>
                <c:pt idx="118">
                  <c:v>-5.3697041293024599E-2</c:v>
                </c:pt>
                <c:pt idx="119">
                  <c:v>-5.3698483017854903E-2</c:v>
                </c:pt>
                <c:pt idx="120">
                  <c:v>-5.3697041293025202E-2</c:v>
                </c:pt>
                <c:pt idx="121">
                  <c:v>-5.3697041293024599E-2</c:v>
                </c:pt>
                <c:pt idx="122">
                  <c:v>-5.3698483017854903E-2</c:v>
                </c:pt>
                <c:pt idx="123">
                  <c:v>-8.0547724526782299E-2</c:v>
                </c:pt>
                <c:pt idx="124">
                  <c:v>-5.3699924820105702E-2</c:v>
                </c:pt>
                <c:pt idx="125">
                  <c:v>-5.3694158075601302E-2</c:v>
                </c:pt>
                <c:pt idx="126">
                  <c:v>-8.05477245267813E-2</c:v>
                </c:pt>
                <c:pt idx="127">
                  <c:v>-5.3699924820105702E-2</c:v>
                </c:pt>
                <c:pt idx="128">
                  <c:v>-5.3699924820105001E-2</c:v>
                </c:pt>
                <c:pt idx="129">
                  <c:v>-2.68499624100525E-2</c:v>
                </c:pt>
                <c:pt idx="130">
                  <c:v>-5.3698483017854202E-2</c:v>
                </c:pt>
                <c:pt idx="131">
                  <c:v>-5.37013666997826E-2</c:v>
                </c:pt>
                <c:pt idx="132">
                  <c:v>-2.68528464017187E-2</c:v>
                </c:pt>
                <c:pt idx="133">
                  <c:v>-5.3705692803436803E-2</c:v>
                </c:pt>
                <c:pt idx="134">
                  <c:v>-5.3702808656892399E-2</c:v>
                </c:pt>
                <c:pt idx="135">
                  <c:v>-5.37013666997826E-2</c:v>
                </c:pt>
                <c:pt idx="136">
                  <c:v>-2.68506833498913E-2</c:v>
                </c:pt>
                <c:pt idx="137">
                  <c:v>-5.3704250691442197E-2</c:v>
                </c:pt>
                <c:pt idx="138">
                  <c:v>-5.3702808656892399E-2</c:v>
                </c:pt>
                <c:pt idx="139">
                  <c:v>-5.3705692803437399E-2</c:v>
                </c:pt>
                <c:pt idx="140">
                  <c:v>-5.3708577259788601E-2</c:v>
                </c:pt>
                <c:pt idx="141">
                  <c:v>-5.3712904525312001E-2</c:v>
                </c:pt>
                <c:pt idx="142">
                  <c:v>-5.3714347102111003E-2</c:v>
                </c:pt>
                <c:pt idx="143">
                  <c:v>-5.3708577259788601E-2</c:v>
                </c:pt>
                <c:pt idx="144">
                  <c:v>-5.3711462025996498E-2</c:v>
                </c:pt>
                <c:pt idx="145">
                  <c:v>-2.6852125345721099E-2</c:v>
                </c:pt>
                <c:pt idx="146">
                  <c:v>-2.68514043284462E-2</c:v>
                </c:pt>
                <c:pt idx="147">
                  <c:v>-5.3698483017854903E-2</c:v>
                </c:pt>
                <c:pt idx="148">
                  <c:v>-5.3698483017854903E-2</c:v>
                </c:pt>
                <c:pt idx="149">
                  <c:v>-2.68499624100525E-2</c:v>
                </c:pt>
                <c:pt idx="150">
                  <c:v>-2.68499624100525E-2</c:v>
                </c:pt>
                <c:pt idx="151">
                  <c:v>-2.6852125345721099E-2</c:v>
                </c:pt>
                <c:pt idx="152">
                  <c:v>-5.3708577259788601E-2</c:v>
                </c:pt>
                <c:pt idx="153">
                  <c:v>-2.68528464017187E-2</c:v>
                </c:pt>
                <c:pt idx="154">
                  <c:v>-2.6852125345721099E-2</c:v>
                </c:pt>
                <c:pt idx="155">
                  <c:v>-2.68528464017187E-2</c:v>
                </c:pt>
                <c:pt idx="156">
                  <c:v>-5.37028086568931E-2</c:v>
                </c:pt>
                <c:pt idx="157">
                  <c:v>-5.3699924820105001E-2</c:v>
                </c:pt>
                <c:pt idx="158">
                  <c:v>-2.6847799822804601E-2</c:v>
                </c:pt>
                <c:pt idx="159">
                  <c:v>-5.37013666997826E-2</c:v>
                </c:pt>
                <c:pt idx="160">
                  <c:v>-5.37013666997826E-2</c:v>
                </c:pt>
                <c:pt idx="161">
                  <c:v>-5.3701366699781899E-2</c:v>
                </c:pt>
                <c:pt idx="162">
                  <c:v>-2.6848520646512299E-2</c:v>
                </c:pt>
                <c:pt idx="163">
                  <c:v>-2.6848520646512299E-2</c:v>
                </c:pt>
                <c:pt idx="164">
                  <c:v>-5.3702808656892399E-2</c:v>
                </c:pt>
                <c:pt idx="165">
                  <c:v>-2.68514043284462E-2</c:v>
                </c:pt>
                <c:pt idx="166">
                  <c:v>-2.6852125345721099E-2</c:v>
                </c:pt>
                <c:pt idx="167">
                  <c:v>-2.68528464017187E-2</c:v>
                </c:pt>
                <c:pt idx="168">
                  <c:v>-2.68528464017187E-2</c:v>
                </c:pt>
                <c:pt idx="169">
                  <c:v>-2.68557310129982E-2</c:v>
                </c:pt>
                <c:pt idx="170">
                  <c:v>-2.68557310129982E-2</c:v>
                </c:pt>
                <c:pt idx="171">
                  <c:v>-2.6852846401718401E-2</c:v>
                </c:pt>
                <c:pt idx="172">
                  <c:v>-2.6852125345721099E-2</c:v>
                </c:pt>
                <c:pt idx="173">
                  <c:v>-2.68492415089274E-2</c:v>
                </c:pt>
                <c:pt idx="174">
                  <c:v>-2.68499624100525E-2</c:v>
                </c:pt>
                <c:pt idx="175">
                  <c:v>-2.6847799822804601E-2</c:v>
                </c:pt>
                <c:pt idx="176">
                  <c:v>-2.6844916914982E-2</c:v>
                </c:pt>
                <c:pt idx="177">
                  <c:v>-2.68456375838926E-2</c:v>
                </c:pt>
                <c:pt idx="178">
                  <c:v>-2.6847799822804299E-2</c:v>
                </c:pt>
                <c:pt idx="179">
                  <c:v>-2.68506833498913E-2</c:v>
                </c:pt>
                <c:pt idx="180">
                  <c:v>-2.68514043284462E-2</c:v>
                </c:pt>
                <c:pt idx="181">
                  <c:v>-2.68550098020785E-2</c:v>
                </c:pt>
                <c:pt idx="182">
                  <c:v>-2.68578948781996E-2</c:v>
                </c:pt>
                <c:pt idx="183">
                  <c:v>-2.6859337648733699E-2</c:v>
                </c:pt>
                <c:pt idx="184">
                  <c:v>-2.68600590921299E-2</c:v>
                </c:pt>
                <c:pt idx="185">
                  <c:v>-2.6860780574283202E-2</c:v>
                </c:pt>
                <c:pt idx="186">
                  <c:v>-5.3724447309748499E-2</c:v>
                </c:pt>
                <c:pt idx="187">
                  <c:v>-5.37215611485665E-2</c:v>
                </c:pt>
                <c:pt idx="188">
                  <c:v>-2.68600590921299E-2</c:v>
                </c:pt>
                <c:pt idx="189">
                  <c:v>-2.68586162440911E-2</c:v>
                </c:pt>
                <c:pt idx="190">
                  <c:v>-2.68542886298943E-2</c:v>
                </c:pt>
                <c:pt idx="191">
                  <c:v>-2.6853567496441799E-2</c:v>
                </c:pt>
                <c:pt idx="192">
                  <c:v>0</c:v>
                </c:pt>
                <c:pt idx="193">
                  <c:v>-2.6852125345721099E-2</c:v>
                </c:pt>
                <c:pt idx="194">
                  <c:v>-2.6853567496441799E-2</c:v>
                </c:pt>
                <c:pt idx="195">
                  <c:v>-2.6854288629893901E-2</c:v>
                </c:pt>
                <c:pt idx="196">
                  <c:v>-2.68550098020785E-2</c:v>
                </c:pt>
                <c:pt idx="197">
                  <c:v>-2.68542886298943E-2</c:v>
                </c:pt>
                <c:pt idx="198">
                  <c:v>-2.68550098020785E-2</c:v>
                </c:pt>
                <c:pt idx="199">
                  <c:v>0</c:v>
                </c:pt>
                <c:pt idx="200">
                  <c:v>0</c:v>
                </c:pt>
                <c:pt idx="201">
                  <c:v>-2.68506833498913E-2</c:v>
                </c:pt>
                <c:pt idx="202">
                  <c:v>-2.6852125345721099E-2</c:v>
                </c:pt>
                <c:pt idx="203">
                  <c:v>-2.68550098020785E-2</c:v>
                </c:pt>
                <c:pt idx="204">
                  <c:v>-2.68550098020785E-2</c:v>
                </c:pt>
                <c:pt idx="205">
                  <c:v>-2.6856452262656001E-2</c:v>
                </c:pt>
                <c:pt idx="206">
                  <c:v>-2.68557310129982E-2</c:v>
                </c:pt>
                <c:pt idx="207">
                  <c:v>0</c:v>
                </c:pt>
                <c:pt idx="208">
                  <c:v>0</c:v>
                </c:pt>
                <c:pt idx="209">
                  <c:v>-2.68542886298943E-2</c:v>
                </c:pt>
                <c:pt idx="210">
                  <c:v>-2.6852125345721099E-2</c:v>
                </c:pt>
                <c:pt idx="211">
                  <c:v>-2.68499624100525E-2</c:v>
                </c:pt>
                <c:pt idx="212">
                  <c:v>-2.68492415089274E-2</c:v>
                </c:pt>
                <c:pt idx="213">
                  <c:v>-2.6849241508927101E-2</c:v>
                </c:pt>
                <c:pt idx="214">
                  <c:v>-2.68492415089274E-2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-2.6852125345721099E-2</c:v>
                </c:pt>
                <c:pt idx="220">
                  <c:v>-2.6854288629893901E-2</c:v>
                </c:pt>
                <c:pt idx="221">
                  <c:v>-2.68571735510552E-2</c:v>
                </c:pt>
                <c:pt idx="222">
                  <c:v>-2.6857173551055501E-2</c:v>
                </c:pt>
                <c:pt idx="223">
                  <c:v>-2.68578948781996E-2</c:v>
                </c:pt>
                <c:pt idx="224">
                  <c:v>-2.68571735510552E-2</c:v>
                </c:pt>
                <c:pt idx="225">
                  <c:v>-2.68586162440911E-2</c:v>
                </c:pt>
                <c:pt idx="226">
                  <c:v>-2.6856452262656299E-2</c:v>
                </c:pt>
                <c:pt idx="227">
                  <c:v>-2.68528464017187E-2</c:v>
                </c:pt>
                <c:pt idx="228">
                  <c:v>-2.6852846401718401E-2</c:v>
                </c:pt>
                <c:pt idx="229">
                  <c:v>-2.6854288629893901E-2</c:v>
                </c:pt>
                <c:pt idx="230">
                  <c:v>-2.68578948781996E-2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-2.6856452262656299E-2</c:v>
                </c:pt>
                <c:pt idx="238">
                  <c:v>-2.6854288629893901E-2</c:v>
                </c:pt>
                <c:pt idx="239">
                  <c:v>-2.6852846401718401E-2</c:v>
                </c:pt>
                <c:pt idx="240">
                  <c:v>-2.6857173551055501E-2</c:v>
                </c:pt>
                <c:pt idx="241">
                  <c:v>-2.6857894878199302E-2</c:v>
                </c:pt>
                <c:pt idx="242">
                  <c:v>-2.6857173551055501E-2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-2.6843475693232598E-2</c:v>
                </c:pt>
                <c:pt idx="252">
                  <c:v>-2.68441962847632E-2</c:v>
                </c:pt>
                <c:pt idx="253">
                  <c:v>-2.6847799822804601E-2</c:v>
                </c:pt>
                <c:pt idx="254">
                  <c:v>-2.6847079037800599E-2</c:v>
                </c:pt>
                <c:pt idx="255">
                  <c:v>-2.6847799822804601E-2</c:v>
                </c:pt>
                <c:pt idx="256">
                  <c:v>-2.68456375838926E-2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-2.6852846401718401E-2</c:v>
                </c:pt>
                <c:pt idx="269">
                  <c:v>-2.6852125345721099E-2</c:v>
                </c:pt>
                <c:pt idx="270">
                  <c:v>-2.6848520646512299E-2</c:v>
                </c:pt>
                <c:pt idx="271">
                  <c:v>-2.6851404328446501E-2</c:v>
                </c:pt>
                <c:pt idx="272">
                  <c:v>-2.6847799822804601E-2</c:v>
                </c:pt>
                <c:pt idx="273">
                  <c:v>-2.68499624100525E-2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-2.68492415089274E-2</c:v>
                </c:pt>
                <c:pt idx="287">
                  <c:v>-2.6849962410052799E-2</c:v>
                </c:pt>
                <c:pt idx="288">
                  <c:v>-2.6847079037800599E-2</c:v>
                </c:pt>
                <c:pt idx="289">
                  <c:v>-2.68492415089274E-2</c:v>
                </c:pt>
                <c:pt idx="290">
                  <c:v>-2.6851404328446501E-2</c:v>
                </c:pt>
                <c:pt idx="291">
                  <c:v>-2.6851404328446501E-2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-2.68542886298943E-2</c:v>
                </c:pt>
                <c:pt idx="302">
                  <c:v>-2.68542886298943E-2</c:v>
                </c:pt>
                <c:pt idx="303">
                  <c:v>-2.6853567496442202E-2</c:v>
                </c:pt>
                <c:pt idx="304">
                  <c:v>-2.68550098020785E-2</c:v>
                </c:pt>
                <c:pt idx="305">
                  <c:v>-2.6852125345721099E-2</c:v>
                </c:pt>
                <c:pt idx="306">
                  <c:v>-2.6848520646512601E-2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-0.107394082586049</c:v>
                </c:pt>
                <c:pt idx="320">
                  <c:v>-8.0539074874492703E-2</c:v>
                </c:pt>
                <c:pt idx="321">
                  <c:v>-8.0547724526782299E-2</c:v>
                </c:pt>
                <c:pt idx="322">
                  <c:v>-0.10740561731378399</c:v>
                </c:pt>
                <c:pt idx="323">
                  <c:v>-8.0556376037163299E-2</c:v>
                </c:pt>
                <c:pt idx="324">
                  <c:v>-0.107414269985767</c:v>
                </c:pt>
                <c:pt idx="325">
                  <c:v>-8.0558539205156196E-2</c:v>
                </c:pt>
                <c:pt idx="326">
                  <c:v>-0.107414269985767</c:v>
                </c:pt>
                <c:pt idx="327">
                  <c:v>-8.0554212985339699E-2</c:v>
                </c:pt>
                <c:pt idx="328">
                  <c:v>-8.0547724526782299E-2</c:v>
                </c:pt>
                <c:pt idx="329">
                  <c:v>-8.0549887230158504E-2</c:v>
                </c:pt>
                <c:pt idx="330">
                  <c:v>-5.3699924820105001E-2</c:v>
                </c:pt>
                <c:pt idx="331">
                  <c:v>-8.0558539205155197E-2</c:v>
                </c:pt>
                <c:pt idx="332">
                  <c:v>-8.0562865889682894E-2</c:v>
                </c:pt>
                <c:pt idx="333">
                  <c:v>-8.0562865889681895E-2</c:v>
                </c:pt>
                <c:pt idx="334">
                  <c:v>-8.0558539205155197E-2</c:v>
                </c:pt>
                <c:pt idx="335">
                  <c:v>-8.0560702489325606E-2</c:v>
                </c:pt>
                <c:pt idx="336">
                  <c:v>-0.107414269985767</c:v>
                </c:pt>
                <c:pt idx="337">
                  <c:v>-8.0560702489325606E-2</c:v>
                </c:pt>
                <c:pt idx="338">
                  <c:v>-5.3704250691442197E-2</c:v>
                </c:pt>
                <c:pt idx="339">
                  <c:v>-8.0558539205156196E-2</c:v>
                </c:pt>
                <c:pt idx="340">
                  <c:v>-5.3707134992883702E-2</c:v>
                </c:pt>
                <c:pt idx="341">
                  <c:v>-8.05477245267813E-2</c:v>
                </c:pt>
                <c:pt idx="342">
                  <c:v>-8.0549887230158504E-2</c:v>
                </c:pt>
                <c:pt idx="343">
                  <c:v>-8.0545561939536894E-2</c:v>
                </c:pt>
                <c:pt idx="344">
                  <c:v>-8.0547724526782299E-2</c:v>
                </c:pt>
                <c:pt idx="345">
                  <c:v>-8.05477245267813E-2</c:v>
                </c:pt>
                <c:pt idx="346">
                  <c:v>-8.0549887230158504E-2</c:v>
                </c:pt>
                <c:pt idx="347">
                  <c:v>-5.3707134992883702E-2</c:v>
                </c:pt>
                <c:pt idx="348">
                  <c:v>-5.3704250691442197E-2</c:v>
                </c:pt>
                <c:pt idx="349">
                  <c:v>-5.3705692803437399E-2</c:v>
                </c:pt>
                <c:pt idx="350">
                  <c:v>-8.05542129853387E-2</c:v>
                </c:pt>
                <c:pt idx="351">
                  <c:v>-5.3707134992883702E-2</c:v>
                </c:pt>
                <c:pt idx="352">
                  <c:v>-5.3711462025995797E-2</c:v>
                </c:pt>
                <c:pt idx="353">
                  <c:v>-8.0567193038994706E-2</c:v>
                </c:pt>
                <c:pt idx="354">
                  <c:v>-5.3711462025995797E-2</c:v>
                </c:pt>
                <c:pt idx="355">
                  <c:v>-8.0560702489325606E-2</c:v>
                </c:pt>
                <c:pt idx="356">
                  <c:v>-5.3707134992883702E-2</c:v>
                </c:pt>
                <c:pt idx="357">
                  <c:v>-5.3699924820105702E-2</c:v>
                </c:pt>
                <c:pt idx="358">
                  <c:v>-8.0545561939537894E-2</c:v>
                </c:pt>
                <c:pt idx="359">
                  <c:v>-5.3689833829964603E-2</c:v>
                </c:pt>
                <c:pt idx="360">
                  <c:v>-5.3688392569526497E-2</c:v>
                </c:pt>
                <c:pt idx="361">
                  <c:v>-5.3689833829964E-2</c:v>
                </c:pt>
                <c:pt idx="362">
                  <c:v>-5.3686951386465898E-2</c:v>
                </c:pt>
                <c:pt idx="363">
                  <c:v>-5.3692716582995098E-2</c:v>
                </c:pt>
                <c:pt idx="364">
                  <c:v>-5.3692716582995098E-2</c:v>
                </c:pt>
                <c:pt idx="365">
                  <c:v>-5.3694158075601302E-2</c:v>
                </c:pt>
                <c:pt idx="366">
                  <c:v>-5.3695599645609202E-2</c:v>
                </c:pt>
                <c:pt idx="367">
                  <c:v>-5.3695599645609202E-2</c:v>
                </c:pt>
                <c:pt idx="368">
                  <c:v>-5.3704250691441503E-2</c:v>
                </c:pt>
                <c:pt idx="369">
                  <c:v>-8.0560702489325606E-2</c:v>
                </c:pt>
                <c:pt idx="370">
                  <c:v>-5.3707134992883702E-2</c:v>
                </c:pt>
                <c:pt idx="371">
                  <c:v>-5.3711462025995797E-2</c:v>
                </c:pt>
                <c:pt idx="372">
                  <c:v>-8.05650294062355E-2</c:v>
                </c:pt>
                <c:pt idx="373">
                  <c:v>-5.3711462025996498E-2</c:v>
                </c:pt>
                <c:pt idx="374">
                  <c:v>-5.3704250691442197E-2</c:v>
                </c:pt>
                <c:pt idx="375">
                  <c:v>-2.6849962410052799E-2</c:v>
                </c:pt>
                <c:pt idx="376">
                  <c:v>-5.3699924820105001E-2</c:v>
                </c:pt>
                <c:pt idx="377">
                  <c:v>-5.3699924820105702E-2</c:v>
                </c:pt>
                <c:pt idx="378">
                  <c:v>-2.68514043284462E-2</c:v>
                </c:pt>
                <c:pt idx="379">
                  <c:v>-5.3704250691442197E-2</c:v>
                </c:pt>
                <c:pt idx="380">
                  <c:v>-5.3710019604157597E-2</c:v>
                </c:pt>
                <c:pt idx="381">
                  <c:v>-5.3711462025995797E-2</c:v>
                </c:pt>
                <c:pt idx="382">
                  <c:v>-2.6857173551055501E-2</c:v>
                </c:pt>
                <c:pt idx="383">
                  <c:v>-5.37172324881822E-2</c:v>
                </c:pt>
                <c:pt idx="384">
                  <c:v>-5.3720118184260597E-2</c:v>
                </c:pt>
                <c:pt idx="385">
                  <c:v>-5.3718675297466802E-2</c:v>
                </c:pt>
                <c:pt idx="386">
                  <c:v>-5.37172324881822E-2</c:v>
                </c:pt>
                <c:pt idx="387">
                  <c:v>-5.3715789756399297E-2</c:v>
                </c:pt>
                <c:pt idx="388">
                  <c:v>-5.3715789756399297E-2</c:v>
                </c:pt>
                <c:pt idx="389">
                  <c:v>-5.3712904525312001E-2</c:v>
                </c:pt>
                <c:pt idx="390">
                  <c:v>-5.3712904525312001E-2</c:v>
                </c:pt>
                <c:pt idx="391">
                  <c:v>-2.6857173551055501E-2</c:v>
                </c:pt>
                <c:pt idx="392">
                  <c:v>-2.6855731012997899E-2</c:v>
                </c:pt>
                <c:pt idx="393">
                  <c:v>-5.3711462025996498E-2</c:v>
                </c:pt>
                <c:pt idx="394">
                  <c:v>-5.37085772597879E-2</c:v>
                </c:pt>
                <c:pt idx="395">
                  <c:v>-2.68514043284462E-2</c:v>
                </c:pt>
                <c:pt idx="396">
                  <c:v>-2.68506833498913E-2</c:v>
                </c:pt>
                <c:pt idx="397">
                  <c:v>-2.68499624100525E-2</c:v>
                </c:pt>
                <c:pt idx="398">
                  <c:v>-5.3704250691442197E-2</c:v>
                </c:pt>
                <c:pt idx="399">
                  <c:v>-2.68514043284462E-2</c:v>
                </c:pt>
                <c:pt idx="400">
                  <c:v>-2.6851404328446501E-2</c:v>
                </c:pt>
                <c:pt idx="401">
                  <c:v>-2.68528464017187E-2</c:v>
                </c:pt>
                <c:pt idx="402">
                  <c:v>-2.68514043284462E-2</c:v>
                </c:pt>
                <c:pt idx="403">
                  <c:v>-5.37028086568931E-2</c:v>
                </c:pt>
                <c:pt idx="404">
                  <c:v>-2.6852125345721099E-2</c:v>
                </c:pt>
                <c:pt idx="405">
                  <c:v>-5.37013666997826E-2</c:v>
                </c:pt>
                <c:pt idx="406">
                  <c:v>-5.3705692803436803E-2</c:v>
                </c:pt>
                <c:pt idx="407">
                  <c:v>-5.3708577259788601E-2</c:v>
                </c:pt>
                <c:pt idx="408">
                  <c:v>-5.3710019604157E-2</c:v>
                </c:pt>
                <c:pt idx="409">
                  <c:v>-2.6854288629893901E-2</c:v>
                </c:pt>
                <c:pt idx="410">
                  <c:v>-5.3705692803437399E-2</c:v>
                </c:pt>
                <c:pt idx="411">
                  <c:v>-2.68557310129982E-2</c:v>
                </c:pt>
                <c:pt idx="412">
                  <c:v>-2.6852125345721099E-2</c:v>
                </c:pt>
                <c:pt idx="413">
                  <c:v>-2.68514043284462E-2</c:v>
                </c:pt>
                <c:pt idx="414">
                  <c:v>-2.68506833498913E-2</c:v>
                </c:pt>
                <c:pt idx="415">
                  <c:v>-5.3699924820105702E-2</c:v>
                </c:pt>
                <c:pt idx="416">
                  <c:v>-2.68506833498913E-2</c:v>
                </c:pt>
                <c:pt idx="417">
                  <c:v>-2.6852125345721099E-2</c:v>
                </c:pt>
                <c:pt idx="418">
                  <c:v>-2.68542886298943E-2</c:v>
                </c:pt>
                <c:pt idx="419">
                  <c:v>-2.68514043284462E-2</c:v>
                </c:pt>
                <c:pt idx="420">
                  <c:v>-2.6852125345721099E-2</c:v>
                </c:pt>
                <c:pt idx="421">
                  <c:v>-2.6852125345721099E-2</c:v>
                </c:pt>
                <c:pt idx="422">
                  <c:v>-2.6849241508927101E-2</c:v>
                </c:pt>
                <c:pt idx="423">
                  <c:v>-2.68456375838926E-2</c:v>
                </c:pt>
                <c:pt idx="424">
                  <c:v>-2.6847079037800599E-2</c:v>
                </c:pt>
                <c:pt idx="425">
                  <c:v>-2.6849962410052799E-2</c:v>
                </c:pt>
                <c:pt idx="426">
                  <c:v>-2.68492415089274E-2</c:v>
                </c:pt>
                <c:pt idx="427">
                  <c:v>-2.6852125345721099E-2</c:v>
                </c:pt>
                <c:pt idx="428">
                  <c:v>-2.68542886298943E-2</c:v>
                </c:pt>
                <c:pt idx="429">
                  <c:v>-2.6855731012997899E-2</c:v>
                </c:pt>
                <c:pt idx="430">
                  <c:v>-5.3714347102111003E-2</c:v>
                </c:pt>
                <c:pt idx="431">
                  <c:v>-5.3710019604157E-2</c:v>
                </c:pt>
                <c:pt idx="432">
                  <c:v>-5.3714347102111003E-2</c:v>
                </c:pt>
                <c:pt idx="433">
                  <c:v>-2.6857173551055501E-2</c:v>
                </c:pt>
                <c:pt idx="434">
                  <c:v>-2.68557310129982E-2</c:v>
                </c:pt>
                <c:pt idx="435">
                  <c:v>-2.6856452262656299E-2</c:v>
                </c:pt>
                <c:pt idx="436">
                  <c:v>-2.68514043284462E-2</c:v>
                </c:pt>
                <c:pt idx="437">
                  <c:v>-2.6852125345721099E-2</c:v>
                </c:pt>
                <c:pt idx="438">
                  <c:v>-2.6852846401718401E-2</c:v>
                </c:pt>
                <c:pt idx="439">
                  <c:v>-2.6850683349890901E-2</c:v>
                </c:pt>
                <c:pt idx="440">
                  <c:v>-2.6852125345721099E-2</c:v>
                </c:pt>
                <c:pt idx="441">
                  <c:v>-2.68499624100525E-2</c:v>
                </c:pt>
                <c:pt idx="442">
                  <c:v>0</c:v>
                </c:pt>
                <c:pt idx="443">
                  <c:v>-2.68514043284462E-2</c:v>
                </c:pt>
                <c:pt idx="444">
                  <c:v>-2.68492415089274E-2</c:v>
                </c:pt>
                <c:pt idx="445">
                  <c:v>-2.6852125345721099E-2</c:v>
                </c:pt>
                <c:pt idx="446">
                  <c:v>-2.6852125345721099E-2</c:v>
                </c:pt>
                <c:pt idx="447">
                  <c:v>-2.68550098020785E-2</c:v>
                </c:pt>
                <c:pt idx="448">
                  <c:v>-2.68557310129982E-2</c:v>
                </c:pt>
                <c:pt idx="449">
                  <c:v>0</c:v>
                </c:pt>
                <c:pt idx="450">
                  <c:v>0</c:v>
                </c:pt>
                <c:pt idx="451">
                  <c:v>-2.6852125345721099E-2</c:v>
                </c:pt>
                <c:pt idx="452">
                  <c:v>-2.6849241508927101E-2</c:v>
                </c:pt>
                <c:pt idx="453">
                  <c:v>-2.6846358291497899E-2</c:v>
                </c:pt>
                <c:pt idx="454">
                  <c:v>-2.6847079037800599E-2</c:v>
                </c:pt>
                <c:pt idx="455">
                  <c:v>-2.68492415089274E-2</c:v>
                </c:pt>
                <c:pt idx="456">
                  <c:v>-2.68499624100525E-2</c:v>
                </c:pt>
                <c:pt idx="457">
                  <c:v>0</c:v>
                </c:pt>
                <c:pt idx="458">
                  <c:v>-2.6852125345721099E-2</c:v>
                </c:pt>
                <c:pt idx="459">
                  <c:v>-2.6852846401718401E-2</c:v>
                </c:pt>
                <c:pt idx="460">
                  <c:v>-2.68514043284462E-2</c:v>
                </c:pt>
                <c:pt idx="461">
                  <c:v>-2.6852125345721099E-2</c:v>
                </c:pt>
                <c:pt idx="462">
                  <c:v>-2.6851404328446501E-2</c:v>
                </c:pt>
                <c:pt idx="463">
                  <c:v>-5.3702808656892399E-2</c:v>
                </c:pt>
                <c:pt idx="464">
                  <c:v>-2.6851404328446501E-2</c:v>
                </c:pt>
                <c:pt idx="465">
                  <c:v>-2.68499624100525E-2</c:v>
                </c:pt>
                <c:pt idx="466">
                  <c:v>-2.6853567496441799E-2</c:v>
                </c:pt>
                <c:pt idx="467">
                  <c:v>-2.68542886298943E-2</c:v>
                </c:pt>
                <c:pt idx="468">
                  <c:v>-2.6852846401718401E-2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-2.6853567496441799E-2</c:v>
                </c:pt>
                <c:pt idx="473">
                  <c:v>-2.68499624100525E-2</c:v>
                </c:pt>
                <c:pt idx="474">
                  <c:v>-2.68506833498913E-2</c:v>
                </c:pt>
                <c:pt idx="475">
                  <c:v>-2.6852125345721099E-2</c:v>
                </c:pt>
                <c:pt idx="476">
                  <c:v>-2.6852846401718401E-2</c:v>
                </c:pt>
                <c:pt idx="477">
                  <c:v>-2.68506833498913E-2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-2.6854288629893901E-2</c:v>
                </c:pt>
                <c:pt idx="482">
                  <c:v>-2.68528464017187E-2</c:v>
                </c:pt>
                <c:pt idx="483">
                  <c:v>-2.6852125345721099E-2</c:v>
                </c:pt>
                <c:pt idx="484">
                  <c:v>-2.68499624100525E-2</c:v>
                </c:pt>
                <c:pt idx="485">
                  <c:v>-2.6847799822804299E-2</c:v>
                </c:pt>
                <c:pt idx="486">
                  <c:v>-2.68441962847632E-2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-2.6847799822804601E-2</c:v>
                </c:pt>
                <c:pt idx="494">
                  <c:v>-2.68499624100525E-2</c:v>
                </c:pt>
                <c:pt idx="495">
                  <c:v>-2.6847799822804299E-2</c:v>
                </c:pt>
                <c:pt idx="496">
                  <c:v>-2.68441962847632E-2</c:v>
                </c:pt>
                <c:pt idx="497">
                  <c:v>-2.6844916914982302E-2</c:v>
                </c:pt>
                <c:pt idx="498">
                  <c:v>-2.6847079037800599E-2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-2.68550098020785E-2</c:v>
                </c:pt>
                <c:pt idx="504">
                  <c:v>-2.68557310129982E-2</c:v>
                </c:pt>
                <c:pt idx="505">
                  <c:v>-2.6856452262656001E-2</c:v>
                </c:pt>
                <c:pt idx="506">
                  <c:v>-2.68542886298943E-2</c:v>
                </c:pt>
                <c:pt idx="507">
                  <c:v>-2.6853567496441501E-2</c:v>
                </c:pt>
                <c:pt idx="508">
                  <c:v>-2.6853567496441501E-2</c:v>
                </c:pt>
                <c:pt idx="509">
                  <c:v>0</c:v>
                </c:pt>
                <c:pt idx="510">
                  <c:v>0</c:v>
                </c:pt>
                <c:pt idx="511">
                  <c:v>-2.68528464017187E-2</c:v>
                </c:pt>
                <c:pt idx="512">
                  <c:v>-2.6853567496442202E-2</c:v>
                </c:pt>
                <c:pt idx="513">
                  <c:v>-2.6854288629894599E-2</c:v>
                </c:pt>
                <c:pt idx="514">
                  <c:v>-2.68514043284468E-2</c:v>
                </c:pt>
                <c:pt idx="515">
                  <c:v>-2.6848520646512899E-2</c:v>
                </c:pt>
                <c:pt idx="516">
                  <c:v>-2.6848520646512299E-2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-2.6854288629894599E-2</c:v>
                </c:pt>
                <c:pt idx="526">
                  <c:v>-2.6853567496442202E-2</c:v>
                </c:pt>
                <c:pt idx="527">
                  <c:v>-2.6853567496441501E-2</c:v>
                </c:pt>
                <c:pt idx="528">
                  <c:v>-2.68514043284462E-2</c:v>
                </c:pt>
                <c:pt idx="529">
                  <c:v>-2.6850683349890901E-2</c:v>
                </c:pt>
                <c:pt idx="530">
                  <c:v>-2.6852125345721099E-2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-2.6854288629893901E-2</c:v>
                </c:pt>
                <c:pt idx="544">
                  <c:v>-2.6854288629894599E-2</c:v>
                </c:pt>
                <c:pt idx="545">
                  <c:v>-2.6697992310978101E-2</c:v>
                </c:pt>
                <c:pt idx="546">
                  <c:v>-2.6696566821506999E-2</c:v>
                </c:pt>
                <c:pt idx="547">
                  <c:v>-2.66930037637137E-2</c:v>
                </c:pt>
                <c:pt idx="548">
                  <c:v>-2.66937162991835E-2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-2.6852846401717999E-2</c:v>
                </c:pt>
                <c:pt idx="563">
                  <c:v>-2.6852125345721099E-2</c:v>
                </c:pt>
                <c:pt idx="564">
                  <c:v>-2.6856452262656299E-2</c:v>
                </c:pt>
                <c:pt idx="565">
                  <c:v>-2.6856452262656299E-2</c:v>
                </c:pt>
                <c:pt idx="566">
                  <c:v>-2.68550098020785E-2</c:v>
                </c:pt>
                <c:pt idx="567">
                  <c:v>-2.68550098020785E-2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-2.6850683349891599E-2</c:v>
                </c:pt>
                <c:pt idx="586">
                  <c:v>-2.6849962410052799E-2</c:v>
                </c:pt>
                <c:pt idx="587">
                  <c:v>-2.6847799822804899E-2</c:v>
                </c:pt>
                <c:pt idx="588">
                  <c:v>-2.68492415089274E-2</c:v>
                </c:pt>
                <c:pt idx="589">
                  <c:v>-2.6852125345721099E-2</c:v>
                </c:pt>
                <c:pt idx="590">
                  <c:v>-2.6850683349890901E-2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-2.6847799822804899E-2</c:v>
                </c:pt>
                <c:pt idx="600">
                  <c:v>-2.6847799822804299E-2</c:v>
                </c:pt>
                <c:pt idx="601">
                  <c:v>-2.68492415089274E-2</c:v>
                </c:pt>
                <c:pt idx="602">
                  <c:v>-2.68528464017187E-2</c:v>
                </c:pt>
                <c:pt idx="603">
                  <c:v>-2.6852846401717999E-2</c:v>
                </c:pt>
                <c:pt idx="604">
                  <c:v>-2.6849962410052799E-2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-2.68550098020785E-2</c:v>
                </c:pt>
                <c:pt idx="633">
                  <c:v>-2.6852125345721099E-2</c:v>
                </c:pt>
                <c:pt idx="634">
                  <c:v>-2.6852125345721099E-2</c:v>
                </c:pt>
                <c:pt idx="635">
                  <c:v>-2.6850683349890901E-2</c:v>
                </c:pt>
                <c:pt idx="636">
                  <c:v>-2.6852125345721099E-2</c:v>
                </c:pt>
                <c:pt idx="637">
                  <c:v>-2.6852846401717999E-2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-2.68514043284462E-2</c:v>
                </c:pt>
                <c:pt idx="679">
                  <c:v>-2.68492415089274E-2</c:v>
                </c:pt>
                <c:pt idx="680">
                  <c:v>-2.68492415089274E-2</c:v>
                </c:pt>
                <c:pt idx="681">
                  <c:v>-2.68470790378003E-2</c:v>
                </c:pt>
                <c:pt idx="682">
                  <c:v>-2.6848520646512299E-2</c:v>
                </c:pt>
                <c:pt idx="683">
                  <c:v>-2.6853567496442202E-2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-0.40270618556700899</c:v>
                </c:pt>
                <c:pt idx="719">
                  <c:v>-0.34901202749140797</c:v>
                </c:pt>
                <c:pt idx="720">
                  <c:v>-0.34900265778947198</c:v>
                </c:pt>
                <c:pt idx="721">
                  <c:v>-0.34904013961605601</c:v>
                </c:pt>
                <c:pt idx="722">
                  <c:v>-0.32218224775814702</c:v>
                </c:pt>
                <c:pt idx="723">
                  <c:v>-0.295365447612912</c:v>
                </c:pt>
                <c:pt idx="724">
                  <c:v>-0.26854288629894302</c:v>
                </c:pt>
                <c:pt idx="725">
                  <c:v>-0.29538924246086001</c:v>
                </c:pt>
                <c:pt idx="726">
                  <c:v>-0.29539717492883699</c:v>
                </c:pt>
                <c:pt idx="727">
                  <c:v>-0.268528464017187</c:v>
                </c:pt>
                <c:pt idx="728">
                  <c:v>-0.26852125345721101</c:v>
                </c:pt>
                <c:pt idx="729">
                  <c:v>-0.26851404328446199</c:v>
                </c:pt>
                <c:pt idx="730">
                  <c:v>-0.26849962410052503</c:v>
                </c:pt>
                <c:pt idx="731">
                  <c:v>-0.24163668581861</c:v>
                </c:pt>
                <c:pt idx="732">
                  <c:v>-0.21478816517209801</c:v>
                </c:pt>
                <c:pt idx="733">
                  <c:v>-0.21481123462756899</c:v>
                </c:pt>
                <c:pt idx="734">
                  <c:v>-0.21480546679913001</c:v>
                </c:pt>
                <c:pt idx="735">
                  <c:v>-0.21479969928042</c:v>
                </c:pt>
                <c:pt idx="736">
                  <c:v>-0.18795478344923899</c:v>
                </c:pt>
                <c:pt idx="737">
                  <c:v>-0.187959830299123</c:v>
                </c:pt>
                <c:pt idx="738">
                  <c:v>-0.18795478344923899</c:v>
                </c:pt>
                <c:pt idx="739">
                  <c:v>-0.187944690562492</c:v>
                </c:pt>
                <c:pt idx="740">
                  <c:v>-0.161104100099347</c:v>
                </c:pt>
                <c:pt idx="741">
                  <c:v>-0.16109977446031701</c:v>
                </c:pt>
                <c:pt idx="742">
                  <c:v>-0.16109544905356399</c:v>
                </c:pt>
                <c:pt idx="743">
                  <c:v>-0.16111275207432599</c:v>
                </c:pt>
                <c:pt idx="744">
                  <c:v>-0.16111707841031001</c:v>
                </c:pt>
                <c:pt idx="745">
                  <c:v>-0.16112573177936501</c:v>
                </c:pt>
                <c:pt idx="746">
                  <c:v>-0.161134386077987</c:v>
                </c:pt>
                <c:pt idx="747">
                  <c:v>-0.13428226131328</c:v>
                </c:pt>
                <c:pt idx="748">
                  <c:v>-0.134293081220455</c:v>
                </c:pt>
                <c:pt idx="749">
                  <c:v>-0.13427144314947101</c:v>
                </c:pt>
                <c:pt idx="750">
                  <c:v>-0.134264232008593</c:v>
                </c:pt>
                <c:pt idx="751">
                  <c:v>-0.134264232008592</c:v>
                </c:pt>
                <c:pt idx="752">
                  <c:v>-0.10740850138288401</c:v>
                </c:pt>
                <c:pt idx="753">
                  <c:v>-0.13425341674945601</c:v>
                </c:pt>
                <c:pt idx="754">
                  <c:v>-0.13424260323256099</c:v>
                </c:pt>
                <c:pt idx="755">
                  <c:v>-0.10739984964021</c:v>
                </c:pt>
                <c:pt idx="756">
                  <c:v>-0.13425702164223099</c:v>
                </c:pt>
                <c:pt idx="757">
                  <c:v>-0.10738831615120301</c:v>
                </c:pt>
                <c:pt idx="758">
                  <c:v>-0.13423539518900399</c:v>
                </c:pt>
                <c:pt idx="759">
                  <c:v>-0.107385433165991</c:v>
                </c:pt>
                <c:pt idx="760">
                  <c:v>-0.10738831615120201</c:v>
                </c:pt>
                <c:pt idx="761">
                  <c:v>-0.13424260323256099</c:v>
                </c:pt>
                <c:pt idx="762">
                  <c:v>-8.0545561939537894E-2</c:v>
                </c:pt>
                <c:pt idx="763">
                  <c:v>-0.10740561731378399</c:v>
                </c:pt>
                <c:pt idx="764">
                  <c:v>-0.10740561731378399</c:v>
                </c:pt>
                <c:pt idx="765">
                  <c:v>-0.107414269985766</c:v>
                </c:pt>
                <c:pt idx="766">
                  <c:v>-0.10740850138288401</c:v>
                </c:pt>
                <c:pt idx="767">
                  <c:v>-8.0558539205156196E-2</c:v>
                </c:pt>
                <c:pt idx="768">
                  <c:v>-0.107414269985766</c:v>
                </c:pt>
                <c:pt idx="769">
                  <c:v>-8.0560702489324607E-2</c:v>
                </c:pt>
                <c:pt idx="770">
                  <c:v>-8.0569356787969004E-2</c:v>
                </c:pt>
                <c:pt idx="771">
                  <c:v>-8.0573684634597895E-2</c:v>
                </c:pt>
                <c:pt idx="772">
                  <c:v>-8.0575848732273303E-2</c:v>
                </c:pt>
                <c:pt idx="773">
                  <c:v>-0.107434464976364</c:v>
                </c:pt>
                <c:pt idx="774">
                  <c:v>-8.0578012946201205E-2</c:v>
                </c:pt>
                <c:pt idx="775">
                  <c:v>-0.107437350594935</c:v>
                </c:pt>
                <c:pt idx="776">
                  <c:v>-8.0569356787967006E-2</c:v>
                </c:pt>
                <c:pt idx="777">
                  <c:v>-0.107420039208316</c:v>
                </c:pt>
                <c:pt idx="778">
                  <c:v>-8.05650294062355E-2</c:v>
                </c:pt>
                <c:pt idx="779">
                  <c:v>-5.3704250691442197E-2</c:v>
                </c:pt>
                <c:pt idx="780">
                  <c:v>-8.0547724526782299E-2</c:v>
                </c:pt>
                <c:pt idx="781">
                  <c:v>-5.3699924820105702E-2</c:v>
                </c:pt>
                <c:pt idx="782">
                  <c:v>-8.0547724526782299E-2</c:v>
                </c:pt>
                <c:pt idx="783">
                  <c:v>-8.0547724526780301E-2</c:v>
                </c:pt>
                <c:pt idx="784">
                  <c:v>-8.0547724526782299E-2</c:v>
                </c:pt>
                <c:pt idx="785">
                  <c:v>-8.0549887230158504E-2</c:v>
                </c:pt>
                <c:pt idx="786">
                  <c:v>-8.0558539205156196E-2</c:v>
                </c:pt>
                <c:pt idx="787">
                  <c:v>-8.0556376037163299E-2</c:v>
                </c:pt>
                <c:pt idx="788">
                  <c:v>-8.0560702489326605E-2</c:v>
                </c:pt>
                <c:pt idx="789">
                  <c:v>-5.3710019604158298E-2</c:v>
                </c:pt>
                <c:pt idx="790">
                  <c:v>-5.3712904525312598E-2</c:v>
                </c:pt>
                <c:pt idx="791">
                  <c:v>-8.0573684634597895E-2</c:v>
                </c:pt>
                <c:pt idx="792">
                  <c:v>-5.3707134992883099E-2</c:v>
                </c:pt>
                <c:pt idx="793">
                  <c:v>-5.37085772597879E-2</c:v>
                </c:pt>
                <c:pt idx="794">
                  <c:v>-5.3705692803436102E-2</c:v>
                </c:pt>
                <c:pt idx="795">
                  <c:v>-8.0552050049672905E-2</c:v>
                </c:pt>
                <c:pt idx="796">
                  <c:v>-8.0547724526782299E-2</c:v>
                </c:pt>
                <c:pt idx="797">
                  <c:v>-5.3698483017854903E-2</c:v>
                </c:pt>
                <c:pt idx="798">
                  <c:v>-8.0558539205156196E-2</c:v>
                </c:pt>
                <c:pt idx="799">
                  <c:v>-8.05542129853387E-2</c:v>
                </c:pt>
                <c:pt idx="800">
                  <c:v>-5.3702808656893697E-2</c:v>
                </c:pt>
                <c:pt idx="801">
                  <c:v>-5.3699924820105702E-2</c:v>
                </c:pt>
                <c:pt idx="802">
                  <c:v>-5.3701366699781899E-2</c:v>
                </c:pt>
                <c:pt idx="803">
                  <c:v>-5.3697041293024599E-2</c:v>
                </c:pt>
                <c:pt idx="804">
                  <c:v>-2.6847799822804299E-2</c:v>
                </c:pt>
                <c:pt idx="805">
                  <c:v>-5.3695599645609902E-2</c:v>
                </c:pt>
                <c:pt idx="806">
                  <c:v>-5.3697041293024599E-2</c:v>
                </c:pt>
                <c:pt idx="807">
                  <c:v>-2.6852846401717999E-2</c:v>
                </c:pt>
                <c:pt idx="808">
                  <c:v>-5.3704250691442197E-2</c:v>
                </c:pt>
                <c:pt idx="809">
                  <c:v>-5.3710019604157E-2</c:v>
                </c:pt>
                <c:pt idx="810">
                  <c:v>-8.0562865889681895E-2</c:v>
                </c:pt>
                <c:pt idx="811">
                  <c:v>-5.3714347102110399E-2</c:v>
                </c:pt>
                <c:pt idx="812">
                  <c:v>-5.3714347102110399E-2</c:v>
                </c:pt>
                <c:pt idx="813">
                  <c:v>-8.0567193038994706E-2</c:v>
                </c:pt>
                <c:pt idx="814">
                  <c:v>-5.37172324881822E-2</c:v>
                </c:pt>
                <c:pt idx="815">
                  <c:v>-5.3714347102110399E-2</c:v>
                </c:pt>
                <c:pt idx="816">
                  <c:v>-2.68586162440911E-2</c:v>
                </c:pt>
                <c:pt idx="817">
                  <c:v>-5.3712904525312598E-2</c:v>
                </c:pt>
                <c:pt idx="818">
                  <c:v>-5.3707134992884403E-2</c:v>
                </c:pt>
                <c:pt idx="819">
                  <c:v>-2.68514043284462E-2</c:v>
                </c:pt>
                <c:pt idx="820">
                  <c:v>-2.6848520646512299E-2</c:v>
                </c:pt>
                <c:pt idx="821">
                  <c:v>-5.3699924820105702E-2</c:v>
                </c:pt>
                <c:pt idx="822">
                  <c:v>-5.3695599645609902E-2</c:v>
                </c:pt>
                <c:pt idx="823">
                  <c:v>-2.6844916914982E-2</c:v>
                </c:pt>
                <c:pt idx="824">
                  <c:v>-2.68470790378003E-2</c:v>
                </c:pt>
                <c:pt idx="825">
                  <c:v>-5.3695599645609902E-2</c:v>
                </c:pt>
                <c:pt idx="826">
                  <c:v>-5.3689833829964E-2</c:v>
                </c:pt>
                <c:pt idx="827">
                  <c:v>-2.6841314150740501E-2</c:v>
                </c:pt>
                <c:pt idx="828">
                  <c:v>-5.3688392569525803E-2</c:v>
                </c:pt>
                <c:pt idx="829">
                  <c:v>-5.3694158075600601E-2</c:v>
                </c:pt>
                <c:pt idx="830">
                  <c:v>-5.3695599645609902E-2</c:v>
                </c:pt>
                <c:pt idx="831">
                  <c:v>-2.6848520646512299E-2</c:v>
                </c:pt>
                <c:pt idx="832">
                  <c:v>-5.3705692803437399E-2</c:v>
                </c:pt>
                <c:pt idx="833">
                  <c:v>-5.3710019604157E-2</c:v>
                </c:pt>
                <c:pt idx="834">
                  <c:v>-2.68528464017187E-2</c:v>
                </c:pt>
                <c:pt idx="835">
                  <c:v>-2.6854288629894599E-2</c:v>
                </c:pt>
                <c:pt idx="836">
                  <c:v>-2.6854288629893901E-2</c:v>
                </c:pt>
                <c:pt idx="837">
                  <c:v>-5.3705692803437399E-2</c:v>
                </c:pt>
                <c:pt idx="838">
                  <c:v>-2.6850683349890901E-2</c:v>
                </c:pt>
                <c:pt idx="839">
                  <c:v>-2.6243963888306101E-2</c:v>
                </c:pt>
                <c:pt idx="840">
                  <c:v>-2.6243963888305501E-2</c:v>
                </c:pt>
                <c:pt idx="841">
                  <c:v>-2.6242586469321899E-2</c:v>
                </c:pt>
                <c:pt idx="842">
                  <c:v>-5.2482418389839101E-2</c:v>
                </c:pt>
                <c:pt idx="843">
                  <c:v>-2.6241209194919499E-2</c:v>
                </c:pt>
                <c:pt idx="844">
                  <c:v>-2.6243275160740299E-2</c:v>
                </c:pt>
                <c:pt idx="845">
                  <c:v>-2.6850683349890901E-2</c:v>
                </c:pt>
                <c:pt idx="846">
                  <c:v>-2.68514043284462E-2</c:v>
                </c:pt>
                <c:pt idx="847">
                  <c:v>-2.6850683349891599E-2</c:v>
                </c:pt>
                <c:pt idx="848">
                  <c:v>-2.68528464017187E-2</c:v>
                </c:pt>
                <c:pt idx="849">
                  <c:v>-2.68557310129982E-2</c:v>
                </c:pt>
                <c:pt idx="850">
                  <c:v>-2.68557310129982E-2</c:v>
                </c:pt>
                <c:pt idx="851">
                  <c:v>-5.3710019604157E-2</c:v>
                </c:pt>
                <c:pt idx="852">
                  <c:v>-5.3711462025996498E-2</c:v>
                </c:pt>
                <c:pt idx="853">
                  <c:v>-5.3711462025996498E-2</c:v>
                </c:pt>
                <c:pt idx="854">
                  <c:v>-2.68550098020785E-2</c:v>
                </c:pt>
                <c:pt idx="855">
                  <c:v>-2.68557310129982E-2</c:v>
                </c:pt>
                <c:pt idx="856">
                  <c:v>-2.6854288629893901E-2</c:v>
                </c:pt>
                <c:pt idx="857">
                  <c:v>-2.68528464017187E-2</c:v>
                </c:pt>
                <c:pt idx="858">
                  <c:v>-2.68528464017187E-2</c:v>
                </c:pt>
                <c:pt idx="859">
                  <c:v>-2.6852846401717999E-2</c:v>
                </c:pt>
                <c:pt idx="860">
                  <c:v>-2.6852125345721099E-2</c:v>
                </c:pt>
                <c:pt idx="861">
                  <c:v>-2.6849962410052101E-2</c:v>
                </c:pt>
                <c:pt idx="862">
                  <c:v>-2.6850683349891599E-2</c:v>
                </c:pt>
                <c:pt idx="863">
                  <c:v>-2.6852125345721099E-2</c:v>
                </c:pt>
                <c:pt idx="864">
                  <c:v>-2.68514043284462E-2</c:v>
                </c:pt>
                <c:pt idx="865">
                  <c:v>-2.6850683349891599E-2</c:v>
                </c:pt>
                <c:pt idx="866">
                  <c:v>-2.6850683349890901E-2</c:v>
                </c:pt>
                <c:pt idx="867">
                  <c:v>-2.68528464017187E-2</c:v>
                </c:pt>
                <c:pt idx="868">
                  <c:v>-2.6853567496441501E-2</c:v>
                </c:pt>
                <c:pt idx="869">
                  <c:v>0</c:v>
                </c:pt>
                <c:pt idx="870">
                  <c:v>-2.68528464017187E-2</c:v>
                </c:pt>
                <c:pt idx="871">
                  <c:v>-2.6852125345721099E-2</c:v>
                </c:pt>
                <c:pt idx="872">
                  <c:v>-2.6849962410052799E-2</c:v>
                </c:pt>
                <c:pt idx="873">
                  <c:v>-2.6846358291497899E-2</c:v>
                </c:pt>
                <c:pt idx="874">
                  <c:v>-2.6844916914982E-2</c:v>
                </c:pt>
                <c:pt idx="875">
                  <c:v>-2.6846358291497899E-2</c:v>
                </c:pt>
                <c:pt idx="876">
                  <c:v>0</c:v>
                </c:pt>
                <c:pt idx="877">
                  <c:v>-2.6847799822804299E-2</c:v>
                </c:pt>
                <c:pt idx="878">
                  <c:v>-2.6852125345721099E-2</c:v>
                </c:pt>
                <c:pt idx="879">
                  <c:v>-2.6850683349890901E-2</c:v>
                </c:pt>
                <c:pt idx="880">
                  <c:v>-2.6852125345721099E-2</c:v>
                </c:pt>
                <c:pt idx="881">
                  <c:v>-2.68492415089274E-2</c:v>
                </c:pt>
                <c:pt idx="882">
                  <c:v>-5.3702808656892399E-2</c:v>
                </c:pt>
                <c:pt idx="883">
                  <c:v>-2.6852125345721099E-2</c:v>
                </c:pt>
                <c:pt idx="884">
                  <c:v>-2.6850683349890901E-2</c:v>
                </c:pt>
                <c:pt idx="885">
                  <c:v>-2.68550098020785E-2</c:v>
                </c:pt>
                <c:pt idx="886">
                  <c:v>-2.68550098020785E-2</c:v>
                </c:pt>
                <c:pt idx="887">
                  <c:v>-2.68571735510558E-2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-2.6852125345721099E-2</c:v>
                </c:pt>
                <c:pt idx="892">
                  <c:v>-2.68492415089274E-2</c:v>
                </c:pt>
                <c:pt idx="893">
                  <c:v>-2.6852125345721099E-2</c:v>
                </c:pt>
                <c:pt idx="894">
                  <c:v>-2.6852125345721099E-2</c:v>
                </c:pt>
                <c:pt idx="895">
                  <c:v>-2.68514043284462E-2</c:v>
                </c:pt>
                <c:pt idx="896">
                  <c:v>-2.6850683349890901E-2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-2.6853567496442202E-2</c:v>
                </c:pt>
                <c:pt idx="901">
                  <c:v>-2.6852846401717999E-2</c:v>
                </c:pt>
                <c:pt idx="902">
                  <c:v>-2.6852125345721099E-2</c:v>
                </c:pt>
                <c:pt idx="903">
                  <c:v>-2.6852125345721099E-2</c:v>
                </c:pt>
                <c:pt idx="904">
                  <c:v>-2.6852125345721099E-2</c:v>
                </c:pt>
                <c:pt idx="905">
                  <c:v>-2.6849962410052101E-2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-2.6850683349890901E-2</c:v>
                </c:pt>
                <c:pt idx="911">
                  <c:v>-2.68514043284462E-2</c:v>
                </c:pt>
                <c:pt idx="912">
                  <c:v>-2.6853567496441501E-2</c:v>
                </c:pt>
                <c:pt idx="913">
                  <c:v>-2.6853567496442202E-2</c:v>
                </c:pt>
                <c:pt idx="914">
                  <c:v>-2.6852846401717999E-2</c:v>
                </c:pt>
                <c:pt idx="915">
                  <c:v>-2.68514043284462E-2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-2.6850683349890901E-2</c:v>
                </c:pt>
                <c:pt idx="922">
                  <c:v>-2.68492415089274E-2</c:v>
                </c:pt>
                <c:pt idx="923">
                  <c:v>-2.6850683349890901E-2</c:v>
                </c:pt>
                <c:pt idx="924">
                  <c:v>-2.6849962410052799E-2</c:v>
                </c:pt>
                <c:pt idx="925">
                  <c:v>-2.68470790378003E-2</c:v>
                </c:pt>
                <c:pt idx="926">
                  <c:v>-2.68492415089274E-2</c:v>
                </c:pt>
                <c:pt idx="927">
                  <c:v>-2.6850683349891599E-2</c:v>
                </c:pt>
                <c:pt idx="928">
                  <c:v>-2.68557310129982E-2</c:v>
                </c:pt>
                <c:pt idx="929">
                  <c:v>-2.68550098020785E-2</c:v>
                </c:pt>
                <c:pt idx="930">
                  <c:v>-2.6854288629893901E-2</c:v>
                </c:pt>
                <c:pt idx="931">
                  <c:v>-2.68550098020785E-2</c:v>
                </c:pt>
                <c:pt idx="932">
                  <c:v>-2.68550098020785E-2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-2.6852125345721099E-2</c:v>
                </c:pt>
                <c:pt idx="942">
                  <c:v>-2.6853567496441501E-2</c:v>
                </c:pt>
                <c:pt idx="943">
                  <c:v>-2.6852846401717999E-2</c:v>
                </c:pt>
                <c:pt idx="944">
                  <c:v>-2.6852125345721099E-2</c:v>
                </c:pt>
                <c:pt idx="945">
                  <c:v>-2.68557310129982E-2</c:v>
                </c:pt>
                <c:pt idx="946">
                  <c:v>-2.68557310129976E-2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B-4D4D-BB5C-8DA65822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550799"/>
        <c:axId val="1046552239"/>
      </c:scatterChart>
      <c:valAx>
        <c:axId val="104655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52239"/>
        <c:crosses val="autoZero"/>
        <c:crossBetween val="midCat"/>
      </c:valAx>
      <c:valAx>
        <c:axId val="104655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5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 Permeation Coefficient</a:t>
            </a:r>
            <a:r>
              <a:rPr lang="en-US" baseline="0"/>
              <a:t> of 4He at 100C of water filled tube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26 Minute Cooling Time Measured Apparent Permeabilities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55388005060953E-2"/>
                  <c:y val="-0.1017551431908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('H2O Isothermal OD734 ID487'!$R$4:$R$6,'H2O Isothermal OD734 ID487'!$R$8:$R$9,'H2O Isothermal OD734 ID487'!$R$13:$R$20)</c:f>
              <c:numCache>
                <c:formatCode>0.00E+00</c:formatCode>
                <c:ptCount val="13"/>
                <c:pt idx="0">
                  <c:v>5104.0000001527369</c:v>
                </c:pt>
                <c:pt idx="1">
                  <c:v>10205.000000232831</c:v>
                </c:pt>
                <c:pt idx="2">
                  <c:v>15308.999999756925</c:v>
                </c:pt>
                <c:pt idx="3">
                  <c:v>27230.000000051223</c:v>
                </c:pt>
                <c:pt idx="4">
                  <c:v>32334.999999809079</c:v>
                </c:pt>
                <c:pt idx="5">
                  <c:v>100271.00000004284</c:v>
                </c:pt>
                <c:pt idx="6">
                  <c:v>105367.00000021141</c:v>
                </c:pt>
                <c:pt idx="7">
                  <c:v>110468.0000002915</c:v>
                </c:pt>
                <c:pt idx="8">
                  <c:v>115573.00000004936</c:v>
                </c:pt>
                <c:pt idx="9">
                  <c:v>120677.99999980722</c:v>
                </c:pt>
                <c:pt idx="10">
                  <c:v>125778.00000028219</c:v>
                </c:pt>
                <c:pt idx="11">
                  <c:v>130878.00000012852</c:v>
                </c:pt>
                <c:pt idx="12">
                  <c:v>135982.99999988638</c:v>
                </c:pt>
              </c:numCache>
            </c:numRef>
          </c:xVal>
          <c:yVal>
            <c:numRef>
              <c:f>('H2O Isothermal OD734 ID487'!$AH$4:$AH$6,'H2O Isothermal OD734 ID487'!$AH$8:$AH$9,'H2O Isothermal OD734 ID487'!$AH$13:$AH$20)</c:f>
              <c:numCache>
                <c:formatCode>0.00E+00</c:formatCode>
                <c:ptCount val="13"/>
                <c:pt idx="0">
                  <c:v>120710322671.41899</c:v>
                </c:pt>
                <c:pt idx="1">
                  <c:v>120900615662.08949</c:v>
                </c:pt>
                <c:pt idx="2">
                  <c:v>119389648297.01031</c:v>
                </c:pt>
                <c:pt idx="3">
                  <c:v>117759204059.39197</c:v>
                </c:pt>
                <c:pt idx="4">
                  <c:v>117799926432.44411</c:v>
                </c:pt>
                <c:pt idx="5">
                  <c:v>115973158814.93623</c:v>
                </c:pt>
                <c:pt idx="6">
                  <c:v>115779182047.48108</c:v>
                </c:pt>
                <c:pt idx="7">
                  <c:v>114014125994.86699</c:v>
                </c:pt>
                <c:pt idx="8">
                  <c:v>113973572483.86746</c:v>
                </c:pt>
                <c:pt idx="9">
                  <c:v>114365091434.24347</c:v>
                </c:pt>
                <c:pt idx="10">
                  <c:v>113655731427.94141</c:v>
                </c:pt>
                <c:pt idx="11">
                  <c:v>112687337131.68974</c:v>
                </c:pt>
                <c:pt idx="12">
                  <c:v>112022542926.01714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8D-461E-AF2C-FD39DC5B34F0}"/>
            </c:ext>
          </c:extLst>
        </c:ser>
        <c:ser>
          <c:idx val="2"/>
          <c:order val="1"/>
          <c:tx>
            <c:v>Variable Cooling Time Measured Apparent Permeabilities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('H2O Isothermal OD734 ID487'!$R$3,'H2O Isothermal OD734 ID487'!$R$7,'H2O Isothermal OD734 ID487'!$R$11,'H2O Isothermal OD734 ID487'!$R$12)</c:f>
              <c:numCache>
                <c:formatCode>0.00E+00</c:formatCode>
                <c:ptCount val="4"/>
                <c:pt idx="0">
                  <c:v>0</c:v>
                </c:pt>
                <c:pt idx="1">
                  <c:v>22116.000000075437</c:v>
                </c:pt>
                <c:pt idx="2">
                  <c:v>88957.99999980256</c:v>
                </c:pt>
                <c:pt idx="3">
                  <c:v>95177.000000341795</c:v>
                </c:pt>
              </c:numCache>
            </c:numRef>
          </c:xVal>
          <c:yVal>
            <c:numRef>
              <c:f>('H2O Isothermal OD734 ID487'!$AH$3,'H2O Isothermal OD734 ID487'!$AH$7,'H2O Isothermal OD734 ID487'!$AH$11:$AH$12)</c:f>
              <c:numCache>
                <c:formatCode>0.00E+00</c:formatCode>
                <c:ptCount val="4"/>
                <c:pt idx="0">
                  <c:v>119249247731.09578</c:v>
                </c:pt>
                <c:pt idx="1">
                  <c:v>128004464429.42513</c:v>
                </c:pt>
                <c:pt idx="2">
                  <c:v>118390046136.94278</c:v>
                </c:pt>
                <c:pt idx="3">
                  <c:v>122943144198.45171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8D-461E-AF2C-FD39DC5B34F0}"/>
            </c:ext>
          </c:extLst>
        </c:ser>
        <c:ser>
          <c:idx val="3"/>
          <c:order val="2"/>
          <c:tx>
            <c:v>100°C Permeability For Anhydrous Tube: Swets et al., 1961</c:v>
          </c:tx>
          <c:spPr>
            <a:ln w="25400" cap="rnd">
              <a:solidFill>
                <a:schemeClr val="accent4">
                  <a:alpha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'H2O Isothermal OD734 ID487'!$R$3:$R$20</c:f>
              <c:numCache>
                <c:formatCode>0.00E+00</c:formatCode>
                <c:ptCount val="18"/>
                <c:pt idx="0">
                  <c:v>0</c:v>
                </c:pt>
                <c:pt idx="1">
                  <c:v>5104.0000001527369</c:v>
                </c:pt>
                <c:pt idx="2">
                  <c:v>10205.000000232831</c:v>
                </c:pt>
                <c:pt idx="3">
                  <c:v>15308.999999756925</c:v>
                </c:pt>
                <c:pt idx="4">
                  <c:v>22116.000000075437</c:v>
                </c:pt>
                <c:pt idx="5">
                  <c:v>27230.000000051223</c:v>
                </c:pt>
                <c:pt idx="6">
                  <c:v>32334.999999809079</c:v>
                </c:pt>
                <c:pt idx="7">
                  <c:v>83671.000000247732</c:v>
                </c:pt>
                <c:pt idx="8">
                  <c:v>88957.99999980256</c:v>
                </c:pt>
                <c:pt idx="9">
                  <c:v>95177.000000341795</c:v>
                </c:pt>
                <c:pt idx="10">
                  <c:v>100271.00000004284</c:v>
                </c:pt>
                <c:pt idx="11">
                  <c:v>105367.00000021141</c:v>
                </c:pt>
                <c:pt idx="12">
                  <c:v>110468.0000002915</c:v>
                </c:pt>
                <c:pt idx="13">
                  <c:v>115573.00000004936</c:v>
                </c:pt>
                <c:pt idx="14">
                  <c:v>120677.99999980722</c:v>
                </c:pt>
                <c:pt idx="15">
                  <c:v>125778.00000028219</c:v>
                </c:pt>
                <c:pt idx="16">
                  <c:v>130878.00000012852</c:v>
                </c:pt>
                <c:pt idx="17">
                  <c:v>135982.99999988638</c:v>
                </c:pt>
              </c:numCache>
            </c:numRef>
          </c:xVal>
          <c:yVal>
            <c:numRef>
              <c:f>'H2O Isothermal OD734 ID487'!$AL$3:$AL$20</c:f>
              <c:numCache>
                <c:formatCode>0.00E+00</c:formatCode>
                <c:ptCount val="18"/>
                <c:pt idx="0">
                  <c:v>81368987856.687637</c:v>
                </c:pt>
                <c:pt idx="1">
                  <c:v>81368987856.687637</c:v>
                </c:pt>
                <c:pt idx="2">
                  <c:v>81368987856.687637</c:v>
                </c:pt>
                <c:pt idx="3">
                  <c:v>81368987856.687637</c:v>
                </c:pt>
                <c:pt idx="4">
                  <c:v>81368987856.687637</c:v>
                </c:pt>
                <c:pt idx="5">
                  <c:v>81368987856.687637</c:v>
                </c:pt>
                <c:pt idx="6">
                  <c:v>81368987856.687637</c:v>
                </c:pt>
                <c:pt idx="7">
                  <c:v>81368987856.687637</c:v>
                </c:pt>
                <c:pt idx="8">
                  <c:v>81368987856.687637</c:v>
                </c:pt>
                <c:pt idx="9">
                  <c:v>81368987856.687637</c:v>
                </c:pt>
                <c:pt idx="10">
                  <c:v>81368987856.687637</c:v>
                </c:pt>
                <c:pt idx="11">
                  <c:v>81368987856.687637</c:v>
                </c:pt>
                <c:pt idx="12">
                  <c:v>81368987856.687637</c:v>
                </c:pt>
                <c:pt idx="13">
                  <c:v>81368987856.687637</c:v>
                </c:pt>
                <c:pt idx="14">
                  <c:v>81368987856.687637</c:v>
                </c:pt>
                <c:pt idx="15">
                  <c:v>81368987856.687637</c:v>
                </c:pt>
                <c:pt idx="16">
                  <c:v>81368987856.687637</c:v>
                </c:pt>
                <c:pt idx="17">
                  <c:v>81368987856.687637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3C-45BD-9ED3-354EA65B03C9}"/>
            </c:ext>
          </c:extLst>
        </c:ser>
        <c:ser>
          <c:idx val="0"/>
          <c:order val="3"/>
          <c:tx>
            <c:v>Modelled Apparent Permeability for 1 hour at 100°C then 26 minutes of Cooling</c:v>
          </c:tx>
          <c:spPr>
            <a:ln w="25400" cap="rnd">
              <a:solidFill>
                <a:schemeClr val="accent1">
                  <a:alpha val="4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('H2O Isothermal OD734 ID487'!$R$3,'H2O Isothermal OD734 ID487'!$R$20)</c:f>
              <c:numCache>
                <c:formatCode>0.00E+00</c:formatCode>
                <c:ptCount val="2"/>
                <c:pt idx="0">
                  <c:v>0</c:v>
                </c:pt>
                <c:pt idx="1">
                  <c:v>135982.99999988638</c:v>
                </c:pt>
              </c:numCache>
            </c:numRef>
          </c:xVal>
          <c:yVal>
            <c:numRef>
              <c:f>'H2O Isothermal OD734 ID487'!$AM$18:$AM$19</c:f>
              <c:numCache>
                <c:formatCode>0.00E+00</c:formatCode>
                <c:ptCount val="2"/>
                <c:pt idx="0">
                  <c:v>99877708094.032593</c:v>
                </c:pt>
                <c:pt idx="1">
                  <c:v>99926357654.536102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9E-4C9B-BD97-21FD58A4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066064"/>
        <c:axId val="1270130736"/>
      </c:scatterChart>
      <c:valAx>
        <c:axId val="44406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30736"/>
        <c:crosses val="autoZero"/>
        <c:crossBetween val="midCat"/>
      </c:valAx>
      <c:valAx>
        <c:axId val="12701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Apparent K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6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Permeation Coefficient of 3He at 100C of water filled 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54556889217245E-2"/>
          <c:y val="0.13706237087769593"/>
          <c:w val="0.85355855430272021"/>
          <c:h val="0.68922023174726021"/>
        </c:manualLayout>
      </c:layout>
      <c:scatterChart>
        <c:scatterStyle val="lineMarker"/>
        <c:varyColors val="0"/>
        <c:ser>
          <c:idx val="0"/>
          <c:order val="0"/>
          <c:tx>
            <c:v>Apparent Permeability, 26 minutes cooling time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('H2O Isothermal OD734 ID487'!$R$4:$R$6,'H2O Isothermal OD734 ID487'!$R$9,'H2O Isothermal OD734 ID487'!$R$13:$R$20)</c:f>
              <c:numCache>
                <c:formatCode>0.00E+00</c:formatCode>
                <c:ptCount val="12"/>
                <c:pt idx="0">
                  <c:v>5104.0000001527369</c:v>
                </c:pt>
                <c:pt idx="1">
                  <c:v>10205.000000232831</c:v>
                </c:pt>
                <c:pt idx="2">
                  <c:v>15308.999999756925</c:v>
                </c:pt>
                <c:pt idx="3">
                  <c:v>32334.999999809079</c:v>
                </c:pt>
                <c:pt idx="4">
                  <c:v>100271.00000004284</c:v>
                </c:pt>
                <c:pt idx="5">
                  <c:v>105367.00000021141</c:v>
                </c:pt>
                <c:pt idx="6">
                  <c:v>110468.0000002915</c:v>
                </c:pt>
                <c:pt idx="7">
                  <c:v>115573.00000004936</c:v>
                </c:pt>
                <c:pt idx="8">
                  <c:v>120677.99999980722</c:v>
                </c:pt>
                <c:pt idx="9">
                  <c:v>125778.00000028219</c:v>
                </c:pt>
                <c:pt idx="10">
                  <c:v>130878.00000012852</c:v>
                </c:pt>
                <c:pt idx="11">
                  <c:v>135982.99999988638</c:v>
                </c:pt>
              </c:numCache>
            </c:numRef>
          </c:xVal>
          <c:yVal>
            <c:numRef>
              <c:f>('H2O Isothermal OD734 ID487'!$AG$4:$AG$6,'H2O Isothermal OD734 ID487'!$AG$9,'H2O Isothermal OD734 ID487'!$AG$13:$AG$19)</c:f>
              <c:numCache>
                <c:formatCode>0.00E+00</c:formatCode>
                <c:ptCount val="11"/>
                <c:pt idx="0">
                  <c:v>137880482841.08124</c:v>
                </c:pt>
                <c:pt idx="1">
                  <c:v>134455986434.45227</c:v>
                </c:pt>
                <c:pt idx="2">
                  <c:v>123483435340.14059</c:v>
                </c:pt>
                <c:pt idx="3">
                  <c:v>122897688220.79073</c:v>
                </c:pt>
                <c:pt idx="4">
                  <c:v>116984372039.75159</c:v>
                </c:pt>
                <c:pt idx="5">
                  <c:v>133387434259.34053</c:v>
                </c:pt>
                <c:pt idx="6">
                  <c:v>118573752141.19656</c:v>
                </c:pt>
                <c:pt idx="7">
                  <c:v>138669778133.64636</c:v>
                </c:pt>
                <c:pt idx="8">
                  <c:v>135246429990.43513</c:v>
                </c:pt>
                <c:pt idx="9">
                  <c:v>121515254833.9249</c:v>
                </c:pt>
                <c:pt idx="10">
                  <c:v>148909598015.41434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2-4F49-BF10-5E4F353FC25B}"/>
            </c:ext>
          </c:extLst>
        </c:ser>
        <c:ser>
          <c:idx val="2"/>
          <c:order val="1"/>
          <c:tx>
            <c:v>100°C 3He Permeability (Swets et al., 1961; Jones 1953)</c:v>
          </c:tx>
          <c:spPr>
            <a:ln w="25400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('H2O Isothermal OD734 ID487'!$R$3,'H2O Isothermal OD734 ID487'!$R$20)</c:f>
              <c:numCache>
                <c:formatCode>0.00E+00</c:formatCode>
                <c:ptCount val="2"/>
                <c:pt idx="0">
                  <c:v>0</c:v>
                </c:pt>
                <c:pt idx="1">
                  <c:v>135982.99999988638</c:v>
                </c:pt>
              </c:numCache>
            </c:numRef>
          </c:xVal>
          <c:yVal>
            <c:numRef>
              <c:f>('H2O Isothermal OD734 ID487'!$AK$3,'H2O Isothermal OD734 ID487'!$AK$20)</c:f>
              <c:numCache>
                <c:formatCode>0.00E+00</c:formatCode>
                <c:ptCount val="2"/>
                <c:pt idx="0">
                  <c:v>88154464997.476807</c:v>
                </c:pt>
                <c:pt idx="1">
                  <c:v>88154464997.476807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E5-4EB0-8637-A44EE6A1A94F}"/>
            </c:ext>
          </c:extLst>
        </c:ser>
        <c:ser>
          <c:idx val="1"/>
          <c:order val="2"/>
          <c:tx>
            <c:v>Modeled Apparent Permeability of Anhydrous tube for 1 hour at 100°C and 26 minutes of cooling time</c:v>
          </c:tx>
          <c:spPr>
            <a:ln w="25400" cap="rnd">
              <a:solidFill>
                <a:schemeClr val="accent1">
                  <a:alpha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('H2O Isothermal OD734 ID487'!$R$3,'H2O Isothermal OD734 ID487'!$R$20)</c:f>
              <c:numCache>
                <c:formatCode>0.00E+00</c:formatCode>
                <c:ptCount val="2"/>
                <c:pt idx="0">
                  <c:v>0</c:v>
                </c:pt>
                <c:pt idx="1">
                  <c:v>135982.99999988638</c:v>
                </c:pt>
              </c:numCache>
            </c:numRef>
          </c:xVal>
          <c:yVal>
            <c:numRef>
              <c:f>'H2O Isothermal OD734 ID487'!$AM$18:$AM$19</c:f>
              <c:numCache>
                <c:formatCode>0.00E+00</c:formatCode>
                <c:ptCount val="2"/>
                <c:pt idx="0">
                  <c:v>99877708094.032593</c:v>
                </c:pt>
                <c:pt idx="1">
                  <c:v>99926357654.536102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F-471B-923A-3B8D5B98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101839"/>
        <c:axId val="990918703"/>
      </c:scatterChart>
      <c:valAx>
        <c:axId val="98910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18703"/>
        <c:crosses val="autoZero"/>
        <c:crossBetween val="midCat"/>
      </c:valAx>
      <c:valAx>
        <c:axId val="9909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0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291759067722714E-2"/>
          <c:y val="0.87548840093149216"/>
          <c:w val="0.85526580354287463"/>
          <c:h val="9.817600059721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3He Measurements Vs Predictions of nt/n0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Cooling Model Predictions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'H2O Isothermal OD734 ID487'!$AE$4:$AE$20</c:f>
              <c:numCache>
                <c:formatCode>0.00E+00</c:formatCode>
                <c:ptCount val="17"/>
                <c:pt idx="0">
                  <c:v>0.82189516951733299</c:v>
                </c:pt>
                <c:pt idx="1">
                  <c:v>0.82590882556127343</c:v>
                </c:pt>
                <c:pt idx="2">
                  <c:v>0.83890161287656728</c:v>
                </c:pt>
                <c:pt idx="3">
                  <c:v>0.82408787354378166</c:v>
                </c:pt>
                <c:pt idx="4">
                  <c:v>0.84592371893784102</c:v>
                </c:pt>
                <c:pt idx="5">
                  <c:v>0.83960092471980263</c:v>
                </c:pt>
                <c:pt idx="6">
                  <c:v>0.72013490789791357</c:v>
                </c:pt>
                <c:pt idx="7">
                  <c:v>0.84462572469993991</c:v>
                </c:pt>
                <c:pt idx="8">
                  <c:v>0.83820407583745127</c:v>
                </c:pt>
                <c:pt idx="9">
                  <c:v>0.84669344645353728</c:v>
                </c:pt>
                <c:pt idx="10">
                  <c:v>0.82716522201422815</c:v>
                </c:pt>
                <c:pt idx="11">
                  <c:v>0.84478125295426054</c:v>
                </c:pt>
                <c:pt idx="12">
                  <c:v>0.82097285108555751</c:v>
                </c:pt>
                <c:pt idx="13">
                  <c:v>0.82498065548540533</c:v>
                </c:pt>
                <c:pt idx="14">
                  <c:v>0.84125369681310924</c:v>
                </c:pt>
                <c:pt idx="15">
                  <c:v>0.80910066827419191</c:v>
                </c:pt>
                <c:pt idx="16">
                  <c:v>0.85198364252904291</c:v>
                </c:pt>
              </c:numCache>
            </c:numRef>
          </c:xVal>
          <c:yVal>
            <c:numRef>
              <c:f>'H2O Isothermal OD734 ID487'!$AC$4:$AC$20</c:f>
              <c:numCache>
                <c:formatCode>0.00E+00</c:formatCode>
                <c:ptCount val="17"/>
                <c:pt idx="0">
                  <c:v>0.86774671809058646</c:v>
                </c:pt>
                <c:pt idx="1">
                  <c:v>0.86775552568198433</c:v>
                </c:pt>
                <c:pt idx="2">
                  <c:v>0.8678029728729264</c:v>
                </c:pt>
                <c:pt idx="3">
                  <c:v>0.85890653040605935</c:v>
                </c:pt>
                <c:pt idx="4">
                  <c:v>0.86778726686638319</c:v>
                </c:pt>
                <c:pt idx="5">
                  <c:v>0.86777925701719605</c:v>
                </c:pt>
                <c:pt idx="6">
                  <c:v>0.77406875017694166</c:v>
                </c:pt>
                <c:pt idx="7">
                  <c:v>0.86658058020217055</c:v>
                </c:pt>
                <c:pt idx="8">
                  <c:v>0.86223565110418932</c:v>
                </c:pt>
                <c:pt idx="9">
                  <c:v>0.86732317430419081</c:v>
                </c:pt>
                <c:pt idx="10">
                  <c:v>0.86784907487328722</c:v>
                </c:pt>
                <c:pt idx="11">
                  <c:v>0.8678029712715879</c:v>
                </c:pt>
                <c:pt idx="12">
                  <c:v>0.8678727970016139</c:v>
                </c:pt>
                <c:pt idx="13">
                  <c:v>0.86777925500825293</c:v>
                </c:pt>
                <c:pt idx="14">
                  <c:v>0.86784906648039506</c:v>
                </c:pt>
                <c:pt idx="15">
                  <c:v>0.867779254601314</c:v>
                </c:pt>
                <c:pt idx="16">
                  <c:v>0.86787279659431515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4-476F-9313-790D60B1041B}"/>
            </c:ext>
          </c:extLst>
        </c:ser>
        <c:ser>
          <c:idx val="1"/>
          <c:order val="1"/>
          <c:tx>
            <c:v>High-T Only Predictions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'H2O Isothermal OD734 ID487'!$AE$4:$AE$20</c:f>
              <c:numCache>
                <c:formatCode>0.00E+00</c:formatCode>
                <c:ptCount val="17"/>
                <c:pt idx="0">
                  <c:v>0.82189516951733299</c:v>
                </c:pt>
                <c:pt idx="1">
                  <c:v>0.82590882556127343</c:v>
                </c:pt>
                <c:pt idx="2">
                  <c:v>0.83890161287656728</c:v>
                </c:pt>
                <c:pt idx="3">
                  <c:v>0.82408787354378166</c:v>
                </c:pt>
                <c:pt idx="4">
                  <c:v>0.84592371893784102</c:v>
                </c:pt>
                <c:pt idx="5">
                  <c:v>0.83960092471980263</c:v>
                </c:pt>
                <c:pt idx="6">
                  <c:v>0.72013490789791357</c:v>
                </c:pt>
                <c:pt idx="7">
                  <c:v>0.84462572469993991</c:v>
                </c:pt>
                <c:pt idx="8">
                  <c:v>0.83820407583745127</c:v>
                </c:pt>
                <c:pt idx="9">
                  <c:v>0.84669344645353728</c:v>
                </c:pt>
                <c:pt idx="10">
                  <c:v>0.82716522201422815</c:v>
                </c:pt>
                <c:pt idx="11">
                  <c:v>0.84478125295426054</c:v>
                </c:pt>
                <c:pt idx="12">
                  <c:v>0.82097285108555751</c:v>
                </c:pt>
                <c:pt idx="13">
                  <c:v>0.82498065548540533</c:v>
                </c:pt>
                <c:pt idx="14">
                  <c:v>0.84125369681310924</c:v>
                </c:pt>
                <c:pt idx="15">
                  <c:v>0.80910066827419191</c:v>
                </c:pt>
                <c:pt idx="16">
                  <c:v>0.85198364252904291</c:v>
                </c:pt>
              </c:numCache>
            </c:numRef>
          </c:xVal>
          <c:yVal>
            <c:numRef>
              <c:f>'H2O Isothermal OD734 ID487'!$AA$4:$AA$20</c:f>
              <c:numCache>
                <c:formatCode>0.00E+00</c:formatCode>
                <c:ptCount val="17"/>
                <c:pt idx="0">
                  <c:v>0.88214002168015437</c:v>
                </c:pt>
                <c:pt idx="1">
                  <c:v>0.88214002168015437</c:v>
                </c:pt>
                <c:pt idx="2">
                  <c:v>0.88214002168015437</c:v>
                </c:pt>
                <c:pt idx="3">
                  <c:v>0.88214002168015437</c:v>
                </c:pt>
                <c:pt idx="4">
                  <c:v>0.88214002168015437</c:v>
                </c:pt>
                <c:pt idx="5">
                  <c:v>0.88214002168015437</c:v>
                </c:pt>
                <c:pt idx="6">
                  <c:v>0.88214002168015437</c:v>
                </c:pt>
                <c:pt idx="7">
                  <c:v>0.88214002168015437</c:v>
                </c:pt>
                <c:pt idx="8">
                  <c:v>0.88214002168015437</c:v>
                </c:pt>
                <c:pt idx="9">
                  <c:v>0.88214002168015437</c:v>
                </c:pt>
                <c:pt idx="10">
                  <c:v>0.88214002168015437</c:v>
                </c:pt>
                <c:pt idx="11">
                  <c:v>0.88214002168015437</c:v>
                </c:pt>
                <c:pt idx="12">
                  <c:v>0.88214002168015437</c:v>
                </c:pt>
                <c:pt idx="13">
                  <c:v>0.88214002168015437</c:v>
                </c:pt>
                <c:pt idx="14">
                  <c:v>0.88214002168015437</c:v>
                </c:pt>
                <c:pt idx="15">
                  <c:v>0.88214002168015437</c:v>
                </c:pt>
                <c:pt idx="16">
                  <c:v>0.88214002168015437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F4-476F-9313-790D60B1041B}"/>
            </c:ext>
          </c:extLst>
        </c:ser>
        <c:ser>
          <c:idx val="2"/>
          <c:order val="2"/>
          <c:tx>
            <c:v>1:1 Line</c:v>
          </c:tx>
          <c:spPr>
            <a:ln w="25400" cap="rnd">
              <a:solidFill>
                <a:schemeClr val="accent1">
                  <a:alpha val="3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'H2O Isothermal OD734 ID487'!$X$38:$X$39</c:f>
              <c:numCache>
                <c:formatCode>General</c:formatCode>
                <c:ptCount val="2"/>
                <c:pt idx="0">
                  <c:v>0.7</c:v>
                </c:pt>
                <c:pt idx="1">
                  <c:v>0.9</c:v>
                </c:pt>
              </c:numCache>
            </c:numRef>
          </c:xVal>
          <c:yVal>
            <c:numRef>
              <c:f>'H2O Isothermal OD734 ID487'!$Y$38:$Y$39</c:f>
              <c:numCache>
                <c:formatCode>General</c:formatCode>
                <c:ptCount val="2"/>
                <c:pt idx="0">
                  <c:v>0.7</c:v>
                </c:pt>
                <c:pt idx="1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F4-476F-9313-790D60B1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95759"/>
        <c:axId val="1760196239"/>
      </c:scatterChart>
      <c:valAx>
        <c:axId val="1760195759"/>
        <c:scaling>
          <c:orientation val="minMax"/>
          <c:max val="0.9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196239"/>
        <c:crosses val="autoZero"/>
        <c:crossBetween val="midCat"/>
      </c:valAx>
      <c:valAx>
        <c:axId val="1760196239"/>
        <c:scaling>
          <c:orientation val="minMax"/>
          <c:max val="0.9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</a:t>
                </a:r>
                <a:r>
                  <a:rPr lang="en-US" baseline="0"/>
                  <a:t> Predicted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19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Measurements Vs Predictions</a:t>
            </a:r>
            <a:r>
              <a:rPr lang="en-US" baseline="0"/>
              <a:t> of nt/n0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Cooling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'H2O Isothermal OD734 ID487'!$AF$4:$AF$20</c:f>
              <c:numCache>
                <c:formatCode>0.00E+00</c:formatCode>
                <c:ptCount val="17"/>
                <c:pt idx="0">
                  <c:v>0.84221753399751276</c:v>
                </c:pt>
                <c:pt idx="1">
                  <c:v>0.84198957484699866</c:v>
                </c:pt>
                <c:pt idx="2">
                  <c:v>0.84380132107575834</c:v>
                </c:pt>
                <c:pt idx="3">
                  <c:v>0.83352360718738872</c:v>
                </c:pt>
                <c:pt idx="4">
                  <c:v>0.84576070093355316</c:v>
                </c:pt>
                <c:pt idx="5">
                  <c:v>0.84571170762814851</c:v>
                </c:pt>
                <c:pt idx="6">
                  <c:v>0.70416701186358599</c:v>
                </c:pt>
                <c:pt idx="7">
                  <c:v>0.84500204992353167</c:v>
                </c:pt>
                <c:pt idx="8">
                  <c:v>0.8395466348737386</c:v>
                </c:pt>
                <c:pt idx="9">
                  <c:v>0.84791229595614959</c:v>
                </c:pt>
                <c:pt idx="10">
                  <c:v>0.84814630320616347</c:v>
                </c:pt>
                <c:pt idx="11">
                  <c:v>0.85027857892827663</c:v>
                </c:pt>
                <c:pt idx="12">
                  <c:v>0.85032763253735977</c:v>
                </c:pt>
                <c:pt idx="13">
                  <c:v>0.84985416862282159</c:v>
                </c:pt>
                <c:pt idx="14">
                  <c:v>0.85071219174439971</c:v>
                </c:pt>
                <c:pt idx="15">
                  <c:v>0.85188493459768311</c:v>
                </c:pt>
                <c:pt idx="16">
                  <c:v>0.85269094802630763</c:v>
                </c:pt>
              </c:numCache>
            </c:numRef>
          </c:xVal>
          <c:yVal>
            <c:numRef>
              <c:f>'H2O Isothermal OD734 ID487'!$AD$4:$AD$20</c:f>
              <c:numCache>
                <c:formatCode>0.00E+00</c:formatCode>
                <c:ptCount val="17"/>
                <c:pt idx="0">
                  <c:v>0.87716898713302605</c:v>
                </c:pt>
                <c:pt idx="1">
                  <c:v>0.87718088921960158</c:v>
                </c:pt>
                <c:pt idx="2">
                  <c:v>0.87722358870679196</c:v>
                </c:pt>
                <c:pt idx="3">
                  <c:v>0.86877902457332901</c:v>
                </c:pt>
                <c:pt idx="4">
                  <c:v>0.87720572303403388</c:v>
                </c:pt>
                <c:pt idx="5">
                  <c:v>0.87720293227643065</c:v>
                </c:pt>
                <c:pt idx="6">
                  <c:v>0.78580771690059481</c:v>
                </c:pt>
                <c:pt idx="7">
                  <c:v>0.87605811419547142</c:v>
                </c:pt>
                <c:pt idx="8">
                  <c:v>0.87193842275977007</c:v>
                </c:pt>
                <c:pt idx="9">
                  <c:v>0.87677881514138711</c:v>
                </c:pt>
                <c:pt idx="10">
                  <c:v>0.87726768746341333</c:v>
                </c:pt>
                <c:pt idx="11">
                  <c:v>0.8772235879555359</c:v>
                </c:pt>
                <c:pt idx="12">
                  <c:v>0.87728833367588432</c:v>
                </c:pt>
                <c:pt idx="13">
                  <c:v>0.87720293072034705</c:v>
                </c:pt>
                <c:pt idx="14">
                  <c:v>0.87726767895972602</c:v>
                </c:pt>
                <c:pt idx="15">
                  <c:v>0.87720293388461479</c:v>
                </c:pt>
                <c:pt idx="16">
                  <c:v>0.87728833684001106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1-4C1F-84C2-BFE672EC11EF}"/>
            </c:ext>
          </c:extLst>
        </c:ser>
        <c:ser>
          <c:idx val="1"/>
          <c:order val="1"/>
          <c:tx>
            <c:v>High-T Only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'H2O Isothermal OD734 ID487'!$AF$4:$AF$20</c:f>
              <c:numCache>
                <c:formatCode>0.00E+00</c:formatCode>
                <c:ptCount val="17"/>
                <c:pt idx="0">
                  <c:v>0.84221753399751276</c:v>
                </c:pt>
                <c:pt idx="1">
                  <c:v>0.84198957484699866</c:v>
                </c:pt>
                <c:pt idx="2">
                  <c:v>0.84380132107575834</c:v>
                </c:pt>
                <c:pt idx="3">
                  <c:v>0.83352360718738872</c:v>
                </c:pt>
                <c:pt idx="4">
                  <c:v>0.84576070093355316</c:v>
                </c:pt>
                <c:pt idx="5">
                  <c:v>0.84571170762814851</c:v>
                </c:pt>
                <c:pt idx="6">
                  <c:v>0.70416701186358599</c:v>
                </c:pt>
                <c:pt idx="7">
                  <c:v>0.84500204992353167</c:v>
                </c:pt>
                <c:pt idx="8">
                  <c:v>0.8395466348737386</c:v>
                </c:pt>
                <c:pt idx="9">
                  <c:v>0.84791229595614959</c:v>
                </c:pt>
                <c:pt idx="10">
                  <c:v>0.84814630320616347</c:v>
                </c:pt>
                <c:pt idx="11">
                  <c:v>0.85027857892827663</c:v>
                </c:pt>
                <c:pt idx="12">
                  <c:v>0.85032763253735977</c:v>
                </c:pt>
                <c:pt idx="13">
                  <c:v>0.84985416862282159</c:v>
                </c:pt>
                <c:pt idx="14">
                  <c:v>0.85071219174439971</c:v>
                </c:pt>
                <c:pt idx="15">
                  <c:v>0.85188493459768311</c:v>
                </c:pt>
                <c:pt idx="16">
                  <c:v>0.85269094802630763</c:v>
                </c:pt>
              </c:numCache>
            </c:numRef>
          </c:xVal>
          <c:yVal>
            <c:numRef>
              <c:f>'H2O Isothermal OD734 ID487'!$AB$4:$AB$20</c:f>
              <c:numCache>
                <c:formatCode>0.00E+00</c:formatCode>
                <c:ptCount val="17"/>
                <c:pt idx="0">
                  <c:v>0.89069629015106688</c:v>
                </c:pt>
                <c:pt idx="1">
                  <c:v>0.89069629015106688</c:v>
                </c:pt>
                <c:pt idx="2">
                  <c:v>0.89069629015106688</c:v>
                </c:pt>
                <c:pt idx="3">
                  <c:v>0.89069629015106688</c:v>
                </c:pt>
                <c:pt idx="4">
                  <c:v>0.89069629015106688</c:v>
                </c:pt>
                <c:pt idx="5">
                  <c:v>0.89069629015106688</c:v>
                </c:pt>
                <c:pt idx="6">
                  <c:v>0.89069629015106688</c:v>
                </c:pt>
                <c:pt idx="7">
                  <c:v>0.89069629015106688</c:v>
                </c:pt>
                <c:pt idx="8">
                  <c:v>0.89069629015106688</c:v>
                </c:pt>
                <c:pt idx="9">
                  <c:v>0.89069629015106688</c:v>
                </c:pt>
                <c:pt idx="10">
                  <c:v>0.89069629015106688</c:v>
                </c:pt>
                <c:pt idx="11">
                  <c:v>0.89069629015106688</c:v>
                </c:pt>
                <c:pt idx="12">
                  <c:v>0.89069629015106688</c:v>
                </c:pt>
                <c:pt idx="13">
                  <c:v>0.89069629015106688</c:v>
                </c:pt>
                <c:pt idx="14">
                  <c:v>0.89069629015106688</c:v>
                </c:pt>
                <c:pt idx="15">
                  <c:v>0.89069629015106688</c:v>
                </c:pt>
                <c:pt idx="16">
                  <c:v>0.89069629015106688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1-4C1F-84C2-BFE672EC11EF}"/>
            </c:ext>
          </c:extLst>
        </c:ser>
        <c:ser>
          <c:idx val="2"/>
          <c:order val="2"/>
          <c:tx>
            <c:v>1:1 Line</c:v>
          </c:tx>
          <c:spPr>
            <a:ln w="25400" cap="rnd">
              <a:solidFill>
                <a:schemeClr val="accent1">
                  <a:alpha val="4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'H2O Isothermal OD734 ID487'!$X$38:$X$39</c:f>
              <c:numCache>
                <c:formatCode>General</c:formatCode>
                <c:ptCount val="2"/>
                <c:pt idx="0">
                  <c:v>0.7</c:v>
                </c:pt>
                <c:pt idx="1">
                  <c:v>0.9</c:v>
                </c:pt>
              </c:numCache>
            </c:numRef>
          </c:xVal>
          <c:yVal>
            <c:numRef>
              <c:f>'H2O Isothermal OD734 ID487'!$Y$38:$Y$39</c:f>
              <c:numCache>
                <c:formatCode>General</c:formatCode>
                <c:ptCount val="2"/>
                <c:pt idx="0">
                  <c:v>0.7</c:v>
                </c:pt>
                <c:pt idx="1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21-4C1F-84C2-BFE672EC1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65695"/>
        <c:axId val="1941044575"/>
      </c:scatterChart>
      <c:valAx>
        <c:axId val="1941065695"/>
        <c:scaling>
          <c:orientation val="minMax"/>
          <c:max val="0.9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44575"/>
        <c:crosses val="autoZero"/>
        <c:crossBetween val="midCat"/>
      </c:valAx>
      <c:valAx>
        <c:axId val="1941044575"/>
        <c:scaling>
          <c:orientation val="minMax"/>
          <c:max val="0.9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6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isothermal H2O tube cooling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0060629921259843"/>
                  <c:y val="-0.11466389617964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[2]Isothermal_Water_Tube_Cooling_R!$C$2:$C$205</c:f>
              <c:numCache>
                <c:formatCode>General</c:formatCode>
                <c:ptCount val="204"/>
                <c:pt idx="0">
                  <c:v>71.5</c:v>
                </c:pt>
                <c:pt idx="1">
                  <c:v>70</c:v>
                </c:pt>
                <c:pt idx="2">
                  <c:v>67.5</c:v>
                </c:pt>
                <c:pt idx="3">
                  <c:v>66.5</c:v>
                </c:pt>
                <c:pt idx="4">
                  <c:v>64.5</c:v>
                </c:pt>
                <c:pt idx="5">
                  <c:v>62.5</c:v>
                </c:pt>
                <c:pt idx="6">
                  <c:v>61.5</c:v>
                </c:pt>
                <c:pt idx="7">
                  <c:v>60</c:v>
                </c:pt>
                <c:pt idx="8">
                  <c:v>72</c:v>
                </c:pt>
                <c:pt idx="9">
                  <c:v>71</c:v>
                </c:pt>
                <c:pt idx="10">
                  <c:v>69.5</c:v>
                </c:pt>
                <c:pt idx="11">
                  <c:v>68</c:v>
                </c:pt>
                <c:pt idx="12">
                  <c:v>67</c:v>
                </c:pt>
                <c:pt idx="13">
                  <c:v>65.5</c:v>
                </c:pt>
                <c:pt idx="14">
                  <c:v>64.5</c:v>
                </c:pt>
                <c:pt idx="15">
                  <c:v>63</c:v>
                </c:pt>
                <c:pt idx="16">
                  <c:v>71.5</c:v>
                </c:pt>
                <c:pt idx="17">
                  <c:v>70</c:v>
                </c:pt>
                <c:pt idx="18">
                  <c:v>67.5</c:v>
                </c:pt>
                <c:pt idx="19">
                  <c:v>66</c:v>
                </c:pt>
                <c:pt idx="20">
                  <c:v>64.5</c:v>
                </c:pt>
                <c:pt idx="21">
                  <c:v>63</c:v>
                </c:pt>
                <c:pt idx="22">
                  <c:v>62</c:v>
                </c:pt>
                <c:pt idx="23">
                  <c:v>73</c:v>
                </c:pt>
                <c:pt idx="24">
                  <c:v>71.5</c:v>
                </c:pt>
                <c:pt idx="25">
                  <c:v>70.5</c:v>
                </c:pt>
                <c:pt idx="26">
                  <c:v>70</c:v>
                </c:pt>
                <c:pt idx="27">
                  <c:v>69</c:v>
                </c:pt>
                <c:pt idx="28">
                  <c:v>68</c:v>
                </c:pt>
                <c:pt idx="29">
                  <c:v>66.5</c:v>
                </c:pt>
                <c:pt idx="30">
                  <c:v>74</c:v>
                </c:pt>
                <c:pt idx="31">
                  <c:v>73</c:v>
                </c:pt>
                <c:pt idx="32">
                  <c:v>71.5</c:v>
                </c:pt>
                <c:pt idx="33">
                  <c:v>71.5</c:v>
                </c:pt>
                <c:pt idx="34">
                  <c:v>70.5</c:v>
                </c:pt>
                <c:pt idx="35">
                  <c:v>69</c:v>
                </c:pt>
                <c:pt idx="36">
                  <c:v>68.5</c:v>
                </c:pt>
                <c:pt idx="37">
                  <c:v>68</c:v>
                </c:pt>
                <c:pt idx="38">
                  <c:v>73.5</c:v>
                </c:pt>
                <c:pt idx="39">
                  <c:v>72.5</c:v>
                </c:pt>
                <c:pt idx="40">
                  <c:v>72</c:v>
                </c:pt>
                <c:pt idx="41">
                  <c:v>70.5</c:v>
                </c:pt>
                <c:pt idx="42">
                  <c:v>69.5</c:v>
                </c:pt>
                <c:pt idx="43">
                  <c:v>68.5</c:v>
                </c:pt>
                <c:pt idx="44">
                  <c:v>68</c:v>
                </c:pt>
                <c:pt idx="45">
                  <c:v>67</c:v>
                </c:pt>
                <c:pt idx="46">
                  <c:v>66</c:v>
                </c:pt>
                <c:pt idx="47">
                  <c:v>74</c:v>
                </c:pt>
                <c:pt idx="48">
                  <c:v>73</c:v>
                </c:pt>
                <c:pt idx="49">
                  <c:v>72</c:v>
                </c:pt>
                <c:pt idx="50">
                  <c:v>71.5</c:v>
                </c:pt>
                <c:pt idx="51">
                  <c:v>70.5</c:v>
                </c:pt>
                <c:pt idx="52">
                  <c:v>69.5</c:v>
                </c:pt>
                <c:pt idx="53">
                  <c:v>69</c:v>
                </c:pt>
                <c:pt idx="54">
                  <c:v>68</c:v>
                </c:pt>
                <c:pt idx="55">
                  <c:v>67</c:v>
                </c:pt>
                <c:pt idx="56">
                  <c:v>66.5</c:v>
                </c:pt>
                <c:pt idx="57">
                  <c:v>74</c:v>
                </c:pt>
                <c:pt idx="58">
                  <c:v>73</c:v>
                </c:pt>
                <c:pt idx="59">
                  <c:v>71.5</c:v>
                </c:pt>
                <c:pt idx="60">
                  <c:v>71.5</c:v>
                </c:pt>
                <c:pt idx="61">
                  <c:v>70.5</c:v>
                </c:pt>
                <c:pt idx="62">
                  <c:v>69</c:v>
                </c:pt>
                <c:pt idx="63">
                  <c:v>69</c:v>
                </c:pt>
                <c:pt idx="64">
                  <c:v>68</c:v>
                </c:pt>
                <c:pt idx="65">
                  <c:v>67</c:v>
                </c:pt>
                <c:pt idx="66">
                  <c:v>66.5</c:v>
                </c:pt>
                <c:pt idx="67">
                  <c:v>66</c:v>
                </c:pt>
                <c:pt idx="68">
                  <c:v>65</c:v>
                </c:pt>
                <c:pt idx="69">
                  <c:v>74</c:v>
                </c:pt>
                <c:pt idx="70">
                  <c:v>73</c:v>
                </c:pt>
                <c:pt idx="71">
                  <c:v>72.5</c:v>
                </c:pt>
                <c:pt idx="72">
                  <c:v>71.5</c:v>
                </c:pt>
                <c:pt idx="73">
                  <c:v>70.5</c:v>
                </c:pt>
                <c:pt idx="74">
                  <c:v>70</c:v>
                </c:pt>
                <c:pt idx="75">
                  <c:v>69</c:v>
                </c:pt>
                <c:pt idx="76">
                  <c:v>68</c:v>
                </c:pt>
                <c:pt idx="77">
                  <c:v>68</c:v>
                </c:pt>
                <c:pt idx="78">
                  <c:v>66.5</c:v>
                </c:pt>
                <c:pt idx="79">
                  <c:v>74</c:v>
                </c:pt>
                <c:pt idx="80">
                  <c:v>73</c:v>
                </c:pt>
                <c:pt idx="81">
                  <c:v>72.5</c:v>
                </c:pt>
                <c:pt idx="82">
                  <c:v>71.5</c:v>
                </c:pt>
                <c:pt idx="83">
                  <c:v>70.5</c:v>
                </c:pt>
                <c:pt idx="84">
                  <c:v>70</c:v>
                </c:pt>
                <c:pt idx="85">
                  <c:v>69</c:v>
                </c:pt>
                <c:pt idx="86">
                  <c:v>68</c:v>
                </c:pt>
                <c:pt idx="87">
                  <c:v>67.5</c:v>
                </c:pt>
                <c:pt idx="88">
                  <c:v>66.5</c:v>
                </c:pt>
                <c:pt idx="89">
                  <c:v>65.5</c:v>
                </c:pt>
                <c:pt idx="90">
                  <c:v>65</c:v>
                </c:pt>
                <c:pt idx="91">
                  <c:v>64</c:v>
                </c:pt>
                <c:pt idx="92">
                  <c:v>74</c:v>
                </c:pt>
                <c:pt idx="93">
                  <c:v>73.5</c:v>
                </c:pt>
                <c:pt idx="94">
                  <c:v>72.5</c:v>
                </c:pt>
                <c:pt idx="95">
                  <c:v>71.5</c:v>
                </c:pt>
                <c:pt idx="96">
                  <c:v>71</c:v>
                </c:pt>
                <c:pt idx="97">
                  <c:v>70</c:v>
                </c:pt>
                <c:pt idx="98">
                  <c:v>69</c:v>
                </c:pt>
                <c:pt idx="99">
                  <c:v>68.5</c:v>
                </c:pt>
                <c:pt idx="100">
                  <c:v>68</c:v>
                </c:pt>
                <c:pt idx="101">
                  <c:v>67</c:v>
                </c:pt>
                <c:pt idx="102">
                  <c:v>66</c:v>
                </c:pt>
                <c:pt idx="103">
                  <c:v>65.5</c:v>
                </c:pt>
                <c:pt idx="104">
                  <c:v>74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71.5</c:v>
                </c:pt>
                <c:pt idx="109">
                  <c:v>70.5</c:v>
                </c:pt>
                <c:pt idx="110">
                  <c:v>70</c:v>
                </c:pt>
                <c:pt idx="111">
                  <c:v>69</c:v>
                </c:pt>
                <c:pt idx="112">
                  <c:v>68</c:v>
                </c:pt>
                <c:pt idx="113">
                  <c:v>67.5</c:v>
                </c:pt>
                <c:pt idx="114">
                  <c:v>66.5</c:v>
                </c:pt>
                <c:pt idx="115">
                  <c:v>66</c:v>
                </c:pt>
                <c:pt idx="116">
                  <c:v>74</c:v>
                </c:pt>
                <c:pt idx="117">
                  <c:v>74</c:v>
                </c:pt>
                <c:pt idx="118">
                  <c:v>73</c:v>
                </c:pt>
                <c:pt idx="119">
                  <c:v>72</c:v>
                </c:pt>
                <c:pt idx="120">
                  <c:v>71.5</c:v>
                </c:pt>
                <c:pt idx="121">
                  <c:v>70.5</c:v>
                </c:pt>
                <c:pt idx="122">
                  <c:v>70</c:v>
                </c:pt>
                <c:pt idx="123">
                  <c:v>69</c:v>
                </c:pt>
                <c:pt idx="124">
                  <c:v>68</c:v>
                </c:pt>
                <c:pt idx="125">
                  <c:v>68</c:v>
                </c:pt>
                <c:pt idx="126">
                  <c:v>66.5</c:v>
                </c:pt>
                <c:pt idx="127">
                  <c:v>66</c:v>
                </c:pt>
                <c:pt idx="128">
                  <c:v>65.5</c:v>
                </c:pt>
                <c:pt idx="129">
                  <c:v>74</c:v>
                </c:pt>
                <c:pt idx="130">
                  <c:v>74</c:v>
                </c:pt>
                <c:pt idx="131">
                  <c:v>73</c:v>
                </c:pt>
                <c:pt idx="132">
                  <c:v>72</c:v>
                </c:pt>
                <c:pt idx="133">
                  <c:v>71.5</c:v>
                </c:pt>
                <c:pt idx="134">
                  <c:v>70.5</c:v>
                </c:pt>
                <c:pt idx="135">
                  <c:v>70</c:v>
                </c:pt>
                <c:pt idx="136">
                  <c:v>69</c:v>
                </c:pt>
                <c:pt idx="137">
                  <c:v>67.5</c:v>
                </c:pt>
                <c:pt idx="138">
                  <c:v>74</c:v>
                </c:pt>
                <c:pt idx="139">
                  <c:v>73.5</c:v>
                </c:pt>
                <c:pt idx="140">
                  <c:v>72.5</c:v>
                </c:pt>
                <c:pt idx="141">
                  <c:v>71.5</c:v>
                </c:pt>
                <c:pt idx="142">
                  <c:v>70.5</c:v>
                </c:pt>
                <c:pt idx="143">
                  <c:v>69.5</c:v>
                </c:pt>
                <c:pt idx="144">
                  <c:v>69</c:v>
                </c:pt>
                <c:pt idx="145">
                  <c:v>68</c:v>
                </c:pt>
                <c:pt idx="146">
                  <c:v>67.5</c:v>
                </c:pt>
                <c:pt idx="147">
                  <c:v>66.5</c:v>
                </c:pt>
                <c:pt idx="148">
                  <c:v>66</c:v>
                </c:pt>
                <c:pt idx="149">
                  <c:v>65.5</c:v>
                </c:pt>
                <c:pt idx="150">
                  <c:v>74</c:v>
                </c:pt>
                <c:pt idx="151">
                  <c:v>74</c:v>
                </c:pt>
                <c:pt idx="152">
                  <c:v>73</c:v>
                </c:pt>
                <c:pt idx="153">
                  <c:v>72</c:v>
                </c:pt>
                <c:pt idx="154">
                  <c:v>71.5</c:v>
                </c:pt>
                <c:pt idx="155">
                  <c:v>70.5</c:v>
                </c:pt>
                <c:pt idx="156">
                  <c:v>70</c:v>
                </c:pt>
                <c:pt idx="157">
                  <c:v>69</c:v>
                </c:pt>
                <c:pt idx="158">
                  <c:v>68</c:v>
                </c:pt>
                <c:pt idx="159">
                  <c:v>74</c:v>
                </c:pt>
                <c:pt idx="160">
                  <c:v>74</c:v>
                </c:pt>
                <c:pt idx="161">
                  <c:v>73</c:v>
                </c:pt>
                <c:pt idx="162">
                  <c:v>72</c:v>
                </c:pt>
                <c:pt idx="163">
                  <c:v>71.5</c:v>
                </c:pt>
                <c:pt idx="164">
                  <c:v>70.5</c:v>
                </c:pt>
                <c:pt idx="165">
                  <c:v>70</c:v>
                </c:pt>
                <c:pt idx="166">
                  <c:v>69</c:v>
                </c:pt>
                <c:pt idx="167">
                  <c:v>68</c:v>
                </c:pt>
                <c:pt idx="168">
                  <c:v>67</c:v>
                </c:pt>
                <c:pt idx="169">
                  <c:v>66.5</c:v>
                </c:pt>
                <c:pt idx="170">
                  <c:v>65.5</c:v>
                </c:pt>
                <c:pt idx="171">
                  <c:v>74</c:v>
                </c:pt>
                <c:pt idx="172">
                  <c:v>73.5</c:v>
                </c:pt>
                <c:pt idx="173">
                  <c:v>73</c:v>
                </c:pt>
                <c:pt idx="174">
                  <c:v>72</c:v>
                </c:pt>
                <c:pt idx="175">
                  <c:v>71</c:v>
                </c:pt>
                <c:pt idx="176">
                  <c:v>70.5</c:v>
                </c:pt>
                <c:pt idx="177">
                  <c:v>69.5</c:v>
                </c:pt>
                <c:pt idx="178">
                  <c:v>69</c:v>
                </c:pt>
                <c:pt idx="179">
                  <c:v>68</c:v>
                </c:pt>
                <c:pt idx="180">
                  <c:v>67</c:v>
                </c:pt>
                <c:pt idx="181">
                  <c:v>66.5</c:v>
                </c:pt>
                <c:pt idx="182">
                  <c:v>65.5</c:v>
                </c:pt>
                <c:pt idx="183">
                  <c:v>74</c:v>
                </c:pt>
                <c:pt idx="184">
                  <c:v>73</c:v>
                </c:pt>
                <c:pt idx="185">
                  <c:v>72</c:v>
                </c:pt>
                <c:pt idx="186">
                  <c:v>71.5</c:v>
                </c:pt>
                <c:pt idx="187">
                  <c:v>70.5</c:v>
                </c:pt>
                <c:pt idx="188">
                  <c:v>70</c:v>
                </c:pt>
                <c:pt idx="189">
                  <c:v>69</c:v>
                </c:pt>
                <c:pt idx="190">
                  <c:v>68</c:v>
                </c:pt>
                <c:pt idx="191">
                  <c:v>68</c:v>
                </c:pt>
                <c:pt idx="192">
                  <c:v>66.5</c:v>
                </c:pt>
                <c:pt idx="193">
                  <c:v>66</c:v>
                </c:pt>
                <c:pt idx="194">
                  <c:v>65.5</c:v>
                </c:pt>
                <c:pt idx="195">
                  <c:v>252</c:v>
                </c:pt>
                <c:pt idx="196">
                  <c:v>240</c:v>
                </c:pt>
                <c:pt idx="197">
                  <c:v>229</c:v>
                </c:pt>
                <c:pt idx="198">
                  <c:v>218</c:v>
                </c:pt>
                <c:pt idx="199">
                  <c:v>208</c:v>
                </c:pt>
                <c:pt idx="200">
                  <c:v>198.5</c:v>
                </c:pt>
                <c:pt idx="201">
                  <c:v>189.5</c:v>
                </c:pt>
                <c:pt idx="202">
                  <c:v>181</c:v>
                </c:pt>
                <c:pt idx="203">
                  <c:v>0</c:v>
                </c:pt>
              </c:numCache>
            </c:numRef>
          </c:xVal>
          <c:yVal>
            <c:numRef>
              <c:f>[2]Isothermal_Water_Tube_Cooling_R!$D$2:$D$205</c:f>
              <c:numCache>
                <c:formatCode>General</c:formatCode>
                <c:ptCount val="204"/>
                <c:pt idx="0">
                  <c:v>-0.26854288629893902</c:v>
                </c:pt>
                <c:pt idx="1">
                  <c:v>-0.32228608261267</c:v>
                </c:pt>
                <c:pt idx="2">
                  <c:v>-0.26857173551055802</c:v>
                </c:pt>
                <c:pt idx="3">
                  <c:v>-0.26857173551055202</c:v>
                </c:pt>
                <c:pt idx="4">
                  <c:v>-0.26858616244091099</c:v>
                </c:pt>
                <c:pt idx="5">
                  <c:v>-0.26854288629893902</c:v>
                </c:pt>
                <c:pt idx="6">
                  <c:v>-0.26857173551055802</c:v>
                </c:pt>
                <c:pt idx="7">
                  <c:v>-0.21484584810398599</c:v>
                </c:pt>
                <c:pt idx="8">
                  <c:v>-0.21484584810398599</c:v>
                </c:pt>
                <c:pt idx="9">
                  <c:v>-0.214915108532128</c:v>
                </c:pt>
                <c:pt idx="10">
                  <c:v>-0.26857173551055802</c:v>
                </c:pt>
                <c:pt idx="11">
                  <c:v>-0.21486892995272899</c:v>
                </c:pt>
                <c:pt idx="12">
                  <c:v>-0.21486892995272899</c:v>
                </c:pt>
                <c:pt idx="13">
                  <c:v>-0.161177671519906</c:v>
                </c:pt>
                <c:pt idx="14">
                  <c:v>-0.161177671519906</c:v>
                </c:pt>
                <c:pt idx="15">
                  <c:v>-0.214915108532128</c:v>
                </c:pt>
                <c:pt idx="16">
                  <c:v>-0.28198517563648001</c:v>
                </c:pt>
                <c:pt idx="17">
                  <c:v>-0.24169184290030299</c:v>
                </c:pt>
                <c:pt idx="18">
                  <c:v>-0.26860059092130301</c:v>
                </c:pt>
                <c:pt idx="19">
                  <c:v>-0.21492665627854601</c:v>
                </c:pt>
                <c:pt idx="20">
                  <c:v>-0.268629452533171</c:v>
                </c:pt>
                <c:pt idx="21">
                  <c:v>-0.21485738840844101</c:v>
                </c:pt>
                <c:pt idx="22">
                  <c:v>-0.21483430903915099</c:v>
                </c:pt>
                <c:pt idx="23">
                  <c:v>-0.107440236368521</c:v>
                </c:pt>
                <c:pt idx="24">
                  <c:v>-0.16116901257118199</c:v>
                </c:pt>
                <c:pt idx="25">
                  <c:v>-0.16116901257118199</c:v>
                </c:pt>
                <c:pt idx="26">
                  <c:v>-0.214915108532128</c:v>
                </c:pt>
                <c:pt idx="27">
                  <c:v>-0.10745178101327101</c:v>
                </c:pt>
                <c:pt idx="28">
                  <c:v>-0.10746332813927301</c:v>
                </c:pt>
                <c:pt idx="29">
                  <c:v>-0.16116901257118199</c:v>
                </c:pt>
                <c:pt idx="30">
                  <c:v>-0.10745178101327101</c:v>
                </c:pt>
                <c:pt idx="31">
                  <c:v>-0.10746332813927301</c:v>
                </c:pt>
                <c:pt idx="32">
                  <c:v>-0.16116901257118199</c:v>
                </c:pt>
                <c:pt idx="33">
                  <c:v>-0.161160354552777</c:v>
                </c:pt>
                <c:pt idx="34">
                  <c:v>-0.161151697464546</c:v>
                </c:pt>
                <c:pt idx="35">
                  <c:v>-0.10744600838078799</c:v>
                </c:pt>
                <c:pt idx="36">
                  <c:v>-0.16118633139909999</c:v>
                </c:pt>
                <c:pt idx="37">
                  <c:v>-0.10744600838078799</c:v>
                </c:pt>
                <c:pt idx="38">
                  <c:v>-0.120831319478008</c:v>
                </c:pt>
                <c:pt idx="39">
                  <c:v>-0.12087026591458599</c:v>
                </c:pt>
                <c:pt idx="40">
                  <c:v>-0.16116684797937</c:v>
                </c:pt>
                <c:pt idx="41">
                  <c:v>-0.161177671519906</c:v>
                </c:pt>
                <c:pt idx="42">
                  <c:v>-0.161177671519902</c:v>
                </c:pt>
                <c:pt idx="43">
                  <c:v>-0.161160354552777</c:v>
                </c:pt>
                <c:pt idx="44">
                  <c:v>-0.10744600838078799</c:v>
                </c:pt>
                <c:pt idx="45">
                  <c:v>-0.10745178101327101</c:v>
                </c:pt>
                <c:pt idx="46">
                  <c:v>-0.10745178101327101</c:v>
                </c:pt>
                <c:pt idx="47">
                  <c:v>-0.10746332813927</c:v>
                </c:pt>
                <c:pt idx="48">
                  <c:v>-0.10744600838078799</c:v>
                </c:pt>
                <c:pt idx="49">
                  <c:v>-0.10744600838078799</c:v>
                </c:pt>
                <c:pt idx="50">
                  <c:v>-0.16116901257118199</c:v>
                </c:pt>
                <c:pt idx="51">
                  <c:v>-0.16118633139909599</c:v>
                </c:pt>
                <c:pt idx="52">
                  <c:v>-0.161177671519906</c:v>
                </c:pt>
                <c:pt idx="53">
                  <c:v>-0.107434464976364</c:v>
                </c:pt>
                <c:pt idx="54">
                  <c:v>-0.107440236368521</c:v>
                </c:pt>
                <c:pt idx="55">
                  <c:v>-0.10744600838078799</c:v>
                </c:pt>
                <c:pt idx="56">
                  <c:v>-0.16116901257118599</c:v>
                </c:pt>
                <c:pt idx="57">
                  <c:v>-0.107440236368518</c:v>
                </c:pt>
                <c:pt idx="58">
                  <c:v>-0.107440236368518</c:v>
                </c:pt>
                <c:pt idx="59">
                  <c:v>-0.161160354552777</c:v>
                </c:pt>
                <c:pt idx="60">
                  <c:v>-0.161177671519906</c:v>
                </c:pt>
                <c:pt idx="61">
                  <c:v>-0.161143041306335</c:v>
                </c:pt>
                <c:pt idx="62">
                  <c:v>-0.10741715451957801</c:v>
                </c:pt>
                <c:pt idx="63">
                  <c:v>-0.10738831615120099</c:v>
                </c:pt>
                <c:pt idx="64">
                  <c:v>-0.107376785139051</c:v>
                </c:pt>
                <c:pt idx="65">
                  <c:v>-0.10738831615120099</c:v>
                </c:pt>
                <c:pt idx="66">
                  <c:v>-0.16109977446031701</c:v>
                </c:pt>
                <c:pt idx="67">
                  <c:v>-0.107434464976364</c:v>
                </c:pt>
                <c:pt idx="68">
                  <c:v>-0.107440236368521</c:v>
                </c:pt>
                <c:pt idx="69">
                  <c:v>-0.10746332813927</c:v>
                </c:pt>
                <c:pt idx="70">
                  <c:v>-0.10746332813927301</c:v>
                </c:pt>
                <c:pt idx="71">
                  <c:v>-0.16116901257118199</c:v>
                </c:pt>
                <c:pt idx="72">
                  <c:v>-0.16116901257118599</c:v>
                </c:pt>
                <c:pt idx="73">
                  <c:v>-0.161177671519902</c:v>
                </c:pt>
                <c:pt idx="74">
                  <c:v>-0.107469102632992</c:v>
                </c:pt>
                <c:pt idx="75">
                  <c:v>-0.107440236368518</c:v>
                </c:pt>
                <c:pt idx="76">
                  <c:v>-0.10741715451957801</c:v>
                </c:pt>
                <c:pt idx="77">
                  <c:v>-0.107399849640211</c:v>
                </c:pt>
                <c:pt idx="78">
                  <c:v>-0.16113438607798899</c:v>
                </c:pt>
                <c:pt idx="79">
                  <c:v>-0.10745178101327101</c:v>
                </c:pt>
                <c:pt idx="80">
                  <c:v>-0.10745178101327101</c:v>
                </c:pt>
                <c:pt idx="81">
                  <c:v>-0.161143041306331</c:v>
                </c:pt>
                <c:pt idx="82">
                  <c:v>-0.16112573177936301</c:v>
                </c:pt>
                <c:pt idx="83">
                  <c:v>-0.16109977446031701</c:v>
                </c:pt>
                <c:pt idx="84">
                  <c:v>-0.10741715451957499</c:v>
                </c:pt>
                <c:pt idx="85">
                  <c:v>-0.107434464976364</c:v>
                </c:pt>
                <c:pt idx="86">
                  <c:v>-0.107457554266064</c:v>
                </c:pt>
                <c:pt idx="87">
                  <c:v>-0.161177671519906</c:v>
                </c:pt>
                <c:pt idx="88">
                  <c:v>-0.161177671519906</c:v>
                </c:pt>
                <c:pt idx="89">
                  <c:v>-0.161160354552777</c:v>
                </c:pt>
                <c:pt idx="90">
                  <c:v>-0.10744600838078799</c:v>
                </c:pt>
                <c:pt idx="91">
                  <c:v>-0.10745178101327101</c:v>
                </c:pt>
                <c:pt idx="92">
                  <c:v>-0.10745178101327101</c:v>
                </c:pt>
                <c:pt idx="93">
                  <c:v>-0.161160354552777</c:v>
                </c:pt>
                <c:pt idx="94">
                  <c:v>-0.16116035455278099</c:v>
                </c:pt>
                <c:pt idx="95">
                  <c:v>-0.161160354552777</c:v>
                </c:pt>
                <c:pt idx="96">
                  <c:v>-0.107422924051993</c:v>
                </c:pt>
                <c:pt idx="97">
                  <c:v>-0.10742869420421999</c:v>
                </c:pt>
                <c:pt idx="98">
                  <c:v>-0.10741138560687399</c:v>
                </c:pt>
                <c:pt idx="99">
                  <c:v>-0.16113438607798899</c:v>
                </c:pt>
                <c:pt idx="100">
                  <c:v>-0.10741138560687399</c:v>
                </c:pt>
                <c:pt idx="101">
                  <c:v>-0.10741715451957499</c:v>
                </c:pt>
                <c:pt idx="102">
                  <c:v>-0.107428694204223</c:v>
                </c:pt>
                <c:pt idx="103">
                  <c:v>-0.161177671519902</c:v>
                </c:pt>
                <c:pt idx="104">
                  <c:v>-0.107428694204223</c:v>
                </c:pt>
                <c:pt idx="105">
                  <c:v>-0.107428694204223</c:v>
                </c:pt>
                <c:pt idx="106">
                  <c:v>-0.107434464976364</c:v>
                </c:pt>
                <c:pt idx="107">
                  <c:v>-0.107422924051993</c:v>
                </c:pt>
                <c:pt idx="108">
                  <c:v>-0.161160354552777</c:v>
                </c:pt>
                <c:pt idx="109">
                  <c:v>-0.161143041306331</c:v>
                </c:pt>
                <c:pt idx="110">
                  <c:v>-0.107434464976364</c:v>
                </c:pt>
                <c:pt idx="111">
                  <c:v>-0.10741715451957499</c:v>
                </c:pt>
                <c:pt idx="112">
                  <c:v>-0.10745178101327101</c:v>
                </c:pt>
                <c:pt idx="113">
                  <c:v>-0.16113438607798899</c:v>
                </c:pt>
                <c:pt idx="114">
                  <c:v>-0.16116035455278099</c:v>
                </c:pt>
                <c:pt idx="115">
                  <c:v>-0.107422924051993</c:v>
                </c:pt>
                <c:pt idx="116">
                  <c:v>-0.10744600838078799</c:v>
                </c:pt>
                <c:pt idx="117">
                  <c:v>-0.107457554266064</c:v>
                </c:pt>
                <c:pt idx="118">
                  <c:v>-0.10745178101327101</c:v>
                </c:pt>
                <c:pt idx="119">
                  <c:v>-0.10744600838078799</c:v>
                </c:pt>
                <c:pt idx="120">
                  <c:v>-0.161177671519902</c:v>
                </c:pt>
                <c:pt idx="121">
                  <c:v>-0.161177671519906</c:v>
                </c:pt>
                <c:pt idx="122">
                  <c:v>-0.10745178101327101</c:v>
                </c:pt>
                <c:pt idx="123">
                  <c:v>-0.107440236368521</c:v>
                </c:pt>
                <c:pt idx="124">
                  <c:v>-0.107457554266064</c:v>
                </c:pt>
                <c:pt idx="125">
                  <c:v>-0.107469102632992</c:v>
                </c:pt>
                <c:pt idx="126">
                  <c:v>-0.16119499220890901</c:v>
                </c:pt>
                <c:pt idx="127">
                  <c:v>-0.107457554266064</c:v>
                </c:pt>
                <c:pt idx="128">
                  <c:v>-0.161151697464546</c:v>
                </c:pt>
                <c:pt idx="129">
                  <c:v>-0.10746332813927301</c:v>
                </c:pt>
                <c:pt idx="130">
                  <c:v>-0.107434464976364</c:v>
                </c:pt>
                <c:pt idx="131">
                  <c:v>-0.107434464976364</c:v>
                </c:pt>
                <c:pt idx="132">
                  <c:v>-0.107394082586049</c:v>
                </c:pt>
                <c:pt idx="133">
                  <c:v>-0.16110842597067701</c:v>
                </c:pt>
                <c:pt idx="134">
                  <c:v>-0.16112573177936301</c:v>
                </c:pt>
                <c:pt idx="135">
                  <c:v>-0.10744600838078799</c:v>
                </c:pt>
                <c:pt idx="136">
                  <c:v>-0.107457554266064</c:v>
                </c:pt>
                <c:pt idx="137">
                  <c:v>-0.120875135984528</c:v>
                </c:pt>
                <c:pt idx="138">
                  <c:v>-0.10740561731378399</c:v>
                </c:pt>
                <c:pt idx="139">
                  <c:v>-0.120850789558491</c:v>
                </c:pt>
                <c:pt idx="140">
                  <c:v>-0.120860526951899</c:v>
                </c:pt>
                <c:pt idx="141">
                  <c:v>-0.120860526951896</c:v>
                </c:pt>
                <c:pt idx="142">
                  <c:v>-0.161117078410312</c:v>
                </c:pt>
                <c:pt idx="143">
                  <c:v>-0.16112573177936301</c:v>
                </c:pt>
                <c:pt idx="144">
                  <c:v>-0.107440236368521</c:v>
                </c:pt>
                <c:pt idx="145">
                  <c:v>-0.107457554266064</c:v>
                </c:pt>
                <c:pt idx="146">
                  <c:v>-5.3711462025996498E-2</c:v>
                </c:pt>
                <c:pt idx="147">
                  <c:v>-0.16113438607798899</c:v>
                </c:pt>
                <c:pt idx="148">
                  <c:v>-0.10742869420421999</c:v>
                </c:pt>
                <c:pt idx="149">
                  <c:v>-0.16118633139909599</c:v>
                </c:pt>
                <c:pt idx="150">
                  <c:v>-0.10742869420421999</c:v>
                </c:pt>
                <c:pt idx="151">
                  <c:v>-0.10740561731378701</c:v>
                </c:pt>
                <c:pt idx="152">
                  <c:v>-0.10740561731378399</c:v>
                </c:pt>
                <c:pt idx="153">
                  <c:v>-0.107428694204223</c:v>
                </c:pt>
                <c:pt idx="154">
                  <c:v>-0.161177671519902</c:v>
                </c:pt>
                <c:pt idx="155">
                  <c:v>-0.16118633139909999</c:v>
                </c:pt>
                <c:pt idx="156">
                  <c:v>-0.107434464976364</c:v>
                </c:pt>
                <c:pt idx="157">
                  <c:v>-0.107428694204223</c:v>
                </c:pt>
                <c:pt idx="158">
                  <c:v>-0.10742292405199</c:v>
                </c:pt>
                <c:pt idx="159">
                  <c:v>-0.107422924051993</c:v>
                </c:pt>
                <c:pt idx="160">
                  <c:v>-0.107422924051993</c:v>
                </c:pt>
                <c:pt idx="161">
                  <c:v>-0.10744600838078799</c:v>
                </c:pt>
                <c:pt idx="162">
                  <c:v>-0.107469102632992</c:v>
                </c:pt>
                <c:pt idx="163">
                  <c:v>-0.16121231662099</c:v>
                </c:pt>
                <c:pt idx="164">
                  <c:v>-0.161151697464546</c:v>
                </c:pt>
                <c:pt idx="165">
                  <c:v>-0.10741138560687399</c:v>
                </c:pt>
                <c:pt idx="166">
                  <c:v>-0.107399849640208</c:v>
                </c:pt>
                <c:pt idx="167">
                  <c:v>-8.0557457606638599E-2</c:v>
                </c:pt>
                <c:pt idx="168">
                  <c:v>-0.161134386077988</c:v>
                </c:pt>
                <c:pt idx="169">
                  <c:v>-0.120855658059058</c:v>
                </c:pt>
                <c:pt idx="170">
                  <c:v>-0.161177671519902</c:v>
                </c:pt>
                <c:pt idx="171">
                  <c:v>-0.10745178101326799</c:v>
                </c:pt>
                <c:pt idx="172">
                  <c:v>-0.161160354552777</c:v>
                </c:pt>
                <c:pt idx="173">
                  <c:v>-0.107428694204223</c:v>
                </c:pt>
                <c:pt idx="174">
                  <c:v>-0.107428694204223</c:v>
                </c:pt>
                <c:pt idx="175">
                  <c:v>-0.10742869420421999</c:v>
                </c:pt>
                <c:pt idx="176">
                  <c:v>-0.161177671519902</c:v>
                </c:pt>
                <c:pt idx="177">
                  <c:v>-0.16118633139909599</c:v>
                </c:pt>
                <c:pt idx="178">
                  <c:v>-0.10746332813927301</c:v>
                </c:pt>
                <c:pt idx="179">
                  <c:v>-0.107428694204223</c:v>
                </c:pt>
                <c:pt idx="180">
                  <c:v>-0.10741138560687399</c:v>
                </c:pt>
                <c:pt idx="181">
                  <c:v>-0.16112573177936701</c:v>
                </c:pt>
                <c:pt idx="182">
                  <c:v>-0.161151697464546</c:v>
                </c:pt>
                <c:pt idx="183">
                  <c:v>-0.10741138560687399</c:v>
                </c:pt>
                <c:pt idx="184">
                  <c:v>-0.107434464976364</c:v>
                </c:pt>
                <c:pt idx="185">
                  <c:v>-0.10742869420421999</c:v>
                </c:pt>
                <c:pt idx="186">
                  <c:v>-0.16110842597067701</c:v>
                </c:pt>
                <c:pt idx="187">
                  <c:v>-0.161143041306335</c:v>
                </c:pt>
                <c:pt idx="188">
                  <c:v>-0.10740561731378399</c:v>
                </c:pt>
                <c:pt idx="189">
                  <c:v>-0.107428694204223</c:v>
                </c:pt>
                <c:pt idx="190">
                  <c:v>-0.10741138560687399</c:v>
                </c:pt>
                <c:pt idx="191">
                  <c:v>-0.107422924051993</c:v>
                </c:pt>
                <c:pt idx="192">
                  <c:v>-0.16113438607798899</c:v>
                </c:pt>
                <c:pt idx="193">
                  <c:v>-0.10742292405199</c:v>
                </c:pt>
                <c:pt idx="194">
                  <c:v>-0.16116035455278099</c:v>
                </c:pt>
                <c:pt idx="195">
                  <c:v>-1.9340281508542301</c:v>
                </c:pt>
                <c:pt idx="196">
                  <c:v>-1.8264840182648601</c:v>
                </c:pt>
                <c:pt idx="197">
                  <c:v>-1.7189514396218299</c:v>
                </c:pt>
                <c:pt idx="198">
                  <c:v>-1.7186744723131699</c:v>
                </c:pt>
                <c:pt idx="199">
                  <c:v>-1.61134386077985</c:v>
                </c:pt>
                <c:pt idx="200">
                  <c:v>-1.55813453685801</c:v>
                </c:pt>
                <c:pt idx="201">
                  <c:v>-1.34314726266592</c:v>
                </c:pt>
                <c:pt idx="202">
                  <c:v>-1.28942137215928</c:v>
                </c:pt>
                <c:pt idx="2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4-4AFF-9169-E2B55EA81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65919"/>
        <c:axId val="781763039"/>
      </c:scatterChart>
      <c:valAx>
        <c:axId val="7817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T(C)-24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63039"/>
        <c:crosses val="autoZero"/>
        <c:crossBetween val="midCat"/>
      </c:valAx>
      <c:valAx>
        <c:axId val="7817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dT/dt</a:t>
                </a:r>
                <a:r>
                  <a:rPr lang="en-US" baseline="0"/>
                  <a:t> (T/s)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</a:t>
            </a:r>
            <a:r>
              <a:rPr lang="en-US" baseline="0"/>
              <a:t> Apparent Permeability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Apparent 3He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SulfurBlank!$AS$3:$AS$23</c:f>
              <c:numCache>
                <c:formatCode>0.00E+00</c:formatCode>
                <c:ptCount val="21"/>
                <c:pt idx="0">
                  <c:v>28.328611898016998</c:v>
                </c:pt>
                <c:pt idx="1">
                  <c:v>28.328611898016998</c:v>
                </c:pt>
                <c:pt idx="2">
                  <c:v>28.328611898016998</c:v>
                </c:pt>
                <c:pt idx="3">
                  <c:v>28.328611898016998</c:v>
                </c:pt>
                <c:pt idx="4">
                  <c:v>28.328611898016998</c:v>
                </c:pt>
                <c:pt idx="5">
                  <c:v>26.809651474530831</c:v>
                </c:pt>
                <c:pt idx="6">
                  <c:v>26.809651474530831</c:v>
                </c:pt>
                <c:pt idx="7">
                  <c:v>26.809651474530831</c:v>
                </c:pt>
                <c:pt idx="8">
                  <c:v>26.809651474530831</c:v>
                </c:pt>
                <c:pt idx="9">
                  <c:v>26.809651474530831</c:v>
                </c:pt>
                <c:pt idx="10">
                  <c:v>25.445292620865139</c:v>
                </c:pt>
                <c:pt idx="11">
                  <c:v>25.445292620865139</c:v>
                </c:pt>
                <c:pt idx="12">
                  <c:v>25.445292620865139</c:v>
                </c:pt>
                <c:pt idx="13">
                  <c:v>25.445292620865139</c:v>
                </c:pt>
                <c:pt idx="14">
                  <c:v>25.445292620865139</c:v>
                </c:pt>
                <c:pt idx="15">
                  <c:v>23.640661938534279</c:v>
                </c:pt>
                <c:pt idx="16">
                  <c:v>23.640661938534279</c:v>
                </c:pt>
                <c:pt idx="17">
                  <c:v>23.640661938534279</c:v>
                </c:pt>
                <c:pt idx="18">
                  <c:v>23.640661938534279</c:v>
                </c:pt>
                <c:pt idx="19">
                  <c:v>23.640661938534279</c:v>
                </c:pt>
                <c:pt idx="20">
                  <c:v>23.640661938534279</c:v>
                </c:pt>
              </c:numCache>
            </c:numRef>
          </c:xVal>
          <c:yVal>
            <c:numRef>
              <c:f>SulfurBlank!$AT$3:$AT$23</c:f>
              <c:numCache>
                <c:formatCode>0.00E+00</c:formatCode>
                <c:ptCount val="21"/>
                <c:pt idx="0">
                  <c:v>25.01670488898386</c:v>
                </c:pt>
                <c:pt idx="1">
                  <c:v>25.150045936538966</c:v>
                </c:pt>
                <c:pt idx="2">
                  <c:v>25.011308699685017</c:v>
                </c:pt>
                <c:pt idx="3">
                  <c:v>25.004172967086316</c:v>
                </c:pt>
                <c:pt idx="4">
                  <c:v>24.981240336676166</c:v>
                </c:pt>
                <c:pt idx="5">
                  <c:v>25.453629253226254</c:v>
                </c:pt>
                <c:pt idx="6">
                  <c:v>25.337379085888582</c:v>
                </c:pt>
                <c:pt idx="7">
                  <c:v>25.408259797590635</c:v>
                </c:pt>
                <c:pt idx="8">
                  <c:v>25.303375725783482</c:v>
                </c:pt>
                <c:pt idx="9">
                  <c:v>25.495651921204228</c:v>
                </c:pt>
                <c:pt idx="10">
                  <c:v>25.608076703221794</c:v>
                </c:pt>
                <c:pt idx="11">
                  <c:v>25.654310466965917</c:v>
                </c:pt>
                <c:pt idx="12">
                  <c:v>25.555568258279109</c:v>
                </c:pt>
                <c:pt idx="13">
                  <c:v>25.591675651355629</c:v>
                </c:pt>
                <c:pt idx="14">
                  <c:v>25.461830285112271</c:v>
                </c:pt>
                <c:pt idx="15">
                  <c:v>26.140393465182864</c:v>
                </c:pt>
                <c:pt idx="16">
                  <c:v>26.008060618328944</c:v>
                </c:pt>
                <c:pt idx="17">
                  <c:v>26.550391945496994</c:v>
                </c:pt>
                <c:pt idx="18">
                  <c:v>26.021675271782126</c:v>
                </c:pt>
                <c:pt idx="19">
                  <c:v>26.121718131062281</c:v>
                </c:pt>
                <c:pt idx="20">
                  <c:v>26.047111161257519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5-44A8-8C58-FAB19072A06B}"/>
            </c:ext>
          </c:extLst>
        </c:ser>
        <c:ser>
          <c:idx val="2"/>
          <c:order val="1"/>
          <c:tx>
            <c:v>Literature 3He</c:v>
          </c:tx>
          <c:spPr>
            <a:ln w="25400" cap="rnd">
              <a:solidFill>
                <a:schemeClr val="bg2">
                  <a:lumMod val="75000"/>
                  <a:alpha val="4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SulfurBlank!$AS$3:$AS$23</c:f>
              <c:numCache>
                <c:formatCode>0.00E+00</c:formatCode>
                <c:ptCount val="21"/>
                <c:pt idx="0">
                  <c:v>28.328611898016998</c:v>
                </c:pt>
                <c:pt idx="1">
                  <c:v>28.328611898016998</c:v>
                </c:pt>
                <c:pt idx="2">
                  <c:v>28.328611898016998</c:v>
                </c:pt>
                <c:pt idx="3">
                  <c:v>28.328611898016998</c:v>
                </c:pt>
                <c:pt idx="4">
                  <c:v>28.328611898016998</c:v>
                </c:pt>
                <c:pt idx="5">
                  <c:v>26.809651474530831</c:v>
                </c:pt>
                <c:pt idx="6">
                  <c:v>26.809651474530831</c:v>
                </c:pt>
                <c:pt idx="7">
                  <c:v>26.809651474530831</c:v>
                </c:pt>
                <c:pt idx="8">
                  <c:v>26.809651474530831</c:v>
                </c:pt>
                <c:pt idx="9">
                  <c:v>26.809651474530831</c:v>
                </c:pt>
                <c:pt idx="10">
                  <c:v>25.445292620865139</c:v>
                </c:pt>
                <c:pt idx="11">
                  <c:v>25.445292620865139</c:v>
                </c:pt>
                <c:pt idx="12">
                  <c:v>25.445292620865139</c:v>
                </c:pt>
                <c:pt idx="13">
                  <c:v>25.445292620865139</c:v>
                </c:pt>
                <c:pt idx="14">
                  <c:v>25.445292620865139</c:v>
                </c:pt>
                <c:pt idx="15">
                  <c:v>23.640661938534279</c:v>
                </c:pt>
                <c:pt idx="16">
                  <c:v>23.640661938534279</c:v>
                </c:pt>
                <c:pt idx="17">
                  <c:v>23.640661938534279</c:v>
                </c:pt>
                <c:pt idx="18">
                  <c:v>23.640661938534279</c:v>
                </c:pt>
                <c:pt idx="19">
                  <c:v>23.640661938534279</c:v>
                </c:pt>
                <c:pt idx="20">
                  <c:v>23.640661938534279</c:v>
                </c:pt>
              </c:numCache>
            </c:numRef>
          </c:xVal>
          <c:yVal>
            <c:numRef>
              <c:f>SulfurBlank!$AV$3:$AV$23</c:f>
              <c:numCache>
                <c:formatCode>0.00E+00</c:formatCode>
                <c:ptCount val="21"/>
                <c:pt idx="0">
                  <c:v>24.823418962492212</c:v>
                </c:pt>
                <c:pt idx="1">
                  <c:v>24.823418962492212</c:v>
                </c:pt>
                <c:pt idx="2">
                  <c:v>24.823418962492212</c:v>
                </c:pt>
                <c:pt idx="3">
                  <c:v>24.823418962492212</c:v>
                </c:pt>
                <c:pt idx="4">
                  <c:v>24.823418962492212</c:v>
                </c:pt>
                <c:pt idx="5">
                  <c:v>25.202356396776104</c:v>
                </c:pt>
                <c:pt idx="6">
                  <c:v>25.202356396776104</c:v>
                </c:pt>
                <c:pt idx="7">
                  <c:v>25.202356396776104</c:v>
                </c:pt>
                <c:pt idx="8">
                  <c:v>25.202356396776104</c:v>
                </c:pt>
                <c:pt idx="9">
                  <c:v>25.202356396776104</c:v>
                </c:pt>
                <c:pt idx="10">
                  <c:v>25.542725135458582</c:v>
                </c:pt>
                <c:pt idx="11">
                  <c:v>25.542725135458582</c:v>
                </c:pt>
                <c:pt idx="12">
                  <c:v>25.542725135458582</c:v>
                </c:pt>
                <c:pt idx="13">
                  <c:v>25.542725135458582</c:v>
                </c:pt>
                <c:pt idx="14">
                  <c:v>25.542725135458582</c:v>
                </c:pt>
                <c:pt idx="15">
                  <c:v>25.992929176340017</c:v>
                </c:pt>
                <c:pt idx="16">
                  <c:v>25.992929176340017</c:v>
                </c:pt>
                <c:pt idx="17">
                  <c:v>25.992929176340017</c:v>
                </c:pt>
                <c:pt idx="18">
                  <c:v>25.992929176340017</c:v>
                </c:pt>
                <c:pt idx="19">
                  <c:v>25.992929176340017</c:v>
                </c:pt>
                <c:pt idx="20">
                  <c:v>25.992929176340017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55-44A8-8C58-FAB19072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57983"/>
        <c:axId val="505059887"/>
      </c:scatterChart>
      <c:valAx>
        <c:axId val="164235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59887"/>
        <c:crosses val="autoZero"/>
        <c:crossBetween val="midCat"/>
      </c:valAx>
      <c:valAx>
        <c:axId val="5050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5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Apparent Permeability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Uncorrected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SulfurBlank!$AS$3:$AS$23</c:f>
              <c:numCache>
                <c:formatCode>0.00E+00</c:formatCode>
                <c:ptCount val="21"/>
                <c:pt idx="0">
                  <c:v>28.328611898016998</c:v>
                </c:pt>
                <c:pt idx="1">
                  <c:v>28.328611898016998</c:v>
                </c:pt>
                <c:pt idx="2">
                  <c:v>28.328611898016998</c:v>
                </c:pt>
                <c:pt idx="3">
                  <c:v>28.328611898016998</c:v>
                </c:pt>
                <c:pt idx="4">
                  <c:v>28.328611898016998</c:v>
                </c:pt>
                <c:pt idx="5">
                  <c:v>26.809651474530831</c:v>
                </c:pt>
                <c:pt idx="6">
                  <c:v>26.809651474530831</c:v>
                </c:pt>
                <c:pt idx="7">
                  <c:v>26.809651474530831</c:v>
                </c:pt>
                <c:pt idx="8">
                  <c:v>26.809651474530831</c:v>
                </c:pt>
                <c:pt idx="9">
                  <c:v>26.809651474530831</c:v>
                </c:pt>
                <c:pt idx="10">
                  <c:v>25.445292620865139</c:v>
                </c:pt>
                <c:pt idx="11">
                  <c:v>25.445292620865139</c:v>
                </c:pt>
                <c:pt idx="12">
                  <c:v>25.445292620865139</c:v>
                </c:pt>
                <c:pt idx="13">
                  <c:v>25.445292620865139</c:v>
                </c:pt>
                <c:pt idx="14">
                  <c:v>25.445292620865139</c:v>
                </c:pt>
                <c:pt idx="15">
                  <c:v>23.640661938534279</c:v>
                </c:pt>
                <c:pt idx="16">
                  <c:v>23.640661938534279</c:v>
                </c:pt>
                <c:pt idx="17">
                  <c:v>23.640661938534279</c:v>
                </c:pt>
                <c:pt idx="18">
                  <c:v>23.640661938534279</c:v>
                </c:pt>
                <c:pt idx="19">
                  <c:v>23.640661938534279</c:v>
                </c:pt>
                <c:pt idx="20">
                  <c:v>23.640661938534279</c:v>
                </c:pt>
              </c:numCache>
            </c:numRef>
          </c:xVal>
          <c:yVal>
            <c:numRef>
              <c:f>SulfurBlank!$AU$3:$AU$23</c:f>
              <c:numCache>
                <c:formatCode>0.00E+00</c:formatCode>
                <c:ptCount val="21"/>
                <c:pt idx="0">
                  <c:v>24.924965141099651</c:v>
                </c:pt>
                <c:pt idx="1">
                  <c:v>25.071651989363879</c:v>
                </c:pt>
                <c:pt idx="2">
                  <c:v>24.939538151969124</c:v>
                </c:pt>
                <c:pt idx="3">
                  <c:v>24.940455774551129</c:v>
                </c:pt>
                <c:pt idx="4">
                  <c:v>24.943294162300248</c:v>
                </c:pt>
                <c:pt idx="5">
                  <c:v>25.409100282211458</c:v>
                </c:pt>
                <c:pt idx="6">
                  <c:v>25.261402007820301</c:v>
                </c:pt>
                <c:pt idx="7">
                  <c:v>25.326367481939013</c:v>
                </c:pt>
                <c:pt idx="8">
                  <c:v>25.259159569399841</c:v>
                </c:pt>
                <c:pt idx="9">
                  <c:v>25.43146962621605</c:v>
                </c:pt>
                <c:pt idx="10">
                  <c:v>25.534885414890798</c:v>
                </c:pt>
                <c:pt idx="11">
                  <c:v>25.592713797729395</c:v>
                </c:pt>
                <c:pt idx="12">
                  <c:v>25.536962961490403</c:v>
                </c:pt>
                <c:pt idx="13">
                  <c:v>25.603897752302881</c:v>
                </c:pt>
                <c:pt idx="14">
                  <c:v>25.530437612362856</c:v>
                </c:pt>
                <c:pt idx="15">
                  <c:v>26.086054900939061</c:v>
                </c:pt>
                <c:pt idx="16">
                  <c:v>26.034901907931264</c:v>
                </c:pt>
                <c:pt idx="17">
                  <c:v>26.522200025251664</c:v>
                </c:pt>
                <c:pt idx="18">
                  <c:v>25.993465312568766</c:v>
                </c:pt>
                <c:pt idx="19">
                  <c:v>26.023780293764261</c:v>
                </c:pt>
                <c:pt idx="20">
                  <c:v>25.9580508332302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7A3-BB54-F68F5618F2F1}"/>
            </c:ext>
          </c:extLst>
        </c:ser>
        <c:ser>
          <c:idx val="2"/>
          <c:order val="1"/>
          <c:tx>
            <c:v>Literature</c:v>
          </c:tx>
          <c:spPr>
            <a:ln w="25400" cap="rnd">
              <a:solidFill>
                <a:schemeClr val="bg2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SulfurBlank!$AS$3:$AS$23</c:f>
              <c:numCache>
                <c:formatCode>0.00E+00</c:formatCode>
                <c:ptCount val="21"/>
                <c:pt idx="0">
                  <c:v>28.328611898016998</c:v>
                </c:pt>
                <c:pt idx="1">
                  <c:v>28.328611898016998</c:v>
                </c:pt>
                <c:pt idx="2">
                  <c:v>28.328611898016998</c:v>
                </c:pt>
                <c:pt idx="3">
                  <c:v>28.328611898016998</c:v>
                </c:pt>
                <c:pt idx="4">
                  <c:v>28.328611898016998</c:v>
                </c:pt>
                <c:pt idx="5">
                  <c:v>26.809651474530831</c:v>
                </c:pt>
                <c:pt idx="6">
                  <c:v>26.809651474530831</c:v>
                </c:pt>
                <c:pt idx="7">
                  <c:v>26.809651474530831</c:v>
                </c:pt>
                <c:pt idx="8">
                  <c:v>26.809651474530831</c:v>
                </c:pt>
                <c:pt idx="9">
                  <c:v>26.809651474530831</c:v>
                </c:pt>
                <c:pt idx="10">
                  <c:v>25.445292620865139</c:v>
                </c:pt>
                <c:pt idx="11">
                  <c:v>25.445292620865139</c:v>
                </c:pt>
                <c:pt idx="12">
                  <c:v>25.445292620865139</c:v>
                </c:pt>
                <c:pt idx="13">
                  <c:v>25.445292620865139</c:v>
                </c:pt>
                <c:pt idx="14">
                  <c:v>25.445292620865139</c:v>
                </c:pt>
                <c:pt idx="15">
                  <c:v>23.640661938534279</c:v>
                </c:pt>
                <c:pt idx="16">
                  <c:v>23.640661938534279</c:v>
                </c:pt>
                <c:pt idx="17">
                  <c:v>23.640661938534279</c:v>
                </c:pt>
                <c:pt idx="18">
                  <c:v>23.640661938534279</c:v>
                </c:pt>
                <c:pt idx="19">
                  <c:v>23.640661938534279</c:v>
                </c:pt>
                <c:pt idx="20">
                  <c:v>23.640661938534279</c:v>
                </c:pt>
              </c:numCache>
            </c:numRef>
          </c:xVal>
          <c:yVal>
            <c:numRef>
              <c:f>SulfurBlank!$AW$3:$AW$23</c:f>
              <c:numCache>
                <c:formatCode>0.00E+00</c:formatCode>
                <c:ptCount val="21"/>
                <c:pt idx="0">
                  <c:v>24.747679978563625</c:v>
                </c:pt>
                <c:pt idx="1">
                  <c:v>24.747679978563625</c:v>
                </c:pt>
                <c:pt idx="2">
                  <c:v>24.747679978563625</c:v>
                </c:pt>
                <c:pt idx="3">
                  <c:v>24.747679978563625</c:v>
                </c:pt>
                <c:pt idx="4">
                  <c:v>24.747679978563625</c:v>
                </c:pt>
                <c:pt idx="5">
                  <c:v>25.122260052800272</c:v>
                </c:pt>
                <c:pt idx="6">
                  <c:v>25.122260052800272</c:v>
                </c:pt>
                <c:pt idx="7">
                  <c:v>25.122260052800272</c:v>
                </c:pt>
                <c:pt idx="8">
                  <c:v>25.122260052800272</c:v>
                </c:pt>
                <c:pt idx="9">
                  <c:v>25.122260052800272</c:v>
                </c:pt>
                <c:pt idx="10">
                  <c:v>25.458714928641335</c:v>
                </c:pt>
                <c:pt idx="11">
                  <c:v>25.458714928641335</c:v>
                </c:pt>
                <c:pt idx="12">
                  <c:v>25.458714928641335</c:v>
                </c:pt>
                <c:pt idx="13">
                  <c:v>25.458714928641335</c:v>
                </c:pt>
                <c:pt idx="14">
                  <c:v>25.458714928641335</c:v>
                </c:pt>
                <c:pt idx="15">
                  <c:v>25.90374212257295</c:v>
                </c:pt>
                <c:pt idx="16">
                  <c:v>25.90374212257295</c:v>
                </c:pt>
                <c:pt idx="17">
                  <c:v>25.90374212257295</c:v>
                </c:pt>
                <c:pt idx="18">
                  <c:v>25.90374212257295</c:v>
                </c:pt>
                <c:pt idx="19">
                  <c:v>25.90374212257295</c:v>
                </c:pt>
                <c:pt idx="20">
                  <c:v>25.90374212257295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7A3-BB54-F68F5618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47903"/>
        <c:axId val="505088655"/>
      </c:scatterChart>
      <c:valAx>
        <c:axId val="164234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88655"/>
        <c:crosses val="autoZero"/>
        <c:crossBetween val="midCat"/>
      </c:valAx>
      <c:valAx>
        <c:axId val="5050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4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 Measured and Modeled Apparent</a:t>
            </a:r>
            <a:r>
              <a:rPr lang="en-US" baseline="0"/>
              <a:t>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Apparent Permeabilities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SulfurBlank!$AD$3:$AD$23</c:f>
              <c:numCache>
                <c:formatCode>0.00E+00</c:formatCode>
                <c:ptCount val="21"/>
                <c:pt idx="0">
                  <c:v>73217835966.947113</c:v>
                </c:pt>
                <c:pt idx="1">
                  <c:v>83661600730.491257</c:v>
                </c:pt>
                <c:pt idx="2">
                  <c:v>72823802759.057053</c:v>
                </c:pt>
                <c:pt idx="3">
                  <c:v>72306001219.555923</c:v>
                </c:pt>
                <c:pt idx="4">
                  <c:v>70666702969.969513</c:v>
                </c:pt>
                <c:pt idx="5">
                  <c:v>113336743282.90918</c:v>
                </c:pt>
                <c:pt idx="6">
                  <c:v>100898317161.71884</c:v>
                </c:pt>
                <c:pt idx="7">
                  <c:v>108309618185.89018</c:v>
                </c:pt>
                <c:pt idx="8">
                  <c:v>97525110539.223053</c:v>
                </c:pt>
                <c:pt idx="9">
                  <c:v>118200943155.34682</c:v>
                </c:pt>
                <c:pt idx="10">
                  <c:v>132265447111.82414</c:v>
                </c:pt>
                <c:pt idx="11">
                  <c:v>138524143262.3848</c:v>
                </c:pt>
                <c:pt idx="12">
                  <c:v>125499581177.18675</c:v>
                </c:pt>
                <c:pt idx="13">
                  <c:v>130113847135.54245</c:v>
                </c:pt>
                <c:pt idx="14">
                  <c:v>114270043309.1653</c:v>
                </c:pt>
                <c:pt idx="15">
                  <c:v>225231244607.11383</c:v>
                </c:pt>
                <c:pt idx="16">
                  <c:v>197313686850.94864</c:v>
                </c:pt>
                <c:pt idx="17">
                  <c:v>339381929382.78748</c:v>
                </c:pt>
                <c:pt idx="18">
                  <c:v>200018414505.21841</c:v>
                </c:pt>
                <c:pt idx="19">
                  <c:v>221064009232.03656</c:v>
                </c:pt>
                <c:pt idx="20">
                  <c:v>205171317304.98312</c:v>
                </c:pt>
              </c:numCache>
            </c:numRef>
          </c:xVal>
          <c:yVal>
            <c:numRef>
              <c:f>SulfurBlank!$AG$3:$AG$23</c:f>
              <c:numCache>
                <c:formatCode>0.00E+00</c:formatCode>
                <c:ptCount val="21"/>
                <c:pt idx="0">
                  <c:v>70181617250.701904</c:v>
                </c:pt>
                <c:pt idx="1">
                  <c:v>78177024805.3116</c:v>
                </c:pt>
                <c:pt idx="2">
                  <c:v>70083680599.652496</c:v>
                </c:pt>
                <c:pt idx="3">
                  <c:v>70023682117.816895</c:v>
                </c:pt>
                <c:pt idx="4">
                  <c:v>69998209190.859894</c:v>
                </c:pt>
                <c:pt idx="5">
                  <c:v>113644887803.864</c:v>
                </c:pt>
                <c:pt idx="6">
                  <c:v>99735756216.159897</c:v>
                </c:pt>
                <c:pt idx="7">
                  <c:v>105295471707.14301</c:v>
                </c:pt>
                <c:pt idx="8">
                  <c:v>99743589477.452698</c:v>
                </c:pt>
                <c:pt idx="9">
                  <c:v>113251900456.355</c:v>
                </c:pt>
                <c:pt idx="10">
                  <c:v>137152652909.345</c:v>
                </c:pt>
                <c:pt idx="11">
                  <c:v>142903964342.64301</c:v>
                </c:pt>
                <c:pt idx="12">
                  <c:v>137197263891.86501</c:v>
                </c:pt>
                <c:pt idx="13">
                  <c:v>145015157074.01599</c:v>
                </c:pt>
                <c:pt idx="14">
                  <c:v>137209300701.66</c:v>
                </c:pt>
                <c:pt idx="15">
                  <c:v>211107827714.095</c:v>
                </c:pt>
                <c:pt idx="16">
                  <c:v>211061008636.39301</c:v>
                </c:pt>
                <c:pt idx="17">
                  <c:v>335070116473.453</c:v>
                </c:pt>
                <c:pt idx="18">
                  <c:v>211070847082.79501</c:v>
                </c:pt>
                <c:pt idx="19">
                  <c:v>216584468413.647</c:v>
                </c:pt>
                <c:pt idx="20">
                  <c:v>211124992828.491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5-4D32-AD37-FF3A4EA7A93F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SulfurBlank!$AC$42:$AC$43</c:f>
              <c:numCache>
                <c:formatCode>0.00E+00</c:formatCode>
                <c:ptCount val="2"/>
                <c:pt idx="0">
                  <c:v>50000000000</c:v>
                </c:pt>
                <c:pt idx="1">
                  <c:v>350000000000</c:v>
                </c:pt>
              </c:numCache>
            </c:numRef>
          </c:xVal>
          <c:yVal>
            <c:numRef>
              <c:f>SulfurBlank!$AD$42:$AD$43</c:f>
              <c:numCache>
                <c:formatCode>0.00E+00</c:formatCode>
                <c:ptCount val="2"/>
                <c:pt idx="0">
                  <c:v>50000000000</c:v>
                </c:pt>
                <c:pt idx="1">
                  <c:v>350000000000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5-4D32-AD37-FF3A4EA7A93F}"/>
            </c:ext>
          </c:extLst>
        </c:ser>
        <c:ser>
          <c:idx val="2"/>
          <c:order val="2"/>
          <c:tx>
            <c:v>Swets et al., 1961 and Jones 1954. No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SulfurBlank!$AD$3:$AD$23</c:f>
              <c:numCache>
                <c:formatCode>0.00E+00</c:formatCode>
                <c:ptCount val="21"/>
                <c:pt idx="0">
                  <c:v>73217835966.947113</c:v>
                </c:pt>
                <c:pt idx="1">
                  <c:v>83661600730.491257</c:v>
                </c:pt>
                <c:pt idx="2">
                  <c:v>72823802759.057053</c:v>
                </c:pt>
                <c:pt idx="3">
                  <c:v>72306001219.555923</c:v>
                </c:pt>
                <c:pt idx="4">
                  <c:v>70666702969.969513</c:v>
                </c:pt>
                <c:pt idx="5">
                  <c:v>113336743282.90918</c:v>
                </c:pt>
                <c:pt idx="6">
                  <c:v>100898317161.71884</c:v>
                </c:pt>
                <c:pt idx="7">
                  <c:v>108309618185.89018</c:v>
                </c:pt>
                <c:pt idx="8">
                  <c:v>97525110539.223053</c:v>
                </c:pt>
                <c:pt idx="9">
                  <c:v>118200943155.34682</c:v>
                </c:pt>
                <c:pt idx="10">
                  <c:v>132265447111.82414</c:v>
                </c:pt>
                <c:pt idx="11">
                  <c:v>138524143262.3848</c:v>
                </c:pt>
                <c:pt idx="12">
                  <c:v>125499581177.18675</c:v>
                </c:pt>
                <c:pt idx="13">
                  <c:v>130113847135.54245</c:v>
                </c:pt>
                <c:pt idx="14">
                  <c:v>114270043309.1653</c:v>
                </c:pt>
                <c:pt idx="15">
                  <c:v>225231244607.11383</c:v>
                </c:pt>
                <c:pt idx="16">
                  <c:v>197313686850.94864</c:v>
                </c:pt>
                <c:pt idx="17">
                  <c:v>339381929382.78748</c:v>
                </c:pt>
                <c:pt idx="18">
                  <c:v>200018414505.21841</c:v>
                </c:pt>
                <c:pt idx="19">
                  <c:v>221064009232.03656</c:v>
                </c:pt>
                <c:pt idx="20">
                  <c:v>205171317304.98312</c:v>
                </c:pt>
              </c:numCache>
            </c:numRef>
          </c:xVal>
          <c:yVal>
            <c:numRef>
              <c:f>SulfurBlank!$AI$3:$AI$23</c:f>
              <c:numCache>
                <c:formatCode>General</c:formatCode>
                <c:ptCount val="21"/>
                <c:pt idx="0" formatCode="0.00E+00">
                  <c:v>60349527944.282669</c:v>
                </c:pt>
                <c:pt idx="1">
                  <c:v>60349527944.282669</c:v>
                </c:pt>
                <c:pt idx="2">
                  <c:v>60349527944.282669</c:v>
                </c:pt>
                <c:pt idx="3">
                  <c:v>60349527944.282669</c:v>
                </c:pt>
                <c:pt idx="4" formatCode="0.00E+00">
                  <c:v>60349527944.282669</c:v>
                </c:pt>
                <c:pt idx="5">
                  <c:v>88154464997.476807</c:v>
                </c:pt>
                <c:pt idx="6">
                  <c:v>88154464997.476807</c:v>
                </c:pt>
                <c:pt idx="7">
                  <c:v>88154464997.476807</c:v>
                </c:pt>
                <c:pt idx="8">
                  <c:v>88154464997.476807</c:v>
                </c:pt>
                <c:pt idx="9">
                  <c:v>88154464997.476807</c:v>
                </c:pt>
                <c:pt idx="10">
                  <c:v>123898080788.634</c:v>
                </c:pt>
                <c:pt idx="11">
                  <c:v>123898080788.634</c:v>
                </c:pt>
                <c:pt idx="12">
                  <c:v>123898080788.634</c:v>
                </c:pt>
                <c:pt idx="13">
                  <c:v>123898080788.634</c:v>
                </c:pt>
                <c:pt idx="14">
                  <c:v>123898080788.634</c:v>
                </c:pt>
                <c:pt idx="15">
                  <c:v>194350521265.9346</c:v>
                </c:pt>
                <c:pt idx="16">
                  <c:v>194350521265.9346</c:v>
                </c:pt>
                <c:pt idx="17">
                  <c:v>194350521265.9346</c:v>
                </c:pt>
                <c:pt idx="18">
                  <c:v>194350521265.9346</c:v>
                </c:pt>
                <c:pt idx="19">
                  <c:v>194350521265.9346</c:v>
                </c:pt>
                <c:pt idx="20">
                  <c:v>194350521265.9346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35-4D32-AD37-FF3A4EA7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52240"/>
        <c:axId val="1498648880"/>
      </c:scatterChart>
      <c:valAx>
        <c:axId val="149865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Apparent Permeabilities atom/(atm*sec*cm)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48880"/>
        <c:crosses val="autoZero"/>
        <c:crossBetween val="midCat"/>
      </c:valAx>
      <c:valAx>
        <c:axId val="14986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Apparent (or</a:t>
                </a:r>
                <a:r>
                  <a:rPr lang="en-US" baseline="0"/>
                  <a:t> literature) Permeabilities (atom/(atm*sec*cm))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5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4He Measured and</a:t>
            </a:r>
            <a:r>
              <a:rPr lang="en-US" baseline="0"/>
              <a:t> Modeled Apparent Permeabilities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Apparent Permerabilities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SulfurBlank!$AE$3:$AE$23</c:f>
              <c:numCache>
                <c:formatCode>0.00E+00</c:formatCode>
                <c:ptCount val="21"/>
                <c:pt idx="0">
                  <c:v>66799747737.667061</c:v>
                </c:pt>
                <c:pt idx="1">
                  <c:v>77353525337.399384</c:v>
                </c:pt>
                <c:pt idx="2">
                  <c:v>67780348989.531769</c:v>
                </c:pt>
                <c:pt idx="3">
                  <c:v>67842574313.695793</c:v>
                </c:pt>
                <c:pt idx="4">
                  <c:v>68035411389.227776</c:v>
                </c:pt>
                <c:pt idx="5">
                  <c:v>108400689020.71979</c:v>
                </c:pt>
                <c:pt idx="6">
                  <c:v>93516339110.621933</c:v>
                </c:pt>
                <c:pt idx="7">
                  <c:v>99793359696.103043</c:v>
                </c:pt>
                <c:pt idx="8">
                  <c:v>93306869428.068756</c:v>
                </c:pt>
                <c:pt idx="9">
                  <c:v>110852865865.0769</c:v>
                </c:pt>
                <c:pt idx="10">
                  <c:v>122930551989.53247</c:v>
                </c:pt>
                <c:pt idx="11">
                  <c:v>130248994493.35448</c:v>
                </c:pt>
                <c:pt idx="12">
                  <c:v>123186211420.03964</c:v>
                </c:pt>
                <c:pt idx="13">
                  <c:v>131713869610.44078</c:v>
                </c:pt>
                <c:pt idx="14">
                  <c:v>122384995333.16273</c:v>
                </c:pt>
                <c:pt idx="15">
                  <c:v>213319078088.46817</c:v>
                </c:pt>
                <c:pt idx="16">
                  <c:v>202681558691.63318</c:v>
                </c:pt>
                <c:pt idx="17">
                  <c:v>329947710311.94269</c:v>
                </c:pt>
                <c:pt idx="18">
                  <c:v>194454747558.71069</c:v>
                </c:pt>
                <c:pt idx="19">
                  <c:v>200439901128.24887</c:v>
                </c:pt>
                <c:pt idx="20">
                  <c:v>187688748227.42188</c:v>
                </c:pt>
              </c:numCache>
            </c:numRef>
          </c:xVal>
          <c:yVal>
            <c:numRef>
              <c:f>SulfurBlank!$AH$3:$AH$23</c:f>
              <c:numCache>
                <c:formatCode>0.00E+00</c:formatCode>
                <c:ptCount val="21"/>
                <c:pt idx="0">
                  <c:v>65098742237.414803</c:v>
                </c:pt>
                <c:pt idx="1">
                  <c:v>72607562013.514099</c:v>
                </c:pt>
                <c:pt idx="2">
                  <c:v>65005149586.284897</c:v>
                </c:pt>
                <c:pt idx="3">
                  <c:v>64943992107.621399</c:v>
                </c:pt>
                <c:pt idx="4">
                  <c:v>64920445973.5037</c:v>
                </c:pt>
                <c:pt idx="5">
                  <c:v>105201185735.679</c:v>
                </c:pt>
                <c:pt idx="6">
                  <c:v>92126558203.376007</c:v>
                </c:pt>
                <c:pt idx="7">
                  <c:v>97346251611.965607</c:v>
                </c:pt>
                <c:pt idx="8">
                  <c:v>92132835844.759094</c:v>
                </c:pt>
                <c:pt idx="9">
                  <c:v>104830963817.89799</c:v>
                </c:pt>
                <c:pt idx="10">
                  <c:v>126195920756.11301</c:v>
                </c:pt>
                <c:pt idx="11">
                  <c:v>131595675444.62801</c:v>
                </c:pt>
                <c:pt idx="12">
                  <c:v>126235806756.998</c:v>
                </c:pt>
                <c:pt idx="13">
                  <c:v>133568161567.48399</c:v>
                </c:pt>
                <c:pt idx="14">
                  <c:v>126248759078.67799</c:v>
                </c:pt>
                <c:pt idx="15">
                  <c:v>193235714168.92801</c:v>
                </c:pt>
                <c:pt idx="16">
                  <c:v>193191403032.129</c:v>
                </c:pt>
                <c:pt idx="17">
                  <c:v>309884567487.91699</c:v>
                </c:pt>
                <c:pt idx="18">
                  <c:v>193205238644.48801</c:v>
                </c:pt>
                <c:pt idx="19">
                  <c:v>198380296242.858</c:v>
                </c:pt>
                <c:pt idx="20">
                  <c:v>193253957217.30701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A-46DD-8E94-1AA61AF7F146}"/>
            </c:ext>
          </c:extLst>
        </c:ser>
        <c:ser>
          <c:idx val="1"/>
          <c:order val="1"/>
          <c:tx>
            <c:v>1:1 Line</c:v>
          </c:tx>
          <c:spPr>
            <a:ln w="25400" cap="rnd">
              <a:solidFill>
                <a:schemeClr val="accent1">
                  <a:alpha val="2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SulfurBlank!$AC$42:$AC$43</c:f>
              <c:numCache>
                <c:formatCode>0.00E+00</c:formatCode>
                <c:ptCount val="2"/>
                <c:pt idx="0">
                  <c:v>50000000000</c:v>
                </c:pt>
                <c:pt idx="1">
                  <c:v>350000000000</c:v>
                </c:pt>
              </c:numCache>
            </c:numRef>
          </c:xVal>
          <c:yVal>
            <c:numRef>
              <c:f>SulfurBlank!$AD$42:$AD$43</c:f>
              <c:numCache>
                <c:formatCode>0.00E+00</c:formatCode>
                <c:ptCount val="2"/>
                <c:pt idx="0">
                  <c:v>50000000000</c:v>
                </c:pt>
                <c:pt idx="1">
                  <c:v>350000000000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A-46DD-8E94-1AA61AF7F146}"/>
            </c:ext>
          </c:extLst>
        </c:ser>
        <c:ser>
          <c:idx val="2"/>
          <c:order val="2"/>
          <c:tx>
            <c:v>Swets et al., 1961. No cooling.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SulfurBlank!$AE$3:$AE$23</c:f>
              <c:numCache>
                <c:formatCode>0.00E+00</c:formatCode>
                <c:ptCount val="21"/>
                <c:pt idx="0">
                  <c:v>66799747737.667061</c:v>
                </c:pt>
                <c:pt idx="1">
                  <c:v>77353525337.399384</c:v>
                </c:pt>
                <c:pt idx="2">
                  <c:v>67780348989.531769</c:v>
                </c:pt>
                <c:pt idx="3">
                  <c:v>67842574313.695793</c:v>
                </c:pt>
                <c:pt idx="4">
                  <c:v>68035411389.227776</c:v>
                </c:pt>
                <c:pt idx="5">
                  <c:v>108400689020.71979</c:v>
                </c:pt>
                <c:pt idx="6">
                  <c:v>93516339110.621933</c:v>
                </c:pt>
                <c:pt idx="7">
                  <c:v>99793359696.103043</c:v>
                </c:pt>
                <c:pt idx="8">
                  <c:v>93306869428.068756</c:v>
                </c:pt>
                <c:pt idx="9">
                  <c:v>110852865865.0769</c:v>
                </c:pt>
                <c:pt idx="10">
                  <c:v>122930551989.53247</c:v>
                </c:pt>
                <c:pt idx="11">
                  <c:v>130248994493.35448</c:v>
                </c:pt>
                <c:pt idx="12">
                  <c:v>123186211420.03964</c:v>
                </c:pt>
                <c:pt idx="13">
                  <c:v>131713869610.44078</c:v>
                </c:pt>
                <c:pt idx="14">
                  <c:v>122384995333.16273</c:v>
                </c:pt>
                <c:pt idx="15">
                  <c:v>213319078088.46817</c:v>
                </c:pt>
                <c:pt idx="16">
                  <c:v>202681558691.63318</c:v>
                </c:pt>
                <c:pt idx="17">
                  <c:v>329947710311.94269</c:v>
                </c:pt>
                <c:pt idx="18">
                  <c:v>194454747558.71069</c:v>
                </c:pt>
                <c:pt idx="19">
                  <c:v>200439901128.24887</c:v>
                </c:pt>
                <c:pt idx="20">
                  <c:v>187688748227.42188</c:v>
                </c:pt>
              </c:numCache>
            </c:numRef>
          </c:xVal>
          <c:yVal>
            <c:numRef>
              <c:f>SulfurBlank!$AJ$3:$AJ$23</c:f>
              <c:numCache>
                <c:formatCode>0.00E+00</c:formatCode>
                <c:ptCount val="21"/>
                <c:pt idx="0">
                  <c:v>55947521853.659462</c:v>
                </c:pt>
                <c:pt idx="1">
                  <c:v>55947521853.659462</c:v>
                </c:pt>
                <c:pt idx="2">
                  <c:v>55947521853.659462</c:v>
                </c:pt>
                <c:pt idx="3">
                  <c:v>55947521853.659462</c:v>
                </c:pt>
                <c:pt idx="4">
                  <c:v>55947521853.659462</c:v>
                </c:pt>
                <c:pt idx="5">
                  <c:v>81368987856.687637</c:v>
                </c:pt>
                <c:pt idx="6">
                  <c:v>81368987856.687637</c:v>
                </c:pt>
                <c:pt idx="7">
                  <c:v>81368987856.687637</c:v>
                </c:pt>
                <c:pt idx="8">
                  <c:v>81368987856.687637</c:v>
                </c:pt>
                <c:pt idx="9">
                  <c:v>81368987856.687637</c:v>
                </c:pt>
                <c:pt idx="10">
                  <c:v>113914605335.77663</c:v>
                </c:pt>
                <c:pt idx="11">
                  <c:v>113914605335.77663</c:v>
                </c:pt>
                <c:pt idx="12">
                  <c:v>113914605335.77663</c:v>
                </c:pt>
                <c:pt idx="13">
                  <c:v>113914605335.77663</c:v>
                </c:pt>
                <c:pt idx="14">
                  <c:v>113914605335.77663</c:v>
                </c:pt>
                <c:pt idx="15">
                  <c:v>177767458919.01862</c:v>
                </c:pt>
                <c:pt idx="16">
                  <c:v>177767458919.01862</c:v>
                </c:pt>
                <c:pt idx="17">
                  <c:v>177767458919.01862</c:v>
                </c:pt>
                <c:pt idx="18">
                  <c:v>177767458919.01862</c:v>
                </c:pt>
                <c:pt idx="19">
                  <c:v>177767458919.01862</c:v>
                </c:pt>
                <c:pt idx="20">
                  <c:v>177767458919.01862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A-46DD-8E94-1AA61AF7F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94319"/>
        <c:axId val="1760194799"/>
      </c:scatterChart>
      <c:valAx>
        <c:axId val="176019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Apparent Permeabilities atom/(atm*sec*cm)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194799"/>
        <c:crosses val="autoZero"/>
        <c:crossBetween val="midCat"/>
      </c:valAx>
      <c:valAx>
        <c:axId val="17601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Modeled Apparent (or literature) Permeabilities (atom/(atm*sec*cm))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19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3He Measurements</a:t>
            </a:r>
            <a:r>
              <a:rPr lang="en-US" baseline="0"/>
              <a:t> Vs Predictions of nt/n0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Cooling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SulfurBlank!$AB$3:$AB$23</c:f>
              <c:numCache>
                <c:formatCode>0.00E+00</c:formatCode>
                <c:ptCount val="21"/>
                <c:pt idx="0">
                  <c:v>0.92697900881065631</c:v>
                </c:pt>
                <c:pt idx="1">
                  <c:v>0.91700723585467758</c:v>
                </c:pt>
                <c:pt idx="2">
                  <c:v>0.92735734962031702</c:v>
                </c:pt>
                <c:pt idx="3">
                  <c:v>0.92785476448012016</c:v>
                </c:pt>
                <c:pt idx="4">
                  <c:v>0.92943128099083094</c:v>
                </c:pt>
                <c:pt idx="5">
                  <c:v>0.8833609169471387</c:v>
                </c:pt>
                <c:pt idx="6">
                  <c:v>0.89546657893363735</c:v>
                </c:pt>
                <c:pt idx="7">
                  <c:v>0.88823372088803965</c:v>
                </c:pt>
                <c:pt idx="8">
                  <c:v>0.89877804331223943</c:v>
                </c:pt>
                <c:pt idx="9">
                  <c:v>0.87867148475725187</c:v>
                </c:pt>
                <c:pt idx="10">
                  <c:v>0.85856303674963119</c:v>
                </c:pt>
                <c:pt idx="11">
                  <c:v>0.85238998708820968</c:v>
                </c:pt>
                <c:pt idx="12">
                  <c:v>0.86528661203813406</c:v>
                </c:pt>
                <c:pt idx="13">
                  <c:v>0.86069550316556487</c:v>
                </c:pt>
                <c:pt idx="14">
                  <c:v>0.87656237714333718</c:v>
                </c:pt>
                <c:pt idx="15">
                  <c:v>0.75615961625063088</c:v>
                </c:pt>
                <c:pt idx="16">
                  <c:v>0.78281550118261589</c:v>
                </c:pt>
                <c:pt idx="17">
                  <c:v>0.65628565267292893</c:v>
                </c:pt>
                <c:pt idx="18">
                  <c:v>0.78019241939907802</c:v>
                </c:pt>
                <c:pt idx="19">
                  <c:v>0.76008012527317292</c:v>
                </c:pt>
                <c:pt idx="20">
                  <c:v>0.77521936312275808</c:v>
                </c:pt>
              </c:numCache>
            </c:numRef>
          </c:xVal>
          <c:yVal>
            <c:numRef>
              <c:f>SulfurBlank!$Z$3:$Z$23</c:f>
              <c:numCache>
                <c:formatCode>General</c:formatCode>
                <c:ptCount val="21"/>
                <c:pt idx="0">
                  <c:v>0.92989830232092463</c:v>
                </c:pt>
                <c:pt idx="1">
                  <c:v>0.92223049544155788</c:v>
                </c:pt>
                <c:pt idx="2">
                  <c:v>0.9299907082093587</c:v>
                </c:pt>
                <c:pt idx="3">
                  <c:v>0.93005040664975558</c:v>
                </c:pt>
                <c:pt idx="4">
                  <c:v>0.93007876138016266</c:v>
                </c:pt>
                <c:pt idx="5">
                  <c:v>0.88306899105852743</c:v>
                </c:pt>
                <c:pt idx="6">
                  <c:v>0.89661172741923945</c:v>
                </c:pt>
                <c:pt idx="7">
                  <c:v>0.89117647880639372</c:v>
                </c:pt>
                <c:pt idx="8">
                  <c:v>0.89660404234868429</c:v>
                </c:pt>
                <c:pt idx="9">
                  <c:v>0.88344880357643929</c:v>
                </c:pt>
                <c:pt idx="10">
                  <c:v>0.85374577124988027</c:v>
                </c:pt>
                <c:pt idx="11">
                  <c:v>0.84810362914959037</c:v>
                </c:pt>
                <c:pt idx="12">
                  <c:v>0.85369842681679875</c:v>
                </c:pt>
                <c:pt idx="13">
                  <c:v>0.84596989561838698</c:v>
                </c:pt>
                <c:pt idx="14">
                  <c:v>0.85369001610243478</c:v>
                </c:pt>
                <c:pt idx="15">
                  <c:v>0.76952456631118793</c:v>
                </c:pt>
                <c:pt idx="16">
                  <c:v>0.76957404360469028</c:v>
                </c:pt>
                <c:pt idx="17">
                  <c:v>0.65980022141100425</c:v>
                </c:pt>
                <c:pt idx="18">
                  <c:v>0.76956464784720047</c:v>
                </c:pt>
                <c:pt idx="19">
                  <c:v>0.76431226485292303</c:v>
                </c:pt>
                <c:pt idx="20">
                  <c:v>0.76950817429604412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1-48D3-9BF0-4D00BE1231CA}"/>
            </c:ext>
          </c:extLst>
        </c:ser>
        <c:ser>
          <c:idx val="1"/>
          <c:order val="1"/>
          <c:tx>
            <c:v>High-T alone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SulfurBlank!$AB$3:$AB$23</c:f>
              <c:numCache>
                <c:formatCode>0.00E+00</c:formatCode>
                <c:ptCount val="21"/>
                <c:pt idx="0">
                  <c:v>0.92697900881065631</c:v>
                </c:pt>
                <c:pt idx="1">
                  <c:v>0.91700723585467758</c:v>
                </c:pt>
                <c:pt idx="2">
                  <c:v>0.92735734962031702</c:v>
                </c:pt>
                <c:pt idx="3">
                  <c:v>0.92785476448012016</c:v>
                </c:pt>
                <c:pt idx="4">
                  <c:v>0.92943128099083094</c:v>
                </c:pt>
                <c:pt idx="5">
                  <c:v>0.8833609169471387</c:v>
                </c:pt>
                <c:pt idx="6">
                  <c:v>0.89546657893363735</c:v>
                </c:pt>
                <c:pt idx="7">
                  <c:v>0.88823372088803965</c:v>
                </c:pt>
                <c:pt idx="8">
                  <c:v>0.89877804331223943</c:v>
                </c:pt>
                <c:pt idx="9">
                  <c:v>0.87867148475725187</c:v>
                </c:pt>
                <c:pt idx="10">
                  <c:v>0.85856303674963119</c:v>
                </c:pt>
                <c:pt idx="11">
                  <c:v>0.85238998708820968</c:v>
                </c:pt>
                <c:pt idx="12">
                  <c:v>0.86528661203813406</c:v>
                </c:pt>
                <c:pt idx="13">
                  <c:v>0.86069550316556487</c:v>
                </c:pt>
                <c:pt idx="14">
                  <c:v>0.87656237714333718</c:v>
                </c:pt>
                <c:pt idx="15">
                  <c:v>0.75615961625063088</c:v>
                </c:pt>
                <c:pt idx="16">
                  <c:v>0.78281550118261589</c:v>
                </c:pt>
                <c:pt idx="17">
                  <c:v>0.65628565267292893</c:v>
                </c:pt>
                <c:pt idx="18">
                  <c:v>0.78019241939907802</c:v>
                </c:pt>
                <c:pt idx="19">
                  <c:v>0.76008012527317292</c:v>
                </c:pt>
                <c:pt idx="20">
                  <c:v>0.77521936312275808</c:v>
                </c:pt>
              </c:numCache>
            </c:numRef>
          </c:xVal>
          <c:yVal>
            <c:numRef>
              <c:f>SulfurBlank!$X$3:$X$23</c:f>
              <c:numCache>
                <c:formatCode>0.00E+00</c:formatCode>
                <c:ptCount val="21"/>
                <c:pt idx="0">
                  <c:v>0.93941499433508935</c:v>
                </c:pt>
                <c:pt idx="1">
                  <c:v>0.93941499433508935</c:v>
                </c:pt>
                <c:pt idx="2">
                  <c:v>0.93941499433508935</c:v>
                </c:pt>
                <c:pt idx="3">
                  <c:v>0.93941499433508935</c:v>
                </c:pt>
                <c:pt idx="4">
                  <c:v>0.93941499433508935</c:v>
                </c:pt>
                <c:pt idx="5">
                  <c:v>0.90804157273488473</c:v>
                </c:pt>
                <c:pt idx="6">
                  <c:v>0.90804157273488473</c:v>
                </c:pt>
                <c:pt idx="7">
                  <c:v>0.90804157273488473</c:v>
                </c:pt>
                <c:pt idx="8">
                  <c:v>0.90804157273488473</c:v>
                </c:pt>
                <c:pt idx="9">
                  <c:v>0.90804157273488473</c:v>
                </c:pt>
                <c:pt idx="10">
                  <c:v>0.86688579348497752</c:v>
                </c:pt>
                <c:pt idx="11">
                  <c:v>0.86688579348497752</c:v>
                </c:pt>
                <c:pt idx="12">
                  <c:v>0.86688579348497752</c:v>
                </c:pt>
                <c:pt idx="13">
                  <c:v>0.86688579348497752</c:v>
                </c:pt>
                <c:pt idx="14">
                  <c:v>0.86688579348497752</c:v>
                </c:pt>
                <c:pt idx="15">
                  <c:v>0.78569934398860131</c:v>
                </c:pt>
                <c:pt idx="16">
                  <c:v>0.78569934398860131</c:v>
                </c:pt>
                <c:pt idx="17">
                  <c:v>0.78569934398860131</c:v>
                </c:pt>
                <c:pt idx="18">
                  <c:v>0.78569934398860131</c:v>
                </c:pt>
                <c:pt idx="19">
                  <c:v>0.78569934398860131</c:v>
                </c:pt>
                <c:pt idx="20">
                  <c:v>0.78569934398860131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1-48D3-9BF0-4D00BE1231CA}"/>
            </c:ext>
          </c:extLst>
        </c:ser>
        <c:ser>
          <c:idx val="2"/>
          <c:order val="2"/>
          <c:tx>
            <c:v>1:1 Line</c:v>
          </c:tx>
          <c:spPr>
            <a:ln w="25400" cap="rnd">
              <a:solidFill>
                <a:schemeClr val="accent1">
                  <a:alpha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SulfurBlank!$AC$45:$AD$45</c:f>
              <c:numCache>
                <c:formatCode>General</c:formatCode>
                <c:ptCount val="2"/>
                <c:pt idx="0">
                  <c:v>0.6</c:v>
                </c:pt>
                <c:pt idx="1">
                  <c:v>1</c:v>
                </c:pt>
              </c:numCache>
            </c:numRef>
          </c:xVal>
          <c:yVal>
            <c:numRef>
              <c:f>SulfurBlank!$AC$46:$AD$46</c:f>
              <c:numCache>
                <c:formatCode>General</c:formatCode>
                <c:ptCount val="2"/>
                <c:pt idx="0">
                  <c:v>0.6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51-48D3-9BF0-4D00BE123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908351"/>
        <c:axId val="1715907871"/>
      </c:scatterChart>
      <c:valAx>
        <c:axId val="1715908351"/>
        <c:scaling>
          <c:orientation val="minMax"/>
          <c:max val="1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07871"/>
        <c:crosses val="autoZero"/>
        <c:crossBetween val="midCat"/>
      </c:valAx>
      <c:valAx>
        <c:axId val="1715907871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Predictied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0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4He Measurements Vs Predictions of nt/n0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Cooling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SulfurBlank!$AC$3:$AC$23</c:f>
              <c:numCache>
                <c:formatCode>0.00E+00</c:formatCode>
                <c:ptCount val="21"/>
                <c:pt idx="0">
                  <c:v>0.93589826796442432</c:v>
                </c:pt>
                <c:pt idx="1">
                  <c:v>0.92615360200881458</c:v>
                </c:pt>
                <c:pt idx="2">
                  <c:v>0.93498854086833971</c:v>
                </c:pt>
                <c:pt idx="3">
                  <c:v>0.93493084280189986</c:v>
                </c:pt>
                <c:pt idx="4">
                  <c:v>0.93475205836958641</c:v>
                </c:pt>
                <c:pt idx="5">
                  <c:v>0.89261748902250027</c:v>
                </c:pt>
                <c:pt idx="6">
                  <c:v>0.90664956829193111</c:v>
                </c:pt>
                <c:pt idx="7">
                  <c:v>0.90070526791261163</c:v>
                </c:pt>
                <c:pt idx="8">
                  <c:v>0.90684860978973136</c:v>
                </c:pt>
                <c:pt idx="9">
                  <c:v>0.89032664975179943</c:v>
                </c:pt>
                <c:pt idx="10">
                  <c:v>0.87307750461235989</c:v>
                </c:pt>
                <c:pt idx="11">
                  <c:v>0.86605103717408305</c:v>
                </c:pt>
                <c:pt idx="12">
                  <c:v>0.87283108664570497</c:v>
                </c:pt>
                <c:pt idx="13">
                  <c:v>0.86465141127994682</c:v>
                </c:pt>
                <c:pt idx="14">
                  <c:v>0.87360357337499239</c:v>
                </c:pt>
                <c:pt idx="15">
                  <c:v>0.77607131878597768</c:v>
                </c:pt>
                <c:pt idx="16">
                  <c:v>0.78594449476102268</c:v>
                </c:pt>
                <c:pt idx="17">
                  <c:v>0.67562730996818487</c:v>
                </c:pt>
                <c:pt idx="18">
                  <c:v>0.79366623187898</c:v>
                </c:pt>
                <c:pt idx="19">
                  <c:v>0.78804105151699433</c:v>
                </c:pt>
                <c:pt idx="20">
                  <c:v>0.80007366268533675</c:v>
                </c:pt>
              </c:numCache>
            </c:numRef>
          </c:xVal>
          <c:yVal>
            <c:numRef>
              <c:f>SulfurBlank!$AA$3:$AA$23</c:f>
              <c:numCache>
                <c:formatCode>General</c:formatCode>
                <c:ptCount val="21"/>
                <c:pt idx="0">
                  <c:v>0.93480602782517364</c:v>
                </c:pt>
                <c:pt idx="1">
                  <c:v>0.92756504418409902</c:v>
                </c:pt>
                <c:pt idx="2">
                  <c:v>0.93489485492536517</c:v>
                </c:pt>
                <c:pt idx="3">
                  <c:v>0.93495585106319756</c:v>
                </c:pt>
                <c:pt idx="4">
                  <c:v>0.93498221113201885</c:v>
                </c:pt>
                <c:pt idx="5">
                  <c:v>0.89126567227156106</c:v>
                </c:pt>
                <c:pt idx="6">
                  <c:v>0.904108170304743</c:v>
                </c:pt>
                <c:pt idx="7">
                  <c:v>0.89896167181458198</c:v>
                </c:pt>
                <c:pt idx="8">
                  <c:v>0.90410195992585773</c:v>
                </c:pt>
                <c:pt idx="9">
                  <c:v>0.89162679927769406</c:v>
                </c:pt>
                <c:pt idx="10">
                  <c:v>0.86459860313112769</c:v>
                </c:pt>
                <c:pt idx="11">
                  <c:v>0.85923291970766935</c:v>
                </c:pt>
                <c:pt idx="12">
                  <c:v>0.86455564442551303</c:v>
                </c:pt>
                <c:pt idx="13">
                  <c:v>0.85721401162374866</c:v>
                </c:pt>
                <c:pt idx="14">
                  <c:v>0.86454593621140119</c:v>
                </c:pt>
                <c:pt idx="15">
                  <c:v>0.78678259610756685</c:v>
                </c:pt>
                <c:pt idx="16">
                  <c:v>0.786830321654583</c:v>
                </c:pt>
                <c:pt idx="17">
                  <c:v>0.68074791774406085</c:v>
                </c:pt>
                <c:pt idx="18">
                  <c:v>0.78681681234172218</c:v>
                </c:pt>
                <c:pt idx="19">
                  <c:v>0.78177548745062331</c:v>
                </c:pt>
                <c:pt idx="20">
                  <c:v>0.78676478401186201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0-4F7B-80DA-0E5C559DBFB7}"/>
            </c:ext>
          </c:extLst>
        </c:ser>
        <c:ser>
          <c:idx val="1"/>
          <c:order val="1"/>
          <c:tx>
            <c:v>High-T alone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SulfurBlank!$AC$3:$AC$23</c:f>
              <c:numCache>
                <c:formatCode>0.00E+00</c:formatCode>
                <c:ptCount val="21"/>
                <c:pt idx="0">
                  <c:v>0.93589826796442432</c:v>
                </c:pt>
                <c:pt idx="1">
                  <c:v>0.92615360200881458</c:v>
                </c:pt>
                <c:pt idx="2">
                  <c:v>0.93498854086833971</c:v>
                </c:pt>
                <c:pt idx="3">
                  <c:v>0.93493084280189986</c:v>
                </c:pt>
                <c:pt idx="4">
                  <c:v>0.93475205836958641</c:v>
                </c:pt>
                <c:pt idx="5">
                  <c:v>0.89261748902250027</c:v>
                </c:pt>
                <c:pt idx="6">
                  <c:v>0.90664956829193111</c:v>
                </c:pt>
                <c:pt idx="7">
                  <c:v>0.90070526791261163</c:v>
                </c:pt>
                <c:pt idx="8">
                  <c:v>0.90684860978973136</c:v>
                </c:pt>
                <c:pt idx="9">
                  <c:v>0.89032664975179943</c:v>
                </c:pt>
                <c:pt idx="10">
                  <c:v>0.87307750461235989</c:v>
                </c:pt>
                <c:pt idx="11">
                  <c:v>0.86605103717408305</c:v>
                </c:pt>
                <c:pt idx="12">
                  <c:v>0.87283108664570497</c:v>
                </c:pt>
                <c:pt idx="13">
                  <c:v>0.86465141127994682</c:v>
                </c:pt>
                <c:pt idx="14">
                  <c:v>0.87360357337499239</c:v>
                </c:pt>
                <c:pt idx="15">
                  <c:v>0.77607131878597768</c:v>
                </c:pt>
                <c:pt idx="16">
                  <c:v>0.78594449476102268</c:v>
                </c:pt>
                <c:pt idx="17">
                  <c:v>0.67562730996818487</c:v>
                </c:pt>
                <c:pt idx="18">
                  <c:v>0.79366623187898</c:v>
                </c:pt>
                <c:pt idx="19">
                  <c:v>0.78804105151699433</c:v>
                </c:pt>
                <c:pt idx="20">
                  <c:v>0.80007366268533675</c:v>
                </c:pt>
              </c:numCache>
            </c:numRef>
          </c:xVal>
          <c:yVal>
            <c:numRef>
              <c:f>SulfurBlank!$Y$3:$Y$23</c:f>
              <c:numCache>
                <c:formatCode>0.00E+00</c:formatCode>
                <c:ptCount val="21"/>
                <c:pt idx="0">
                  <c:v>0.94370729630888772</c:v>
                </c:pt>
                <c:pt idx="1">
                  <c:v>0.94370729630888772</c:v>
                </c:pt>
                <c:pt idx="2">
                  <c:v>0.94370729630888772</c:v>
                </c:pt>
                <c:pt idx="3">
                  <c:v>0.94370729630888772</c:v>
                </c:pt>
                <c:pt idx="4">
                  <c:v>0.94370729630888772</c:v>
                </c:pt>
                <c:pt idx="5">
                  <c:v>0.91480902896664629</c:v>
                </c:pt>
                <c:pt idx="6">
                  <c:v>0.91480902896664629</c:v>
                </c:pt>
                <c:pt idx="7">
                  <c:v>0.91480902896664629</c:v>
                </c:pt>
                <c:pt idx="8">
                  <c:v>0.91480902896664629</c:v>
                </c:pt>
                <c:pt idx="9">
                  <c:v>0.91480902896664629</c:v>
                </c:pt>
                <c:pt idx="10">
                  <c:v>0.87692166731577692</c:v>
                </c:pt>
                <c:pt idx="11">
                  <c:v>0.87692166731577692</c:v>
                </c:pt>
                <c:pt idx="12">
                  <c:v>0.87692166731577692</c:v>
                </c:pt>
                <c:pt idx="13">
                  <c:v>0.87692166731577692</c:v>
                </c:pt>
                <c:pt idx="14">
                  <c:v>0.87692166731577692</c:v>
                </c:pt>
                <c:pt idx="15">
                  <c:v>0.80203569115876139</c:v>
                </c:pt>
                <c:pt idx="16">
                  <c:v>0.80203569115876139</c:v>
                </c:pt>
                <c:pt idx="17">
                  <c:v>0.80203569115876139</c:v>
                </c:pt>
                <c:pt idx="18">
                  <c:v>0.80203569115876139</c:v>
                </c:pt>
                <c:pt idx="19">
                  <c:v>0.80203569115876139</c:v>
                </c:pt>
                <c:pt idx="20">
                  <c:v>0.80203569115876139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0-4F7B-80DA-0E5C559DBFB7}"/>
            </c:ext>
          </c:extLst>
        </c:ser>
        <c:ser>
          <c:idx val="2"/>
          <c:order val="2"/>
          <c:tx>
            <c:v>1:1 Line</c:v>
          </c:tx>
          <c:spPr>
            <a:ln w="25400" cap="rnd">
              <a:solidFill>
                <a:schemeClr val="accent1">
                  <a:alpha val="2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SulfurBlank!$AC$45:$AD$45</c:f>
              <c:numCache>
                <c:formatCode>General</c:formatCode>
                <c:ptCount val="2"/>
                <c:pt idx="0">
                  <c:v>0.6</c:v>
                </c:pt>
                <c:pt idx="1">
                  <c:v>1</c:v>
                </c:pt>
              </c:numCache>
            </c:numRef>
          </c:xVal>
          <c:yVal>
            <c:numRef>
              <c:f>SulfurBlank!$AC$46:$AD$46</c:f>
              <c:numCache>
                <c:formatCode>General</c:formatCode>
                <c:ptCount val="2"/>
                <c:pt idx="0">
                  <c:v>0.6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0-4F7B-80DA-0E5C559D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912191"/>
        <c:axId val="1715912671"/>
      </c:scatterChart>
      <c:valAx>
        <c:axId val="1715912191"/>
        <c:scaling>
          <c:orientation val="minMax"/>
          <c:max val="1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12671"/>
        <c:crosses val="autoZero"/>
        <c:crossBetween val="midCat"/>
      </c:valAx>
      <c:valAx>
        <c:axId val="1715912671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nt/n0 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12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[3]Sulfur_Tube_Cooling_Rates!$D$1</c:f>
              <c:strCache>
                <c:ptCount val="1"/>
                <c:pt idx="0">
                  <c:v>dTdt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66334208223972"/>
                  <c:y val="2.7656022163896093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[3]Sulfur_Tube_Cooling_Rates!$C$2:$C$206</c:f>
              <c:numCache>
                <c:formatCode>General</c:formatCode>
                <c:ptCount val="205"/>
                <c:pt idx="0">
                  <c:v>53.5</c:v>
                </c:pt>
                <c:pt idx="1">
                  <c:v>52.5</c:v>
                </c:pt>
                <c:pt idx="2">
                  <c:v>51.5</c:v>
                </c:pt>
                <c:pt idx="3">
                  <c:v>50.5</c:v>
                </c:pt>
                <c:pt idx="4">
                  <c:v>49.5</c:v>
                </c:pt>
                <c:pt idx="5">
                  <c:v>48.5</c:v>
                </c:pt>
                <c:pt idx="6">
                  <c:v>48</c:v>
                </c:pt>
                <c:pt idx="7">
                  <c:v>46.5</c:v>
                </c:pt>
                <c:pt idx="8">
                  <c:v>53.5</c:v>
                </c:pt>
                <c:pt idx="9">
                  <c:v>52.5</c:v>
                </c:pt>
                <c:pt idx="10">
                  <c:v>51.5</c:v>
                </c:pt>
                <c:pt idx="11">
                  <c:v>50.5</c:v>
                </c:pt>
                <c:pt idx="12">
                  <c:v>49.5</c:v>
                </c:pt>
                <c:pt idx="13">
                  <c:v>48.5</c:v>
                </c:pt>
                <c:pt idx="14">
                  <c:v>54</c:v>
                </c:pt>
                <c:pt idx="15">
                  <c:v>54</c:v>
                </c:pt>
                <c:pt idx="16">
                  <c:v>53</c:v>
                </c:pt>
                <c:pt idx="17">
                  <c:v>52</c:v>
                </c:pt>
                <c:pt idx="18">
                  <c:v>51.5</c:v>
                </c:pt>
                <c:pt idx="19">
                  <c:v>50.5</c:v>
                </c:pt>
                <c:pt idx="20">
                  <c:v>54</c:v>
                </c:pt>
                <c:pt idx="21">
                  <c:v>54</c:v>
                </c:pt>
                <c:pt idx="22">
                  <c:v>53</c:v>
                </c:pt>
                <c:pt idx="23">
                  <c:v>52</c:v>
                </c:pt>
                <c:pt idx="24">
                  <c:v>51.5</c:v>
                </c:pt>
                <c:pt idx="25">
                  <c:v>51</c:v>
                </c:pt>
                <c:pt idx="26">
                  <c:v>50</c:v>
                </c:pt>
                <c:pt idx="27">
                  <c:v>54</c:v>
                </c:pt>
                <c:pt idx="28">
                  <c:v>54</c:v>
                </c:pt>
                <c:pt idx="29">
                  <c:v>53</c:v>
                </c:pt>
                <c:pt idx="30">
                  <c:v>52.5</c:v>
                </c:pt>
                <c:pt idx="31">
                  <c:v>52</c:v>
                </c:pt>
                <c:pt idx="32">
                  <c:v>51</c:v>
                </c:pt>
                <c:pt idx="33">
                  <c:v>50.5</c:v>
                </c:pt>
                <c:pt idx="34">
                  <c:v>50</c:v>
                </c:pt>
                <c:pt idx="35">
                  <c:v>49</c:v>
                </c:pt>
                <c:pt idx="36">
                  <c:v>48</c:v>
                </c:pt>
                <c:pt idx="37">
                  <c:v>73</c:v>
                </c:pt>
                <c:pt idx="38">
                  <c:v>71</c:v>
                </c:pt>
                <c:pt idx="39">
                  <c:v>71</c:v>
                </c:pt>
                <c:pt idx="40">
                  <c:v>70</c:v>
                </c:pt>
                <c:pt idx="41">
                  <c:v>68</c:v>
                </c:pt>
                <c:pt idx="42">
                  <c:v>67.5</c:v>
                </c:pt>
                <c:pt idx="43">
                  <c:v>66.5</c:v>
                </c:pt>
                <c:pt idx="44">
                  <c:v>65.5</c:v>
                </c:pt>
                <c:pt idx="45">
                  <c:v>64.5</c:v>
                </c:pt>
                <c:pt idx="46">
                  <c:v>63.5</c:v>
                </c:pt>
                <c:pt idx="47">
                  <c:v>74</c:v>
                </c:pt>
                <c:pt idx="48">
                  <c:v>73</c:v>
                </c:pt>
                <c:pt idx="49">
                  <c:v>71.5</c:v>
                </c:pt>
                <c:pt idx="50">
                  <c:v>71</c:v>
                </c:pt>
                <c:pt idx="51">
                  <c:v>70.5</c:v>
                </c:pt>
                <c:pt idx="52">
                  <c:v>69</c:v>
                </c:pt>
                <c:pt idx="53">
                  <c:v>68</c:v>
                </c:pt>
                <c:pt idx="54">
                  <c:v>67.5</c:v>
                </c:pt>
                <c:pt idx="55">
                  <c:v>66.5</c:v>
                </c:pt>
                <c:pt idx="56">
                  <c:v>65.5</c:v>
                </c:pt>
                <c:pt idx="57">
                  <c:v>65</c:v>
                </c:pt>
                <c:pt idx="58">
                  <c:v>64</c:v>
                </c:pt>
                <c:pt idx="59">
                  <c:v>74</c:v>
                </c:pt>
                <c:pt idx="60">
                  <c:v>73</c:v>
                </c:pt>
                <c:pt idx="61">
                  <c:v>72</c:v>
                </c:pt>
                <c:pt idx="62">
                  <c:v>71.5</c:v>
                </c:pt>
                <c:pt idx="63">
                  <c:v>70.5</c:v>
                </c:pt>
                <c:pt idx="64">
                  <c:v>69.5</c:v>
                </c:pt>
                <c:pt idx="65">
                  <c:v>68.5</c:v>
                </c:pt>
                <c:pt idx="66">
                  <c:v>68</c:v>
                </c:pt>
                <c:pt idx="67">
                  <c:v>66.5</c:v>
                </c:pt>
                <c:pt idx="68">
                  <c:v>65.5</c:v>
                </c:pt>
                <c:pt idx="69">
                  <c:v>65.5</c:v>
                </c:pt>
                <c:pt idx="70">
                  <c:v>64</c:v>
                </c:pt>
                <c:pt idx="71">
                  <c:v>74</c:v>
                </c:pt>
                <c:pt idx="72">
                  <c:v>73</c:v>
                </c:pt>
                <c:pt idx="73">
                  <c:v>72.5</c:v>
                </c:pt>
                <c:pt idx="74">
                  <c:v>71.5</c:v>
                </c:pt>
                <c:pt idx="75">
                  <c:v>70.5</c:v>
                </c:pt>
                <c:pt idx="76">
                  <c:v>69.5</c:v>
                </c:pt>
                <c:pt idx="77">
                  <c:v>68.5</c:v>
                </c:pt>
                <c:pt idx="78">
                  <c:v>68</c:v>
                </c:pt>
                <c:pt idx="79">
                  <c:v>66.5</c:v>
                </c:pt>
                <c:pt idx="80">
                  <c:v>65.5</c:v>
                </c:pt>
                <c:pt idx="81">
                  <c:v>74</c:v>
                </c:pt>
                <c:pt idx="82">
                  <c:v>73.5</c:v>
                </c:pt>
                <c:pt idx="83">
                  <c:v>72.5</c:v>
                </c:pt>
                <c:pt idx="84">
                  <c:v>71.5</c:v>
                </c:pt>
                <c:pt idx="85">
                  <c:v>70.5</c:v>
                </c:pt>
                <c:pt idx="86">
                  <c:v>69.5</c:v>
                </c:pt>
                <c:pt idx="87">
                  <c:v>68.5</c:v>
                </c:pt>
                <c:pt idx="88">
                  <c:v>68</c:v>
                </c:pt>
                <c:pt idx="89">
                  <c:v>67</c:v>
                </c:pt>
                <c:pt idx="90">
                  <c:v>66</c:v>
                </c:pt>
                <c:pt idx="91">
                  <c:v>93.5</c:v>
                </c:pt>
                <c:pt idx="92">
                  <c:v>92</c:v>
                </c:pt>
                <c:pt idx="93">
                  <c:v>91</c:v>
                </c:pt>
                <c:pt idx="94">
                  <c:v>90</c:v>
                </c:pt>
                <c:pt idx="95">
                  <c:v>88.5</c:v>
                </c:pt>
                <c:pt idx="96">
                  <c:v>87</c:v>
                </c:pt>
                <c:pt idx="97">
                  <c:v>86</c:v>
                </c:pt>
                <c:pt idx="98">
                  <c:v>85</c:v>
                </c:pt>
                <c:pt idx="99">
                  <c:v>83.5</c:v>
                </c:pt>
                <c:pt idx="100">
                  <c:v>82.5</c:v>
                </c:pt>
                <c:pt idx="101">
                  <c:v>81.5</c:v>
                </c:pt>
                <c:pt idx="102">
                  <c:v>93.5</c:v>
                </c:pt>
                <c:pt idx="103">
                  <c:v>92</c:v>
                </c:pt>
                <c:pt idx="104">
                  <c:v>91</c:v>
                </c:pt>
                <c:pt idx="105">
                  <c:v>90</c:v>
                </c:pt>
                <c:pt idx="106">
                  <c:v>88.5</c:v>
                </c:pt>
                <c:pt idx="107">
                  <c:v>87</c:v>
                </c:pt>
                <c:pt idx="108">
                  <c:v>86</c:v>
                </c:pt>
                <c:pt idx="109">
                  <c:v>85.5</c:v>
                </c:pt>
                <c:pt idx="110">
                  <c:v>83.5</c:v>
                </c:pt>
                <c:pt idx="111">
                  <c:v>82.5</c:v>
                </c:pt>
                <c:pt idx="112">
                  <c:v>82</c:v>
                </c:pt>
                <c:pt idx="113">
                  <c:v>80.5</c:v>
                </c:pt>
                <c:pt idx="114">
                  <c:v>93.5</c:v>
                </c:pt>
                <c:pt idx="115">
                  <c:v>92</c:v>
                </c:pt>
                <c:pt idx="116">
                  <c:v>91</c:v>
                </c:pt>
                <c:pt idx="117">
                  <c:v>90</c:v>
                </c:pt>
                <c:pt idx="118">
                  <c:v>88.5</c:v>
                </c:pt>
                <c:pt idx="119">
                  <c:v>87</c:v>
                </c:pt>
                <c:pt idx="120">
                  <c:v>86</c:v>
                </c:pt>
                <c:pt idx="121">
                  <c:v>85</c:v>
                </c:pt>
                <c:pt idx="122">
                  <c:v>83.5</c:v>
                </c:pt>
                <c:pt idx="123">
                  <c:v>82.5</c:v>
                </c:pt>
                <c:pt idx="124">
                  <c:v>81.5</c:v>
                </c:pt>
                <c:pt idx="125">
                  <c:v>93.5</c:v>
                </c:pt>
                <c:pt idx="126">
                  <c:v>92</c:v>
                </c:pt>
                <c:pt idx="127">
                  <c:v>91</c:v>
                </c:pt>
                <c:pt idx="128">
                  <c:v>90</c:v>
                </c:pt>
                <c:pt idx="129">
                  <c:v>88.5</c:v>
                </c:pt>
                <c:pt idx="130">
                  <c:v>87</c:v>
                </c:pt>
                <c:pt idx="131">
                  <c:v>86</c:v>
                </c:pt>
                <c:pt idx="132">
                  <c:v>85</c:v>
                </c:pt>
                <c:pt idx="133">
                  <c:v>84</c:v>
                </c:pt>
                <c:pt idx="134">
                  <c:v>82.5</c:v>
                </c:pt>
                <c:pt idx="135">
                  <c:v>81.5</c:v>
                </c:pt>
                <c:pt idx="136">
                  <c:v>81</c:v>
                </c:pt>
                <c:pt idx="137">
                  <c:v>93.5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88.5</c:v>
                </c:pt>
                <c:pt idx="142">
                  <c:v>87.5</c:v>
                </c:pt>
                <c:pt idx="143">
                  <c:v>86.5</c:v>
                </c:pt>
                <c:pt idx="144">
                  <c:v>85.5</c:v>
                </c:pt>
                <c:pt idx="145">
                  <c:v>84.5</c:v>
                </c:pt>
                <c:pt idx="146">
                  <c:v>82.5</c:v>
                </c:pt>
                <c:pt idx="147">
                  <c:v>81.5</c:v>
                </c:pt>
                <c:pt idx="148">
                  <c:v>122</c:v>
                </c:pt>
                <c:pt idx="149">
                  <c:v>120.5</c:v>
                </c:pt>
                <c:pt idx="150">
                  <c:v>118.5</c:v>
                </c:pt>
                <c:pt idx="151">
                  <c:v>116.5</c:v>
                </c:pt>
                <c:pt idx="152">
                  <c:v>115</c:v>
                </c:pt>
                <c:pt idx="153">
                  <c:v>113.5</c:v>
                </c:pt>
                <c:pt idx="154">
                  <c:v>122</c:v>
                </c:pt>
                <c:pt idx="155">
                  <c:v>120</c:v>
                </c:pt>
                <c:pt idx="156">
                  <c:v>118.5</c:v>
                </c:pt>
                <c:pt idx="157">
                  <c:v>116.5</c:v>
                </c:pt>
                <c:pt idx="158">
                  <c:v>114.5</c:v>
                </c:pt>
                <c:pt idx="159">
                  <c:v>113</c:v>
                </c:pt>
                <c:pt idx="160">
                  <c:v>121.5</c:v>
                </c:pt>
                <c:pt idx="161">
                  <c:v>119.5</c:v>
                </c:pt>
                <c:pt idx="162">
                  <c:v>117</c:v>
                </c:pt>
                <c:pt idx="163">
                  <c:v>115.5</c:v>
                </c:pt>
                <c:pt idx="164">
                  <c:v>114</c:v>
                </c:pt>
                <c:pt idx="165">
                  <c:v>121.5</c:v>
                </c:pt>
                <c:pt idx="166">
                  <c:v>120.5</c:v>
                </c:pt>
                <c:pt idx="167">
                  <c:v>118</c:v>
                </c:pt>
                <c:pt idx="168">
                  <c:v>116.5</c:v>
                </c:pt>
                <c:pt idx="169">
                  <c:v>115</c:v>
                </c:pt>
                <c:pt idx="170">
                  <c:v>112.5</c:v>
                </c:pt>
                <c:pt idx="171">
                  <c:v>122.5</c:v>
                </c:pt>
                <c:pt idx="172">
                  <c:v>120.5</c:v>
                </c:pt>
                <c:pt idx="173">
                  <c:v>119</c:v>
                </c:pt>
                <c:pt idx="174">
                  <c:v>117</c:v>
                </c:pt>
                <c:pt idx="175">
                  <c:v>115.5</c:v>
                </c:pt>
                <c:pt idx="176">
                  <c:v>0</c:v>
                </c:pt>
              </c:numCache>
            </c:numRef>
          </c:xVal>
          <c:yVal>
            <c:numRef>
              <c:f>[3]Sulfur_Tube_Cooling_Rates!$D$2:$D$206</c:f>
              <c:numCache>
                <c:formatCode>General</c:formatCode>
                <c:ptCount val="205"/>
                <c:pt idx="0">
                  <c:v>-0.161151697464546</c:v>
                </c:pt>
                <c:pt idx="1">
                  <c:v>-0.16109977446031301</c:v>
                </c:pt>
                <c:pt idx="2">
                  <c:v>-0.16109977446031301</c:v>
                </c:pt>
                <c:pt idx="3">
                  <c:v>-0.16109977446031701</c:v>
                </c:pt>
                <c:pt idx="4">
                  <c:v>-0.16116901257118199</c:v>
                </c:pt>
                <c:pt idx="5">
                  <c:v>-0.161151697464546</c:v>
                </c:pt>
                <c:pt idx="6">
                  <c:v>-0.107434464976364</c:v>
                </c:pt>
                <c:pt idx="7">
                  <c:v>-0.161143041306335</c:v>
                </c:pt>
                <c:pt idx="8">
                  <c:v>-0.16112573177936701</c:v>
                </c:pt>
                <c:pt idx="9">
                  <c:v>-0.16108247422680499</c:v>
                </c:pt>
                <c:pt idx="10">
                  <c:v>-0.16108247422680499</c:v>
                </c:pt>
                <c:pt idx="11">
                  <c:v>-0.16109977446031301</c:v>
                </c:pt>
                <c:pt idx="12">
                  <c:v>-0.16113438607798899</c:v>
                </c:pt>
                <c:pt idx="13">
                  <c:v>-0.16113438607798899</c:v>
                </c:pt>
                <c:pt idx="14">
                  <c:v>-0.107422924051993</c:v>
                </c:pt>
                <c:pt idx="15">
                  <c:v>-0.107434464976364</c:v>
                </c:pt>
                <c:pt idx="16">
                  <c:v>-0.10741715451957801</c:v>
                </c:pt>
                <c:pt idx="17">
                  <c:v>-0.10742869420421999</c:v>
                </c:pt>
                <c:pt idx="18">
                  <c:v>-0.16116901257118199</c:v>
                </c:pt>
                <c:pt idx="19">
                  <c:v>-0.16118633139909599</c:v>
                </c:pt>
                <c:pt idx="20">
                  <c:v>-0.107422924051993</c:v>
                </c:pt>
                <c:pt idx="21">
                  <c:v>-0.107422924051993</c:v>
                </c:pt>
                <c:pt idx="22">
                  <c:v>-0.107434464976364</c:v>
                </c:pt>
                <c:pt idx="23">
                  <c:v>-0.107434464976361</c:v>
                </c:pt>
                <c:pt idx="24">
                  <c:v>-0.16118633139909599</c:v>
                </c:pt>
                <c:pt idx="25">
                  <c:v>-0.10744600838078799</c:v>
                </c:pt>
                <c:pt idx="26">
                  <c:v>-0.107422924051993</c:v>
                </c:pt>
                <c:pt idx="27">
                  <c:v>-0.10745178101326799</c:v>
                </c:pt>
                <c:pt idx="28">
                  <c:v>-0.107440236368521</c:v>
                </c:pt>
                <c:pt idx="29">
                  <c:v>-0.10745178101327101</c:v>
                </c:pt>
                <c:pt idx="30">
                  <c:v>-5.3714347102111697E-2</c:v>
                </c:pt>
                <c:pt idx="31">
                  <c:v>-0.10742869420421999</c:v>
                </c:pt>
                <c:pt idx="32">
                  <c:v>-0.10741715451957499</c:v>
                </c:pt>
                <c:pt idx="33">
                  <c:v>-0.161143041306331</c:v>
                </c:pt>
                <c:pt idx="34">
                  <c:v>-0.107440236368518</c:v>
                </c:pt>
                <c:pt idx="35">
                  <c:v>-0.107457554266064</c:v>
                </c:pt>
                <c:pt idx="36">
                  <c:v>-8.0606158310495196E-2</c:v>
                </c:pt>
                <c:pt idx="37">
                  <c:v>-0.10742869420421999</c:v>
                </c:pt>
                <c:pt idx="38">
                  <c:v>-0.161192826919201</c:v>
                </c:pt>
                <c:pt idx="39">
                  <c:v>-0.16118633139909799</c:v>
                </c:pt>
                <c:pt idx="40">
                  <c:v>-0.161179836402466</c:v>
                </c:pt>
                <c:pt idx="41">
                  <c:v>-0.107440236368518</c:v>
                </c:pt>
                <c:pt idx="42">
                  <c:v>-0.16113438607798899</c:v>
                </c:pt>
                <c:pt idx="43">
                  <c:v>-0.161143041306331</c:v>
                </c:pt>
                <c:pt idx="44">
                  <c:v>-0.161151697464546</c:v>
                </c:pt>
                <c:pt idx="45">
                  <c:v>-0.16118633139909599</c:v>
                </c:pt>
                <c:pt idx="46">
                  <c:v>-0.16122098022356199</c:v>
                </c:pt>
                <c:pt idx="47">
                  <c:v>-0.107457554266064</c:v>
                </c:pt>
                <c:pt idx="48">
                  <c:v>-0.107457554266067</c:v>
                </c:pt>
                <c:pt idx="49">
                  <c:v>-0.16118633139909999</c:v>
                </c:pt>
                <c:pt idx="50">
                  <c:v>-0.21481123462756899</c:v>
                </c:pt>
                <c:pt idx="51">
                  <c:v>-0.16110842597067701</c:v>
                </c:pt>
                <c:pt idx="52">
                  <c:v>-0.107394082586049</c:v>
                </c:pt>
                <c:pt idx="53">
                  <c:v>-0.10745178101327101</c:v>
                </c:pt>
                <c:pt idx="54">
                  <c:v>-0.161160354552777</c:v>
                </c:pt>
                <c:pt idx="55">
                  <c:v>-0.16119499220890501</c:v>
                </c:pt>
                <c:pt idx="56">
                  <c:v>-0.161151697464546</c:v>
                </c:pt>
                <c:pt idx="57">
                  <c:v>-0.10744600838078799</c:v>
                </c:pt>
                <c:pt idx="58">
                  <c:v>-0.107422924051993</c:v>
                </c:pt>
                <c:pt idx="59">
                  <c:v>-0.107434464976364</c:v>
                </c:pt>
                <c:pt idx="60">
                  <c:v>-0.107434464976364</c:v>
                </c:pt>
                <c:pt idx="61">
                  <c:v>-0.10744600838078799</c:v>
                </c:pt>
                <c:pt idx="62">
                  <c:v>-0.16113438607798899</c:v>
                </c:pt>
                <c:pt idx="63">
                  <c:v>-0.161151697464546</c:v>
                </c:pt>
                <c:pt idx="64">
                  <c:v>-0.161143041306331</c:v>
                </c:pt>
                <c:pt idx="65">
                  <c:v>-0.161143041306331</c:v>
                </c:pt>
                <c:pt idx="66">
                  <c:v>-0.107440236368518</c:v>
                </c:pt>
                <c:pt idx="67">
                  <c:v>-0.16119499220890901</c:v>
                </c:pt>
                <c:pt idx="68">
                  <c:v>-0.16119499220890901</c:v>
                </c:pt>
                <c:pt idx="69">
                  <c:v>-0.16116035455278099</c:v>
                </c:pt>
                <c:pt idx="70">
                  <c:v>-0.107428694204223</c:v>
                </c:pt>
                <c:pt idx="71">
                  <c:v>-0.107469102632994</c:v>
                </c:pt>
                <c:pt idx="72">
                  <c:v>-0.107457554266064</c:v>
                </c:pt>
                <c:pt idx="73">
                  <c:v>-0.161177671519902</c:v>
                </c:pt>
                <c:pt idx="74">
                  <c:v>-0.161177671519902</c:v>
                </c:pt>
                <c:pt idx="75">
                  <c:v>-0.16118633139909599</c:v>
                </c:pt>
                <c:pt idx="76">
                  <c:v>-0.16118633139909999</c:v>
                </c:pt>
                <c:pt idx="77">
                  <c:v>-0.161117078410312</c:v>
                </c:pt>
                <c:pt idx="78">
                  <c:v>-0.10741138560687399</c:v>
                </c:pt>
                <c:pt idx="79">
                  <c:v>-0.16112573177936301</c:v>
                </c:pt>
                <c:pt idx="80">
                  <c:v>-0.120880006446934</c:v>
                </c:pt>
                <c:pt idx="81">
                  <c:v>-0.10741138560687399</c:v>
                </c:pt>
                <c:pt idx="82">
                  <c:v>-0.16112573177936301</c:v>
                </c:pt>
                <c:pt idx="83">
                  <c:v>-0.16113438607798899</c:v>
                </c:pt>
                <c:pt idx="84">
                  <c:v>-0.161151697464546</c:v>
                </c:pt>
                <c:pt idx="85">
                  <c:v>-0.16116901257118199</c:v>
                </c:pt>
                <c:pt idx="86">
                  <c:v>-0.16118633139909599</c:v>
                </c:pt>
                <c:pt idx="87">
                  <c:v>-0.16116901257118199</c:v>
                </c:pt>
                <c:pt idx="88">
                  <c:v>-0.107434464976364</c:v>
                </c:pt>
                <c:pt idx="89">
                  <c:v>-0.10741138560687399</c:v>
                </c:pt>
                <c:pt idx="90">
                  <c:v>-0.10741715451957499</c:v>
                </c:pt>
                <c:pt idx="91">
                  <c:v>-0.161143041306335</c:v>
                </c:pt>
                <c:pt idx="92">
                  <c:v>-0.21489201676157599</c:v>
                </c:pt>
                <c:pt idx="93">
                  <c:v>-0.21486892995272899</c:v>
                </c:pt>
                <c:pt idx="94">
                  <c:v>-0.21485738840844101</c:v>
                </c:pt>
                <c:pt idx="95">
                  <c:v>-0.161117078410312</c:v>
                </c:pt>
                <c:pt idx="96">
                  <c:v>-0.21483430903915099</c:v>
                </c:pt>
                <c:pt idx="97">
                  <c:v>-0.21486892995272899</c:v>
                </c:pt>
                <c:pt idx="98">
                  <c:v>-0.214915108532128</c:v>
                </c:pt>
                <c:pt idx="99">
                  <c:v>-0.16121231662099</c:v>
                </c:pt>
                <c:pt idx="100">
                  <c:v>-0.16119499220890901</c:v>
                </c:pt>
                <c:pt idx="101">
                  <c:v>-0.16118633139909599</c:v>
                </c:pt>
                <c:pt idx="102">
                  <c:v>-0.161177671519906</c:v>
                </c:pt>
                <c:pt idx="103">
                  <c:v>-0.21492665627854601</c:v>
                </c:pt>
                <c:pt idx="104">
                  <c:v>-0.214915108532128</c:v>
                </c:pt>
                <c:pt idx="105">
                  <c:v>-0.21489201676157599</c:v>
                </c:pt>
                <c:pt idx="106">
                  <c:v>-0.161143041306331</c:v>
                </c:pt>
                <c:pt idx="107">
                  <c:v>-0.214880472737037</c:v>
                </c:pt>
                <c:pt idx="108">
                  <c:v>-0.21489201676157599</c:v>
                </c:pt>
                <c:pt idx="109">
                  <c:v>-0.16116901257118599</c:v>
                </c:pt>
                <c:pt idx="110">
                  <c:v>-0.161177671519906</c:v>
                </c:pt>
                <c:pt idx="111">
                  <c:v>-0.161177671519902</c:v>
                </c:pt>
                <c:pt idx="112">
                  <c:v>-0.21492665627854099</c:v>
                </c:pt>
                <c:pt idx="113">
                  <c:v>-0.161151697464546</c:v>
                </c:pt>
                <c:pt idx="114">
                  <c:v>-0.161177671519902</c:v>
                </c:pt>
                <c:pt idx="115">
                  <c:v>-0.21485738840844601</c:v>
                </c:pt>
                <c:pt idx="116">
                  <c:v>-0.201785804368664</c:v>
                </c:pt>
                <c:pt idx="117">
                  <c:v>-0.201785804368664</c:v>
                </c:pt>
                <c:pt idx="118">
                  <c:v>-0.15135462388375601</c:v>
                </c:pt>
                <c:pt idx="119">
                  <c:v>-0.214880472737037</c:v>
                </c:pt>
                <c:pt idx="120">
                  <c:v>-0.21490356202654201</c:v>
                </c:pt>
                <c:pt idx="121">
                  <c:v>-0.21492665627854601</c:v>
                </c:pt>
                <c:pt idx="122">
                  <c:v>-0.16118633139909599</c:v>
                </c:pt>
                <c:pt idx="123">
                  <c:v>-0.161160354552777</c:v>
                </c:pt>
                <c:pt idx="124">
                  <c:v>-0.16116901257118199</c:v>
                </c:pt>
                <c:pt idx="125">
                  <c:v>-0.161151697464546</c:v>
                </c:pt>
                <c:pt idx="126">
                  <c:v>-0.21489201676157599</c:v>
                </c:pt>
                <c:pt idx="127">
                  <c:v>-0.214868929952723</c:v>
                </c:pt>
                <c:pt idx="128">
                  <c:v>-0.21489201676157599</c:v>
                </c:pt>
                <c:pt idx="129">
                  <c:v>-0.161177671519906</c:v>
                </c:pt>
                <c:pt idx="130">
                  <c:v>-0.21492665627854601</c:v>
                </c:pt>
                <c:pt idx="131">
                  <c:v>-0.214938205265989</c:v>
                </c:pt>
                <c:pt idx="132">
                  <c:v>-0.214915108532128</c:v>
                </c:pt>
                <c:pt idx="133">
                  <c:v>-0.10744600838078799</c:v>
                </c:pt>
                <c:pt idx="134">
                  <c:v>-0.161143041306331</c:v>
                </c:pt>
                <c:pt idx="135">
                  <c:v>-0.161151697464546</c:v>
                </c:pt>
                <c:pt idx="136">
                  <c:v>-0.21486892995272899</c:v>
                </c:pt>
                <c:pt idx="137">
                  <c:v>-0.16112573177936301</c:v>
                </c:pt>
                <c:pt idx="138">
                  <c:v>-0.21483430903915099</c:v>
                </c:pt>
                <c:pt idx="139">
                  <c:v>-0.214799699280422</c:v>
                </c:pt>
                <c:pt idx="140">
                  <c:v>-0.21484584810398599</c:v>
                </c:pt>
                <c:pt idx="141">
                  <c:v>-0.161143041306335</c:v>
                </c:pt>
                <c:pt idx="142">
                  <c:v>-0.161151697464546</c:v>
                </c:pt>
                <c:pt idx="143">
                  <c:v>-0.161177671519902</c:v>
                </c:pt>
                <c:pt idx="144">
                  <c:v>-0.161160354552777</c:v>
                </c:pt>
                <c:pt idx="145">
                  <c:v>-0.161160354552777</c:v>
                </c:pt>
                <c:pt idx="146">
                  <c:v>-0.20140986908358599</c:v>
                </c:pt>
                <c:pt idx="147">
                  <c:v>-0.20142609676509701</c:v>
                </c:pt>
                <c:pt idx="148">
                  <c:v>-0.32237266279819299</c:v>
                </c:pt>
                <c:pt idx="149">
                  <c:v>-0.26865832034818299</c:v>
                </c:pt>
                <c:pt idx="150">
                  <c:v>-0.26867275658248002</c:v>
                </c:pt>
                <c:pt idx="151">
                  <c:v>-0.26862945253317799</c:v>
                </c:pt>
                <c:pt idx="152">
                  <c:v>-0.322355343039813</c:v>
                </c:pt>
                <c:pt idx="153">
                  <c:v>-0.26860059092129601</c:v>
                </c:pt>
                <c:pt idx="154">
                  <c:v>-0.32228608261266201</c:v>
                </c:pt>
                <c:pt idx="155">
                  <c:v>-0.32228608261266201</c:v>
                </c:pt>
                <c:pt idx="156">
                  <c:v>-0.26854288629893902</c:v>
                </c:pt>
                <c:pt idx="157">
                  <c:v>-0.26849962410052802</c:v>
                </c:pt>
                <c:pt idx="158">
                  <c:v>-0.26851404328446898</c:v>
                </c:pt>
                <c:pt idx="159">
                  <c:v>-0.32219954892063402</c:v>
                </c:pt>
                <c:pt idx="160">
                  <c:v>-0.37606102933275898</c:v>
                </c:pt>
                <c:pt idx="161">
                  <c:v>-0.268629452533171</c:v>
                </c:pt>
                <c:pt idx="162">
                  <c:v>-0.322355343039813</c:v>
                </c:pt>
                <c:pt idx="163">
                  <c:v>-0.26864388566516101</c:v>
                </c:pt>
                <c:pt idx="164">
                  <c:v>-0.32233802514236498</c:v>
                </c:pt>
                <c:pt idx="165">
                  <c:v>-0.26858616244091099</c:v>
                </c:pt>
                <c:pt idx="166">
                  <c:v>-0.26862945253317799</c:v>
                </c:pt>
                <c:pt idx="167">
                  <c:v>-0.32232070910556299</c:v>
                </c:pt>
                <c:pt idx="168">
                  <c:v>-0.25228316262172701</c:v>
                </c:pt>
                <c:pt idx="169">
                  <c:v>-0.30270924776752001</c:v>
                </c:pt>
                <c:pt idx="170">
                  <c:v>-0.252257706472933</c:v>
                </c:pt>
                <c:pt idx="171">
                  <c:v>-0.26862945253317799</c:v>
                </c:pt>
                <c:pt idx="172">
                  <c:v>-0.26857173551055202</c:v>
                </c:pt>
                <c:pt idx="173">
                  <c:v>-0.32225146355872702</c:v>
                </c:pt>
                <c:pt idx="174">
                  <c:v>-0.32225146355872702</c:v>
                </c:pt>
                <c:pt idx="175">
                  <c:v>-0.26861502095197098</c:v>
                </c:pt>
                <c:pt idx="1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04-4775-B994-DEEA2EF62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835183"/>
        <c:axId val="1421838063"/>
      </c:scatterChart>
      <c:valAx>
        <c:axId val="142183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T(C)</a:t>
                </a:r>
                <a:r>
                  <a:rPr lang="en-US" baseline="0"/>
                  <a:t> - 24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38063"/>
        <c:crosses val="autoZero"/>
        <c:crossBetween val="midCat"/>
      </c:valAx>
      <c:valAx>
        <c:axId val="14218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dTdt</a:t>
                </a:r>
                <a:r>
                  <a:rPr lang="en-US" baseline="0"/>
                  <a:t> (T/s)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3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525591</xdr:colOff>
      <xdr:row>49</xdr:row>
      <xdr:rowOff>157927</xdr:rowOff>
    </xdr:from>
    <xdr:to>
      <xdr:col>28</xdr:col>
      <xdr:colOff>532121</xdr:colOff>
      <xdr:row>64</xdr:row>
      <xdr:rowOff>157927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1DDF7-BDDA-4D2C-9605-B96275CF4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314127</xdr:colOff>
      <xdr:row>45</xdr:row>
      <xdr:rowOff>157688</xdr:rowOff>
    </xdr:from>
    <xdr:to>
      <xdr:col>18</xdr:col>
      <xdr:colOff>7445</xdr:colOff>
      <xdr:row>60</xdr:row>
      <xdr:rowOff>157688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00C0D1-4A42-4F76-ADD4-0E2A06F86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587829</xdr:colOff>
      <xdr:row>57</xdr:row>
      <xdr:rowOff>141514</xdr:rowOff>
    </xdr:from>
    <xdr:to>
      <xdr:col>29</xdr:col>
      <xdr:colOff>43543</xdr:colOff>
      <xdr:row>73</xdr:row>
      <xdr:rowOff>10885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0CA3A-24A2-4F2C-A8BC-B79222C63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250372</xdr:colOff>
      <xdr:row>57</xdr:row>
      <xdr:rowOff>174170</xdr:rowOff>
    </xdr:from>
    <xdr:to>
      <xdr:col>17</xdr:col>
      <xdr:colOff>555172</xdr:colOff>
      <xdr:row>72</xdr:row>
      <xdr:rowOff>141513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566B3-F2A9-4FBB-9378-3F7751DFC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20966</xdr:colOff>
      <xdr:row>51</xdr:row>
      <xdr:rowOff>71228</xdr:rowOff>
    </xdr:from>
    <xdr:to>
      <xdr:col>10</xdr:col>
      <xdr:colOff>118935</xdr:colOff>
      <xdr:row>72</xdr:row>
      <xdr:rowOff>27684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342139-098F-41AC-BA46-DE217C106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315684</xdr:colOff>
      <xdr:row>40</xdr:row>
      <xdr:rowOff>87086</xdr:rowOff>
    </xdr:from>
    <xdr:to>
      <xdr:col>43</xdr:col>
      <xdr:colOff>87085</xdr:colOff>
      <xdr:row>67</xdr:row>
      <xdr:rowOff>108857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A40BE6-0225-48AB-BB17-4938A3360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525591</xdr:colOff>
      <xdr:row>47</xdr:row>
      <xdr:rowOff>157927</xdr:rowOff>
    </xdr:from>
    <xdr:to>
      <xdr:col>28</xdr:col>
      <xdr:colOff>532121</xdr:colOff>
      <xdr:row>62</xdr:row>
      <xdr:rowOff>157927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0D96D-0ADD-BC12-FBE6-61F9ECAD6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314127</xdr:colOff>
      <xdr:row>43</xdr:row>
      <xdr:rowOff>157688</xdr:rowOff>
    </xdr:from>
    <xdr:to>
      <xdr:col>18</xdr:col>
      <xdr:colOff>7445</xdr:colOff>
      <xdr:row>58</xdr:row>
      <xdr:rowOff>157688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244FBF-B276-3BC2-6F02-184ECCB10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587829</xdr:colOff>
      <xdr:row>55</xdr:row>
      <xdr:rowOff>141514</xdr:rowOff>
    </xdr:from>
    <xdr:to>
      <xdr:col>29</xdr:col>
      <xdr:colOff>43543</xdr:colOff>
      <xdr:row>71</xdr:row>
      <xdr:rowOff>10885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6FE95B-A63B-7E40-E0A5-BD804C0C6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250372</xdr:colOff>
      <xdr:row>55</xdr:row>
      <xdr:rowOff>174170</xdr:rowOff>
    </xdr:from>
    <xdr:to>
      <xdr:col>17</xdr:col>
      <xdr:colOff>555172</xdr:colOff>
      <xdr:row>70</xdr:row>
      <xdr:rowOff>141513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0A2190-C9B7-14F5-D643-DF8343231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20966</xdr:colOff>
      <xdr:row>49</xdr:row>
      <xdr:rowOff>71228</xdr:rowOff>
    </xdr:from>
    <xdr:to>
      <xdr:col>10</xdr:col>
      <xdr:colOff>118935</xdr:colOff>
      <xdr:row>70</xdr:row>
      <xdr:rowOff>27684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B51A4F-8023-3FF9-B3B3-C4FE80C84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315684</xdr:colOff>
      <xdr:row>38</xdr:row>
      <xdr:rowOff>87086</xdr:rowOff>
    </xdr:from>
    <xdr:to>
      <xdr:col>43</xdr:col>
      <xdr:colOff>87085</xdr:colOff>
      <xdr:row>65</xdr:row>
      <xdr:rowOff>108857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80048D-E7A7-65C7-22E1-4C22683F1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144780</xdr:rowOff>
    </xdr:from>
    <xdr:to>
      <xdr:col>12</xdr:col>
      <xdr:colOff>45720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D767B-4216-4770-8E5F-B8DD34AE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241758</xdr:colOff>
      <xdr:row>24</xdr:row>
      <xdr:rowOff>153928</xdr:rowOff>
    </xdr:from>
    <xdr:to>
      <xdr:col>20</xdr:col>
      <xdr:colOff>43543</xdr:colOff>
      <xdr:row>50</xdr:row>
      <xdr:rowOff>97970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9F163B-55CC-FB2F-7D9C-9A5F51B52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631370</xdr:colOff>
      <xdr:row>23</xdr:row>
      <xdr:rowOff>54430</xdr:rowOff>
    </xdr:from>
    <xdr:to>
      <xdr:col>42</xdr:col>
      <xdr:colOff>478970</xdr:colOff>
      <xdr:row>51</xdr:row>
      <xdr:rowOff>10885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643DCD-0A57-D99D-9B80-D87154C64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85298</xdr:colOff>
      <xdr:row>49</xdr:row>
      <xdr:rowOff>44356</xdr:rowOff>
    </xdr:from>
    <xdr:to>
      <xdr:col>10</xdr:col>
      <xdr:colOff>68237</xdr:colOff>
      <xdr:row>68</xdr:row>
      <xdr:rowOff>113730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53738-A16C-2FB0-BCBD-5A2F8BBDC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221775</xdr:colOff>
      <xdr:row>49</xdr:row>
      <xdr:rowOff>21608</xdr:rowOff>
    </xdr:from>
    <xdr:to>
      <xdr:col>20</xdr:col>
      <xdr:colOff>79612</xdr:colOff>
      <xdr:row>69</xdr:row>
      <xdr:rowOff>34120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C6D23-7559-5E08-923A-F943A5167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95250</xdr:rowOff>
    </xdr:from>
    <xdr:to>
      <xdr:col>12</xdr:col>
      <xdr:colOff>289560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5D5B1-26EF-4EA9-B36C-03E305545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741123</xdr:colOff>
      <xdr:row>28</xdr:row>
      <xdr:rowOff>16700</xdr:rowOff>
    </xdr:from>
    <xdr:to>
      <xdr:col>44</xdr:col>
      <xdr:colOff>469726</xdr:colOff>
      <xdr:row>51</xdr:row>
      <xdr:rowOff>84666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6060B9-A092-175A-B9DF-F28225739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550332</xdr:colOff>
      <xdr:row>28</xdr:row>
      <xdr:rowOff>6263</xdr:rowOff>
    </xdr:from>
    <xdr:to>
      <xdr:col>55</xdr:col>
      <xdr:colOff>592667</xdr:colOff>
      <xdr:row>51</xdr:row>
      <xdr:rowOff>36286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A01148-5542-F155-F5DC-0DD97D3DC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114904</xdr:colOff>
      <xdr:row>50</xdr:row>
      <xdr:rowOff>134256</xdr:rowOff>
    </xdr:from>
    <xdr:to>
      <xdr:col>8</xdr:col>
      <xdr:colOff>580572</xdr:colOff>
      <xdr:row>76</xdr:row>
      <xdr:rowOff>120952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3456A-072A-3F37-3F51-251787883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453569</xdr:colOff>
      <xdr:row>50</xdr:row>
      <xdr:rowOff>85874</xdr:rowOff>
    </xdr:from>
    <xdr:to>
      <xdr:col>20</xdr:col>
      <xdr:colOff>374950</xdr:colOff>
      <xdr:row>76</xdr:row>
      <xdr:rowOff>84666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1DECAA-67E6-DA17-38E6-7F4505BC8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199571</xdr:colOff>
      <xdr:row>26</xdr:row>
      <xdr:rowOff>122159</xdr:rowOff>
    </xdr:from>
    <xdr:to>
      <xdr:col>9</xdr:col>
      <xdr:colOff>84666</xdr:colOff>
      <xdr:row>48</xdr:row>
      <xdr:rowOff>120952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33B042-495B-77D7-385B-F797779FD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18141</xdr:colOff>
      <xdr:row>26</xdr:row>
      <xdr:rowOff>134258</xdr:rowOff>
    </xdr:from>
    <xdr:to>
      <xdr:col>18</xdr:col>
      <xdr:colOff>411237</xdr:colOff>
      <xdr:row>48</xdr:row>
      <xdr:rowOff>108858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E40B31-FE55-8B99-8F4C-C197D6E95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9</xdr:row>
      <xdr:rowOff>140970</xdr:rowOff>
    </xdr:from>
    <xdr:to>
      <xdr:col>12</xdr:col>
      <xdr:colOff>60960</xdr:colOff>
      <xdr:row>24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B3AF9-EAA5-4A15-9E9F-1E39E93C8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ashf/pyrite/Nov_Empty_Tube_Cooling_Rates.csv" TargetMode="External"/><Relationship Id="rId2" Type="http://schemas.openxmlformats.org/officeDocument/2006/relationships/externalLinkPath" Target="file:///C:\Users\dashf\pyrite\Nov_Empty_Tube_Cooling_Rates.csv" TargetMode="External"/><Relationship Id="rId1" Type="http://schemas.openxmlformats.org/officeDocument/2006/relationships/externalLinkPath" Target="/Users/dashf/pyrite/Nov_Empty_Tube_Cooling_Rates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ashf/pyrite/Isothermal_Water_Tube_Cooling_Rates.csv" TargetMode="External"/><Relationship Id="rId2" Type="http://schemas.openxmlformats.org/officeDocument/2006/relationships/externalLinkPath" Target="file:///C:\Users\dashf\pyrite\Isothermal_Water_Tube_Cooling_Rates.csv" TargetMode="External"/><Relationship Id="rId1" Type="http://schemas.openxmlformats.org/officeDocument/2006/relationships/externalLinkPath" Target="/Users/dashf/pyrite/Isothermal_Water_Tube_Cooling_Rates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dashf/pyrite/Sulfur_Tube_Cooling_Rates.csv" TargetMode="External"/><Relationship Id="rId2" Type="http://schemas.openxmlformats.org/officeDocument/2006/relationships/externalLinkPath" Target="file:///C:\Users\dashf\pyrite\Sulfur_Tube_Cooling_Rates.csv" TargetMode="External"/><Relationship Id="rId1" Type="http://schemas.openxmlformats.org/officeDocument/2006/relationships/externalLinkPath" Target="/Users/dashf/pyrite/Sulfur_Tube_Cooling_Ra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v_Empty_Tube_Cooling_Rates"/>
    </sheetNames>
    <sheetDataSet>
      <sheetData sheetId="0">
        <row r="1">
          <cell r="D1" t="str">
            <v>dTdt</v>
          </cell>
        </row>
        <row r="2">
          <cell r="C2">
            <v>47.5</v>
          </cell>
          <cell r="D2">
            <v>-0.13424620754463601</v>
          </cell>
        </row>
        <row r="3">
          <cell r="C3">
            <v>46.5</v>
          </cell>
          <cell r="D3">
            <v>-0.13424620754463601</v>
          </cell>
        </row>
        <row r="4">
          <cell r="C4">
            <v>46.5</v>
          </cell>
          <cell r="D4">
            <v>-0.13425702164223199</v>
          </cell>
        </row>
        <row r="5">
          <cell r="C5">
            <v>45.5</v>
          </cell>
          <cell r="D5">
            <v>-0.13425702164223199</v>
          </cell>
        </row>
        <row r="6">
          <cell r="C6">
            <v>44.5</v>
          </cell>
          <cell r="D6">
            <v>-0.13425702164223199</v>
          </cell>
        </row>
        <row r="7">
          <cell r="C7">
            <v>44.5</v>
          </cell>
          <cell r="D7">
            <v>-0.134264232008592</v>
          </cell>
        </row>
        <row r="8">
          <cell r="C8">
            <v>43</v>
          </cell>
          <cell r="D8">
            <v>-0.10741138560687399</v>
          </cell>
        </row>
        <row r="9">
          <cell r="C9">
            <v>42</v>
          </cell>
          <cell r="D9">
            <v>-0.107414269985767</v>
          </cell>
        </row>
        <row r="10">
          <cell r="C10">
            <v>41.5</v>
          </cell>
          <cell r="D10">
            <v>-0.134260626728606</v>
          </cell>
        </row>
        <row r="11">
          <cell r="C11">
            <v>41</v>
          </cell>
          <cell r="D11">
            <v>-0.10740561731378501</v>
          </cell>
        </row>
        <row r="12">
          <cell r="C12">
            <v>40</v>
          </cell>
          <cell r="D12">
            <v>-0.10740561731378399</v>
          </cell>
        </row>
        <row r="13">
          <cell r="C13">
            <v>40</v>
          </cell>
          <cell r="D13">
            <v>-0.107414269985767</v>
          </cell>
        </row>
        <row r="14">
          <cell r="C14">
            <v>39</v>
          </cell>
          <cell r="D14">
            <v>-0.10740273339956501</v>
          </cell>
        </row>
        <row r="15">
          <cell r="C15">
            <v>38</v>
          </cell>
          <cell r="D15">
            <v>-0.107399849640211</v>
          </cell>
        </row>
        <row r="16">
          <cell r="C16">
            <v>37</v>
          </cell>
          <cell r="D16">
            <v>-0.10740273339956299</v>
          </cell>
        </row>
        <row r="17">
          <cell r="C17">
            <v>37</v>
          </cell>
          <cell r="D17">
            <v>-0.10740850138288401</v>
          </cell>
        </row>
        <row r="18">
          <cell r="C18">
            <v>36</v>
          </cell>
          <cell r="D18">
            <v>-0.10740561731378601</v>
          </cell>
        </row>
        <row r="19">
          <cell r="C19">
            <v>36</v>
          </cell>
          <cell r="D19">
            <v>-0.107399849640211</v>
          </cell>
        </row>
        <row r="20">
          <cell r="C20">
            <v>35</v>
          </cell>
          <cell r="D20">
            <v>-0.10739984964021</v>
          </cell>
        </row>
        <row r="21">
          <cell r="C21">
            <v>34.5</v>
          </cell>
          <cell r="D21">
            <v>-8.0552050049672905E-2</v>
          </cell>
        </row>
        <row r="22">
          <cell r="C22">
            <v>33.5</v>
          </cell>
          <cell r="D22">
            <v>-8.0552050049673904E-2</v>
          </cell>
        </row>
        <row r="23">
          <cell r="C23">
            <v>33.5</v>
          </cell>
          <cell r="D23">
            <v>-8.0552050049673904E-2</v>
          </cell>
        </row>
        <row r="24">
          <cell r="C24">
            <v>32.5</v>
          </cell>
          <cell r="D24">
            <v>-8.05542129853387E-2</v>
          </cell>
        </row>
        <row r="25">
          <cell r="C25">
            <v>32</v>
          </cell>
          <cell r="D25">
            <v>-0.10741138560687299</v>
          </cell>
        </row>
        <row r="26">
          <cell r="C26">
            <v>31.5</v>
          </cell>
          <cell r="D26">
            <v>-8.0560702489325606E-2</v>
          </cell>
        </row>
        <row r="27">
          <cell r="C27">
            <v>31</v>
          </cell>
          <cell r="D27">
            <v>-0.107414269985767</v>
          </cell>
        </row>
        <row r="28">
          <cell r="C28">
            <v>30.5</v>
          </cell>
          <cell r="D28">
            <v>-8.0560702489325606E-2</v>
          </cell>
        </row>
        <row r="29">
          <cell r="C29">
            <v>30.5</v>
          </cell>
          <cell r="D29">
            <v>-8.05563760371623E-2</v>
          </cell>
        </row>
        <row r="30">
          <cell r="C30">
            <v>29.5</v>
          </cell>
          <cell r="D30">
            <v>-8.0560702489325606E-2</v>
          </cell>
        </row>
        <row r="31">
          <cell r="C31">
            <v>29</v>
          </cell>
          <cell r="D31">
            <v>-5.3699924820105001E-2</v>
          </cell>
        </row>
        <row r="32">
          <cell r="C32">
            <v>28.5</v>
          </cell>
          <cell r="D32">
            <v>-8.0554212985339699E-2</v>
          </cell>
        </row>
        <row r="33">
          <cell r="C33">
            <v>28</v>
          </cell>
          <cell r="D33">
            <v>-5.3705692803437399E-2</v>
          </cell>
        </row>
        <row r="34">
          <cell r="C34">
            <v>27.5</v>
          </cell>
          <cell r="D34">
            <v>-8.0545561939537894E-2</v>
          </cell>
        </row>
        <row r="35">
          <cell r="C35">
            <v>27.5</v>
          </cell>
          <cell r="D35">
            <v>-8.0547724526782299E-2</v>
          </cell>
        </row>
        <row r="36">
          <cell r="C36">
            <v>26.5</v>
          </cell>
          <cell r="D36">
            <v>-8.0547724526782299E-2</v>
          </cell>
        </row>
        <row r="37">
          <cell r="C37">
            <v>26.5</v>
          </cell>
          <cell r="D37">
            <v>-8.0549887230158504E-2</v>
          </cell>
        </row>
        <row r="38">
          <cell r="C38">
            <v>25.5</v>
          </cell>
          <cell r="D38">
            <v>-8.0545561939536894E-2</v>
          </cell>
        </row>
        <row r="39">
          <cell r="C39">
            <v>25.5</v>
          </cell>
          <cell r="D39">
            <v>-8.0545561939536894E-2</v>
          </cell>
        </row>
        <row r="40">
          <cell r="C40">
            <v>25</v>
          </cell>
          <cell r="D40">
            <v>-5.3699924820105001E-2</v>
          </cell>
        </row>
        <row r="41">
          <cell r="C41">
            <v>24.5</v>
          </cell>
          <cell r="D41">
            <v>-8.0556376037163299E-2</v>
          </cell>
        </row>
        <row r="42">
          <cell r="C42">
            <v>24</v>
          </cell>
          <cell r="D42">
            <v>-5.37028086568931E-2</v>
          </cell>
        </row>
        <row r="43">
          <cell r="C43">
            <v>24</v>
          </cell>
          <cell r="D43">
            <v>-5.3705692803436803E-2</v>
          </cell>
        </row>
        <row r="44">
          <cell r="C44">
            <v>23</v>
          </cell>
          <cell r="D44">
            <v>-5.3711462025996498E-2</v>
          </cell>
        </row>
        <row r="45">
          <cell r="C45">
            <v>23</v>
          </cell>
          <cell r="D45">
            <v>-5.3711462025996498E-2</v>
          </cell>
        </row>
        <row r="46">
          <cell r="C46">
            <v>23</v>
          </cell>
          <cell r="D46">
            <v>-5.3715789756398603E-2</v>
          </cell>
        </row>
        <row r="47">
          <cell r="C47">
            <v>22</v>
          </cell>
          <cell r="D47">
            <v>-5.3711462025996498E-2</v>
          </cell>
        </row>
        <row r="48">
          <cell r="C48">
            <v>22</v>
          </cell>
          <cell r="D48">
            <v>-5.3710019604157E-2</v>
          </cell>
        </row>
        <row r="49">
          <cell r="C49">
            <v>21.5</v>
          </cell>
          <cell r="D49">
            <v>-8.0064051240993195E-2</v>
          </cell>
        </row>
        <row r="50">
          <cell r="C50">
            <v>21</v>
          </cell>
          <cell r="D50">
            <v>-5.3373185311699101E-2</v>
          </cell>
        </row>
        <row r="51">
          <cell r="C51">
            <v>21</v>
          </cell>
          <cell r="D51">
            <v>-5.3370336766824698E-2</v>
          </cell>
        </row>
        <row r="52">
          <cell r="C52">
            <v>20.5</v>
          </cell>
          <cell r="D52">
            <v>-8.0055505150238099E-2</v>
          </cell>
        </row>
        <row r="53">
          <cell r="C53">
            <v>20</v>
          </cell>
          <cell r="D53">
            <v>-5.3367488525989798E-2</v>
          </cell>
        </row>
        <row r="54">
          <cell r="C54">
            <v>20</v>
          </cell>
          <cell r="D54">
            <v>-5.3367488525989798E-2</v>
          </cell>
        </row>
        <row r="55">
          <cell r="C55">
            <v>19.5</v>
          </cell>
          <cell r="D55">
            <v>-2.6852125345721099E-2</v>
          </cell>
        </row>
        <row r="56">
          <cell r="C56">
            <v>19</v>
          </cell>
          <cell r="D56">
            <v>-5.3705692803437399E-2</v>
          </cell>
        </row>
        <row r="57">
          <cell r="C57">
            <v>19</v>
          </cell>
          <cell r="D57">
            <v>-5.3708577259788601E-2</v>
          </cell>
        </row>
        <row r="58">
          <cell r="C58">
            <v>18.5</v>
          </cell>
          <cell r="D58">
            <v>-2.6853567496441799E-2</v>
          </cell>
        </row>
        <row r="59">
          <cell r="C59">
            <v>18.5</v>
          </cell>
          <cell r="D59">
            <v>-2.68557310129982E-2</v>
          </cell>
        </row>
        <row r="60">
          <cell r="C60">
            <v>18</v>
          </cell>
          <cell r="D60">
            <v>-5.3715789756398603E-2</v>
          </cell>
        </row>
        <row r="61">
          <cell r="C61">
            <v>18</v>
          </cell>
          <cell r="D61">
            <v>-5.3712904525312001E-2</v>
          </cell>
        </row>
        <row r="62">
          <cell r="C62">
            <v>17.5</v>
          </cell>
          <cell r="D62">
            <v>-2.6856452262656001E-2</v>
          </cell>
        </row>
        <row r="63">
          <cell r="C63">
            <v>17.5</v>
          </cell>
          <cell r="D63">
            <v>-2.68542886298943E-2</v>
          </cell>
        </row>
        <row r="64">
          <cell r="C64">
            <v>17</v>
          </cell>
          <cell r="D64">
            <v>-5.3705692803436803E-2</v>
          </cell>
        </row>
        <row r="65">
          <cell r="C65">
            <v>17</v>
          </cell>
          <cell r="D65">
            <v>-5.3705692803436803E-2</v>
          </cell>
        </row>
        <row r="66">
          <cell r="C66">
            <v>16.5</v>
          </cell>
          <cell r="D66">
            <v>-2.6848520646512601E-2</v>
          </cell>
        </row>
        <row r="67">
          <cell r="C67">
            <v>62.5</v>
          </cell>
          <cell r="D67">
            <v>-0.134264232008592</v>
          </cell>
        </row>
        <row r="68">
          <cell r="C68">
            <v>62</v>
          </cell>
          <cell r="D68">
            <v>-0.10740561731378501</v>
          </cell>
        </row>
        <row r="69">
          <cell r="C69">
            <v>61.5</v>
          </cell>
          <cell r="D69">
            <v>-0.13425702164223099</v>
          </cell>
        </row>
        <row r="70">
          <cell r="C70">
            <v>61</v>
          </cell>
          <cell r="D70">
            <v>-0.10740273339956501</v>
          </cell>
        </row>
        <row r="71">
          <cell r="C71">
            <v>60</v>
          </cell>
          <cell r="D71">
            <v>-0.10739984964021</v>
          </cell>
        </row>
        <row r="72">
          <cell r="C72">
            <v>59.5</v>
          </cell>
          <cell r="D72">
            <v>-0.131790505811961</v>
          </cell>
        </row>
        <row r="73">
          <cell r="C73">
            <v>58</v>
          </cell>
          <cell r="D73">
            <v>-0.105432404649569</v>
          </cell>
        </row>
        <row r="74">
          <cell r="C74">
            <v>57.5</v>
          </cell>
          <cell r="D74">
            <v>-0.13178703215603599</v>
          </cell>
        </row>
        <row r="75">
          <cell r="C75">
            <v>57</v>
          </cell>
          <cell r="D75">
            <v>-0.10378288620206499</v>
          </cell>
        </row>
        <row r="76">
          <cell r="C76">
            <v>56.5</v>
          </cell>
          <cell r="D76">
            <v>-0.129738706245621</v>
          </cell>
        </row>
        <row r="77">
          <cell r="C77">
            <v>56</v>
          </cell>
          <cell r="D77">
            <v>-0.103788271925273</v>
          </cell>
        </row>
        <row r="78">
          <cell r="C78">
            <v>55</v>
          </cell>
          <cell r="D78">
            <v>-0.10569986523267</v>
          </cell>
        </row>
        <row r="79">
          <cell r="C79">
            <v>54</v>
          </cell>
          <cell r="D79">
            <v>-0.105691486550758</v>
          </cell>
        </row>
        <row r="80">
          <cell r="C80">
            <v>53.5</v>
          </cell>
          <cell r="D80">
            <v>-7.9264426125554899E-2</v>
          </cell>
        </row>
        <row r="81">
          <cell r="C81">
            <v>53</v>
          </cell>
          <cell r="D81">
            <v>-0.10739984964021</v>
          </cell>
        </row>
        <row r="82">
          <cell r="C82">
            <v>52</v>
          </cell>
          <cell r="D82">
            <v>-0.107391199291217</v>
          </cell>
        </row>
        <row r="83">
          <cell r="C83">
            <v>52</v>
          </cell>
          <cell r="D83">
            <v>-0.107396966035708</v>
          </cell>
        </row>
        <row r="84">
          <cell r="C84">
            <v>51</v>
          </cell>
          <cell r="D84">
            <v>-0.107394082586049</v>
          </cell>
        </row>
        <row r="85">
          <cell r="C85">
            <v>50.5</v>
          </cell>
          <cell r="D85">
            <v>-8.0552050049673904E-2</v>
          </cell>
        </row>
        <row r="86">
          <cell r="C86">
            <v>50</v>
          </cell>
          <cell r="D86">
            <v>-0.10741138560687299</v>
          </cell>
        </row>
        <row r="87">
          <cell r="C87">
            <v>49.5</v>
          </cell>
          <cell r="D87">
            <v>-8.0556376037163299E-2</v>
          </cell>
        </row>
        <row r="88">
          <cell r="C88">
            <v>48.5</v>
          </cell>
          <cell r="D88">
            <v>-8.0558539205156196E-2</v>
          </cell>
        </row>
        <row r="89">
          <cell r="C89">
            <v>48</v>
          </cell>
          <cell r="D89">
            <v>-0.10741138560687399</v>
          </cell>
        </row>
        <row r="90">
          <cell r="C90">
            <v>47</v>
          </cell>
          <cell r="D90">
            <v>-0.10741715451957699</v>
          </cell>
        </row>
        <row r="91">
          <cell r="C91">
            <v>47</v>
          </cell>
          <cell r="D91">
            <v>-0.10740850138288401</v>
          </cell>
        </row>
        <row r="92">
          <cell r="C92">
            <v>46.5</v>
          </cell>
          <cell r="D92">
            <v>-8.0552050049673904E-2</v>
          </cell>
        </row>
        <row r="93">
          <cell r="C93">
            <v>46</v>
          </cell>
          <cell r="D93">
            <v>-0.10741138560687399</v>
          </cell>
        </row>
        <row r="94">
          <cell r="C94">
            <v>45.5</v>
          </cell>
          <cell r="D94">
            <v>-8.05650294062355E-2</v>
          </cell>
        </row>
        <row r="95">
          <cell r="C95">
            <v>44.5</v>
          </cell>
          <cell r="D95">
            <v>-8.0560702489325606E-2</v>
          </cell>
        </row>
        <row r="96">
          <cell r="C96">
            <v>44</v>
          </cell>
          <cell r="D96">
            <v>-5.37013666997826E-2</v>
          </cell>
        </row>
        <row r="97">
          <cell r="C97">
            <v>43.5</v>
          </cell>
          <cell r="D97">
            <v>-8.0549887230157505E-2</v>
          </cell>
        </row>
        <row r="98">
          <cell r="C98">
            <v>43.5</v>
          </cell>
          <cell r="D98">
            <v>-8.0549887230157505E-2</v>
          </cell>
        </row>
        <row r="99">
          <cell r="C99">
            <v>42.5</v>
          </cell>
          <cell r="D99">
            <v>-8.0543399468413907E-2</v>
          </cell>
        </row>
        <row r="100">
          <cell r="C100">
            <v>42.5</v>
          </cell>
          <cell r="D100">
            <v>-8.0545561939536894E-2</v>
          </cell>
        </row>
        <row r="101">
          <cell r="C101">
            <v>41.5</v>
          </cell>
          <cell r="D101">
            <v>-7.93419904260661E-2</v>
          </cell>
        </row>
        <row r="102">
          <cell r="C102">
            <v>41.5</v>
          </cell>
          <cell r="D102">
            <v>-7.8460089967569993E-2</v>
          </cell>
        </row>
        <row r="103">
          <cell r="C103">
            <v>40.5</v>
          </cell>
          <cell r="D103">
            <v>-7.8267675450039195E-2</v>
          </cell>
        </row>
        <row r="104">
          <cell r="C104">
            <v>40.5</v>
          </cell>
          <cell r="D104">
            <v>-7.8263591777105498E-2</v>
          </cell>
        </row>
        <row r="105">
          <cell r="C105">
            <v>39.5</v>
          </cell>
          <cell r="D105">
            <v>-7.8265633560303402E-2</v>
          </cell>
        </row>
        <row r="106">
          <cell r="C106">
            <v>39.5</v>
          </cell>
          <cell r="D106">
            <v>-7.8263591777105498E-2</v>
          </cell>
        </row>
        <row r="107">
          <cell r="C107">
            <v>39</v>
          </cell>
          <cell r="D107">
            <v>-5.1318895617366599E-2</v>
          </cell>
        </row>
        <row r="108">
          <cell r="C108">
            <v>38.5</v>
          </cell>
          <cell r="D108">
            <v>-7.7835145162545402E-2</v>
          </cell>
        </row>
        <row r="109">
          <cell r="C109">
            <v>38</v>
          </cell>
          <cell r="D109">
            <v>-5.2022369618935901E-2</v>
          </cell>
        </row>
        <row r="110">
          <cell r="C110">
            <v>37.5</v>
          </cell>
          <cell r="D110">
            <v>-7.8041674254051993E-2</v>
          </cell>
        </row>
        <row r="111">
          <cell r="C111">
            <v>37</v>
          </cell>
          <cell r="D111">
            <v>-5.20264294261484E-2</v>
          </cell>
        </row>
        <row r="112">
          <cell r="C112">
            <v>36.5</v>
          </cell>
          <cell r="D112">
            <v>-7.8043704474505607E-2</v>
          </cell>
        </row>
        <row r="113">
          <cell r="C113">
            <v>36.5</v>
          </cell>
          <cell r="D113">
            <v>-8.0569356787968005E-2</v>
          </cell>
        </row>
        <row r="114">
          <cell r="C114">
            <v>35.5</v>
          </cell>
          <cell r="D114">
            <v>-8.05650294062355E-2</v>
          </cell>
        </row>
        <row r="115">
          <cell r="C115">
            <v>35.5</v>
          </cell>
          <cell r="D115">
            <v>-8.05650294062355E-2</v>
          </cell>
        </row>
        <row r="116">
          <cell r="C116">
            <v>35</v>
          </cell>
          <cell r="D116">
            <v>-5.3704250691441503E-2</v>
          </cell>
        </row>
        <row r="117">
          <cell r="C117">
            <v>34.5</v>
          </cell>
          <cell r="D117">
            <v>-8.05542129853387E-2</v>
          </cell>
        </row>
        <row r="118">
          <cell r="C118">
            <v>34</v>
          </cell>
          <cell r="D118">
            <v>-5.3695599645609202E-2</v>
          </cell>
        </row>
        <row r="119">
          <cell r="C119">
            <v>34</v>
          </cell>
          <cell r="D119">
            <v>-5.3697041293024599E-2</v>
          </cell>
        </row>
        <row r="120">
          <cell r="C120">
            <v>33</v>
          </cell>
          <cell r="D120">
            <v>-5.3697041293024599E-2</v>
          </cell>
        </row>
        <row r="121">
          <cell r="C121">
            <v>33</v>
          </cell>
          <cell r="D121">
            <v>-5.3698483017854903E-2</v>
          </cell>
        </row>
        <row r="122">
          <cell r="C122">
            <v>33</v>
          </cell>
          <cell r="D122">
            <v>-5.3697041293025202E-2</v>
          </cell>
        </row>
        <row r="123">
          <cell r="C123">
            <v>32</v>
          </cell>
          <cell r="D123">
            <v>-5.3697041293024599E-2</v>
          </cell>
        </row>
        <row r="124">
          <cell r="C124">
            <v>32</v>
          </cell>
          <cell r="D124">
            <v>-5.3698483017854903E-2</v>
          </cell>
        </row>
        <row r="125">
          <cell r="C125">
            <v>31.5</v>
          </cell>
          <cell r="D125">
            <v>-8.0547724526782299E-2</v>
          </cell>
        </row>
        <row r="126">
          <cell r="C126">
            <v>31</v>
          </cell>
          <cell r="D126">
            <v>-5.3699924820105702E-2</v>
          </cell>
        </row>
        <row r="127">
          <cell r="C127">
            <v>31</v>
          </cell>
          <cell r="D127">
            <v>-5.3694158075601302E-2</v>
          </cell>
        </row>
        <row r="128">
          <cell r="C128">
            <v>30.5</v>
          </cell>
          <cell r="D128">
            <v>-8.05477245267813E-2</v>
          </cell>
        </row>
        <row r="129">
          <cell r="C129">
            <v>30</v>
          </cell>
          <cell r="D129">
            <v>-5.3699924820105702E-2</v>
          </cell>
        </row>
        <row r="130">
          <cell r="C130">
            <v>30</v>
          </cell>
          <cell r="D130">
            <v>-5.3699924820105001E-2</v>
          </cell>
        </row>
        <row r="131">
          <cell r="C131">
            <v>29.5</v>
          </cell>
          <cell r="D131">
            <v>-2.68499624100525E-2</v>
          </cell>
        </row>
        <row r="132">
          <cell r="C132">
            <v>29</v>
          </cell>
          <cell r="D132">
            <v>-5.3698483017854202E-2</v>
          </cell>
        </row>
        <row r="133">
          <cell r="C133">
            <v>29</v>
          </cell>
          <cell r="D133">
            <v>-5.37013666997826E-2</v>
          </cell>
        </row>
        <row r="134">
          <cell r="C134">
            <v>28.5</v>
          </cell>
          <cell r="D134">
            <v>-2.68528464017187E-2</v>
          </cell>
        </row>
        <row r="135">
          <cell r="C135">
            <v>28</v>
          </cell>
          <cell r="D135">
            <v>-5.3705692803436803E-2</v>
          </cell>
        </row>
        <row r="136">
          <cell r="C136">
            <v>28</v>
          </cell>
          <cell r="D136">
            <v>-5.3702808656892399E-2</v>
          </cell>
        </row>
        <row r="137">
          <cell r="C137">
            <v>28</v>
          </cell>
          <cell r="D137">
            <v>-5.37013666997826E-2</v>
          </cell>
        </row>
        <row r="138">
          <cell r="C138">
            <v>27.5</v>
          </cell>
          <cell r="D138">
            <v>-2.68506833498913E-2</v>
          </cell>
        </row>
        <row r="139">
          <cell r="C139">
            <v>27</v>
          </cell>
          <cell r="D139">
            <v>-5.3704250691442197E-2</v>
          </cell>
        </row>
        <row r="140">
          <cell r="C140">
            <v>27</v>
          </cell>
          <cell r="D140">
            <v>-5.3702808656892399E-2</v>
          </cell>
        </row>
        <row r="141">
          <cell r="C141">
            <v>26</v>
          </cell>
          <cell r="D141">
            <v>-5.3705692803437399E-2</v>
          </cell>
        </row>
        <row r="142">
          <cell r="C142">
            <v>26</v>
          </cell>
          <cell r="D142">
            <v>-5.3708577259788601E-2</v>
          </cell>
        </row>
        <row r="143">
          <cell r="C143">
            <v>26</v>
          </cell>
          <cell r="D143">
            <v>-5.3712904525312001E-2</v>
          </cell>
        </row>
        <row r="144">
          <cell r="C144">
            <v>26</v>
          </cell>
          <cell r="D144">
            <v>-5.3714347102111003E-2</v>
          </cell>
        </row>
        <row r="145">
          <cell r="C145">
            <v>25</v>
          </cell>
          <cell r="D145">
            <v>-5.3708577259788601E-2</v>
          </cell>
        </row>
        <row r="146">
          <cell r="C146">
            <v>25</v>
          </cell>
          <cell r="D146">
            <v>-5.3711462025996498E-2</v>
          </cell>
        </row>
        <row r="147">
          <cell r="C147">
            <v>24.5</v>
          </cell>
          <cell r="D147">
            <v>-2.6852125345721099E-2</v>
          </cell>
        </row>
        <row r="148">
          <cell r="C148">
            <v>24.5</v>
          </cell>
          <cell r="D148">
            <v>-2.68514043284462E-2</v>
          </cell>
        </row>
        <row r="149">
          <cell r="C149">
            <v>24</v>
          </cell>
          <cell r="D149">
            <v>-5.3698483017854903E-2</v>
          </cell>
        </row>
        <row r="150">
          <cell r="C150">
            <v>24</v>
          </cell>
          <cell r="D150">
            <v>-5.3698483017854903E-2</v>
          </cell>
        </row>
        <row r="151">
          <cell r="C151">
            <v>23.5</v>
          </cell>
          <cell r="D151">
            <v>-2.68499624100525E-2</v>
          </cell>
        </row>
        <row r="152">
          <cell r="C152">
            <v>23.5</v>
          </cell>
          <cell r="D152">
            <v>-2.68499624100525E-2</v>
          </cell>
        </row>
        <row r="153">
          <cell r="C153">
            <v>23.5</v>
          </cell>
          <cell r="D153">
            <v>-2.6852125345721099E-2</v>
          </cell>
        </row>
        <row r="154">
          <cell r="C154">
            <v>23</v>
          </cell>
          <cell r="D154">
            <v>-5.3708577259788601E-2</v>
          </cell>
        </row>
        <row r="155">
          <cell r="C155">
            <v>22.5</v>
          </cell>
          <cell r="D155">
            <v>-2.68528464017187E-2</v>
          </cell>
        </row>
        <row r="156">
          <cell r="C156">
            <v>22.5</v>
          </cell>
          <cell r="D156">
            <v>-2.6852125345721099E-2</v>
          </cell>
        </row>
        <row r="157">
          <cell r="C157">
            <v>22.5</v>
          </cell>
          <cell r="D157">
            <v>-2.68528464017187E-2</v>
          </cell>
        </row>
        <row r="158">
          <cell r="C158">
            <v>22</v>
          </cell>
          <cell r="D158">
            <v>-5.37028086568931E-2</v>
          </cell>
        </row>
        <row r="159">
          <cell r="C159">
            <v>22</v>
          </cell>
          <cell r="D159">
            <v>-5.3699924820105001E-2</v>
          </cell>
        </row>
        <row r="160">
          <cell r="C160">
            <v>21.5</v>
          </cell>
          <cell r="D160">
            <v>-2.6847799822804601E-2</v>
          </cell>
        </row>
        <row r="161">
          <cell r="C161">
            <v>21</v>
          </cell>
          <cell r="D161">
            <v>-5.37013666997826E-2</v>
          </cell>
        </row>
        <row r="162">
          <cell r="C162">
            <v>21</v>
          </cell>
          <cell r="D162">
            <v>-5.37013666997826E-2</v>
          </cell>
        </row>
        <row r="163">
          <cell r="C163">
            <v>21</v>
          </cell>
          <cell r="D163">
            <v>-5.3701366699781899E-2</v>
          </cell>
        </row>
        <row r="164">
          <cell r="C164">
            <v>20.5</v>
          </cell>
          <cell r="D164">
            <v>-2.6848520646512299E-2</v>
          </cell>
        </row>
        <row r="165">
          <cell r="C165">
            <v>20.5</v>
          </cell>
          <cell r="D165">
            <v>-2.6848520646512299E-2</v>
          </cell>
        </row>
        <row r="166">
          <cell r="C166">
            <v>20</v>
          </cell>
          <cell r="D166">
            <v>-5.3702808656892399E-2</v>
          </cell>
        </row>
        <row r="167">
          <cell r="C167">
            <v>19.5</v>
          </cell>
          <cell r="D167">
            <v>-2.68514043284462E-2</v>
          </cell>
        </row>
        <row r="168">
          <cell r="C168">
            <v>19.5</v>
          </cell>
          <cell r="D168">
            <v>-2.6852125345721099E-2</v>
          </cell>
        </row>
        <row r="169">
          <cell r="C169">
            <v>19.5</v>
          </cell>
          <cell r="D169">
            <v>-2.68528464017187E-2</v>
          </cell>
        </row>
        <row r="170">
          <cell r="C170">
            <v>19.5</v>
          </cell>
          <cell r="D170">
            <v>-2.68528464017187E-2</v>
          </cell>
        </row>
        <row r="171">
          <cell r="C171">
            <v>19.5</v>
          </cell>
          <cell r="D171">
            <v>-2.68557310129982E-2</v>
          </cell>
        </row>
        <row r="172">
          <cell r="C172">
            <v>18.5</v>
          </cell>
          <cell r="D172">
            <v>-2.68557310129982E-2</v>
          </cell>
        </row>
        <row r="173">
          <cell r="C173">
            <v>18.5</v>
          </cell>
          <cell r="D173">
            <v>-2.6852846401718401E-2</v>
          </cell>
        </row>
        <row r="174">
          <cell r="C174">
            <v>18.5</v>
          </cell>
          <cell r="D174">
            <v>-2.6852125345721099E-2</v>
          </cell>
        </row>
        <row r="175">
          <cell r="C175">
            <v>18.5</v>
          </cell>
          <cell r="D175">
            <v>-2.68492415089274E-2</v>
          </cell>
        </row>
        <row r="176">
          <cell r="C176">
            <v>18.5</v>
          </cell>
          <cell r="D176">
            <v>-2.68499624100525E-2</v>
          </cell>
        </row>
        <row r="177">
          <cell r="C177">
            <v>18.5</v>
          </cell>
          <cell r="D177">
            <v>-2.6847799822804601E-2</v>
          </cell>
        </row>
        <row r="178">
          <cell r="C178">
            <v>17.5</v>
          </cell>
          <cell r="D178">
            <v>-2.6844916914982E-2</v>
          </cell>
        </row>
        <row r="179">
          <cell r="C179">
            <v>17.5</v>
          </cell>
          <cell r="D179">
            <v>-2.68456375838926E-2</v>
          </cell>
        </row>
        <row r="180">
          <cell r="C180">
            <v>17.5</v>
          </cell>
          <cell r="D180">
            <v>-2.6847799822804299E-2</v>
          </cell>
        </row>
        <row r="181">
          <cell r="C181">
            <v>17.5</v>
          </cell>
          <cell r="D181">
            <v>-2.68506833498913E-2</v>
          </cell>
        </row>
        <row r="182">
          <cell r="C182">
            <v>17.5</v>
          </cell>
          <cell r="D182">
            <v>-2.68514043284462E-2</v>
          </cell>
        </row>
        <row r="183">
          <cell r="C183">
            <v>17.5</v>
          </cell>
          <cell r="D183">
            <v>-2.68550098020785E-2</v>
          </cell>
        </row>
        <row r="184">
          <cell r="C184">
            <v>16.5</v>
          </cell>
          <cell r="D184">
            <v>-2.68578948781996E-2</v>
          </cell>
        </row>
        <row r="185">
          <cell r="C185">
            <v>16.5</v>
          </cell>
          <cell r="D185">
            <v>-2.6859337648733699E-2</v>
          </cell>
        </row>
        <row r="186">
          <cell r="C186">
            <v>16.5</v>
          </cell>
          <cell r="D186">
            <v>-2.68600590921299E-2</v>
          </cell>
        </row>
        <row r="187">
          <cell r="C187">
            <v>16.5</v>
          </cell>
          <cell r="D187">
            <v>-2.6860780574283202E-2</v>
          </cell>
        </row>
        <row r="188">
          <cell r="C188">
            <v>16</v>
          </cell>
          <cell r="D188">
            <v>-5.3724447309748499E-2</v>
          </cell>
        </row>
        <row r="189">
          <cell r="C189">
            <v>16</v>
          </cell>
          <cell r="D189">
            <v>-5.37215611485665E-2</v>
          </cell>
        </row>
        <row r="190">
          <cell r="C190">
            <v>15.5</v>
          </cell>
          <cell r="D190">
            <v>-2.68600590921299E-2</v>
          </cell>
        </row>
        <row r="191">
          <cell r="C191">
            <v>15.5</v>
          </cell>
          <cell r="D191">
            <v>-2.68586162440911E-2</v>
          </cell>
        </row>
        <row r="192">
          <cell r="C192">
            <v>15.5</v>
          </cell>
          <cell r="D192">
            <v>-2.68542886298943E-2</v>
          </cell>
        </row>
        <row r="193">
          <cell r="C193">
            <v>15.5</v>
          </cell>
          <cell r="D193">
            <v>-2.6853567496441799E-2</v>
          </cell>
        </row>
        <row r="194">
          <cell r="C194">
            <v>15</v>
          </cell>
          <cell r="D194">
            <v>0</v>
          </cell>
        </row>
        <row r="195">
          <cell r="C195">
            <v>14.5</v>
          </cell>
          <cell r="D195">
            <v>-2.6852125345721099E-2</v>
          </cell>
        </row>
        <row r="196">
          <cell r="C196">
            <v>14.5</v>
          </cell>
          <cell r="D196">
            <v>-2.6853567496441799E-2</v>
          </cell>
        </row>
        <row r="197">
          <cell r="C197">
            <v>14.5</v>
          </cell>
          <cell r="D197">
            <v>-2.6854288629893901E-2</v>
          </cell>
        </row>
        <row r="198">
          <cell r="C198">
            <v>14.5</v>
          </cell>
          <cell r="D198">
            <v>-2.68550098020785E-2</v>
          </cell>
        </row>
        <row r="199">
          <cell r="C199">
            <v>14.5</v>
          </cell>
          <cell r="D199">
            <v>-2.68542886298943E-2</v>
          </cell>
        </row>
        <row r="200">
          <cell r="C200">
            <v>14.5</v>
          </cell>
          <cell r="D200">
            <v>-2.68550098020785E-2</v>
          </cell>
        </row>
        <row r="201">
          <cell r="C201">
            <v>14</v>
          </cell>
          <cell r="D201">
            <v>0</v>
          </cell>
        </row>
        <row r="202">
          <cell r="C202">
            <v>14</v>
          </cell>
          <cell r="D202">
            <v>0</v>
          </cell>
        </row>
        <row r="203">
          <cell r="C203">
            <v>13.5</v>
          </cell>
          <cell r="D203">
            <v>-2.68506833498913E-2</v>
          </cell>
        </row>
        <row r="204">
          <cell r="C204">
            <v>13.5</v>
          </cell>
          <cell r="D204">
            <v>-2.6852125345721099E-2</v>
          </cell>
        </row>
        <row r="205">
          <cell r="C205">
            <v>13.5</v>
          </cell>
          <cell r="D205">
            <v>-2.68550098020785E-2</v>
          </cell>
        </row>
        <row r="206">
          <cell r="C206">
            <v>13.5</v>
          </cell>
          <cell r="D206">
            <v>-2.68550098020785E-2</v>
          </cell>
        </row>
        <row r="207">
          <cell r="C207">
            <v>13.5</v>
          </cell>
          <cell r="D207">
            <v>-2.6856452262656001E-2</v>
          </cell>
        </row>
        <row r="208">
          <cell r="C208">
            <v>13.5</v>
          </cell>
          <cell r="D208">
            <v>-2.68557310129982E-2</v>
          </cell>
        </row>
        <row r="209">
          <cell r="C209">
            <v>13</v>
          </cell>
          <cell r="D209">
            <v>0</v>
          </cell>
        </row>
        <row r="210">
          <cell r="C210">
            <v>13</v>
          </cell>
          <cell r="D210">
            <v>0</v>
          </cell>
        </row>
        <row r="211">
          <cell r="C211">
            <v>12.5</v>
          </cell>
          <cell r="D211">
            <v>-2.68542886298943E-2</v>
          </cell>
        </row>
        <row r="212">
          <cell r="C212">
            <v>12.5</v>
          </cell>
          <cell r="D212">
            <v>-2.6852125345721099E-2</v>
          </cell>
        </row>
        <row r="213">
          <cell r="C213">
            <v>12.5</v>
          </cell>
          <cell r="D213">
            <v>-2.68499624100525E-2</v>
          </cell>
        </row>
        <row r="214">
          <cell r="C214">
            <v>12.5</v>
          </cell>
          <cell r="D214">
            <v>-2.68492415089274E-2</v>
          </cell>
        </row>
        <row r="215">
          <cell r="C215">
            <v>12.5</v>
          </cell>
          <cell r="D215">
            <v>-2.6849241508927101E-2</v>
          </cell>
        </row>
        <row r="216">
          <cell r="C216">
            <v>12.5</v>
          </cell>
          <cell r="D216">
            <v>-2.68492415089274E-2</v>
          </cell>
        </row>
        <row r="217">
          <cell r="C217">
            <v>12</v>
          </cell>
          <cell r="D217">
            <v>0</v>
          </cell>
        </row>
        <row r="218">
          <cell r="C218">
            <v>12</v>
          </cell>
          <cell r="D218">
            <v>0</v>
          </cell>
        </row>
        <row r="219">
          <cell r="C219">
            <v>12</v>
          </cell>
          <cell r="D219">
            <v>0</v>
          </cell>
        </row>
        <row r="220">
          <cell r="C220">
            <v>12</v>
          </cell>
          <cell r="D220">
            <v>0</v>
          </cell>
        </row>
        <row r="221">
          <cell r="C221">
            <v>11.5</v>
          </cell>
          <cell r="D221">
            <v>-2.6852125345721099E-2</v>
          </cell>
        </row>
        <row r="222">
          <cell r="C222">
            <v>11.5</v>
          </cell>
          <cell r="D222">
            <v>-2.6854288629893901E-2</v>
          </cell>
        </row>
        <row r="223">
          <cell r="C223">
            <v>11.5</v>
          </cell>
          <cell r="D223">
            <v>-2.68571735510552E-2</v>
          </cell>
        </row>
        <row r="224">
          <cell r="C224">
            <v>11.5</v>
          </cell>
          <cell r="D224">
            <v>-2.6857173551055501E-2</v>
          </cell>
        </row>
        <row r="225">
          <cell r="C225">
            <v>11.5</v>
          </cell>
          <cell r="D225">
            <v>-2.68578948781996E-2</v>
          </cell>
        </row>
        <row r="226">
          <cell r="C226">
            <v>11.5</v>
          </cell>
          <cell r="D226">
            <v>-2.68571735510552E-2</v>
          </cell>
        </row>
        <row r="227">
          <cell r="C227">
            <v>10.5</v>
          </cell>
          <cell r="D227">
            <v>-2.68586162440911E-2</v>
          </cell>
        </row>
        <row r="228">
          <cell r="C228">
            <v>10.5</v>
          </cell>
          <cell r="D228">
            <v>-2.6856452262656299E-2</v>
          </cell>
        </row>
        <row r="229">
          <cell r="C229">
            <v>10.5</v>
          </cell>
          <cell r="D229">
            <v>-2.68528464017187E-2</v>
          </cell>
        </row>
        <row r="230">
          <cell r="C230">
            <v>10.5</v>
          </cell>
          <cell r="D230">
            <v>-2.6852846401718401E-2</v>
          </cell>
        </row>
        <row r="231">
          <cell r="C231">
            <v>10.5</v>
          </cell>
          <cell r="D231">
            <v>-2.6854288629893901E-2</v>
          </cell>
        </row>
        <row r="232">
          <cell r="C232">
            <v>10.5</v>
          </cell>
          <cell r="D232">
            <v>-2.68578948781996E-2</v>
          </cell>
        </row>
        <row r="233">
          <cell r="C233">
            <v>10</v>
          </cell>
          <cell r="D233">
            <v>0</v>
          </cell>
        </row>
        <row r="234">
          <cell r="C234">
            <v>10</v>
          </cell>
          <cell r="D234">
            <v>0</v>
          </cell>
        </row>
        <row r="235">
          <cell r="C235">
            <v>10</v>
          </cell>
          <cell r="D235">
            <v>0</v>
          </cell>
        </row>
        <row r="236">
          <cell r="C236">
            <v>10</v>
          </cell>
          <cell r="D236">
            <v>0</v>
          </cell>
        </row>
        <row r="237">
          <cell r="C237">
            <v>10</v>
          </cell>
          <cell r="D237">
            <v>0</v>
          </cell>
        </row>
        <row r="238">
          <cell r="C238">
            <v>10</v>
          </cell>
          <cell r="D238">
            <v>0</v>
          </cell>
        </row>
        <row r="239">
          <cell r="C239">
            <v>9.5</v>
          </cell>
          <cell r="D239">
            <v>-2.6856452262656299E-2</v>
          </cell>
        </row>
        <row r="240">
          <cell r="C240">
            <v>9.5</v>
          </cell>
          <cell r="D240">
            <v>-2.6854288629893901E-2</v>
          </cell>
        </row>
        <row r="241">
          <cell r="C241">
            <v>9.5</v>
          </cell>
          <cell r="D241">
            <v>-2.6852846401718401E-2</v>
          </cell>
        </row>
        <row r="242">
          <cell r="C242">
            <v>9.5</v>
          </cell>
          <cell r="D242">
            <v>-2.6857173551055501E-2</v>
          </cell>
        </row>
        <row r="243">
          <cell r="C243">
            <v>9.5</v>
          </cell>
          <cell r="D243">
            <v>-2.6857894878199302E-2</v>
          </cell>
        </row>
        <row r="244">
          <cell r="C244">
            <v>9.5</v>
          </cell>
          <cell r="D244">
            <v>-2.6857173551055501E-2</v>
          </cell>
        </row>
        <row r="245">
          <cell r="C245">
            <v>9</v>
          </cell>
          <cell r="D245">
            <v>0</v>
          </cell>
        </row>
        <row r="246">
          <cell r="C246">
            <v>9</v>
          </cell>
          <cell r="D246">
            <v>0</v>
          </cell>
        </row>
        <row r="247">
          <cell r="C247">
            <v>9</v>
          </cell>
          <cell r="D247">
            <v>0</v>
          </cell>
        </row>
        <row r="248">
          <cell r="C248">
            <v>9</v>
          </cell>
          <cell r="D248">
            <v>0</v>
          </cell>
        </row>
        <row r="249">
          <cell r="C249">
            <v>9</v>
          </cell>
          <cell r="D249">
            <v>0</v>
          </cell>
        </row>
        <row r="250">
          <cell r="C250">
            <v>9</v>
          </cell>
          <cell r="D250">
            <v>0</v>
          </cell>
        </row>
        <row r="251">
          <cell r="C251">
            <v>9</v>
          </cell>
          <cell r="D251">
            <v>0</v>
          </cell>
        </row>
        <row r="252">
          <cell r="C252">
            <v>9</v>
          </cell>
          <cell r="D252">
            <v>0</v>
          </cell>
        </row>
        <row r="253">
          <cell r="C253">
            <v>8.5</v>
          </cell>
          <cell r="D253">
            <v>-2.6843475693232598E-2</v>
          </cell>
        </row>
        <row r="254">
          <cell r="C254">
            <v>8.5</v>
          </cell>
          <cell r="D254">
            <v>-2.68441962847632E-2</v>
          </cell>
        </row>
        <row r="255">
          <cell r="C255">
            <v>8.5</v>
          </cell>
          <cell r="D255">
            <v>-2.6847799822804601E-2</v>
          </cell>
        </row>
        <row r="256">
          <cell r="C256">
            <v>8.5</v>
          </cell>
          <cell r="D256">
            <v>-2.6847079037800599E-2</v>
          </cell>
        </row>
        <row r="257">
          <cell r="C257">
            <v>8.5</v>
          </cell>
          <cell r="D257">
            <v>-2.6847799822804601E-2</v>
          </cell>
        </row>
        <row r="258">
          <cell r="C258">
            <v>8.5</v>
          </cell>
          <cell r="D258">
            <v>-2.68456375838926E-2</v>
          </cell>
        </row>
        <row r="259">
          <cell r="C259">
            <v>8</v>
          </cell>
          <cell r="D259">
            <v>0</v>
          </cell>
        </row>
        <row r="260">
          <cell r="C260">
            <v>8</v>
          </cell>
          <cell r="D260">
            <v>0</v>
          </cell>
        </row>
        <row r="261">
          <cell r="C261">
            <v>8</v>
          </cell>
          <cell r="D261">
            <v>0</v>
          </cell>
        </row>
        <row r="262">
          <cell r="C262">
            <v>8</v>
          </cell>
          <cell r="D262">
            <v>0</v>
          </cell>
        </row>
        <row r="263">
          <cell r="C263">
            <v>8</v>
          </cell>
          <cell r="D263">
            <v>0</v>
          </cell>
        </row>
        <row r="264">
          <cell r="C264">
            <v>8</v>
          </cell>
          <cell r="D264">
            <v>0</v>
          </cell>
        </row>
        <row r="265">
          <cell r="C265">
            <v>8</v>
          </cell>
          <cell r="D265">
            <v>0</v>
          </cell>
        </row>
        <row r="266">
          <cell r="C266">
            <v>8</v>
          </cell>
          <cell r="D266">
            <v>0</v>
          </cell>
        </row>
        <row r="267">
          <cell r="C267">
            <v>8</v>
          </cell>
          <cell r="D267">
            <v>0</v>
          </cell>
        </row>
        <row r="268">
          <cell r="C268">
            <v>8</v>
          </cell>
          <cell r="D268">
            <v>0</v>
          </cell>
        </row>
        <row r="269">
          <cell r="C269">
            <v>8</v>
          </cell>
          <cell r="D269">
            <v>0</v>
          </cell>
        </row>
        <row r="270">
          <cell r="C270">
            <v>7.5</v>
          </cell>
          <cell r="D270">
            <v>-2.6852846401718401E-2</v>
          </cell>
        </row>
        <row r="271">
          <cell r="C271">
            <v>7.5</v>
          </cell>
          <cell r="D271">
            <v>-2.6852125345721099E-2</v>
          </cell>
        </row>
        <row r="272">
          <cell r="C272">
            <v>7.5</v>
          </cell>
          <cell r="D272">
            <v>-2.6848520646512299E-2</v>
          </cell>
        </row>
        <row r="273">
          <cell r="C273">
            <v>7.5</v>
          </cell>
          <cell r="D273">
            <v>-2.6851404328446501E-2</v>
          </cell>
        </row>
        <row r="274">
          <cell r="C274">
            <v>7.5</v>
          </cell>
          <cell r="D274">
            <v>-2.6847799822804601E-2</v>
          </cell>
        </row>
        <row r="275">
          <cell r="C275">
            <v>7.5</v>
          </cell>
          <cell r="D275">
            <v>-2.68499624100525E-2</v>
          </cell>
        </row>
        <row r="276">
          <cell r="C276">
            <v>7</v>
          </cell>
          <cell r="D276">
            <v>0</v>
          </cell>
        </row>
        <row r="277">
          <cell r="C277">
            <v>7</v>
          </cell>
          <cell r="D277">
            <v>0</v>
          </cell>
        </row>
        <row r="278">
          <cell r="C278">
            <v>7</v>
          </cell>
          <cell r="D278">
            <v>0</v>
          </cell>
        </row>
        <row r="279">
          <cell r="C279">
            <v>7</v>
          </cell>
          <cell r="D279">
            <v>0</v>
          </cell>
        </row>
        <row r="280">
          <cell r="C280">
            <v>7</v>
          </cell>
          <cell r="D280">
            <v>0</v>
          </cell>
        </row>
        <row r="281">
          <cell r="C281">
            <v>7</v>
          </cell>
          <cell r="D281">
            <v>0</v>
          </cell>
        </row>
        <row r="282">
          <cell r="C282">
            <v>7</v>
          </cell>
          <cell r="D282">
            <v>0</v>
          </cell>
        </row>
        <row r="283">
          <cell r="C283">
            <v>7</v>
          </cell>
          <cell r="D283">
            <v>0</v>
          </cell>
        </row>
        <row r="284">
          <cell r="C284">
            <v>7</v>
          </cell>
          <cell r="D284">
            <v>0</v>
          </cell>
        </row>
        <row r="285">
          <cell r="C285">
            <v>7</v>
          </cell>
          <cell r="D285">
            <v>0</v>
          </cell>
        </row>
        <row r="286">
          <cell r="C286">
            <v>7</v>
          </cell>
          <cell r="D286">
            <v>0</v>
          </cell>
        </row>
        <row r="287">
          <cell r="C287">
            <v>7</v>
          </cell>
          <cell r="D287">
            <v>0</v>
          </cell>
        </row>
        <row r="288">
          <cell r="C288">
            <v>6.5</v>
          </cell>
          <cell r="D288">
            <v>-2.68492415089274E-2</v>
          </cell>
        </row>
        <row r="289">
          <cell r="C289">
            <v>6.5</v>
          </cell>
          <cell r="D289">
            <v>-2.6849962410052799E-2</v>
          </cell>
        </row>
        <row r="290">
          <cell r="C290">
            <v>6.5</v>
          </cell>
          <cell r="D290">
            <v>-2.6847079037800599E-2</v>
          </cell>
        </row>
        <row r="291">
          <cell r="C291">
            <v>6.5</v>
          </cell>
          <cell r="D291">
            <v>-2.68492415089274E-2</v>
          </cell>
        </row>
        <row r="292">
          <cell r="C292">
            <v>6.5</v>
          </cell>
          <cell r="D292">
            <v>-2.6851404328446501E-2</v>
          </cell>
        </row>
        <row r="293">
          <cell r="C293">
            <v>6.5</v>
          </cell>
          <cell r="D293">
            <v>-2.6851404328446501E-2</v>
          </cell>
        </row>
        <row r="294">
          <cell r="C294">
            <v>6</v>
          </cell>
          <cell r="D294">
            <v>0</v>
          </cell>
        </row>
        <row r="295">
          <cell r="C295">
            <v>6</v>
          </cell>
          <cell r="D295">
            <v>0</v>
          </cell>
        </row>
        <row r="296">
          <cell r="C296">
            <v>6</v>
          </cell>
          <cell r="D296">
            <v>0</v>
          </cell>
        </row>
        <row r="297">
          <cell r="C297">
            <v>6</v>
          </cell>
          <cell r="D297">
            <v>0</v>
          </cell>
        </row>
        <row r="298">
          <cell r="C298">
            <v>6</v>
          </cell>
          <cell r="D298">
            <v>0</v>
          </cell>
        </row>
        <row r="299">
          <cell r="C299">
            <v>6</v>
          </cell>
          <cell r="D299">
            <v>0</v>
          </cell>
        </row>
        <row r="300">
          <cell r="C300">
            <v>6</v>
          </cell>
          <cell r="D300">
            <v>0</v>
          </cell>
        </row>
        <row r="301">
          <cell r="C301">
            <v>6</v>
          </cell>
          <cell r="D301">
            <v>0</v>
          </cell>
        </row>
        <row r="302">
          <cell r="C302">
            <v>6</v>
          </cell>
          <cell r="D302">
            <v>0</v>
          </cell>
        </row>
        <row r="303">
          <cell r="C303">
            <v>5.5</v>
          </cell>
          <cell r="D303">
            <v>-2.68542886298943E-2</v>
          </cell>
        </row>
        <row r="304">
          <cell r="C304">
            <v>5.5</v>
          </cell>
          <cell r="D304">
            <v>-2.68542886298943E-2</v>
          </cell>
        </row>
        <row r="305">
          <cell r="C305">
            <v>5.5</v>
          </cell>
          <cell r="D305">
            <v>-2.6853567496442202E-2</v>
          </cell>
        </row>
        <row r="306">
          <cell r="C306">
            <v>5.5</v>
          </cell>
          <cell r="D306">
            <v>-2.68550098020785E-2</v>
          </cell>
        </row>
        <row r="307">
          <cell r="C307">
            <v>5.5</v>
          </cell>
          <cell r="D307">
            <v>-2.6852125345721099E-2</v>
          </cell>
        </row>
        <row r="308">
          <cell r="C308">
            <v>5.5</v>
          </cell>
          <cell r="D308">
            <v>-2.6848520646512601E-2</v>
          </cell>
        </row>
        <row r="309">
          <cell r="C309">
            <v>5</v>
          </cell>
          <cell r="D309">
            <v>0</v>
          </cell>
        </row>
        <row r="310">
          <cell r="C310">
            <v>5</v>
          </cell>
          <cell r="D310">
            <v>0</v>
          </cell>
        </row>
        <row r="311">
          <cell r="C311">
            <v>5</v>
          </cell>
          <cell r="D311">
            <v>0</v>
          </cell>
        </row>
        <row r="312">
          <cell r="C312">
            <v>5</v>
          </cell>
          <cell r="D312">
            <v>0</v>
          </cell>
        </row>
        <row r="313">
          <cell r="C313">
            <v>5</v>
          </cell>
          <cell r="D313">
            <v>0</v>
          </cell>
        </row>
        <row r="314">
          <cell r="C314">
            <v>5</v>
          </cell>
          <cell r="D314">
            <v>0</v>
          </cell>
        </row>
        <row r="315">
          <cell r="C315">
            <v>5</v>
          </cell>
          <cell r="D315">
            <v>0</v>
          </cell>
        </row>
        <row r="316">
          <cell r="C316">
            <v>5</v>
          </cell>
          <cell r="D316">
            <v>0</v>
          </cell>
        </row>
        <row r="317">
          <cell r="C317">
            <v>5</v>
          </cell>
          <cell r="D317">
            <v>0</v>
          </cell>
        </row>
        <row r="318">
          <cell r="C318">
            <v>5</v>
          </cell>
          <cell r="D318">
            <v>0</v>
          </cell>
        </row>
        <row r="319">
          <cell r="C319">
            <v>5</v>
          </cell>
          <cell r="D319">
            <v>0</v>
          </cell>
        </row>
        <row r="320">
          <cell r="C320">
            <v>5</v>
          </cell>
          <cell r="D320">
            <v>0</v>
          </cell>
        </row>
        <row r="321">
          <cell r="C321">
            <v>59</v>
          </cell>
          <cell r="D321">
            <v>-0.107394082586049</v>
          </cell>
        </row>
        <row r="322">
          <cell r="C322">
            <v>58.5</v>
          </cell>
          <cell r="D322">
            <v>-8.0539074874492703E-2</v>
          </cell>
        </row>
        <row r="323">
          <cell r="C323">
            <v>57.5</v>
          </cell>
          <cell r="D323">
            <v>-8.0547724526782299E-2</v>
          </cell>
        </row>
        <row r="324">
          <cell r="C324">
            <v>57</v>
          </cell>
          <cell r="D324">
            <v>-0.10740561731378399</v>
          </cell>
        </row>
        <row r="325">
          <cell r="C325">
            <v>56.5</v>
          </cell>
          <cell r="D325">
            <v>-8.0556376037163299E-2</v>
          </cell>
        </row>
        <row r="326">
          <cell r="C326">
            <v>56</v>
          </cell>
          <cell r="D326">
            <v>-0.107414269985767</v>
          </cell>
        </row>
        <row r="327">
          <cell r="C327">
            <v>55.5</v>
          </cell>
          <cell r="D327">
            <v>-8.0558539205156196E-2</v>
          </cell>
        </row>
        <row r="328">
          <cell r="C328">
            <v>55</v>
          </cell>
          <cell r="D328">
            <v>-0.107414269985767</v>
          </cell>
        </row>
        <row r="329">
          <cell r="C329">
            <v>54.5</v>
          </cell>
          <cell r="D329">
            <v>-8.0554212985339699E-2</v>
          </cell>
        </row>
        <row r="330">
          <cell r="C330">
            <v>53.5</v>
          </cell>
          <cell r="D330">
            <v>-8.0547724526782299E-2</v>
          </cell>
        </row>
        <row r="331">
          <cell r="C331">
            <v>53.5</v>
          </cell>
          <cell r="D331">
            <v>-8.0549887230158504E-2</v>
          </cell>
        </row>
        <row r="332">
          <cell r="C332">
            <v>53</v>
          </cell>
          <cell r="D332">
            <v>-5.3699924820105001E-2</v>
          </cell>
        </row>
        <row r="333">
          <cell r="C333">
            <v>52.5</v>
          </cell>
          <cell r="D333">
            <v>-8.0558539205155197E-2</v>
          </cell>
        </row>
        <row r="334">
          <cell r="C334">
            <v>51.5</v>
          </cell>
          <cell r="D334">
            <v>-8.0562865889682894E-2</v>
          </cell>
        </row>
        <row r="335">
          <cell r="C335">
            <v>51.5</v>
          </cell>
          <cell r="D335">
            <v>-8.0562865889681895E-2</v>
          </cell>
        </row>
        <row r="336">
          <cell r="C336">
            <v>50.5</v>
          </cell>
          <cell r="D336">
            <v>-8.0558539205155197E-2</v>
          </cell>
        </row>
        <row r="337">
          <cell r="C337">
            <v>50.5</v>
          </cell>
          <cell r="D337">
            <v>-8.0560702489325606E-2</v>
          </cell>
        </row>
        <row r="338">
          <cell r="C338">
            <v>50</v>
          </cell>
          <cell r="D338">
            <v>-0.107414269985767</v>
          </cell>
        </row>
        <row r="339">
          <cell r="C339">
            <v>49.5</v>
          </cell>
          <cell r="D339">
            <v>-8.0560702489325606E-2</v>
          </cell>
        </row>
        <row r="340">
          <cell r="C340">
            <v>49</v>
          </cell>
          <cell r="D340">
            <v>-5.3704250691442197E-2</v>
          </cell>
        </row>
        <row r="341">
          <cell r="C341">
            <v>48.5</v>
          </cell>
          <cell r="D341">
            <v>-8.0558539205156196E-2</v>
          </cell>
        </row>
        <row r="342">
          <cell r="C342">
            <v>48</v>
          </cell>
          <cell r="D342">
            <v>-5.3707134992883702E-2</v>
          </cell>
        </row>
        <row r="343">
          <cell r="C343">
            <v>47.5</v>
          </cell>
          <cell r="D343">
            <v>-8.05477245267813E-2</v>
          </cell>
        </row>
        <row r="344">
          <cell r="C344">
            <v>46.5</v>
          </cell>
          <cell r="D344">
            <v>-8.0549887230158504E-2</v>
          </cell>
        </row>
        <row r="345">
          <cell r="C345">
            <v>46.5</v>
          </cell>
          <cell r="D345">
            <v>-8.0545561939536894E-2</v>
          </cell>
        </row>
        <row r="346">
          <cell r="C346">
            <v>46.5</v>
          </cell>
          <cell r="D346">
            <v>-8.0547724526782299E-2</v>
          </cell>
        </row>
        <row r="347">
          <cell r="C347">
            <v>45.5</v>
          </cell>
          <cell r="D347">
            <v>-8.05477245267813E-2</v>
          </cell>
        </row>
        <row r="348">
          <cell r="C348">
            <v>45.5</v>
          </cell>
          <cell r="D348">
            <v>-8.0549887230158504E-2</v>
          </cell>
        </row>
        <row r="349">
          <cell r="C349">
            <v>45</v>
          </cell>
          <cell r="D349">
            <v>-5.3707134992883702E-2</v>
          </cell>
        </row>
        <row r="350">
          <cell r="C350">
            <v>44</v>
          </cell>
          <cell r="D350">
            <v>-5.3704250691442197E-2</v>
          </cell>
        </row>
        <row r="351">
          <cell r="C351">
            <v>44</v>
          </cell>
          <cell r="D351">
            <v>-5.3705692803437399E-2</v>
          </cell>
        </row>
        <row r="352">
          <cell r="C352">
            <v>43.5</v>
          </cell>
          <cell r="D352">
            <v>-8.05542129853387E-2</v>
          </cell>
        </row>
        <row r="353">
          <cell r="C353">
            <v>43</v>
          </cell>
          <cell r="D353">
            <v>-5.3707134992883702E-2</v>
          </cell>
        </row>
        <row r="354">
          <cell r="C354">
            <v>43</v>
          </cell>
          <cell r="D354">
            <v>-5.3711462025995797E-2</v>
          </cell>
        </row>
        <row r="355">
          <cell r="C355">
            <v>42.5</v>
          </cell>
          <cell r="D355">
            <v>-8.0567193038994706E-2</v>
          </cell>
        </row>
        <row r="356">
          <cell r="C356">
            <v>42</v>
          </cell>
          <cell r="D356">
            <v>-5.3711462025995797E-2</v>
          </cell>
        </row>
        <row r="357">
          <cell r="C357">
            <v>41.5</v>
          </cell>
          <cell r="D357">
            <v>-8.0560702489325606E-2</v>
          </cell>
        </row>
        <row r="358">
          <cell r="C358">
            <v>41</v>
          </cell>
          <cell r="D358">
            <v>-5.3707134992883702E-2</v>
          </cell>
        </row>
        <row r="359">
          <cell r="C359">
            <v>41</v>
          </cell>
          <cell r="D359">
            <v>-5.3699924820105702E-2</v>
          </cell>
        </row>
        <row r="360">
          <cell r="C360">
            <v>40.5</v>
          </cell>
          <cell r="D360">
            <v>-8.0545561939537894E-2</v>
          </cell>
        </row>
        <row r="361">
          <cell r="C361">
            <v>40</v>
          </cell>
          <cell r="D361">
            <v>-5.3689833829964603E-2</v>
          </cell>
        </row>
        <row r="362">
          <cell r="C362">
            <v>40</v>
          </cell>
          <cell r="D362">
            <v>-5.3688392569526497E-2</v>
          </cell>
        </row>
        <row r="363">
          <cell r="C363">
            <v>39</v>
          </cell>
          <cell r="D363">
            <v>-5.3689833829964E-2</v>
          </cell>
        </row>
        <row r="364">
          <cell r="C364">
            <v>39</v>
          </cell>
          <cell r="D364">
            <v>-5.3686951386465898E-2</v>
          </cell>
        </row>
        <row r="365">
          <cell r="C365">
            <v>39</v>
          </cell>
          <cell r="D365">
            <v>-5.3692716582995098E-2</v>
          </cell>
        </row>
        <row r="366">
          <cell r="C366">
            <v>38</v>
          </cell>
          <cell r="D366">
            <v>-5.3692716582995098E-2</v>
          </cell>
        </row>
        <row r="367">
          <cell r="C367">
            <v>38</v>
          </cell>
          <cell r="D367">
            <v>-5.3694158075601302E-2</v>
          </cell>
        </row>
        <row r="368">
          <cell r="C368">
            <v>38</v>
          </cell>
          <cell r="D368">
            <v>-5.3695599645609202E-2</v>
          </cell>
        </row>
        <row r="369">
          <cell r="C369">
            <v>37</v>
          </cell>
          <cell r="D369">
            <v>-5.3695599645609202E-2</v>
          </cell>
        </row>
        <row r="370">
          <cell r="C370">
            <v>37</v>
          </cell>
          <cell r="D370">
            <v>-5.3704250691441503E-2</v>
          </cell>
        </row>
        <row r="371">
          <cell r="C371">
            <v>36.5</v>
          </cell>
          <cell r="D371">
            <v>-8.0560702489325606E-2</v>
          </cell>
        </row>
        <row r="372">
          <cell r="C372">
            <v>36</v>
          </cell>
          <cell r="D372">
            <v>-5.3707134992883702E-2</v>
          </cell>
        </row>
        <row r="373">
          <cell r="C373">
            <v>36</v>
          </cell>
          <cell r="D373">
            <v>-5.3711462025995797E-2</v>
          </cell>
        </row>
        <row r="374">
          <cell r="C374">
            <v>35.5</v>
          </cell>
          <cell r="D374">
            <v>-8.05650294062355E-2</v>
          </cell>
        </row>
        <row r="375">
          <cell r="C375">
            <v>35</v>
          </cell>
          <cell r="D375">
            <v>-5.3711462025996498E-2</v>
          </cell>
        </row>
        <row r="376">
          <cell r="C376">
            <v>35</v>
          </cell>
          <cell r="D376">
            <v>-5.3704250691442197E-2</v>
          </cell>
        </row>
        <row r="377">
          <cell r="C377">
            <v>34.5</v>
          </cell>
          <cell r="D377">
            <v>-2.6849962410052799E-2</v>
          </cell>
        </row>
        <row r="378">
          <cell r="C378">
            <v>34</v>
          </cell>
          <cell r="D378">
            <v>-5.3699924820105001E-2</v>
          </cell>
        </row>
        <row r="379">
          <cell r="C379">
            <v>34</v>
          </cell>
          <cell r="D379">
            <v>-5.3699924820105702E-2</v>
          </cell>
        </row>
        <row r="380">
          <cell r="C380">
            <v>33.5</v>
          </cell>
          <cell r="D380">
            <v>-2.68514043284462E-2</v>
          </cell>
        </row>
        <row r="381">
          <cell r="C381">
            <v>33</v>
          </cell>
          <cell r="D381">
            <v>-5.3704250691442197E-2</v>
          </cell>
        </row>
        <row r="382">
          <cell r="C382">
            <v>33</v>
          </cell>
          <cell r="D382">
            <v>-5.3710019604157597E-2</v>
          </cell>
        </row>
        <row r="383">
          <cell r="C383">
            <v>33</v>
          </cell>
          <cell r="D383">
            <v>-5.3711462025995797E-2</v>
          </cell>
        </row>
        <row r="384">
          <cell r="C384">
            <v>32.5</v>
          </cell>
          <cell r="D384">
            <v>-2.6857173551055501E-2</v>
          </cell>
        </row>
        <row r="385">
          <cell r="C385">
            <v>32</v>
          </cell>
          <cell r="D385">
            <v>-5.37172324881822E-2</v>
          </cell>
        </row>
        <row r="386">
          <cell r="C386">
            <v>32</v>
          </cell>
          <cell r="D386">
            <v>-5.3720118184260597E-2</v>
          </cell>
        </row>
        <row r="387">
          <cell r="C387">
            <v>31</v>
          </cell>
          <cell r="D387">
            <v>-5.3718675297466802E-2</v>
          </cell>
        </row>
        <row r="388">
          <cell r="C388">
            <v>31</v>
          </cell>
          <cell r="D388">
            <v>-5.37172324881822E-2</v>
          </cell>
        </row>
        <row r="389">
          <cell r="C389">
            <v>31</v>
          </cell>
          <cell r="D389">
            <v>-5.3715789756399297E-2</v>
          </cell>
        </row>
        <row r="390">
          <cell r="C390">
            <v>31</v>
          </cell>
          <cell r="D390">
            <v>-5.3715789756399297E-2</v>
          </cell>
        </row>
        <row r="391">
          <cell r="C391">
            <v>30</v>
          </cell>
          <cell r="D391">
            <v>-5.3712904525312001E-2</v>
          </cell>
        </row>
        <row r="392">
          <cell r="C392">
            <v>30</v>
          </cell>
          <cell r="D392">
            <v>-5.3712904525312001E-2</v>
          </cell>
        </row>
        <row r="393">
          <cell r="C393">
            <v>29.5</v>
          </cell>
          <cell r="D393">
            <v>-2.6857173551055501E-2</v>
          </cell>
        </row>
        <row r="394">
          <cell r="C394">
            <v>29.5</v>
          </cell>
          <cell r="D394">
            <v>-2.6855731012997899E-2</v>
          </cell>
        </row>
        <row r="395">
          <cell r="C395">
            <v>29</v>
          </cell>
          <cell r="D395">
            <v>-5.3711462025996498E-2</v>
          </cell>
        </row>
        <row r="396">
          <cell r="C396">
            <v>29</v>
          </cell>
          <cell r="D396">
            <v>-5.37085772597879E-2</v>
          </cell>
        </row>
        <row r="397">
          <cell r="C397">
            <v>28.5</v>
          </cell>
          <cell r="D397">
            <v>-2.68514043284462E-2</v>
          </cell>
        </row>
        <row r="398">
          <cell r="C398">
            <v>28.5</v>
          </cell>
          <cell r="D398">
            <v>-2.68506833498913E-2</v>
          </cell>
        </row>
        <row r="399">
          <cell r="C399">
            <v>28.5</v>
          </cell>
          <cell r="D399">
            <v>-2.68499624100525E-2</v>
          </cell>
        </row>
        <row r="400">
          <cell r="C400">
            <v>28</v>
          </cell>
          <cell r="D400">
            <v>-5.3704250691442197E-2</v>
          </cell>
        </row>
        <row r="401">
          <cell r="C401">
            <v>27.5</v>
          </cell>
          <cell r="D401">
            <v>-2.68514043284462E-2</v>
          </cell>
        </row>
        <row r="402">
          <cell r="C402">
            <v>27.5</v>
          </cell>
          <cell r="D402">
            <v>-2.6851404328446501E-2</v>
          </cell>
        </row>
        <row r="403">
          <cell r="C403">
            <v>27.5</v>
          </cell>
          <cell r="D403">
            <v>-2.68528464017187E-2</v>
          </cell>
        </row>
        <row r="404">
          <cell r="C404">
            <v>27.5</v>
          </cell>
          <cell r="D404">
            <v>-2.68514043284462E-2</v>
          </cell>
        </row>
        <row r="405">
          <cell r="C405">
            <v>27</v>
          </cell>
          <cell r="D405">
            <v>-5.37028086568931E-2</v>
          </cell>
        </row>
        <row r="406">
          <cell r="C406">
            <v>26.5</v>
          </cell>
          <cell r="D406">
            <v>-2.6852125345721099E-2</v>
          </cell>
        </row>
        <row r="407">
          <cell r="C407">
            <v>26</v>
          </cell>
          <cell r="D407">
            <v>-5.37013666997826E-2</v>
          </cell>
        </row>
        <row r="408">
          <cell r="C408">
            <v>26</v>
          </cell>
          <cell r="D408">
            <v>-5.3705692803436803E-2</v>
          </cell>
        </row>
        <row r="409">
          <cell r="C409">
            <v>26</v>
          </cell>
          <cell r="D409">
            <v>-5.3708577259788601E-2</v>
          </cell>
        </row>
        <row r="410">
          <cell r="C410">
            <v>26</v>
          </cell>
          <cell r="D410">
            <v>-5.3710019604157E-2</v>
          </cell>
        </row>
        <row r="411">
          <cell r="C411">
            <v>25.5</v>
          </cell>
          <cell r="D411">
            <v>-2.6854288629893901E-2</v>
          </cell>
        </row>
        <row r="412">
          <cell r="C412">
            <v>25</v>
          </cell>
          <cell r="D412">
            <v>-5.3705692803437399E-2</v>
          </cell>
        </row>
        <row r="413">
          <cell r="C413">
            <v>24.5</v>
          </cell>
          <cell r="D413">
            <v>-2.68557310129982E-2</v>
          </cell>
        </row>
        <row r="414">
          <cell r="C414">
            <v>24.5</v>
          </cell>
          <cell r="D414">
            <v>-2.6852125345721099E-2</v>
          </cell>
        </row>
        <row r="415">
          <cell r="C415">
            <v>24.5</v>
          </cell>
          <cell r="D415">
            <v>-2.68514043284462E-2</v>
          </cell>
        </row>
        <row r="416">
          <cell r="C416">
            <v>24.5</v>
          </cell>
          <cell r="D416">
            <v>-2.68506833498913E-2</v>
          </cell>
        </row>
        <row r="417">
          <cell r="C417">
            <v>24</v>
          </cell>
          <cell r="D417">
            <v>-5.3699924820105702E-2</v>
          </cell>
        </row>
        <row r="418">
          <cell r="C418">
            <v>23.5</v>
          </cell>
          <cell r="D418">
            <v>-2.68506833498913E-2</v>
          </cell>
        </row>
        <row r="419">
          <cell r="C419">
            <v>23.5</v>
          </cell>
          <cell r="D419">
            <v>-2.6852125345721099E-2</v>
          </cell>
        </row>
        <row r="420">
          <cell r="C420">
            <v>23.5</v>
          </cell>
          <cell r="D420">
            <v>-2.68542886298943E-2</v>
          </cell>
        </row>
        <row r="421">
          <cell r="C421">
            <v>23.5</v>
          </cell>
          <cell r="D421">
            <v>-2.68514043284462E-2</v>
          </cell>
        </row>
        <row r="422">
          <cell r="C422">
            <v>23.5</v>
          </cell>
          <cell r="D422">
            <v>-2.6852125345721099E-2</v>
          </cell>
        </row>
        <row r="423">
          <cell r="C423">
            <v>22.5</v>
          </cell>
          <cell r="D423">
            <v>-2.6852125345721099E-2</v>
          </cell>
        </row>
        <row r="424">
          <cell r="C424">
            <v>22.5</v>
          </cell>
          <cell r="D424">
            <v>-2.6849241508927101E-2</v>
          </cell>
        </row>
        <row r="425">
          <cell r="C425">
            <v>22.5</v>
          </cell>
          <cell r="D425">
            <v>-2.68456375838926E-2</v>
          </cell>
        </row>
        <row r="426">
          <cell r="C426">
            <v>22.5</v>
          </cell>
          <cell r="D426">
            <v>-2.6847079037800599E-2</v>
          </cell>
        </row>
        <row r="427">
          <cell r="C427">
            <v>22.5</v>
          </cell>
          <cell r="D427">
            <v>-2.6849962410052799E-2</v>
          </cell>
        </row>
        <row r="428">
          <cell r="C428">
            <v>22.5</v>
          </cell>
          <cell r="D428">
            <v>-2.68492415089274E-2</v>
          </cell>
        </row>
        <row r="429">
          <cell r="C429">
            <v>21.5</v>
          </cell>
          <cell r="D429">
            <v>-2.6852125345721099E-2</v>
          </cell>
        </row>
        <row r="430">
          <cell r="C430">
            <v>21.5</v>
          </cell>
          <cell r="D430">
            <v>-2.68542886298943E-2</v>
          </cell>
        </row>
        <row r="431">
          <cell r="C431">
            <v>21.5</v>
          </cell>
          <cell r="D431">
            <v>-2.6855731012997899E-2</v>
          </cell>
        </row>
        <row r="432">
          <cell r="C432">
            <v>21</v>
          </cell>
          <cell r="D432">
            <v>-5.3714347102111003E-2</v>
          </cell>
        </row>
        <row r="433">
          <cell r="C433">
            <v>21</v>
          </cell>
          <cell r="D433">
            <v>-5.3710019604157E-2</v>
          </cell>
        </row>
        <row r="434">
          <cell r="C434">
            <v>21</v>
          </cell>
          <cell r="D434">
            <v>-5.3714347102111003E-2</v>
          </cell>
        </row>
        <row r="435">
          <cell r="C435">
            <v>20.5</v>
          </cell>
          <cell r="D435">
            <v>-2.6857173551055501E-2</v>
          </cell>
        </row>
        <row r="436">
          <cell r="C436">
            <v>20.5</v>
          </cell>
          <cell r="D436">
            <v>-2.68557310129982E-2</v>
          </cell>
        </row>
        <row r="437">
          <cell r="C437">
            <v>20.5</v>
          </cell>
          <cell r="D437">
            <v>-2.6856452262656299E-2</v>
          </cell>
        </row>
        <row r="438">
          <cell r="C438">
            <v>19.5</v>
          </cell>
          <cell r="D438">
            <v>-2.68514043284462E-2</v>
          </cell>
        </row>
        <row r="439">
          <cell r="C439">
            <v>19.5</v>
          </cell>
          <cell r="D439">
            <v>-2.6852125345721099E-2</v>
          </cell>
        </row>
        <row r="440">
          <cell r="C440">
            <v>19.5</v>
          </cell>
          <cell r="D440">
            <v>-2.6852846401718401E-2</v>
          </cell>
        </row>
        <row r="441">
          <cell r="C441">
            <v>19.5</v>
          </cell>
          <cell r="D441">
            <v>-2.6850683349890901E-2</v>
          </cell>
        </row>
        <row r="442">
          <cell r="C442">
            <v>19.5</v>
          </cell>
          <cell r="D442">
            <v>-2.6852125345721099E-2</v>
          </cell>
        </row>
        <row r="443">
          <cell r="C443">
            <v>19.5</v>
          </cell>
          <cell r="D443">
            <v>-2.68499624100525E-2</v>
          </cell>
        </row>
        <row r="444">
          <cell r="C444">
            <v>19</v>
          </cell>
          <cell r="D444">
            <v>0</v>
          </cell>
        </row>
        <row r="445">
          <cell r="C445">
            <v>18.5</v>
          </cell>
          <cell r="D445">
            <v>-2.68514043284462E-2</v>
          </cell>
        </row>
        <row r="446">
          <cell r="C446">
            <v>18.5</v>
          </cell>
          <cell r="D446">
            <v>-2.68492415089274E-2</v>
          </cell>
        </row>
        <row r="447">
          <cell r="C447">
            <v>18.5</v>
          </cell>
          <cell r="D447">
            <v>-2.6852125345721099E-2</v>
          </cell>
        </row>
        <row r="448">
          <cell r="C448">
            <v>18.5</v>
          </cell>
          <cell r="D448">
            <v>-2.6852125345721099E-2</v>
          </cell>
        </row>
        <row r="449">
          <cell r="C449">
            <v>18.5</v>
          </cell>
          <cell r="D449">
            <v>-2.68550098020785E-2</v>
          </cell>
        </row>
        <row r="450">
          <cell r="C450">
            <v>18.5</v>
          </cell>
          <cell r="D450">
            <v>-2.68557310129982E-2</v>
          </cell>
        </row>
        <row r="451">
          <cell r="C451">
            <v>18</v>
          </cell>
          <cell r="D451">
            <v>0</v>
          </cell>
        </row>
        <row r="452">
          <cell r="C452">
            <v>18</v>
          </cell>
          <cell r="D452">
            <v>0</v>
          </cell>
        </row>
        <row r="453">
          <cell r="C453">
            <v>17.5</v>
          </cell>
          <cell r="D453">
            <v>-2.6852125345721099E-2</v>
          </cell>
        </row>
        <row r="454">
          <cell r="C454">
            <v>17.5</v>
          </cell>
          <cell r="D454">
            <v>-2.6849241508927101E-2</v>
          </cell>
        </row>
        <row r="455">
          <cell r="C455">
            <v>17.5</v>
          </cell>
          <cell r="D455">
            <v>-2.6846358291497899E-2</v>
          </cell>
        </row>
        <row r="456">
          <cell r="C456">
            <v>17.5</v>
          </cell>
          <cell r="D456">
            <v>-2.6847079037800599E-2</v>
          </cell>
        </row>
        <row r="457">
          <cell r="C457">
            <v>17.5</v>
          </cell>
          <cell r="D457">
            <v>-2.68492415089274E-2</v>
          </cell>
        </row>
        <row r="458">
          <cell r="C458">
            <v>17.5</v>
          </cell>
          <cell r="D458">
            <v>-2.68499624100525E-2</v>
          </cell>
        </row>
        <row r="459">
          <cell r="C459">
            <v>17</v>
          </cell>
          <cell r="D459">
            <v>0</v>
          </cell>
        </row>
        <row r="460">
          <cell r="C460">
            <v>16.5</v>
          </cell>
          <cell r="D460">
            <v>-2.6852125345721099E-2</v>
          </cell>
        </row>
        <row r="461">
          <cell r="C461">
            <v>16.5</v>
          </cell>
          <cell r="D461">
            <v>-2.6852846401718401E-2</v>
          </cell>
        </row>
        <row r="462">
          <cell r="C462">
            <v>16.5</v>
          </cell>
          <cell r="D462">
            <v>-2.68514043284462E-2</v>
          </cell>
        </row>
        <row r="463">
          <cell r="C463">
            <v>16.5</v>
          </cell>
          <cell r="D463">
            <v>-2.6852125345721099E-2</v>
          </cell>
        </row>
        <row r="464">
          <cell r="C464">
            <v>16.5</v>
          </cell>
          <cell r="D464">
            <v>-2.6851404328446501E-2</v>
          </cell>
        </row>
        <row r="465">
          <cell r="C465">
            <v>16</v>
          </cell>
          <cell r="D465">
            <v>-5.3702808656892399E-2</v>
          </cell>
        </row>
        <row r="466">
          <cell r="C466">
            <v>15.5</v>
          </cell>
          <cell r="D466">
            <v>-2.6851404328446501E-2</v>
          </cell>
        </row>
        <row r="467">
          <cell r="C467">
            <v>15.5</v>
          </cell>
          <cell r="D467">
            <v>-2.68499624100525E-2</v>
          </cell>
        </row>
        <row r="468">
          <cell r="C468">
            <v>15.5</v>
          </cell>
          <cell r="D468">
            <v>-2.6853567496441799E-2</v>
          </cell>
        </row>
        <row r="469">
          <cell r="C469">
            <v>15.5</v>
          </cell>
          <cell r="D469">
            <v>-2.68542886298943E-2</v>
          </cell>
        </row>
        <row r="470">
          <cell r="C470">
            <v>15.5</v>
          </cell>
          <cell r="D470">
            <v>-2.6852846401718401E-2</v>
          </cell>
        </row>
        <row r="471">
          <cell r="C471">
            <v>15</v>
          </cell>
          <cell r="D471">
            <v>0</v>
          </cell>
        </row>
        <row r="472">
          <cell r="C472">
            <v>15</v>
          </cell>
          <cell r="D472">
            <v>0</v>
          </cell>
        </row>
        <row r="473">
          <cell r="C473">
            <v>15</v>
          </cell>
          <cell r="D473">
            <v>0</v>
          </cell>
        </row>
        <row r="474">
          <cell r="C474">
            <v>14.5</v>
          </cell>
          <cell r="D474">
            <v>-2.6853567496441799E-2</v>
          </cell>
        </row>
        <row r="475">
          <cell r="C475">
            <v>14.5</v>
          </cell>
          <cell r="D475">
            <v>-2.68499624100525E-2</v>
          </cell>
        </row>
        <row r="476">
          <cell r="C476">
            <v>14.5</v>
          </cell>
          <cell r="D476">
            <v>-2.68506833498913E-2</v>
          </cell>
        </row>
        <row r="477">
          <cell r="C477">
            <v>14.5</v>
          </cell>
          <cell r="D477">
            <v>-2.6852125345721099E-2</v>
          </cell>
        </row>
        <row r="478">
          <cell r="C478">
            <v>14.5</v>
          </cell>
          <cell r="D478">
            <v>-2.6852846401718401E-2</v>
          </cell>
        </row>
        <row r="479">
          <cell r="C479">
            <v>14.5</v>
          </cell>
          <cell r="D479">
            <v>-2.68506833498913E-2</v>
          </cell>
        </row>
        <row r="480">
          <cell r="C480">
            <v>14</v>
          </cell>
          <cell r="D480">
            <v>0</v>
          </cell>
        </row>
        <row r="481">
          <cell r="C481">
            <v>14</v>
          </cell>
          <cell r="D481">
            <v>0</v>
          </cell>
        </row>
        <row r="482">
          <cell r="C482">
            <v>14</v>
          </cell>
          <cell r="D482">
            <v>0</v>
          </cell>
        </row>
        <row r="483">
          <cell r="C483">
            <v>13.5</v>
          </cell>
          <cell r="D483">
            <v>-2.6854288629893901E-2</v>
          </cell>
        </row>
        <row r="484">
          <cell r="C484">
            <v>13.5</v>
          </cell>
          <cell r="D484">
            <v>-2.68528464017187E-2</v>
          </cell>
        </row>
        <row r="485">
          <cell r="C485">
            <v>13.5</v>
          </cell>
          <cell r="D485">
            <v>-2.6852125345721099E-2</v>
          </cell>
        </row>
        <row r="486">
          <cell r="C486">
            <v>13.5</v>
          </cell>
          <cell r="D486">
            <v>-2.68499624100525E-2</v>
          </cell>
        </row>
        <row r="487">
          <cell r="C487">
            <v>13.5</v>
          </cell>
          <cell r="D487">
            <v>-2.6847799822804299E-2</v>
          </cell>
        </row>
        <row r="488">
          <cell r="C488">
            <v>13.5</v>
          </cell>
          <cell r="D488">
            <v>-2.68441962847632E-2</v>
          </cell>
        </row>
        <row r="489">
          <cell r="C489">
            <v>13</v>
          </cell>
          <cell r="D489">
            <v>0</v>
          </cell>
        </row>
        <row r="490">
          <cell r="C490">
            <v>13</v>
          </cell>
          <cell r="D490">
            <v>0</v>
          </cell>
        </row>
        <row r="491">
          <cell r="C491">
            <v>13</v>
          </cell>
          <cell r="D491">
            <v>0</v>
          </cell>
        </row>
        <row r="492">
          <cell r="C492">
            <v>13</v>
          </cell>
          <cell r="D492">
            <v>0</v>
          </cell>
        </row>
        <row r="493">
          <cell r="C493">
            <v>13</v>
          </cell>
          <cell r="D493">
            <v>0</v>
          </cell>
        </row>
        <row r="494">
          <cell r="C494">
            <v>13</v>
          </cell>
          <cell r="D494">
            <v>0</v>
          </cell>
        </row>
        <row r="495">
          <cell r="C495">
            <v>12.5</v>
          </cell>
          <cell r="D495">
            <v>-2.6847799822804601E-2</v>
          </cell>
        </row>
        <row r="496">
          <cell r="C496">
            <v>12.5</v>
          </cell>
          <cell r="D496">
            <v>-2.68499624100525E-2</v>
          </cell>
        </row>
        <row r="497">
          <cell r="C497">
            <v>12.5</v>
          </cell>
          <cell r="D497">
            <v>-2.6847799822804299E-2</v>
          </cell>
        </row>
        <row r="498">
          <cell r="C498">
            <v>12.5</v>
          </cell>
          <cell r="D498">
            <v>-2.68441962847632E-2</v>
          </cell>
        </row>
        <row r="499">
          <cell r="C499">
            <v>12.5</v>
          </cell>
          <cell r="D499">
            <v>-2.6844916914982302E-2</v>
          </cell>
        </row>
        <row r="500">
          <cell r="C500">
            <v>12.5</v>
          </cell>
          <cell r="D500">
            <v>-2.6847079037800599E-2</v>
          </cell>
        </row>
        <row r="501">
          <cell r="C501">
            <v>12</v>
          </cell>
          <cell r="D501">
            <v>0</v>
          </cell>
        </row>
        <row r="502">
          <cell r="C502">
            <v>12</v>
          </cell>
          <cell r="D502">
            <v>0</v>
          </cell>
        </row>
        <row r="503">
          <cell r="C503">
            <v>12</v>
          </cell>
          <cell r="D503">
            <v>0</v>
          </cell>
        </row>
        <row r="504">
          <cell r="C504">
            <v>12</v>
          </cell>
          <cell r="D504">
            <v>0</v>
          </cell>
        </row>
        <row r="505">
          <cell r="C505">
            <v>11.5</v>
          </cell>
          <cell r="D505">
            <v>-2.68550098020785E-2</v>
          </cell>
        </row>
        <row r="506">
          <cell r="C506">
            <v>11.5</v>
          </cell>
          <cell r="D506">
            <v>-2.68557310129982E-2</v>
          </cell>
        </row>
        <row r="507">
          <cell r="C507">
            <v>11.5</v>
          </cell>
          <cell r="D507">
            <v>-2.6856452262656001E-2</v>
          </cell>
        </row>
        <row r="508">
          <cell r="C508">
            <v>11.5</v>
          </cell>
          <cell r="D508">
            <v>-2.68542886298943E-2</v>
          </cell>
        </row>
        <row r="509">
          <cell r="C509">
            <v>11.5</v>
          </cell>
          <cell r="D509">
            <v>-2.6853567496441501E-2</v>
          </cell>
        </row>
        <row r="510">
          <cell r="C510">
            <v>11.5</v>
          </cell>
          <cell r="D510">
            <v>-2.6853567496441501E-2</v>
          </cell>
        </row>
        <row r="511">
          <cell r="C511">
            <v>11</v>
          </cell>
          <cell r="D511">
            <v>0</v>
          </cell>
        </row>
        <row r="512">
          <cell r="C512">
            <v>11</v>
          </cell>
          <cell r="D512">
            <v>0</v>
          </cell>
        </row>
        <row r="513">
          <cell r="C513">
            <v>10.5</v>
          </cell>
          <cell r="D513">
            <v>-2.68528464017187E-2</v>
          </cell>
        </row>
        <row r="514">
          <cell r="C514">
            <v>10.5</v>
          </cell>
          <cell r="D514">
            <v>-2.6853567496442202E-2</v>
          </cell>
        </row>
        <row r="515">
          <cell r="C515">
            <v>10.5</v>
          </cell>
          <cell r="D515">
            <v>-2.6854288629894599E-2</v>
          </cell>
        </row>
        <row r="516">
          <cell r="C516">
            <v>10.5</v>
          </cell>
          <cell r="D516">
            <v>-2.68514043284468E-2</v>
          </cell>
        </row>
        <row r="517">
          <cell r="C517">
            <v>10.5</v>
          </cell>
          <cell r="D517">
            <v>-2.6848520646512899E-2</v>
          </cell>
        </row>
        <row r="518">
          <cell r="C518">
            <v>10.5</v>
          </cell>
          <cell r="D518">
            <v>-2.6848520646512299E-2</v>
          </cell>
        </row>
        <row r="519">
          <cell r="C519">
            <v>10</v>
          </cell>
          <cell r="D519">
            <v>0</v>
          </cell>
        </row>
        <row r="520">
          <cell r="C520">
            <v>10</v>
          </cell>
          <cell r="D520">
            <v>0</v>
          </cell>
        </row>
        <row r="521">
          <cell r="C521">
            <v>10</v>
          </cell>
          <cell r="D521">
            <v>0</v>
          </cell>
        </row>
        <row r="522">
          <cell r="C522">
            <v>10</v>
          </cell>
          <cell r="D522">
            <v>0</v>
          </cell>
        </row>
        <row r="523">
          <cell r="C523">
            <v>10</v>
          </cell>
          <cell r="D523">
            <v>0</v>
          </cell>
        </row>
        <row r="524">
          <cell r="C524">
            <v>10</v>
          </cell>
          <cell r="D524">
            <v>0</v>
          </cell>
        </row>
        <row r="525">
          <cell r="C525">
            <v>10</v>
          </cell>
          <cell r="D525">
            <v>0</v>
          </cell>
        </row>
        <row r="526">
          <cell r="C526">
            <v>10</v>
          </cell>
          <cell r="D526">
            <v>0</v>
          </cell>
        </row>
        <row r="527">
          <cell r="C527">
            <v>9.5</v>
          </cell>
          <cell r="D527">
            <v>-2.6854288629894599E-2</v>
          </cell>
        </row>
        <row r="528">
          <cell r="C528">
            <v>9.5</v>
          </cell>
          <cell r="D528">
            <v>-2.6853567496442202E-2</v>
          </cell>
        </row>
        <row r="529">
          <cell r="C529">
            <v>9.5</v>
          </cell>
          <cell r="D529">
            <v>-2.6853567496441501E-2</v>
          </cell>
        </row>
        <row r="530">
          <cell r="C530">
            <v>9.5</v>
          </cell>
          <cell r="D530">
            <v>-2.68514043284462E-2</v>
          </cell>
        </row>
        <row r="531">
          <cell r="C531">
            <v>9.5</v>
          </cell>
          <cell r="D531">
            <v>-2.6850683349890901E-2</v>
          </cell>
        </row>
        <row r="532">
          <cell r="C532">
            <v>9.5</v>
          </cell>
          <cell r="D532">
            <v>-2.6852125345721099E-2</v>
          </cell>
        </row>
        <row r="533">
          <cell r="C533">
            <v>9</v>
          </cell>
          <cell r="D533">
            <v>0</v>
          </cell>
        </row>
        <row r="534">
          <cell r="C534">
            <v>9</v>
          </cell>
          <cell r="D534">
            <v>0</v>
          </cell>
        </row>
        <row r="535">
          <cell r="C535">
            <v>9</v>
          </cell>
          <cell r="D535">
            <v>0</v>
          </cell>
        </row>
        <row r="536">
          <cell r="C536">
            <v>9</v>
          </cell>
          <cell r="D536">
            <v>0</v>
          </cell>
        </row>
        <row r="537">
          <cell r="C537">
            <v>9</v>
          </cell>
          <cell r="D537">
            <v>0</v>
          </cell>
        </row>
        <row r="538">
          <cell r="C538">
            <v>9</v>
          </cell>
          <cell r="D538">
            <v>0</v>
          </cell>
        </row>
        <row r="539">
          <cell r="C539">
            <v>9</v>
          </cell>
          <cell r="D539">
            <v>0</v>
          </cell>
        </row>
        <row r="540">
          <cell r="C540">
            <v>9</v>
          </cell>
          <cell r="D540">
            <v>0</v>
          </cell>
        </row>
        <row r="541">
          <cell r="C541">
            <v>9</v>
          </cell>
          <cell r="D541">
            <v>0</v>
          </cell>
        </row>
        <row r="542">
          <cell r="C542">
            <v>9</v>
          </cell>
          <cell r="D542">
            <v>0</v>
          </cell>
        </row>
        <row r="543">
          <cell r="C543">
            <v>9</v>
          </cell>
          <cell r="D543">
            <v>0</v>
          </cell>
        </row>
        <row r="544">
          <cell r="C544">
            <v>9</v>
          </cell>
          <cell r="D544">
            <v>0</v>
          </cell>
        </row>
        <row r="545">
          <cell r="C545">
            <v>8.5</v>
          </cell>
          <cell r="D545">
            <v>-2.6854288629893901E-2</v>
          </cell>
        </row>
        <row r="546">
          <cell r="C546">
            <v>8.5</v>
          </cell>
          <cell r="D546">
            <v>-2.6854288629894599E-2</v>
          </cell>
        </row>
        <row r="547">
          <cell r="C547">
            <v>8.5</v>
          </cell>
          <cell r="D547">
            <v>-2.6697992310978101E-2</v>
          </cell>
        </row>
        <row r="548">
          <cell r="C548">
            <v>8.5</v>
          </cell>
          <cell r="D548">
            <v>-2.6696566821506999E-2</v>
          </cell>
        </row>
        <row r="549">
          <cell r="C549">
            <v>8.5</v>
          </cell>
          <cell r="D549">
            <v>-2.66930037637137E-2</v>
          </cell>
        </row>
        <row r="550">
          <cell r="C550">
            <v>8.5</v>
          </cell>
          <cell r="D550">
            <v>-2.66937162991835E-2</v>
          </cell>
        </row>
        <row r="551">
          <cell r="C551">
            <v>8</v>
          </cell>
          <cell r="D551">
            <v>0</v>
          </cell>
        </row>
        <row r="552">
          <cell r="C552">
            <v>8</v>
          </cell>
          <cell r="D552">
            <v>0</v>
          </cell>
        </row>
        <row r="553">
          <cell r="C553">
            <v>8</v>
          </cell>
          <cell r="D553">
            <v>0</v>
          </cell>
        </row>
        <row r="554">
          <cell r="C554">
            <v>8</v>
          </cell>
          <cell r="D554">
            <v>0</v>
          </cell>
        </row>
        <row r="555">
          <cell r="C555">
            <v>8</v>
          </cell>
          <cell r="D555">
            <v>0</v>
          </cell>
        </row>
        <row r="556">
          <cell r="C556">
            <v>8</v>
          </cell>
          <cell r="D556">
            <v>0</v>
          </cell>
        </row>
        <row r="557">
          <cell r="C557">
            <v>8</v>
          </cell>
          <cell r="D557">
            <v>0</v>
          </cell>
        </row>
        <row r="558">
          <cell r="C558">
            <v>8</v>
          </cell>
          <cell r="D558">
            <v>0</v>
          </cell>
        </row>
        <row r="559">
          <cell r="C559">
            <v>8</v>
          </cell>
          <cell r="D559">
            <v>0</v>
          </cell>
        </row>
        <row r="560">
          <cell r="C560">
            <v>8</v>
          </cell>
          <cell r="D560">
            <v>0</v>
          </cell>
        </row>
        <row r="561">
          <cell r="C561">
            <v>8</v>
          </cell>
          <cell r="D561">
            <v>0</v>
          </cell>
        </row>
        <row r="562">
          <cell r="C562">
            <v>8</v>
          </cell>
          <cell r="D562">
            <v>0</v>
          </cell>
        </row>
        <row r="563">
          <cell r="C563">
            <v>8</v>
          </cell>
          <cell r="D563">
            <v>0</v>
          </cell>
        </row>
        <row r="564">
          <cell r="C564">
            <v>7.5</v>
          </cell>
          <cell r="D564">
            <v>-2.6852846401717999E-2</v>
          </cell>
        </row>
        <row r="565">
          <cell r="C565">
            <v>7.5</v>
          </cell>
          <cell r="D565">
            <v>-2.6852125345721099E-2</v>
          </cell>
        </row>
        <row r="566">
          <cell r="C566">
            <v>7.5</v>
          </cell>
          <cell r="D566">
            <v>-2.6856452262656299E-2</v>
          </cell>
        </row>
        <row r="567">
          <cell r="C567">
            <v>7.5</v>
          </cell>
          <cell r="D567">
            <v>-2.6856452262656299E-2</v>
          </cell>
        </row>
        <row r="568">
          <cell r="C568">
            <v>7.5</v>
          </cell>
          <cell r="D568">
            <v>-2.68550098020785E-2</v>
          </cell>
        </row>
        <row r="569">
          <cell r="C569">
            <v>7.5</v>
          </cell>
          <cell r="D569">
            <v>-2.68550098020785E-2</v>
          </cell>
        </row>
        <row r="570">
          <cell r="C570">
            <v>7</v>
          </cell>
          <cell r="D570">
            <v>0</v>
          </cell>
        </row>
        <row r="571">
          <cell r="C571">
            <v>7</v>
          </cell>
          <cell r="D571">
            <v>0</v>
          </cell>
        </row>
        <row r="572">
          <cell r="C572">
            <v>7</v>
          </cell>
          <cell r="D572">
            <v>0</v>
          </cell>
        </row>
        <row r="573">
          <cell r="C573">
            <v>7</v>
          </cell>
          <cell r="D573">
            <v>0</v>
          </cell>
        </row>
        <row r="574">
          <cell r="C574">
            <v>7</v>
          </cell>
          <cell r="D574">
            <v>0</v>
          </cell>
        </row>
        <row r="575">
          <cell r="C575">
            <v>7</v>
          </cell>
          <cell r="D575">
            <v>0</v>
          </cell>
        </row>
        <row r="576">
          <cell r="C576">
            <v>7</v>
          </cell>
          <cell r="D576">
            <v>0</v>
          </cell>
        </row>
        <row r="577">
          <cell r="C577">
            <v>7</v>
          </cell>
          <cell r="D577">
            <v>0</v>
          </cell>
        </row>
        <row r="578">
          <cell r="C578">
            <v>7</v>
          </cell>
          <cell r="D578">
            <v>0</v>
          </cell>
        </row>
        <row r="579">
          <cell r="C579">
            <v>7</v>
          </cell>
          <cell r="D579">
            <v>0</v>
          </cell>
        </row>
        <row r="580">
          <cell r="C580">
            <v>7</v>
          </cell>
          <cell r="D580">
            <v>0</v>
          </cell>
        </row>
        <row r="581">
          <cell r="C581">
            <v>7</v>
          </cell>
          <cell r="D581">
            <v>0</v>
          </cell>
        </row>
        <row r="582">
          <cell r="C582">
            <v>7</v>
          </cell>
          <cell r="D582">
            <v>0</v>
          </cell>
        </row>
        <row r="583">
          <cell r="C583">
            <v>7</v>
          </cell>
          <cell r="D583">
            <v>0</v>
          </cell>
        </row>
        <row r="584">
          <cell r="C584">
            <v>7</v>
          </cell>
          <cell r="D584">
            <v>0</v>
          </cell>
        </row>
        <row r="585">
          <cell r="C585">
            <v>7</v>
          </cell>
          <cell r="D585">
            <v>0</v>
          </cell>
        </row>
        <row r="586">
          <cell r="C586">
            <v>7</v>
          </cell>
          <cell r="D586">
            <v>0</v>
          </cell>
        </row>
        <row r="587">
          <cell r="C587">
            <v>6.5</v>
          </cell>
          <cell r="D587">
            <v>-2.6850683349891599E-2</v>
          </cell>
        </row>
        <row r="588">
          <cell r="C588">
            <v>6.5</v>
          </cell>
          <cell r="D588">
            <v>-2.6849962410052799E-2</v>
          </cell>
        </row>
        <row r="589">
          <cell r="C589">
            <v>6.5</v>
          </cell>
          <cell r="D589">
            <v>-2.6847799822804899E-2</v>
          </cell>
        </row>
        <row r="590">
          <cell r="C590">
            <v>6.5</v>
          </cell>
          <cell r="D590">
            <v>-2.68492415089274E-2</v>
          </cell>
        </row>
        <row r="591">
          <cell r="C591">
            <v>6.5</v>
          </cell>
          <cell r="D591">
            <v>-2.6852125345721099E-2</v>
          </cell>
        </row>
        <row r="592">
          <cell r="C592">
            <v>6.5</v>
          </cell>
          <cell r="D592">
            <v>-2.6850683349890901E-2</v>
          </cell>
        </row>
        <row r="593">
          <cell r="C593">
            <v>6</v>
          </cell>
          <cell r="D593">
            <v>0</v>
          </cell>
        </row>
        <row r="594">
          <cell r="C594">
            <v>6</v>
          </cell>
          <cell r="D594">
            <v>0</v>
          </cell>
        </row>
        <row r="595">
          <cell r="C595">
            <v>6</v>
          </cell>
          <cell r="D595">
            <v>0</v>
          </cell>
        </row>
        <row r="596">
          <cell r="C596">
            <v>6</v>
          </cell>
          <cell r="D596">
            <v>0</v>
          </cell>
        </row>
        <row r="597">
          <cell r="C597">
            <v>6</v>
          </cell>
          <cell r="D597">
            <v>0</v>
          </cell>
        </row>
        <row r="598">
          <cell r="C598">
            <v>6</v>
          </cell>
          <cell r="D598">
            <v>0</v>
          </cell>
        </row>
        <row r="599">
          <cell r="C599">
            <v>6</v>
          </cell>
          <cell r="D599">
            <v>0</v>
          </cell>
        </row>
        <row r="600">
          <cell r="C600">
            <v>6</v>
          </cell>
          <cell r="D600">
            <v>0</v>
          </cell>
        </row>
        <row r="601">
          <cell r="C601">
            <v>5.5</v>
          </cell>
          <cell r="D601">
            <v>-2.6847799822804899E-2</v>
          </cell>
        </row>
        <row r="602">
          <cell r="C602">
            <v>5.5</v>
          </cell>
          <cell r="D602">
            <v>-2.6847799822804299E-2</v>
          </cell>
        </row>
        <row r="603">
          <cell r="C603">
            <v>5.5</v>
          </cell>
          <cell r="D603">
            <v>-2.68492415089274E-2</v>
          </cell>
        </row>
        <row r="604">
          <cell r="C604">
            <v>5.5</v>
          </cell>
          <cell r="D604">
            <v>-2.68528464017187E-2</v>
          </cell>
        </row>
        <row r="605">
          <cell r="C605">
            <v>5.5</v>
          </cell>
          <cell r="D605">
            <v>-2.6852846401717999E-2</v>
          </cell>
        </row>
        <row r="606">
          <cell r="C606">
            <v>5.5</v>
          </cell>
          <cell r="D606">
            <v>-2.6849962410052799E-2</v>
          </cell>
        </row>
        <row r="607">
          <cell r="C607">
            <v>5</v>
          </cell>
          <cell r="D607">
            <v>0</v>
          </cell>
        </row>
        <row r="608">
          <cell r="C608">
            <v>5</v>
          </cell>
          <cell r="D608">
            <v>0</v>
          </cell>
        </row>
        <row r="609">
          <cell r="C609">
            <v>5</v>
          </cell>
          <cell r="D609">
            <v>0</v>
          </cell>
        </row>
        <row r="610">
          <cell r="C610">
            <v>5</v>
          </cell>
          <cell r="D610">
            <v>0</v>
          </cell>
        </row>
        <row r="611">
          <cell r="C611">
            <v>5</v>
          </cell>
          <cell r="D611">
            <v>0</v>
          </cell>
        </row>
        <row r="612">
          <cell r="C612">
            <v>5</v>
          </cell>
          <cell r="D612">
            <v>0</v>
          </cell>
        </row>
        <row r="613">
          <cell r="C613">
            <v>5</v>
          </cell>
          <cell r="D613">
            <v>0</v>
          </cell>
        </row>
        <row r="614">
          <cell r="C614">
            <v>5</v>
          </cell>
          <cell r="D614">
            <v>0</v>
          </cell>
        </row>
        <row r="615">
          <cell r="C615">
            <v>5</v>
          </cell>
          <cell r="D615">
            <v>0</v>
          </cell>
        </row>
        <row r="616">
          <cell r="C616">
            <v>5</v>
          </cell>
          <cell r="D616">
            <v>0</v>
          </cell>
        </row>
        <row r="617">
          <cell r="C617">
            <v>5</v>
          </cell>
          <cell r="D617">
            <v>0</v>
          </cell>
        </row>
        <row r="618">
          <cell r="C618">
            <v>5</v>
          </cell>
          <cell r="D618">
            <v>0</v>
          </cell>
        </row>
        <row r="619">
          <cell r="C619">
            <v>5</v>
          </cell>
          <cell r="D619">
            <v>0</v>
          </cell>
        </row>
        <row r="620">
          <cell r="C620">
            <v>5</v>
          </cell>
          <cell r="D620">
            <v>0</v>
          </cell>
        </row>
        <row r="621">
          <cell r="C621">
            <v>5</v>
          </cell>
          <cell r="D621">
            <v>0</v>
          </cell>
        </row>
        <row r="622">
          <cell r="C622">
            <v>5</v>
          </cell>
          <cell r="D622">
            <v>0</v>
          </cell>
        </row>
        <row r="623">
          <cell r="C623">
            <v>5</v>
          </cell>
          <cell r="D623">
            <v>0</v>
          </cell>
        </row>
        <row r="624">
          <cell r="C624">
            <v>5</v>
          </cell>
          <cell r="D624">
            <v>0</v>
          </cell>
        </row>
        <row r="625">
          <cell r="C625">
            <v>5</v>
          </cell>
          <cell r="D625">
            <v>0</v>
          </cell>
        </row>
        <row r="626">
          <cell r="C626">
            <v>5</v>
          </cell>
          <cell r="D626">
            <v>0</v>
          </cell>
        </row>
        <row r="627">
          <cell r="C627">
            <v>5</v>
          </cell>
          <cell r="D627">
            <v>0</v>
          </cell>
        </row>
        <row r="628">
          <cell r="C628">
            <v>5</v>
          </cell>
          <cell r="D628">
            <v>0</v>
          </cell>
        </row>
        <row r="629">
          <cell r="C629">
            <v>5</v>
          </cell>
          <cell r="D629">
            <v>0</v>
          </cell>
        </row>
        <row r="630">
          <cell r="C630">
            <v>5</v>
          </cell>
          <cell r="D630">
            <v>0</v>
          </cell>
        </row>
        <row r="631">
          <cell r="C631">
            <v>5</v>
          </cell>
          <cell r="D631">
            <v>0</v>
          </cell>
        </row>
        <row r="632">
          <cell r="C632">
            <v>5</v>
          </cell>
          <cell r="D632">
            <v>0</v>
          </cell>
        </row>
        <row r="633">
          <cell r="C633">
            <v>5</v>
          </cell>
          <cell r="D633">
            <v>0</v>
          </cell>
        </row>
        <row r="634">
          <cell r="C634">
            <v>4.5</v>
          </cell>
          <cell r="D634">
            <v>-2.68550098020785E-2</v>
          </cell>
        </row>
        <row r="635">
          <cell r="C635">
            <v>4.5</v>
          </cell>
          <cell r="D635">
            <v>-2.6852125345721099E-2</v>
          </cell>
        </row>
        <row r="636">
          <cell r="C636">
            <v>4.5</v>
          </cell>
          <cell r="D636">
            <v>-2.6852125345721099E-2</v>
          </cell>
        </row>
        <row r="637">
          <cell r="C637">
            <v>4.5</v>
          </cell>
          <cell r="D637">
            <v>-2.6850683349890901E-2</v>
          </cell>
        </row>
        <row r="638">
          <cell r="C638">
            <v>4.5</v>
          </cell>
          <cell r="D638">
            <v>-2.6852125345721099E-2</v>
          </cell>
        </row>
        <row r="639">
          <cell r="C639">
            <v>4.5</v>
          </cell>
          <cell r="D639">
            <v>-2.6852846401717999E-2</v>
          </cell>
        </row>
        <row r="640">
          <cell r="C640">
            <v>4</v>
          </cell>
          <cell r="D640">
            <v>0</v>
          </cell>
        </row>
        <row r="641">
          <cell r="C641">
            <v>4</v>
          </cell>
          <cell r="D641">
            <v>0</v>
          </cell>
        </row>
        <row r="642">
          <cell r="C642">
            <v>4</v>
          </cell>
          <cell r="D642">
            <v>0</v>
          </cell>
        </row>
        <row r="643">
          <cell r="C643">
            <v>4</v>
          </cell>
          <cell r="D643">
            <v>0</v>
          </cell>
        </row>
        <row r="644">
          <cell r="C644">
            <v>4</v>
          </cell>
          <cell r="D644">
            <v>0</v>
          </cell>
        </row>
        <row r="645">
          <cell r="C645">
            <v>4</v>
          </cell>
          <cell r="D645">
            <v>0</v>
          </cell>
        </row>
        <row r="646">
          <cell r="C646">
            <v>4</v>
          </cell>
          <cell r="D646">
            <v>0</v>
          </cell>
        </row>
        <row r="647">
          <cell r="C647">
            <v>4</v>
          </cell>
          <cell r="D647">
            <v>0</v>
          </cell>
        </row>
        <row r="648">
          <cell r="C648">
            <v>4</v>
          </cell>
          <cell r="D648">
            <v>0</v>
          </cell>
        </row>
        <row r="649">
          <cell r="C649">
            <v>4</v>
          </cell>
          <cell r="D649">
            <v>0</v>
          </cell>
        </row>
        <row r="650">
          <cell r="C650">
            <v>4</v>
          </cell>
          <cell r="D650">
            <v>0</v>
          </cell>
        </row>
        <row r="651">
          <cell r="C651">
            <v>4</v>
          </cell>
          <cell r="D651">
            <v>0</v>
          </cell>
        </row>
        <row r="652">
          <cell r="C652">
            <v>4</v>
          </cell>
          <cell r="D652">
            <v>0</v>
          </cell>
        </row>
        <row r="653">
          <cell r="C653">
            <v>4</v>
          </cell>
          <cell r="D653">
            <v>0</v>
          </cell>
        </row>
        <row r="654">
          <cell r="C654">
            <v>4</v>
          </cell>
          <cell r="D654">
            <v>0</v>
          </cell>
        </row>
        <row r="655">
          <cell r="C655">
            <v>4</v>
          </cell>
          <cell r="D655">
            <v>0</v>
          </cell>
        </row>
        <row r="656">
          <cell r="C656">
            <v>4</v>
          </cell>
          <cell r="D656">
            <v>0</v>
          </cell>
        </row>
        <row r="657">
          <cell r="C657">
            <v>4</v>
          </cell>
          <cell r="D657">
            <v>0</v>
          </cell>
        </row>
        <row r="658">
          <cell r="C658">
            <v>4</v>
          </cell>
          <cell r="D658">
            <v>0</v>
          </cell>
        </row>
        <row r="659">
          <cell r="C659">
            <v>4</v>
          </cell>
          <cell r="D659">
            <v>0</v>
          </cell>
        </row>
        <row r="660">
          <cell r="C660">
            <v>4</v>
          </cell>
          <cell r="D660">
            <v>0</v>
          </cell>
        </row>
        <row r="661">
          <cell r="C661">
            <v>4</v>
          </cell>
          <cell r="D661">
            <v>0</v>
          </cell>
        </row>
        <row r="662">
          <cell r="C662">
            <v>4</v>
          </cell>
          <cell r="D662">
            <v>0</v>
          </cell>
        </row>
        <row r="663">
          <cell r="C663">
            <v>4</v>
          </cell>
          <cell r="D663">
            <v>0</v>
          </cell>
        </row>
        <row r="664">
          <cell r="C664">
            <v>4</v>
          </cell>
          <cell r="D664">
            <v>0</v>
          </cell>
        </row>
        <row r="665">
          <cell r="C665">
            <v>4</v>
          </cell>
          <cell r="D665">
            <v>0</v>
          </cell>
        </row>
        <row r="666">
          <cell r="C666">
            <v>4</v>
          </cell>
          <cell r="D666">
            <v>0</v>
          </cell>
        </row>
        <row r="667">
          <cell r="C667">
            <v>4</v>
          </cell>
          <cell r="D667">
            <v>0</v>
          </cell>
        </row>
        <row r="668">
          <cell r="C668">
            <v>4</v>
          </cell>
          <cell r="D668">
            <v>0</v>
          </cell>
        </row>
        <row r="669">
          <cell r="C669">
            <v>4</v>
          </cell>
          <cell r="D669">
            <v>0</v>
          </cell>
        </row>
        <row r="670">
          <cell r="C670">
            <v>4</v>
          </cell>
          <cell r="D670">
            <v>0</v>
          </cell>
        </row>
        <row r="671">
          <cell r="C671">
            <v>4</v>
          </cell>
          <cell r="D671">
            <v>0</v>
          </cell>
        </row>
        <row r="672">
          <cell r="C672">
            <v>4</v>
          </cell>
          <cell r="D672">
            <v>0</v>
          </cell>
        </row>
        <row r="673">
          <cell r="C673">
            <v>4</v>
          </cell>
          <cell r="D673">
            <v>0</v>
          </cell>
        </row>
        <row r="674">
          <cell r="C674">
            <v>4</v>
          </cell>
          <cell r="D674">
            <v>0</v>
          </cell>
        </row>
        <row r="675">
          <cell r="C675">
            <v>4</v>
          </cell>
          <cell r="D675">
            <v>0</v>
          </cell>
        </row>
        <row r="676">
          <cell r="C676">
            <v>4</v>
          </cell>
          <cell r="D676">
            <v>0</v>
          </cell>
        </row>
        <row r="677">
          <cell r="C677">
            <v>4</v>
          </cell>
          <cell r="D677">
            <v>0</v>
          </cell>
        </row>
        <row r="678">
          <cell r="C678">
            <v>4</v>
          </cell>
          <cell r="D678">
            <v>0</v>
          </cell>
        </row>
        <row r="679">
          <cell r="C679">
            <v>4</v>
          </cell>
          <cell r="D679">
            <v>0</v>
          </cell>
        </row>
        <row r="680">
          <cell r="C680">
            <v>3.5</v>
          </cell>
          <cell r="D680">
            <v>-2.68514043284462E-2</v>
          </cell>
        </row>
        <row r="681">
          <cell r="C681">
            <v>3.5</v>
          </cell>
          <cell r="D681">
            <v>-2.68492415089274E-2</v>
          </cell>
        </row>
        <row r="682">
          <cell r="C682">
            <v>3.5</v>
          </cell>
          <cell r="D682">
            <v>-2.68492415089274E-2</v>
          </cell>
        </row>
        <row r="683">
          <cell r="C683">
            <v>3.5</v>
          </cell>
          <cell r="D683">
            <v>-2.68470790378003E-2</v>
          </cell>
        </row>
        <row r="684">
          <cell r="C684">
            <v>3.5</v>
          </cell>
          <cell r="D684">
            <v>-2.6848520646512299E-2</v>
          </cell>
        </row>
        <row r="685">
          <cell r="C685">
            <v>3.5</v>
          </cell>
          <cell r="D685">
            <v>-2.6853567496442202E-2</v>
          </cell>
        </row>
        <row r="686">
          <cell r="C686">
            <v>3</v>
          </cell>
          <cell r="D686">
            <v>0</v>
          </cell>
        </row>
        <row r="687">
          <cell r="C687">
            <v>3</v>
          </cell>
          <cell r="D687">
            <v>0</v>
          </cell>
        </row>
        <row r="688">
          <cell r="C688">
            <v>3</v>
          </cell>
          <cell r="D688">
            <v>0</v>
          </cell>
        </row>
        <row r="689">
          <cell r="C689">
            <v>3</v>
          </cell>
          <cell r="D689">
            <v>0</v>
          </cell>
        </row>
        <row r="690">
          <cell r="C690">
            <v>3</v>
          </cell>
          <cell r="D690">
            <v>0</v>
          </cell>
        </row>
        <row r="691">
          <cell r="C691">
            <v>3</v>
          </cell>
          <cell r="D691">
            <v>0</v>
          </cell>
        </row>
        <row r="692">
          <cell r="C692">
            <v>3</v>
          </cell>
          <cell r="D692">
            <v>0</v>
          </cell>
        </row>
        <row r="693">
          <cell r="C693">
            <v>3</v>
          </cell>
          <cell r="D693">
            <v>0</v>
          </cell>
        </row>
        <row r="694">
          <cell r="C694">
            <v>3</v>
          </cell>
          <cell r="D694">
            <v>0</v>
          </cell>
        </row>
        <row r="695">
          <cell r="C695">
            <v>3</v>
          </cell>
          <cell r="D695">
            <v>0</v>
          </cell>
        </row>
        <row r="696">
          <cell r="C696">
            <v>3</v>
          </cell>
          <cell r="D696">
            <v>0</v>
          </cell>
        </row>
        <row r="697">
          <cell r="C697">
            <v>3</v>
          </cell>
          <cell r="D697">
            <v>0</v>
          </cell>
        </row>
        <row r="698">
          <cell r="C698">
            <v>3</v>
          </cell>
          <cell r="D698">
            <v>0</v>
          </cell>
        </row>
        <row r="699">
          <cell r="C699">
            <v>3</v>
          </cell>
          <cell r="D699">
            <v>0</v>
          </cell>
        </row>
        <row r="700">
          <cell r="C700">
            <v>3</v>
          </cell>
          <cell r="D700">
            <v>0</v>
          </cell>
        </row>
        <row r="701">
          <cell r="C701">
            <v>3</v>
          </cell>
          <cell r="D701">
            <v>0</v>
          </cell>
        </row>
        <row r="702">
          <cell r="C702">
            <v>3</v>
          </cell>
          <cell r="D702">
            <v>0</v>
          </cell>
        </row>
        <row r="703">
          <cell r="C703">
            <v>3</v>
          </cell>
          <cell r="D703">
            <v>0</v>
          </cell>
        </row>
        <row r="704">
          <cell r="C704">
            <v>3</v>
          </cell>
          <cell r="D704">
            <v>0</v>
          </cell>
        </row>
        <row r="705">
          <cell r="C705">
            <v>3</v>
          </cell>
          <cell r="D705">
            <v>0</v>
          </cell>
        </row>
        <row r="706">
          <cell r="C706">
            <v>3</v>
          </cell>
          <cell r="D706">
            <v>0</v>
          </cell>
        </row>
        <row r="707">
          <cell r="C707">
            <v>3</v>
          </cell>
          <cell r="D707">
            <v>0</v>
          </cell>
        </row>
        <row r="708">
          <cell r="C708">
            <v>3</v>
          </cell>
          <cell r="D708">
            <v>0</v>
          </cell>
        </row>
        <row r="709">
          <cell r="C709">
            <v>3</v>
          </cell>
          <cell r="D709">
            <v>0</v>
          </cell>
        </row>
        <row r="710">
          <cell r="C710">
            <v>3</v>
          </cell>
          <cell r="D710">
            <v>0</v>
          </cell>
        </row>
        <row r="711">
          <cell r="C711">
            <v>3</v>
          </cell>
          <cell r="D711">
            <v>0</v>
          </cell>
        </row>
        <row r="712">
          <cell r="C712">
            <v>3</v>
          </cell>
          <cell r="D712">
            <v>0</v>
          </cell>
        </row>
        <row r="713">
          <cell r="C713">
            <v>3</v>
          </cell>
          <cell r="D713">
            <v>0</v>
          </cell>
        </row>
        <row r="714">
          <cell r="C714">
            <v>3</v>
          </cell>
          <cell r="D714">
            <v>0</v>
          </cell>
        </row>
        <row r="715">
          <cell r="C715">
            <v>3</v>
          </cell>
          <cell r="D715">
            <v>0</v>
          </cell>
        </row>
        <row r="716">
          <cell r="C716">
            <v>3</v>
          </cell>
          <cell r="D716">
            <v>0</v>
          </cell>
        </row>
        <row r="717">
          <cell r="C717">
            <v>3</v>
          </cell>
          <cell r="D717">
            <v>0</v>
          </cell>
        </row>
        <row r="718">
          <cell r="C718">
            <v>3</v>
          </cell>
          <cell r="D718">
            <v>0</v>
          </cell>
        </row>
        <row r="719">
          <cell r="C719">
            <v>3</v>
          </cell>
          <cell r="D719">
            <v>0</v>
          </cell>
        </row>
        <row r="720">
          <cell r="C720">
            <v>102.5</v>
          </cell>
          <cell r="D720">
            <v>-0.40270618556700899</v>
          </cell>
        </row>
        <row r="721">
          <cell r="C721">
            <v>100.5</v>
          </cell>
          <cell r="D721">
            <v>-0.34901202749140797</v>
          </cell>
        </row>
        <row r="722">
          <cell r="C722">
            <v>98.5</v>
          </cell>
          <cell r="D722">
            <v>-0.34900265778947198</v>
          </cell>
        </row>
        <row r="723">
          <cell r="C723">
            <v>96.5</v>
          </cell>
          <cell r="D723">
            <v>-0.34904013961605601</v>
          </cell>
        </row>
        <row r="724">
          <cell r="C724">
            <v>94</v>
          </cell>
          <cell r="D724">
            <v>-0.32218224775814702</v>
          </cell>
        </row>
        <row r="725">
          <cell r="C725">
            <v>92.5</v>
          </cell>
          <cell r="D725">
            <v>-0.295365447612912</v>
          </cell>
        </row>
        <row r="726">
          <cell r="C726">
            <v>90</v>
          </cell>
          <cell r="D726">
            <v>-0.26854288629894302</v>
          </cell>
        </row>
        <row r="727">
          <cell r="C727">
            <v>88.5</v>
          </cell>
          <cell r="D727">
            <v>-0.29538924246086001</v>
          </cell>
        </row>
        <row r="728">
          <cell r="C728">
            <v>86.5</v>
          </cell>
          <cell r="D728">
            <v>-0.29539717492883699</v>
          </cell>
        </row>
        <row r="729">
          <cell r="C729">
            <v>85</v>
          </cell>
          <cell r="D729">
            <v>-0.268528464017187</v>
          </cell>
        </row>
        <row r="730">
          <cell r="C730">
            <v>83</v>
          </cell>
          <cell r="D730">
            <v>-0.26852125345721101</v>
          </cell>
        </row>
        <row r="731">
          <cell r="C731">
            <v>82</v>
          </cell>
          <cell r="D731">
            <v>-0.26851404328446199</v>
          </cell>
        </row>
        <row r="732">
          <cell r="C732">
            <v>80</v>
          </cell>
          <cell r="D732">
            <v>-0.26849962410052503</v>
          </cell>
        </row>
        <row r="733">
          <cell r="C733">
            <v>78.5</v>
          </cell>
          <cell r="D733">
            <v>-0.24163668581861</v>
          </cell>
        </row>
        <row r="734">
          <cell r="C734">
            <v>77</v>
          </cell>
          <cell r="D734">
            <v>-0.21478816517209801</v>
          </cell>
        </row>
        <row r="735">
          <cell r="C735">
            <v>76</v>
          </cell>
          <cell r="D735">
            <v>-0.21481123462756899</v>
          </cell>
        </row>
        <row r="736">
          <cell r="C736">
            <v>74</v>
          </cell>
          <cell r="D736">
            <v>-0.21480546679913001</v>
          </cell>
        </row>
        <row r="737">
          <cell r="C737">
            <v>73</v>
          </cell>
          <cell r="D737">
            <v>-0.21479969928042</v>
          </cell>
        </row>
        <row r="738">
          <cell r="C738">
            <v>71.5</v>
          </cell>
          <cell r="D738">
            <v>-0.18795478344923899</v>
          </cell>
        </row>
        <row r="739">
          <cell r="C739">
            <v>70.5</v>
          </cell>
          <cell r="D739">
            <v>-0.187959830299123</v>
          </cell>
        </row>
        <row r="740">
          <cell r="C740">
            <v>69.5</v>
          </cell>
          <cell r="D740">
            <v>-0.18795478344923899</v>
          </cell>
        </row>
        <row r="741">
          <cell r="C741">
            <v>68.5</v>
          </cell>
          <cell r="D741">
            <v>-0.187944690562492</v>
          </cell>
        </row>
        <row r="742">
          <cell r="C742">
            <v>67</v>
          </cell>
          <cell r="D742">
            <v>-0.161104100099347</v>
          </cell>
        </row>
        <row r="743">
          <cell r="C743">
            <v>66</v>
          </cell>
          <cell r="D743">
            <v>-0.16109977446031701</v>
          </cell>
        </row>
        <row r="744">
          <cell r="C744">
            <v>65</v>
          </cell>
          <cell r="D744">
            <v>-0.16109544905356399</v>
          </cell>
        </row>
        <row r="745">
          <cell r="C745">
            <v>64</v>
          </cell>
          <cell r="D745">
            <v>-0.16111275207432599</v>
          </cell>
        </row>
        <row r="746">
          <cell r="C746">
            <v>63</v>
          </cell>
          <cell r="D746">
            <v>-0.16111707841031001</v>
          </cell>
        </row>
        <row r="747">
          <cell r="C747">
            <v>62</v>
          </cell>
          <cell r="D747">
            <v>-0.16112573177936501</v>
          </cell>
        </row>
        <row r="748">
          <cell r="C748">
            <v>61</v>
          </cell>
          <cell r="D748">
            <v>-0.161134386077987</v>
          </cell>
        </row>
        <row r="749">
          <cell r="C749">
            <v>60.5</v>
          </cell>
          <cell r="D749">
            <v>-0.13428226131328</v>
          </cell>
        </row>
        <row r="750">
          <cell r="C750">
            <v>59.5</v>
          </cell>
          <cell r="D750">
            <v>-0.134293081220455</v>
          </cell>
        </row>
        <row r="751">
          <cell r="C751">
            <v>58.5</v>
          </cell>
          <cell r="D751">
            <v>-0.13427144314947101</v>
          </cell>
        </row>
        <row r="752">
          <cell r="C752">
            <v>57.5</v>
          </cell>
          <cell r="D752">
            <v>-0.134264232008593</v>
          </cell>
        </row>
        <row r="753">
          <cell r="C753">
            <v>56.5</v>
          </cell>
          <cell r="D753">
            <v>-0.134264232008592</v>
          </cell>
        </row>
        <row r="754">
          <cell r="C754">
            <v>56</v>
          </cell>
          <cell r="D754">
            <v>-0.10740850138288401</v>
          </cell>
        </row>
        <row r="755">
          <cell r="C755">
            <v>55.5</v>
          </cell>
          <cell r="D755">
            <v>-0.13425341674945601</v>
          </cell>
        </row>
        <row r="756">
          <cell r="C756">
            <v>54.5</v>
          </cell>
          <cell r="D756">
            <v>-0.13424260323256099</v>
          </cell>
        </row>
        <row r="757">
          <cell r="C757">
            <v>54</v>
          </cell>
          <cell r="D757">
            <v>-0.10739984964021</v>
          </cell>
        </row>
        <row r="758">
          <cell r="C758">
            <v>52.5</v>
          </cell>
          <cell r="D758">
            <v>-0.13425702164223099</v>
          </cell>
        </row>
        <row r="759">
          <cell r="C759">
            <v>52</v>
          </cell>
          <cell r="D759">
            <v>-0.10738831615120301</v>
          </cell>
        </row>
        <row r="760">
          <cell r="C760">
            <v>51.5</v>
          </cell>
          <cell r="D760">
            <v>-0.13423539518900399</v>
          </cell>
        </row>
        <row r="761">
          <cell r="C761">
            <v>51</v>
          </cell>
          <cell r="D761">
            <v>-0.107385433165991</v>
          </cell>
        </row>
        <row r="762">
          <cell r="C762">
            <v>50</v>
          </cell>
          <cell r="D762">
            <v>-0.10738831615120201</v>
          </cell>
        </row>
        <row r="763">
          <cell r="C763">
            <v>49.5</v>
          </cell>
          <cell r="D763">
            <v>-0.13424260323256099</v>
          </cell>
        </row>
        <row r="764">
          <cell r="C764">
            <v>48.5</v>
          </cell>
          <cell r="D764">
            <v>-8.0545561939537894E-2</v>
          </cell>
        </row>
        <row r="765">
          <cell r="C765">
            <v>48</v>
          </cell>
          <cell r="D765">
            <v>-0.10740561731378399</v>
          </cell>
        </row>
        <row r="766">
          <cell r="C766">
            <v>47</v>
          </cell>
          <cell r="D766">
            <v>-0.10740561731378399</v>
          </cell>
        </row>
        <row r="767">
          <cell r="C767">
            <v>47</v>
          </cell>
          <cell r="D767">
            <v>-0.107414269985766</v>
          </cell>
        </row>
        <row r="768">
          <cell r="C768">
            <v>46</v>
          </cell>
          <cell r="D768">
            <v>-0.10740850138288401</v>
          </cell>
        </row>
        <row r="769">
          <cell r="C769">
            <v>45.5</v>
          </cell>
          <cell r="D769">
            <v>-8.0558539205156196E-2</v>
          </cell>
        </row>
        <row r="770">
          <cell r="C770">
            <v>45</v>
          </cell>
          <cell r="D770">
            <v>-0.107414269985766</v>
          </cell>
        </row>
        <row r="771">
          <cell r="C771">
            <v>44.5</v>
          </cell>
          <cell r="D771">
            <v>-8.0560702489324607E-2</v>
          </cell>
        </row>
        <row r="772">
          <cell r="C772">
            <v>43.5</v>
          </cell>
          <cell r="D772">
            <v>-8.0569356787969004E-2</v>
          </cell>
        </row>
        <row r="773">
          <cell r="C773">
            <v>43.5</v>
          </cell>
          <cell r="D773">
            <v>-8.0573684634597895E-2</v>
          </cell>
        </row>
        <row r="774">
          <cell r="C774">
            <v>42.5</v>
          </cell>
          <cell r="D774">
            <v>-8.0575848732273303E-2</v>
          </cell>
        </row>
        <row r="775">
          <cell r="C775">
            <v>42</v>
          </cell>
          <cell r="D775">
            <v>-0.107434464976364</v>
          </cell>
        </row>
        <row r="776">
          <cell r="C776">
            <v>41.5</v>
          </cell>
          <cell r="D776">
            <v>-8.0578012946201205E-2</v>
          </cell>
        </row>
        <row r="777">
          <cell r="C777">
            <v>41</v>
          </cell>
          <cell r="D777">
            <v>-0.107437350594935</v>
          </cell>
        </row>
        <row r="778">
          <cell r="C778">
            <v>40.5</v>
          </cell>
          <cell r="D778">
            <v>-8.0569356787967006E-2</v>
          </cell>
        </row>
        <row r="779">
          <cell r="C779">
            <v>40</v>
          </cell>
          <cell r="D779">
            <v>-0.107420039208316</v>
          </cell>
        </row>
        <row r="780">
          <cell r="C780">
            <v>39.5</v>
          </cell>
          <cell r="D780">
            <v>-8.05650294062355E-2</v>
          </cell>
        </row>
        <row r="781">
          <cell r="C781">
            <v>39</v>
          </cell>
          <cell r="D781">
            <v>-5.3704250691442197E-2</v>
          </cell>
        </row>
        <row r="782">
          <cell r="C782">
            <v>38.5</v>
          </cell>
          <cell r="D782">
            <v>-8.0547724526782299E-2</v>
          </cell>
        </row>
        <row r="783">
          <cell r="C783">
            <v>38</v>
          </cell>
          <cell r="D783">
            <v>-5.3699924820105702E-2</v>
          </cell>
        </row>
        <row r="784">
          <cell r="C784">
            <v>37.5</v>
          </cell>
          <cell r="D784">
            <v>-8.0547724526782299E-2</v>
          </cell>
        </row>
        <row r="785">
          <cell r="C785">
            <v>36.5</v>
          </cell>
          <cell r="D785">
            <v>-8.0547724526780301E-2</v>
          </cell>
        </row>
        <row r="786">
          <cell r="C786">
            <v>36.5</v>
          </cell>
          <cell r="D786">
            <v>-8.0547724526782299E-2</v>
          </cell>
        </row>
        <row r="787">
          <cell r="C787">
            <v>36.5</v>
          </cell>
          <cell r="D787">
            <v>-8.0549887230158504E-2</v>
          </cell>
        </row>
        <row r="788">
          <cell r="C788">
            <v>35.5</v>
          </cell>
          <cell r="D788">
            <v>-8.0558539205156196E-2</v>
          </cell>
        </row>
        <row r="789">
          <cell r="C789">
            <v>35.5</v>
          </cell>
          <cell r="D789">
            <v>-8.0556376037163299E-2</v>
          </cell>
        </row>
        <row r="790">
          <cell r="C790">
            <v>34.5</v>
          </cell>
          <cell r="D790">
            <v>-8.0560702489326605E-2</v>
          </cell>
        </row>
        <row r="791">
          <cell r="C791">
            <v>34</v>
          </cell>
          <cell r="D791">
            <v>-5.3710019604158298E-2</v>
          </cell>
        </row>
        <row r="792">
          <cell r="C792">
            <v>34</v>
          </cell>
          <cell r="D792">
            <v>-5.3712904525312598E-2</v>
          </cell>
        </row>
        <row r="793">
          <cell r="C793">
            <v>33.5</v>
          </cell>
          <cell r="D793">
            <v>-8.0573684634597895E-2</v>
          </cell>
        </row>
        <row r="794">
          <cell r="C794">
            <v>33</v>
          </cell>
          <cell r="D794">
            <v>-5.3707134992883099E-2</v>
          </cell>
        </row>
        <row r="795">
          <cell r="C795">
            <v>33</v>
          </cell>
          <cell r="D795">
            <v>-5.37085772597879E-2</v>
          </cell>
        </row>
        <row r="796">
          <cell r="C796">
            <v>32</v>
          </cell>
          <cell r="D796">
            <v>-5.3705692803436102E-2</v>
          </cell>
        </row>
        <row r="797">
          <cell r="C797">
            <v>31.5</v>
          </cell>
          <cell r="D797">
            <v>-8.0552050049672905E-2</v>
          </cell>
        </row>
        <row r="798">
          <cell r="C798">
            <v>31.5</v>
          </cell>
          <cell r="D798">
            <v>-8.0547724526782299E-2</v>
          </cell>
        </row>
        <row r="799">
          <cell r="C799">
            <v>31</v>
          </cell>
          <cell r="D799">
            <v>-5.3698483017854903E-2</v>
          </cell>
        </row>
        <row r="800">
          <cell r="C800">
            <v>30.5</v>
          </cell>
          <cell r="D800">
            <v>-8.0558539205156196E-2</v>
          </cell>
        </row>
        <row r="801">
          <cell r="C801">
            <v>30.5</v>
          </cell>
          <cell r="D801">
            <v>-8.05542129853387E-2</v>
          </cell>
        </row>
        <row r="802">
          <cell r="C802">
            <v>30</v>
          </cell>
          <cell r="D802">
            <v>-5.3702808656893697E-2</v>
          </cell>
        </row>
        <row r="803">
          <cell r="C803">
            <v>29</v>
          </cell>
          <cell r="D803">
            <v>-5.3699924820105702E-2</v>
          </cell>
        </row>
        <row r="804">
          <cell r="C804">
            <v>29</v>
          </cell>
          <cell r="D804">
            <v>-5.3701366699781899E-2</v>
          </cell>
        </row>
        <row r="805">
          <cell r="C805">
            <v>29</v>
          </cell>
          <cell r="D805">
            <v>-5.3697041293024599E-2</v>
          </cell>
        </row>
        <row r="806">
          <cell r="C806">
            <v>28.5</v>
          </cell>
          <cell r="D806">
            <v>-2.6847799822804299E-2</v>
          </cell>
        </row>
        <row r="807">
          <cell r="C807">
            <v>28</v>
          </cell>
          <cell r="D807">
            <v>-5.3695599645609902E-2</v>
          </cell>
        </row>
        <row r="808">
          <cell r="C808">
            <v>28</v>
          </cell>
          <cell r="D808">
            <v>-5.3697041293024599E-2</v>
          </cell>
        </row>
        <row r="809">
          <cell r="C809">
            <v>27.5</v>
          </cell>
          <cell r="D809">
            <v>-2.6852846401717999E-2</v>
          </cell>
        </row>
        <row r="810">
          <cell r="C810">
            <v>27</v>
          </cell>
          <cell r="D810">
            <v>-5.3704250691442197E-2</v>
          </cell>
        </row>
        <row r="811">
          <cell r="C811">
            <v>27</v>
          </cell>
          <cell r="D811">
            <v>-5.3710019604157E-2</v>
          </cell>
        </row>
        <row r="812">
          <cell r="C812">
            <v>26.5</v>
          </cell>
          <cell r="D812">
            <v>-8.0562865889681895E-2</v>
          </cell>
        </row>
        <row r="813">
          <cell r="C813">
            <v>26</v>
          </cell>
          <cell r="D813">
            <v>-5.3714347102110399E-2</v>
          </cell>
        </row>
        <row r="814">
          <cell r="C814">
            <v>26</v>
          </cell>
          <cell r="D814">
            <v>-5.3714347102110399E-2</v>
          </cell>
        </row>
        <row r="815">
          <cell r="C815">
            <v>25.5</v>
          </cell>
          <cell r="D815">
            <v>-8.0567193038994706E-2</v>
          </cell>
        </row>
        <row r="816">
          <cell r="C816">
            <v>25</v>
          </cell>
          <cell r="D816">
            <v>-5.37172324881822E-2</v>
          </cell>
        </row>
        <row r="817">
          <cell r="C817">
            <v>25</v>
          </cell>
          <cell r="D817">
            <v>-5.3714347102110399E-2</v>
          </cell>
        </row>
        <row r="818">
          <cell r="C818">
            <v>24.5</v>
          </cell>
          <cell r="D818">
            <v>-2.68586162440911E-2</v>
          </cell>
        </row>
        <row r="819">
          <cell r="C819">
            <v>24</v>
          </cell>
          <cell r="D819">
            <v>-5.3712904525312598E-2</v>
          </cell>
        </row>
        <row r="820">
          <cell r="C820">
            <v>24</v>
          </cell>
          <cell r="D820">
            <v>-5.3707134992884403E-2</v>
          </cell>
        </row>
        <row r="821">
          <cell r="C821">
            <v>23.5</v>
          </cell>
          <cell r="D821">
            <v>-2.68514043284462E-2</v>
          </cell>
        </row>
        <row r="822">
          <cell r="C822">
            <v>23.5</v>
          </cell>
          <cell r="D822">
            <v>-2.6848520646512299E-2</v>
          </cell>
        </row>
        <row r="823">
          <cell r="C823">
            <v>23</v>
          </cell>
          <cell r="D823">
            <v>-5.3699924820105702E-2</v>
          </cell>
        </row>
        <row r="824">
          <cell r="C824">
            <v>23</v>
          </cell>
          <cell r="D824">
            <v>-5.3695599645609902E-2</v>
          </cell>
        </row>
        <row r="825">
          <cell r="C825">
            <v>22.5</v>
          </cell>
          <cell r="D825">
            <v>-2.6844916914982E-2</v>
          </cell>
        </row>
        <row r="826">
          <cell r="C826">
            <v>22.5</v>
          </cell>
          <cell r="D826">
            <v>-2.68470790378003E-2</v>
          </cell>
        </row>
        <row r="827">
          <cell r="C827">
            <v>22</v>
          </cell>
          <cell r="D827">
            <v>-5.3695599645609902E-2</v>
          </cell>
        </row>
        <row r="828">
          <cell r="C828">
            <v>22</v>
          </cell>
          <cell r="D828">
            <v>-5.3689833829964E-2</v>
          </cell>
        </row>
        <row r="829">
          <cell r="C829">
            <v>21.5</v>
          </cell>
          <cell r="D829">
            <v>-2.6841314150740501E-2</v>
          </cell>
        </row>
        <row r="830">
          <cell r="C830">
            <v>21</v>
          </cell>
          <cell r="D830">
            <v>-5.3688392569525803E-2</v>
          </cell>
        </row>
        <row r="831">
          <cell r="C831">
            <v>21</v>
          </cell>
          <cell r="D831">
            <v>-5.3694158075600601E-2</v>
          </cell>
        </row>
        <row r="832">
          <cell r="C832">
            <v>21</v>
          </cell>
          <cell r="D832">
            <v>-5.3695599645609902E-2</v>
          </cell>
        </row>
        <row r="833">
          <cell r="C833">
            <v>20.5</v>
          </cell>
          <cell r="D833">
            <v>-2.6848520646512299E-2</v>
          </cell>
        </row>
        <row r="834">
          <cell r="C834">
            <v>20</v>
          </cell>
          <cell r="D834">
            <v>-5.3705692803437399E-2</v>
          </cell>
        </row>
        <row r="835">
          <cell r="C835">
            <v>20</v>
          </cell>
          <cell r="D835">
            <v>-5.3710019604157E-2</v>
          </cell>
        </row>
        <row r="836">
          <cell r="C836">
            <v>19.5</v>
          </cell>
          <cell r="D836">
            <v>-2.68528464017187E-2</v>
          </cell>
        </row>
        <row r="837">
          <cell r="C837">
            <v>19.5</v>
          </cell>
          <cell r="D837">
            <v>-2.6854288629894599E-2</v>
          </cell>
        </row>
        <row r="838">
          <cell r="C838">
            <v>19.5</v>
          </cell>
          <cell r="D838">
            <v>-2.6854288629893901E-2</v>
          </cell>
        </row>
        <row r="839">
          <cell r="C839">
            <v>19</v>
          </cell>
          <cell r="D839">
            <v>-5.3705692803437399E-2</v>
          </cell>
        </row>
        <row r="840">
          <cell r="C840">
            <v>18.5</v>
          </cell>
          <cell r="D840">
            <v>-2.6850683349890901E-2</v>
          </cell>
        </row>
        <row r="841">
          <cell r="C841">
            <v>18.5</v>
          </cell>
          <cell r="D841">
            <v>-2.6243963888306101E-2</v>
          </cell>
        </row>
        <row r="842">
          <cell r="C842">
            <v>18.5</v>
          </cell>
          <cell r="D842">
            <v>-2.6243963888305501E-2</v>
          </cell>
        </row>
        <row r="843">
          <cell r="C843">
            <v>18.5</v>
          </cell>
          <cell r="D843">
            <v>-2.6242586469321899E-2</v>
          </cell>
        </row>
        <row r="844">
          <cell r="C844">
            <v>18</v>
          </cell>
          <cell r="D844">
            <v>-5.2482418389839101E-2</v>
          </cell>
        </row>
        <row r="845">
          <cell r="C845">
            <v>17.5</v>
          </cell>
          <cell r="D845">
            <v>-2.6241209194919499E-2</v>
          </cell>
        </row>
        <row r="846">
          <cell r="C846">
            <v>17.5</v>
          </cell>
          <cell r="D846">
            <v>-2.6243275160740299E-2</v>
          </cell>
        </row>
        <row r="847">
          <cell r="C847">
            <v>17.5</v>
          </cell>
          <cell r="D847">
            <v>-2.6850683349890901E-2</v>
          </cell>
        </row>
        <row r="848">
          <cell r="C848">
            <v>17.5</v>
          </cell>
          <cell r="D848">
            <v>-2.68514043284462E-2</v>
          </cell>
        </row>
        <row r="849">
          <cell r="C849">
            <v>17.5</v>
          </cell>
          <cell r="D849">
            <v>-2.6850683349891599E-2</v>
          </cell>
        </row>
        <row r="850">
          <cell r="C850">
            <v>16.5</v>
          </cell>
          <cell r="D850">
            <v>-2.68528464017187E-2</v>
          </cell>
        </row>
        <row r="851">
          <cell r="C851">
            <v>16.5</v>
          </cell>
          <cell r="D851">
            <v>-2.68557310129982E-2</v>
          </cell>
        </row>
        <row r="852">
          <cell r="C852">
            <v>16.5</v>
          </cell>
          <cell r="D852">
            <v>-2.68557310129982E-2</v>
          </cell>
        </row>
        <row r="853">
          <cell r="C853">
            <v>16</v>
          </cell>
          <cell r="D853">
            <v>-5.3710019604157E-2</v>
          </cell>
        </row>
        <row r="854">
          <cell r="C854">
            <v>16</v>
          </cell>
          <cell r="D854">
            <v>-5.3711462025996498E-2</v>
          </cell>
        </row>
        <row r="855">
          <cell r="C855">
            <v>16</v>
          </cell>
          <cell r="D855">
            <v>-5.3711462025996498E-2</v>
          </cell>
        </row>
        <row r="856">
          <cell r="C856">
            <v>15.5</v>
          </cell>
          <cell r="D856">
            <v>-2.68550098020785E-2</v>
          </cell>
        </row>
        <row r="857">
          <cell r="C857">
            <v>15.5</v>
          </cell>
          <cell r="D857">
            <v>-2.68557310129982E-2</v>
          </cell>
        </row>
        <row r="858">
          <cell r="C858">
            <v>15.5</v>
          </cell>
          <cell r="D858">
            <v>-2.6854288629893901E-2</v>
          </cell>
        </row>
        <row r="859">
          <cell r="C859">
            <v>14.5</v>
          </cell>
          <cell r="D859">
            <v>-2.68528464017187E-2</v>
          </cell>
        </row>
        <row r="860">
          <cell r="C860">
            <v>14.5</v>
          </cell>
          <cell r="D860">
            <v>-2.68528464017187E-2</v>
          </cell>
        </row>
        <row r="861">
          <cell r="C861">
            <v>14.5</v>
          </cell>
          <cell r="D861">
            <v>-2.6852846401717999E-2</v>
          </cell>
        </row>
        <row r="862">
          <cell r="C862">
            <v>14.5</v>
          </cell>
          <cell r="D862">
            <v>-2.6852125345721099E-2</v>
          </cell>
        </row>
        <row r="863">
          <cell r="C863">
            <v>14.5</v>
          </cell>
          <cell r="D863">
            <v>-2.6849962410052101E-2</v>
          </cell>
        </row>
        <row r="864">
          <cell r="C864">
            <v>14.5</v>
          </cell>
          <cell r="D864">
            <v>-2.6850683349891599E-2</v>
          </cell>
        </row>
        <row r="865">
          <cell r="C865">
            <v>13.5</v>
          </cell>
          <cell r="D865">
            <v>-2.6852125345721099E-2</v>
          </cell>
        </row>
        <row r="866">
          <cell r="C866">
            <v>13.5</v>
          </cell>
          <cell r="D866">
            <v>-2.68514043284462E-2</v>
          </cell>
        </row>
        <row r="867">
          <cell r="C867">
            <v>13.5</v>
          </cell>
          <cell r="D867">
            <v>-2.6850683349891599E-2</v>
          </cell>
        </row>
        <row r="868">
          <cell r="C868">
            <v>13.5</v>
          </cell>
          <cell r="D868">
            <v>-2.6850683349890901E-2</v>
          </cell>
        </row>
        <row r="869">
          <cell r="C869">
            <v>13.5</v>
          </cell>
          <cell r="D869">
            <v>-2.68528464017187E-2</v>
          </cell>
        </row>
        <row r="870">
          <cell r="C870">
            <v>13.5</v>
          </cell>
          <cell r="D870">
            <v>-2.6853567496441501E-2</v>
          </cell>
        </row>
        <row r="871">
          <cell r="C871">
            <v>13</v>
          </cell>
          <cell r="D871">
            <v>0</v>
          </cell>
        </row>
        <row r="872">
          <cell r="C872">
            <v>12.5</v>
          </cell>
          <cell r="D872">
            <v>-2.68528464017187E-2</v>
          </cell>
        </row>
        <row r="873">
          <cell r="C873">
            <v>12.5</v>
          </cell>
          <cell r="D873">
            <v>-2.6852125345721099E-2</v>
          </cell>
        </row>
        <row r="874">
          <cell r="C874">
            <v>12.5</v>
          </cell>
          <cell r="D874">
            <v>-2.6849962410052799E-2</v>
          </cell>
        </row>
        <row r="875">
          <cell r="C875">
            <v>12.5</v>
          </cell>
          <cell r="D875">
            <v>-2.6846358291497899E-2</v>
          </cell>
        </row>
        <row r="876">
          <cell r="C876">
            <v>12.5</v>
          </cell>
          <cell r="D876">
            <v>-2.6844916914982E-2</v>
          </cell>
        </row>
        <row r="877">
          <cell r="C877">
            <v>12.5</v>
          </cell>
          <cell r="D877">
            <v>-2.6846358291497899E-2</v>
          </cell>
        </row>
        <row r="878">
          <cell r="C878">
            <v>12</v>
          </cell>
          <cell r="D878">
            <v>0</v>
          </cell>
        </row>
        <row r="879">
          <cell r="C879">
            <v>11.5</v>
          </cell>
          <cell r="D879">
            <v>-2.6847799822804299E-2</v>
          </cell>
        </row>
        <row r="880">
          <cell r="C880">
            <v>11.5</v>
          </cell>
          <cell r="D880">
            <v>-2.6852125345721099E-2</v>
          </cell>
        </row>
        <row r="881">
          <cell r="C881">
            <v>11.5</v>
          </cell>
          <cell r="D881">
            <v>-2.6850683349890901E-2</v>
          </cell>
        </row>
        <row r="882">
          <cell r="C882">
            <v>11.5</v>
          </cell>
          <cell r="D882">
            <v>-2.6852125345721099E-2</v>
          </cell>
        </row>
        <row r="883">
          <cell r="C883">
            <v>11.5</v>
          </cell>
          <cell r="D883">
            <v>-2.68492415089274E-2</v>
          </cell>
        </row>
        <row r="884">
          <cell r="C884">
            <v>11</v>
          </cell>
          <cell r="D884">
            <v>-5.3702808656892399E-2</v>
          </cell>
        </row>
        <row r="885">
          <cell r="C885">
            <v>10.5</v>
          </cell>
          <cell r="D885">
            <v>-2.6852125345721099E-2</v>
          </cell>
        </row>
        <row r="886">
          <cell r="C886">
            <v>10.5</v>
          </cell>
          <cell r="D886">
            <v>-2.6850683349890901E-2</v>
          </cell>
        </row>
        <row r="887">
          <cell r="C887">
            <v>10.5</v>
          </cell>
          <cell r="D887">
            <v>-2.68550098020785E-2</v>
          </cell>
        </row>
        <row r="888">
          <cell r="C888">
            <v>10.5</v>
          </cell>
          <cell r="D888">
            <v>-2.68550098020785E-2</v>
          </cell>
        </row>
        <row r="889">
          <cell r="C889">
            <v>10.5</v>
          </cell>
          <cell r="D889">
            <v>-2.68571735510558E-2</v>
          </cell>
        </row>
        <row r="890">
          <cell r="C890">
            <v>10</v>
          </cell>
          <cell r="D890">
            <v>0</v>
          </cell>
        </row>
        <row r="891">
          <cell r="C891">
            <v>10</v>
          </cell>
          <cell r="D891">
            <v>0</v>
          </cell>
        </row>
        <row r="892">
          <cell r="C892">
            <v>10</v>
          </cell>
          <cell r="D892">
            <v>0</v>
          </cell>
        </row>
        <row r="893">
          <cell r="C893">
            <v>9.5</v>
          </cell>
          <cell r="D893">
            <v>-2.6852125345721099E-2</v>
          </cell>
        </row>
        <row r="894">
          <cell r="C894">
            <v>9.5</v>
          </cell>
          <cell r="D894">
            <v>-2.68492415089274E-2</v>
          </cell>
        </row>
        <row r="895">
          <cell r="C895">
            <v>9.5</v>
          </cell>
          <cell r="D895">
            <v>-2.6852125345721099E-2</v>
          </cell>
        </row>
        <row r="896">
          <cell r="C896">
            <v>9.5</v>
          </cell>
          <cell r="D896">
            <v>-2.6852125345721099E-2</v>
          </cell>
        </row>
        <row r="897">
          <cell r="C897">
            <v>9.5</v>
          </cell>
          <cell r="D897">
            <v>-2.68514043284462E-2</v>
          </cell>
        </row>
        <row r="898">
          <cell r="C898">
            <v>9.5</v>
          </cell>
          <cell r="D898">
            <v>-2.6850683349890901E-2</v>
          </cell>
        </row>
        <row r="899">
          <cell r="C899">
            <v>9</v>
          </cell>
          <cell r="D899">
            <v>0</v>
          </cell>
        </row>
        <row r="900">
          <cell r="C900">
            <v>9</v>
          </cell>
          <cell r="D900">
            <v>0</v>
          </cell>
        </row>
        <row r="901">
          <cell r="C901">
            <v>9</v>
          </cell>
          <cell r="D901">
            <v>0</v>
          </cell>
        </row>
        <row r="902">
          <cell r="C902">
            <v>8.5</v>
          </cell>
          <cell r="D902">
            <v>-2.6853567496442202E-2</v>
          </cell>
        </row>
        <row r="903">
          <cell r="C903">
            <v>8.5</v>
          </cell>
          <cell r="D903">
            <v>-2.6852846401717999E-2</v>
          </cell>
        </row>
        <row r="904">
          <cell r="C904">
            <v>8.5</v>
          </cell>
          <cell r="D904">
            <v>-2.6852125345721099E-2</v>
          </cell>
        </row>
        <row r="905">
          <cell r="C905">
            <v>8.5</v>
          </cell>
          <cell r="D905">
            <v>-2.6852125345721099E-2</v>
          </cell>
        </row>
        <row r="906">
          <cell r="C906">
            <v>8.5</v>
          </cell>
          <cell r="D906">
            <v>-2.6852125345721099E-2</v>
          </cell>
        </row>
        <row r="907">
          <cell r="C907">
            <v>8.5</v>
          </cell>
          <cell r="D907">
            <v>-2.6849962410052101E-2</v>
          </cell>
        </row>
        <row r="908">
          <cell r="C908">
            <v>8</v>
          </cell>
          <cell r="D908">
            <v>0</v>
          </cell>
        </row>
        <row r="909">
          <cell r="C909">
            <v>8</v>
          </cell>
          <cell r="D909">
            <v>0</v>
          </cell>
        </row>
        <row r="910">
          <cell r="C910">
            <v>8</v>
          </cell>
          <cell r="D910">
            <v>0</v>
          </cell>
        </row>
        <row r="911">
          <cell r="C911">
            <v>8</v>
          </cell>
          <cell r="D911">
            <v>0</v>
          </cell>
        </row>
        <row r="912">
          <cell r="C912">
            <v>7.5</v>
          </cell>
          <cell r="D912">
            <v>-2.6850683349890901E-2</v>
          </cell>
        </row>
        <row r="913">
          <cell r="C913">
            <v>7.5</v>
          </cell>
          <cell r="D913">
            <v>-2.68514043284462E-2</v>
          </cell>
        </row>
        <row r="914">
          <cell r="C914">
            <v>7.5</v>
          </cell>
          <cell r="D914">
            <v>-2.6853567496441501E-2</v>
          </cell>
        </row>
        <row r="915">
          <cell r="C915">
            <v>7.5</v>
          </cell>
          <cell r="D915">
            <v>-2.6853567496442202E-2</v>
          </cell>
        </row>
        <row r="916">
          <cell r="C916">
            <v>7.5</v>
          </cell>
          <cell r="D916">
            <v>-2.6852846401717999E-2</v>
          </cell>
        </row>
        <row r="917">
          <cell r="C917">
            <v>7.5</v>
          </cell>
          <cell r="D917">
            <v>-2.68514043284462E-2</v>
          </cell>
        </row>
        <row r="918">
          <cell r="C918">
            <v>7</v>
          </cell>
          <cell r="D918">
            <v>0</v>
          </cell>
        </row>
        <row r="919">
          <cell r="C919">
            <v>7</v>
          </cell>
          <cell r="D919">
            <v>0</v>
          </cell>
        </row>
        <row r="920">
          <cell r="C920">
            <v>7</v>
          </cell>
          <cell r="D920">
            <v>0</v>
          </cell>
        </row>
        <row r="921">
          <cell r="C921">
            <v>7</v>
          </cell>
          <cell r="D921">
            <v>0</v>
          </cell>
        </row>
        <row r="922">
          <cell r="C922">
            <v>7</v>
          </cell>
          <cell r="D922">
            <v>0</v>
          </cell>
        </row>
        <row r="923">
          <cell r="C923">
            <v>6.5</v>
          </cell>
          <cell r="D923">
            <v>-2.6850683349890901E-2</v>
          </cell>
        </row>
        <row r="924">
          <cell r="C924">
            <v>6.5</v>
          </cell>
          <cell r="D924">
            <v>-2.68492415089274E-2</v>
          </cell>
        </row>
        <row r="925">
          <cell r="C925">
            <v>6.5</v>
          </cell>
          <cell r="D925">
            <v>-2.6850683349890901E-2</v>
          </cell>
        </row>
        <row r="926">
          <cell r="C926">
            <v>6.5</v>
          </cell>
          <cell r="D926">
            <v>-2.6849962410052799E-2</v>
          </cell>
        </row>
        <row r="927">
          <cell r="C927">
            <v>6.5</v>
          </cell>
          <cell r="D927">
            <v>-2.68470790378003E-2</v>
          </cell>
        </row>
        <row r="928">
          <cell r="C928">
            <v>6.5</v>
          </cell>
          <cell r="D928">
            <v>-2.68492415089274E-2</v>
          </cell>
        </row>
        <row r="929">
          <cell r="C929">
            <v>5.5</v>
          </cell>
          <cell r="D929">
            <v>-2.6850683349891599E-2</v>
          </cell>
        </row>
        <row r="930">
          <cell r="C930">
            <v>5.5</v>
          </cell>
          <cell r="D930">
            <v>-2.68557310129982E-2</v>
          </cell>
        </row>
        <row r="931">
          <cell r="C931">
            <v>5.5</v>
          </cell>
          <cell r="D931">
            <v>-2.68550098020785E-2</v>
          </cell>
        </row>
        <row r="932">
          <cell r="C932">
            <v>5.5</v>
          </cell>
          <cell r="D932">
            <v>-2.6854288629893901E-2</v>
          </cell>
        </row>
        <row r="933">
          <cell r="C933">
            <v>5.5</v>
          </cell>
          <cell r="D933">
            <v>-2.68550098020785E-2</v>
          </cell>
        </row>
        <row r="934">
          <cell r="C934">
            <v>5.5</v>
          </cell>
          <cell r="D934">
            <v>-2.68550098020785E-2</v>
          </cell>
        </row>
        <row r="935">
          <cell r="C935">
            <v>5</v>
          </cell>
          <cell r="D935">
            <v>0</v>
          </cell>
        </row>
        <row r="936">
          <cell r="C936">
            <v>5</v>
          </cell>
          <cell r="D936">
            <v>0</v>
          </cell>
        </row>
        <row r="937">
          <cell r="C937">
            <v>5</v>
          </cell>
          <cell r="D937">
            <v>0</v>
          </cell>
        </row>
        <row r="938">
          <cell r="C938">
            <v>5</v>
          </cell>
          <cell r="D938">
            <v>0</v>
          </cell>
        </row>
        <row r="939">
          <cell r="C939">
            <v>5</v>
          </cell>
          <cell r="D939">
            <v>0</v>
          </cell>
        </row>
        <row r="940">
          <cell r="C940">
            <v>5</v>
          </cell>
          <cell r="D940">
            <v>0</v>
          </cell>
        </row>
        <row r="941">
          <cell r="C941">
            <v>5</v>
          </cell>
          <cell r="D941">
            <v>0</v>
          </cell>
        </row>
        <row r="942">
          <cell r="C942">
            <v>5</v>
          </cell>
          <cell r="D942">
            <v>0</v>
          </cell>
        </row>
        <row r="943">
          <cell r="C943">
            <v>4.5</v>
          </cell>
          <cell r="D943">
            <v>-2.6852125345721099E-2</v>
          </cell>
        </row>
        <row r="944">
          <cell r="C944">
            <v>4.5</v>
          </cell>
          <cell r="D944">
            <v>-2.6853567496441501E-2</v>
          </cell>
        </row>
        <row r="945">
          <cell r="C945">
            <v>4.5</v>
          </cell>
          <cell r="D945">
            <v>-2.6852846401717999E-2</v>
          </cell>
        </row>
        <row r="946">
          <cell r="C946">
            <v>4.5</v>
          </cell>
          <cell r="D946">
            <v>-2.6852125345721099E-2</v>
          </cell>
        </row>
        <row r="947">
          <cell r="C947">
            <v>4.5</v>
          </cell>
          <cell r="D947">
            <v>-2.68557310129982E-2</v>
          </cell>
        </row>
        <row r="948">
          <cell r="C948">
            <v>4.5</v>
          </cell>
          <cell r="D948">
            <v>-2.68557310129976E-2</v>
          </cell>
        </row>
        <row r="949">
          <cell r="C949">
            <v>4</v>
          </cell>
          <cell r="D949">
            <v>0</v>
          </cell>
        </row>
        <row r="950">
          <cell r="C950">
            <v>4</v>
          </cell>
          <cell r="D950">
            <v>0</v>
          </cell>
        </row>
        <row r="951">
          <cell r="C951">
            <v>4</v>
          </cell>
          <cell r="D951">
            <v>0</v>
          </cell>
        </row>
        <row r="952">
          <cell r="C952">
            <v>4</v>
          </cell>
          <cell r="D952">
            <v>0</v>
          </cell>
        </row>
        <row r="953">
          <cell r="C953">
            <v>4</v>
          </cell>
          <cell r="D953">
            <v>0</v>
          </cell>
        </row>
        <row r="954">
          <cell r="C954">
            <v>4</v>
          </cell>
          <cell r="D954">
            <v>0</v>
          </cell>
        </row>
        <row r="955">
          <cell r="C955">
            <v>4</v>
          </cell>
          <cell r="D955">
            <v>0</v>
          </cell>
        </row>
        <row r="956">
          <cell r="C956">
            <v>4</v>
          </cell>
          <cell r="D956">
            <v>0</v>
          </cell>
        </row>
        <row r="957">
          <cell r="C957">
            <v>4</v>
          </cell>
          <cell r="D957">
            <v>0</v>
          </cell>
        </row>
        <row r="958">
          <cell r="C958">
            <v>0</v>
          </cell>
          <cell r="D95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othermal_Water_Tube_Cooling_R"/>
    </sheetNames>
    <sheetDataSet>
      <sheetData sheetId="0">
        <row r="2">
          <cell r="C2">
            <v>71.5</v>
          </cell>
          <cell r="D2">
            <v>-0.26854288629893902</v>
          </cell>
        </row>
        <row r="3">
          <cell r="C3">
            <v>70</v>
          </cell>
          <cell r="D3">
            <v>-0.32228608261267</v>
          </cell>
        </row>
        <row r="4">
          <cell r="C4">
            <v>67.5</v>
          </cell>
          <cell r="D4">
            <v>-0.26857173551055802</v>
          </cell>
        </row>
        <row r="5">
          <cell r="C5">
            <v>66.5</v>
          </cell>
          <cell r="D5">
            <v>-0.26857173551055202</v>
          </cell>
        </row>
        <row r="6">
          <cell r="C6">
            <v>64.5</v>
          </cell>
          <cell r="D6">
            <v>-0.26858616244091099</v>
          </cell>
        </row>
        <row r="7">
          <cell r="C7">
            <v>62.5</v>
          </cell>
          <cell r="D7">
            <v>-0.26854288629893902</v>
          </cell>
        </row>
        <row r="8">
          <cell r="C8">
            <v>61.5</v>
          </cell>
          <cell r="D8">
            <v>-0.26857173551055802</v>
          </cell>
        </row>
        <row r="9">
          <cell r="C9">
            <v>60</v>
          </cell>
          <cell r="D9">
            <v>-0.21484584810398599</v>
          </cell>
        </row>
        <row r="10">
          <cell r="C10">
            <v>72</v>
          </cell>
          <cell r="D10">
            <v>-0.21484584810398599</v>
          </cell>
        </row>
        <row r="11">
          <cell r="C11">
            <v>71</v>
          </cell>
          <cell r="D11">
            <v>-0.214915108532128</v>
          </cell>
        </row>
        <row r="12">
          <cell r="C12">
            <v>69.5</v>
          </cell>
          <cell r="D12">
            <v>-0.26857173551055802</v>
          </cell>
        </row>
        <row r="13">
          <cell r="C13">
            <v>68</v>
          </cell>
          <cell r="D13">
            <v>-0.21486892995272899</v>
          </cell>
        </row>
        <row r="14">
          <cell r="C14">
            <v>67</v>
          </cell>
          <cell r="D14">
            <v>-0.21486892995272899</v>
          </cell>
        </row>
        <row r="15">
          <cell r="C15">
            <v>65.5</v>
          </cell>
          <cell r="D15">
            <v>-0.161177671519906</v>
          </cell>
        </row>
        <row r="16">
          <cell r="C16">
            <v>64.5</v>
          </cell>
          <cell r="D16">
            <v>-0.161177671519906</v>
          </cell>
        </row>
        <row r="17">
          <cell r="C17">
            <v>63</v>
          </cell>
          <cell r="D17">
            <v>-0.214915108532128</v>
          </cell>
        </row>
        <row r="18">
          <cell r="C18">
            <v>71.5</v>
          </cell>
          <cell r="D18">
            <v>-0.28198517563648001</v>
          </cell>
        </row>
        <row r="19">
          <cell r="C19">
            <v>70</v>
          </cell>
          <cell r="D19">
            <v>-0.24169184290030299</v>
          </cell>
        </row>
        <row r="20">
          <cell r="C20">
            <v>67.5</v>
          </cell>
          <cell r="D20">
            <v>-0.26860059092130301</v>
          </cell>
        </row>
        <row r="21">
          <cell r="C21">
            <v>66</v>
          </cell>
          <cell r="D21">
            <v>-0.21492665627854601</v>
          </cell>
        </row>
        <row r="22">
          <cell r="C22">
            <v>64.5</v>
          </cell>
          <cell r="D22">
            <v>-0.268629452533171</v>
          </cell>
        </row>
        <row r="23">
          <cell r="C23">
            <v>63</v>
          </cell>
          <cell r="D23">
            <v>-0.21485738840844101</v>
          </cell>
        </row>
        <row r="24">
          <cell r="C24">
            <v>62</v>
          </cell>
          <cell r="D24">
            <v>-0.21483430903915099</v>
          </cell>
        </row>
        <row r="25">
          <cell r="C25">
            <v>73</v>
          </cell>
          <cell r="D25">
            <v>-0.107440236368521</v>
          </cell>
        </row>
        <row r="26">
          <cell r="C26">
            <v>71.5</v>
          </cell>
          <cell r="D26">
            <v>-0.16116901257118199</v>
          </cell>
        </row>
        <row r="27">
          <cell r="C27">
            <v>70.5</v>
          </cell>
          <cell r="D27">
            <v>-0.16116901257118199</v>
          </cell>
        </row>
        <row r="28">
          <cell r="C28">
            <v>70</v>
          </cell>
          <cell r="D28">
            <v>-0.214915108532128</v>
          </cell>
        </row>
        <row r="29">
          <cell r="C29">
            <v>69</v>
          </cell>
          <cell r="D29">
            <v>-0.10745178101327101</v>
          </cell>
        </row>
        <row r="30">
          <cell r="C30">
            <v>68</v>
          </cell>
          <cell r="D30">
            <v>-0.10746332813927301</v>
          </cell>
        </row>
        <row r="31">
          <cell r="C31">
            <v>66.5</v>
          </cell>
          <cell r="D31">
            <v>-0.16116901257118199</v>
          </cell>
        </row>
        <row r="32">
          <cell r="C32">
            <v>74</v>
          </cell>
          <cell r="D32">
            <v>-0.10745178101327101</v>
          </cell>
        </row>
        <row r="33">
          <cell r="C33">
            <v>73</v>
          </cell>
          <cell r="D33">
            <v>-0.10746332813927301</v>
          </cell>
        </row>
        <row r="34">
          <cell r="C34">
            <v>71.5</v>
          </cell>
          <cell r="D34">
            <v>-0.16116901257118199</v>
          </cell>
        </row>
        <row r="35">
          <cell r="C35">
            <v>71.5</v>
          </cell>
          <cell r="D35">
            <v>-0.161160354552777</v>
          </cell>
        </row>
        <row r="36">
          <cell r="C36">
            <v>70.5</v>
          </cell>
          <cell r="D36">
            <v>-0.161151697464546</v>
          </cell>
        </row>
        <row r="37">
          <cell r="C37">
            <v>69</v>
          </cell>
          <cell r="D37">
            <v>-0.10744600838078799</v>
          </cell>
        </row>
        <row r="38">
          <cell r="C38">
            <v>68.5</v>
          </cell>
          <cell r="D38">
            <v>-0.16118633139909999</v>
          </cell>
        </row>
        <row r="39">
          <cell r="C39">
            <v>68</v>
          </cell>
          <cell r="D39">
            <v>-0.10744600838078799</v>
          </cell>
        </row>
        <row r="40">
          <cell r="C40">
            <v>73.5</v>
          </cell>
          <cell r="D40">
            <v>-0.120831319478008</v>
          </cell>
        </row>
        <row r="41">
          <cell r="C41">
            <v>72.5</v>
          </cell>
          <cell r="D41">
            <v>-0.12087026591458599</v>
          </cell>
        </row>
        <row r="42">
          <cell r="C42">
            <v>72</v>
          </cell>
          <cell r="D42">
            <v>-0.16116684797937</v>
          </cell>
        </row>
        <row r="43">
          <cell r="C43">
            <v>70.5</v>
          </cell>
          <cell r="D43">
            <v>-0.161177671519906</v>
          </cell>
        </row>
        <row r="44">
          <cell r="C44">
            <v>69.5</v>
          </cell>
          <cell r="D44">
            <v>-0.161177671519902</v>
          </cell>
        </row>
        <row r="45">
          <cell r="C45">
            <v>68.5</v>
          </cell>
          <cell r="D45">
            <v>-0.161160354552777</v>
          </cell>
        </row>
        <row r="46">
          <cell r="C46">
            <v>68</v>
          </cell>
          <cell r="D46">
            <v>-0.10744600838078799</v>
          </cell>
        </row>
        <row r="47">
          <cell r="C47">
            <v>67</v>
          </cell>
          <cell r="D47">
            <v>-0.10745178101327101</v>
          </cell>
        </row>
        <row r="48">
          <cell r="C48">
            <v>66</v>
          </cell>
          <cell r="D48">
            <v>-0.10745178101327101</v>
          </cell>
        </row>
        <row r="49">
          <cell r="C49">
            <v>74</v>
          </cell>
          <cell r="D49">
            <v>-0.10746332813927</v>
          </cell>
        </row>
        <row r="50">
          <cell r="C50">
            <v>73</v>
          </cell>
          <cell r="D50">
            <v>-0.10744600838078799</v>
          </cell>
        </row>
        <row r="51">
          <cell r="C51">
            <v>72</v>
          </cell>
          <cell r="D51">
            <v>-0.10744600838078799</v>
          </cell>
        </row>
        <row r="52">
          <cell r="C52">
            <v>71.5</v>
          </cell>
          <cell r="D52">
            <v>-0.16116901257118199</v>
          </cell>
        </row>
        <row r="53">
          <cell r="C53">
            <v>70.5</v>
          </cell>
          <cell r="D53">
            <v>-0.16118633139909599</v>
          </cell>
        </row>
        <row r="54">
          <cell r="C54">
            <v>69.5</v>
          </cell>
          <cell r="D54">
            <v>-0.161177671519906</v>
          </cell>
        </row>
        <row r="55">
          <cell r="C55">
            <v>69</v>
          </cell>
          <cell r="D55">
            <v>-0.107434464976364</v>
          </cell>
        </row>
        <row r="56">
          <cell r="C56">
            <v>68</v>
          </cell>
          <cell r="D56">
            <v>-0.107440236368521</v>
          </cell>
        </row>
        <row r="57">
          <cell r="C57">
            <v>67</v>
          </cell>
          <cell r="D57">
            <v>-0.10744600838078799</v>
          </cell>
        </row>
        <row r="58">
          <cell r="C58">
            <v>66.5</v>
          </cell>
          <cell r="D58">
            <v>-0.16116901257118599</v>
          </cell>
        </row>
        <row r="59">
          <cell r="C59">
            <v>74</v>
          </cell>
          <cell r="D59">
            <v>-0.107440236368518</v>
          </cell>
        </row>
        <row r="60">
          <cell r="C60">
            <v>73</v>
          </cell>
          <cell r="D60">
            <v>-0.107440236368518</v>
          </cell>
        </row>
        <row r="61">
          <cell r="C61">
            <v>71.5</v>
          </cell>
          <cell r="D61">
            <v>-0.161160354552777</v>
          </cell>
        </row>
        <row r="62">
          <cell r="C62">
            <v>71.5</v>
          </cell>
          <cell r="D62">
            <v>-0.161177671519906</v>
          </cell>
        </row>
        <row r="63">
          <cell r="C63">
            <v>70.5</v>
          </cell>
          <cell r="D63">
            <v>-0.161143041306335</v>
          </cell>
        </row>
        <row r="64">
          <cell r="C64">
            <v>69</v>
          </cell>
          <cell r="D64">
            <v>-0.10741715451957801</v>
          </cell>
        </row>
        <row r="65">
          <cell r="C65">
            <v>69</v>
          </cell>
          <cell r="D65">
            <v>-0.10738831615120099</v>
          </cell>
        </row>
        <row r="66">
          <cell r="C66">
            <v>68</v>
          </cell>
          <cell r="D66">
            <v>-0.107376785139051</v>
          </cell>
        </row>
        <row r="67">
          <cell r="C67">
            <v>67</v>
          </cell>
          <cell r="D67">
            <v>-0.10738831615120099</v>
          </cell>
        </row>
        <row r="68">
          <cell r="C68">
            <v>66.5</v>
          </cell>
          <cell r="D68">
            <v>-0.16109977446031701</v>
          </cell>
        </row>
        <row r="69">
          <cell r="C69">
            <v>66</v>
          </cell>
          <cell r="D69">
            <v>-0.107434464976364</v>
          </cell>
        </row>
        <row r="70">
          <cell r="C70">
            <v>65</v>
          </cell>
          <cell r="D70">
            <v>-0.107440236368521</v>
          </cell>
        </row>
        <row r="71">
          <cell r="C71">
            <v>74</v>
          </cell>
          <cell r="D71">
            <v>-0.10746332813927</v>
          </cell>
        </row>
        <row r="72">
          <cell r="C72">
            <v>73</v>
          </cell>
          <cell r="D72">
            <v>-0.10746332813927301</v>
          </cell>
        </row>
        <row r="73">
          <cell r="C73">
            <v>72.5</v>
          </cell>
          <cell r="D73">
            <v>-0.16116901257118199</v>
          </cell>
        </row>
        <row r="74">
          <cell r="C74">
            <v>71.5</v>
          </cell>
          <cell r="D74">
            <v>-0.16116901257118599</v>
          </cell>
        </row>
        <row r="75">
          <cell r="C75">
            <v>70.5</v>
          </cell>
          <cell r="D75">
            <v>-0.161177671519902</v>
          </cell>
        </row>
        <row r="76">
          <cell r="C76">
            <v>70</v>
          </cell>
          <cell r="D76">
            <v>-0.107469102632992</v>
          </cell>
        </row>
        <row r="77">
          <cell r="C77">
            <v>69</v>
          </cell>
          <cell r="D77">
            <v>-0.107440236368518</v>
          </cell>
        </row>
        <row r="78">
          <cell r="C78">
            <v>68</v>
          </cell>
          <cell r="D78">
            <v>-0.10741715451957801</v>
          </cell>
        </row>
        <row r="79">
          <cell r="C79">
            <v>68</v>
          </cell>
          <cell r="D79">
            <v>-0.107399849640211</v>
          </cell>
        </row>
        <row r="80">
          <cell r="C80">
            <v>66.5</v>
          </cell>
          <cell r="D80">
            <v>-0.16113438607798899</v>
          </cell>
        </row>
        <row r="81">
          <cell r="C81">
            <v>74</v>
          </cell>
          <cell r="D81">
            <v>-0.10745178101327101</v>
          </cell>
        </row>
        <row r="82">
          <cell r="C82">
            <v>73</v>
          </cell>
          <cell r="D82">
            <v>-0.10745178101327101</v>
          </cell>
        </row>
        <row r="83">
          <cell r="C83">
            <v>72.5</v>
          </cell>
          <cell r="D83">
            <v>-0.161143041306331</v>
          </cell>
        </row>
        <row r="84">
          <cell r="C84">
            <v>71.5</v>
          </cell>
          <cell r="D84">
            <v>-0.16112573177936301</v>
          </cell>
        </row>
        <row r="85">
          <cell r="C85">
            <v>70.5</v>
          </cell>
          <cell r="D85">
            <v>-0.16109977446031701</v>
          </cell>
        </row>
        <row r="86">
          <cell r="C86">
            <v>70</v>
          </cell>
          <cell r="D86">
            <v>-0.10741715451957499</v>
          </cell>
        </row>
        <row r="87">
          <cell r="C87">
            <v>69</v>
          </cell>
          <cell r="D87">
            <v>-0.107434464976364</v>
          </cell>
        </row>
        <row r="88">
          <cell r="C88">
            <v>68</v>
          </cell>
          <cell r="D88">
            <v>-0.107457554266064</v>
          </cell>
        </row>
        <row r="89">
          <cell r="C89">
            <v>67.5</v>
          </cell>
          <cell r="D89">
            <v>-0.161177671519906</v>
          </cell>
        </row>
        <row r="90">
          <cell r="C90">
            <v>66.5</v>
          </cell>
          <cell r="D90">
            <v>-0.161177671519906</v>
          </cell>
        </row>
        <row r="91">
          <cell r="C91">
            <v>65.5</v>
          </cell>
          <cell r="D91">
            <v>-0.161160354552777</v>
          </cell>
        </row>
        <row r="92">
          <cell r="C92">
            <v>65</v>
          </cell>
          <cell r="D92">
            <v>-0.10744600838078799</v>
          </cell>
        </row>
        <row r="93">
          <cell r="C93">
            <v>64</v>
          </cell>
          <cell r="D93">
            <v>-0.10745178101327101</v>
          </cell>
        </row>
        <row r="94">
          <cell r="C94">
            <v>74</v>
          </cell>
          <cell r="D94">
            <v>-0.10745178101327101</v>
          </cell>
        </row>
        <row r="95">
          <cell r="C95">
            <v>73.5</v>
          </cell>
          <cell r="D95">
            <v>-0.161160354552777</v>
          </cell>
        </row>
        <row r="96">
          <cell r="C96">
            <v>72.5</v>
          </cell>
          <cell r="D96">
            <v>-0.16116035455278099</v>
          </cell>
        </row>
        <row r="97">
          <cell r="C97">
            <v>71.5</v>
          </cell>
          <cell r="D97">
            <v>-0.161160354552777</v>
          </cell>
        </row>
        <row r="98">
          <cell r="C98">
            <v>71</v>
          </cell>
          <cell r="D98">
            <v>-0.107422924051993</v>
          </cell>
        </row>
        <row r="99">
          <cell r="C99">
            <v>70</v>
          </cell>
          <cell r="D99">
            <v>-0.10742869420421999</v>
          </cell>
        </row>
        <row r="100">
          <cell r="C100">
            <v>69</v>
          </cell>
          <cell r="D100">
            <v>-0.10741138560687399</v>
          </cell>
        </row>
        <row r="101">
          <cell r="C101">
            <v>68.5</v>
          </cell>
          <cell r="D101">
            <v>-0.16113438607798899</v>
          </cell>
        </row>
        <row r="102">
          <cell r="C102">
            <v>68</v>
          </cell>
          <cell r="D102">
            <v>-0.10741138560687399</v>
          </cell>
        </row>
        <row r="103">
          <cell r="C103">
            <v>67</v>
          </cell>
          <cell r="D103">
            <v>-0.10741715451957499</v>
          </cell>
        </row>
        <row r="104">
          <cell r="C104">
            <v>66</v>
          </cell>
          <cell r="D104">
            <v>-0.107428694204223</v>
          </cell>
        </row>
        <row r="105">
          <cell r="C105">
            <v>65.5</v>
          </cell>
          <cell r="D105">
            <v>-0.161177671519902</v>
          </cell>
        </row>
        <row r="106">
          <cell r="C106">
            <v>74</v>
          </cell>
          <cell r="D106">
            <v>-0.107428694204223</v>
          </cell>
        </row>
        <row r="107">
          <cell r="C107">
            <v>74</v>
          </cell>
          <cell r="D107">
            <v>-0.107428694204223</v>
          </cell>
        </row>
        <row r="108">
          <cell r="C108">
            <v>73</v>
          </cell>
          <cell r="D108">
            <v>-0.107434464976364</v>
          </cell>
        </row>
        <row r="109">
          <cell r="C109">
            <v>72</v>
          </cell>
          <cell r="D109">
            <v>-0.107422924051993</v>
          </cell>
        </row>
        <row r="110">
          <cell r="C110">
            <v>71.5</v>
          </cell>
          <cell r="D110">
            <v>-0.161160354552777</v>
          </cell>
        </row>
        <row r="111">
          <cell r="C111">
            <v>70.5</v>
          </cell>
          <cell r="D111">
            <v>-0.161143041306331</v>
          </cell>
        </row>
        <row r="112">
          <cell r="C112">
            <v>70</v>
          </cell>
          <cell r="D112">
            <v>-0.107434464976364</v>
          </cell>
        </row>
        <row r="113">
          <cell r="C113">
            <v>69</v>
          </cell>
          <cell r="D113">
            <v>-0.10741715451957499</v>
          </cell>
        </row>
        <row r="114">
          <cell r="C114">
            <v>68</v>
          </cell>
          <cell r="D114">
            <v>-0.10745178101327101</v>
          </cell>
        </row>
        <row r="115">
          <cell r="C115">
            <v>67.5</v>
          </cell>
          <cell r="D115">
            <v>-0.16113438607798899</v>
          </cell>
        </row>
        <row r="116">
          <cell r="C116">
            <v>66.5</v>
          </cell>
          <cell r="D116">
            <v>-0.16116035455278099</v>
          </cell>
        </row>
        <row r="117">
          <cell r="C117">
            <v>66</v>
          </cell>
          <cell r="D117">
            <v>-0.107422924051993</v>
          </cell>
        </row>
        <row r="118">
          <cell r="C118">
            <v>74</v>
          </cell>
          <cell r="D118">
            <v>-0.10744600838078799</v>
          </cell>
        </row>
        <row r="119">
          <cell r="C119">
            <v>74</v>
          </cell>
          <cell r="D119">
            <v>-0.107457554266064</v>
          </cell>
        </row>
        <row r="120">
          <cell r="C120">
            <v>73</v>
          </cell>
          <cell r="D120">
            <v>-0.10745178101327101</v>
          </cell>
        </row>
        <row r="121">
          <cell r="C121">
            <v>72</v>
          </cell>
          <cell r="D121">
            <v>-0.10744600838078799</v>
          </cell>
        </row>
        <row r="122">
          <cell r="C122">
            <v>71.5</v>
          </cell>
          <cell r="D122">
            <v>-0.161177671519902</v>
          </cell>
        </row>
        <row r="123">
          <cell r="C123">
            <v>70.5</v>
          </cell>
          <cell r="D123">
            <v>-0.161177671519906</v>
          </cell>
        </row>
        <row r="124">
          <cell r="C124">
            <v>70</v>
          </cell>
          <cell r="D124">
            <v>-0.10745178101327101</v>
          </cell>
        </row>
        <row r="125">
          <cell r="C125">
            <v>69</v>
          </cell>
          <cell r="D125">
            <v>-0.107440236368521</v>
          </cell>
        </row>
        <row r="126">
          <cell r="C126">
            <v>68</v>
          </cell>
          <cell r="D126">
            <v>-0.107457554266064</v>
          </cell>
        </row>
        <row r="127">
          <cell r="C127">
            <v>68</v>
          </cell>
          <cell r="D127">
            <v>-0.107469102632992</v>
          </cell>
        </row>
        <row r="128">
          <cell r="C128">
            <v>66.5</v>
          </cell>
          <cell r="D128">
            <v>-0.16119499220890901</v>
          </cell>
        </row>
        <row r="129">
          <cell r="C129">
            <v>66</v>
          </cell>
          <cell r="D129">
            <v>-0.107457554266064</v>
          </cell>
        </row>
        <row r="130">
          <cell r="C130">
            <v>65.5</v>
          </cell>
          <cell r="D130">
            <v>-0.161151697464546</v>
          </cell>
        </row>
        <row r="131">
          <cell r="C131">
            <v>74</v>
          </cell>
          <cell r="D131">
            <v>-0.10746332813927301</v>
          </cell>
        </row>
        <row r="132">
          <cell r="C132">
            <v>74</v>
          </cell>
          <cell r="D132">
            <v>-0.107434464976364</v>
          </cell>
        </row>
        <row r="133">
          <cell r="C133">
            <v>73</v>
          </cell>
          <cell r="D133">
            <v>-0.107434464976364</v>
          </cell>
        </row>
        <row r="134">
          <cell r="C134">
            <v>72</v>
          </cell>
          <cell r="D134">
            <v>-0.107394082586049</v>
          </cell>
        </row>
        <row r="135">
          <cell r="C135">
            <v>71.5</v>
          </cell>
          <cell r="D135">
            <v>-0.16110842597067701</v>
          </cell>
        </row>
        <row r="136">
          <cell r="C136">
            <v>70.5</v>
          </cell>
          <cell r="D136">
            <v>-0.16112573177936301</v>
          </cell>
        </row>
        <row r="137">
          <cell r="C137">
            <v>70</v>
          </cell>
          <cell r="D137">
            <v>-0.10744600838078799</v>
          </cell>
        </row>
        <row r="138">
          <cell r="C138">
            <v>69</v>
          </cell>
          <cell r="D138">
            <v>-0.107457554266064</v>
          </cell>
        </row>
        <row r="139">
          <cell r="C139">
            <v>67.5</v>
          </cell>
          <cell r="D139">
            <v>-0.120875135984528</v>
          </cell>
        </row>
        <row r="140">
          <cell r="C140">
            <v>74</v>
          </cell>
          <cell r="D140">
            <v>-0.10740561731378399</v>
          </cell>
        </row>
        <row r="141">
          <cell r="C141">
            <v>73.5</v>
          </cell>
          <cell r="D141">
            <v>-0.120850789558491</v>
          </cell>
        </row>
        <row r="142">
          <cell r="C142">
            <v>72.5</v>
          </cell>
          <cell r="D142">
            <v>-0.120860526951899</v>
          </cell>
        </row>
        <row r="143">
          <cell r="C143">
            <v>71.5</v>
          </cell>
          <cell r="D143">
            <v>-0.120860526951896</v>
          </cell>
        </row>
        <row r="144">
          <cell r="C144">
            <v>70.5</v>
          </cell>
          <cell r="D144">
            <v>-0.161117078410312</v>
          </cell>
        </row>
        <row r="145">
          <cell r="C145">
            <v>69.5</v>
          </cell>
          <cell r="D145">
            <v>-0.16112573177936301</v>
          </cell>
        </row>
        <row r="146">
          <cell r="C146">
            <v>69</v>
          </cell>
          <cell r="D146">
            <v>-0.107440236368521</v>
          </cell>
        </row>
        <row r="147">
          <cell r="C147">
            <v>68</v>
          </cell>
          <cell r="D147">
            <v>-0.107457554266064</v>
          </cell>
        </row>
        <row r="148">
          <cell r="C148">
            <v>67.5</v>
          </cell>
          <cell r="D148">
            <v>-5.3711462025996498E-2</v>
          </cell>
        </row>
        <row r="149">
          <cell r="C149">
            <v>66.5</v>
          </cell>
          <cell r="D149">
            <v>-0.16113438607798899</v>
          </cell>
        </row>
        <row r="150">
          <cell r="C150">
            <v>66</v>
          </cell>
          <cell r="D150">
            <v>-0.10742869420421999</v>
          </cell>
        </row>
        <row r="151">
          <cell r="C151">
            <v>65.5</v>
          </cell>
          <cell r="D151">
            <v>-0.16118633139909599</v>
          </cell>
        </row>
        <row r="152">
          <cell r="C152">
            <v>74</v>
          </cell>
          <cell r="D152">
            <v>-0.10742869420421999</v>
          </cell>
        </row>
        <row r="153">
          <cell r="C153">
            <v>74</v>
          </cell>
          <cell r="D153">
            <v>-0.10740561731378701</v>
          </cell>
        </row>
        <row r="154">
          <cell r="C154">
            <v>73</v>
          </cell>
          <cell r="D154">
            <v>-0.10740561731378399</v>
          </cell>
        </row>
        <row r="155">
          <cell r="C155">
            <v>72</v>
          </cell>
          <cell r="D155">
            <v>-0.107428694204223</v>
          </cell>
        </row>
        <row r="156">
          <cell r="C156">
            <v>71.5</v>
          </cell>
          <cell r="D156">
            <v>-0.161177671519902</v>
          </cell>
        </row>
        <row r="157">
          <cell r="C157">
            <v>70.5</v>
          </cell>
          <cell r="D157">
            <v>-0.16118633139909999</v>
          </cell>
        </row>
        <row r="158">
          <cell r="C158">
            <v>70</v>
          </cell>
          <cell r="D158">
            <v>-0.107434464976364</v>
          </cell>
        </row>
        <row r="159">
          <cell r="C159">
            <v>69</v>
          </cell>
          <cell r="D159">
            <v>-0.107428694204223</v>
          </cell>
        </row>
        <row r="160">
          <cell r="C160">
            <v>68</v>
          </cell>
          <cell r="D160">
            <v>-0.10742292405199</v>
          </cell>
        </row>
        <row r="161">
          <cell r="C161">
            <v>74</v>
          </cell>
          <cell r="D161">
            <v>-0.107422924051993</v>
          </cell>
        </row>
        <row r="162">
          <cell r="C162">
            <v>74</v>
          </cell>
          <cell r="D162">
            <v>-0.107422924051993</v>
          </cell>
        </row>
        <row r="163">
          <cell r="C163">
            <v>73</v>
          </cell>
          <cell r="D163">
            <v>-0.10744600838078799</v>
          </cell>
        </row>
        <row r="164">
          <cell r="C164">
            <v>72</v>
          </cell>
          <cell r="D164">
            <v>-0.107469102632992</v>
          </cell>
        </row>
        <row r="165">
          <cell r="C165">
            <v>71.5</v>
          </cell>
          <cell r="D165">
            <v>-0.16121231662099</v>
          </cell>
        </row>
        <row r="166">
          <cell r="C166">
            <v>70.5</v>
          </cell>
          <cell r="D166">
            <v>-0.161151697464546</v>
          </cell>
        </row>
        <row r="167">
          <cell r="C167">
            <v>70</v>
          </cell>
          <cell r="D167">
            <v>-0.10741138560687399</v>
          </cell>
        </row>
        <row r="168">
          <cell r="C168">
            <v>69</v>
          </cell>
          <cell r="D168">
            <v>-0.107399849640208</v>
          </cell>
        </row>
        <row r="169">
          <cell r="C169">
            <v>68</v>
          </cell>
          <cell r="D169">
            <v>-8.0557457606638599E-2</v>
          </cell>
        </row>
        <row r="170">
          <cell r="C170">
            <v>67</v>
          </cell>
          <cell r="D170">
            <v>-0.161134386077988</v>
          </cell>
        </row>
        <row r="171">
          <cell r="C171">
            <v>66.5</v>
          </cell>
          <cell r="D171">
            <v>-0.120855658059058</v>
          </cell>
        </row>
        <row r="172">
          <cell r="C172">
            <v>65.5</v>
          </cell>
          <cell r="D172">
            <v>-0.161177671519902</v>
          </cell>
        </row>
        <row r="173">
          <cell r="C173">
            <v>74</v>
          </cell>
          <cell r="D173">
            <v>-0.10745178101326799</v>
          </cell>
        </row>
        <row r="174">
          <cell r="C174">
            <v>73.5</v>
          </cell>
          <cell r="D174">
            <v>-0.161160354552777</v>
          </cell>
        </row>
        <row r="175">
          <cell r="C175">
            <v>73</v>
          </cell>
          <cell r="D175">
            <v>-0.107428694204223</v>
          </cell>
        </row>
        <row r="176">
          <cell r="C176">
            <v>72</v>
          </cell>
          <cell r="D176">
            <v>-0.107428694204223</v>
          </cell>
        </row>
        <row r="177">
          <cell r="C177">
            <v>71</v>
          </cell>
          <cell r="D177">
            <v>-0.10742869420421999</v>
          </cell>
        </row>
        <row r="178">
          <cell r="C178">
            <v>70.5</v>
          </cell>
          <cell r="D178">
            <v>-0.161177671519902</v>
          </cell>
        </row>
        <row r="179">
          <cell r="C179">
            <v>69.5</v>
          </cell>
          <cell r="D179">
            <v>-0.16118633139909599</v>
          </cell>
        </row>
        <row r="180">
          <cell r="C180">
            <v>69</v>
          </cell>
          <cell r="D180">
            <v>-0.10746332813927301</v>
          </cell>
        </row>
        <row r="181">
          <cell r="C181">
            <v>68</v>
          </cell>
          <cell r="D181">
            <v>-0.107428694204223</v>
          </cell>
        </row>
        <row r="182">
          <cell r="C182">
            <v>67</v>
          </cell>
          <cell r="D182">
            <v>-0.10741138560687399</v>
          </cell>
        </row>
        <row r="183">
          <cell r="C183">
            <v>66.5</v>
          </cell>
          <cell r="D183">
            <v>-0.16112573177936701</v>
          </cell>
        </row>
        <row r="184">
          <cell r="C184">
            <v>65.5</v>
          </cell>
          <cell r="D184">
            <v>-0.161151697464546</v>
          </cell>
        </row>
        <row r="185">
          <cell r="C185">
            <v>74</v>
          </cell>
          <cell r="D185">
            <v>-0.10741138560687399</v>
          </cell>
        </row>
        <row r="186">
          <cell r="C186">
            <v>73</v>
          </cell>
          <cell r="D186">
            <v>-0.107434464976364</v>
          </cell>
        </row>
        <row r="187">
          <cell r="C187">
            <v>72</v>
          </cell>
          <cell r="D187">
            <v>-0.10742869420421999</v>
          </cell>
        </row>
        <row r="188">
          <cell r="C188">
            <v>71.5</v>
          </cell>
          <cell r="D188">
            <v>-0.16110842597067701</v>
          </cell>
        </row>
        <row r="189">
          <cell r="C189">
            <v>70.5</v>
          </cell>
          <cell r="D189">
            <v>-0.161143041306335</v>
          </cell>
        </row>
        <row r="190">
          <cell r="C190">
            <v>70</v>
          </cell>
          <cell r="D190">
            <v>-0.10740561731378399</v>
          </cell>
        </row>
        <row r="191">
          <cell r="C191">
            <v>69</v>
          </cell>
          <cell r="D191">
            <v>-0.107428694204223</v>
          </cell>
        </row>
        <row r="192">
          <cell r="C192">
            <v>68</v>
          </cell>
          <cell r="D192">
            <v>-0.10741138560687399</v>
          </cell>
        </row>
        <row r="193">
          <cell r="C193">
            <v>68</v>
          </cell>
          <cell r="D193">
            <v>-0.107422924051993</v>
          </cell>
        </row>
        <row r="194">
          <cell r="C194">
            <v>66.5</v>
          </cell>
          <cell r="D194">
            <v>-0.16113438607798899</v>
          </cell>
        </row>
        <row r="195">
          <cell r="C195">
            <v>66</v>
          </cell>
          <cell r="D195">
            <v>-0.10742292405199</v>
          </cell>
        </row>
        <row r="196">
          <cell r="C196">
            <v>65.5</v>
          </cell>
          <cell r="D196">
            <v>-0.16116035455278099</v>
          </cell>
        </row>
        <row r="197">
          <cell r="C197">
            <v>252</v>
          </cell>
          <cell r="D197">
            <v>-1.9340281508542301</v>
          </cell>
        </row>
        <row r="198">
          <cell r="C198">
            <v>240</v>
          </cell>
          <cell r="D198">
            <v>-1.8264840182648601</v>
          </cell>
        </row>
        <row r="199">
          <cell r="C199">
            <v>229</v>
          </cell>
          <cell r="D199">
            <v>-1.7189514396218299</v>
          </cell>
        </row>
        <row r="200">
          <cell r="C200">
            <v>218</v>
          </cell>
          <cell r="D200">
            <v>-1.7186744723131699</v>
          </cell>
        </row>
        <row r="201">
          <cell r="C201">
            <v>208</v>
          </cell>
          <cell r="D201">
            <v>-1.61134386077985</v>
          </cell>
        </row>
        <row r="202">
          <cell r="C202">
            <v>198.5</v>
          </cell>
          <cell r="D202">
            <v>-1.55813453685801</v>
          </cell>
        </row>
        <row r="203">
          <cell r="C203">
            <v>189.5</v>
          </cell>
          <cell r="D203">
            <v>-1.34314726266592</v>
          </cell>
        </row>
        <row r="204">
          <cell r="C204">
            <v>181</v>
          </cell>
          <cell r="D204">
            <v>-1.28942137215928</v>
          </cell>
        </row>
        <row r="205">
          <cell r="C205">
            <v>0</v>
          </cell>
          <cell r="D20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lfur_Tube_Cooling_Rates"/>
    </sheetNames>
    <sheetDataSet>
      <sheetData sheetId="0">
        <row r="1">
          <cell r="D1" t="str">
            <v>dTdt</v>
          </cell>
        </row>
        <row r="2">
          <cell r="C2">
            <v>53.5</v>
          </cell>
          <cell r="D2">
            <v>-0.161151697464546</v>
          </cell>
        </row>
        <row r="3">
          <cell r="C3">
            <v>52.5</v>
          </cell>
          <cell r="D3">
            <v>-0.16109977446031301</v>
          </cell>
        </row>
        <row r="4">
          <cell r="C4">
            <v>51.5</v>
          </cell>
          <cell r="D4">
            <v>-0.16109977446031301</v>
          </cell>
        </row>
        <row r="5">
          <cell r="C5">
            <v>50.5</v>
          </cell>
          <cell r="D5">
            <v>-0.16109977446031701</v>
          </cell>
        </row>
        <row r="6">
          <cell r="C6">
            <v>49.5</v>
          </cell>
          <cell r="D6">
            <v>-0.16116901257118199</v>
          </cell>
        </row>
        <row r="7">
          <cell r="C7">
            <v>48.5</v>
          </cell>
          <cell r="D7">
            <v>-0.161151697464546</v>
          </cell>
        </row>
        <row r="8">
          <cell r="C8">
            <v>48</v>
          </cell>
          <cell r="D8">
            <v>-0.107434464976364</v>
          </cell>
        </row>
        <row r="9">
          <cell r="C9">
            <v>46.5</v>
          </cell>
          <cell r="D9">
            <v>-0.161143041306335</v>
          </cell>
        </row>
        <row r="10">
          <cell r="C10">
            <v>53.5</v>
          </cell>
          <cell r="D10">
            <v>-0.16112573177936701</v>
          </cell>
        </row>
        <row r="11">
          <cell r="C11">
            <v>52.5</v>
          </cell>
          <cell r="D11">
            <v>-0.16108247422680499</v>
          </cell>
        </row>
        <row r="12">
          <cell r="C12">
            <v>51.5</v>
          </cell>
          <cell r="D12">
            <v>-0.16108247422680499</v>
          </cell>
        </row>
        <row r="13">
          <cell r="C13">
            <v>50.5</v>
          </cell>
          <cell r="D13">
            <v>-0.16109977446031301</v>
          </cell>
        </row>
        <row r="14">
          <cell r="C14">
            <v>49.5</v>
          </cell>
          <cell r="D14">
            <v>-0.16113438607798899</v>
          </cell>
        </row>
        <row r="15">
          <cell r="C15">
            <v>48.5</v>
          </cell>
          <cell r="D15">
            <v>-0.16113438607798899</v>
          </cell>
        </row>
        <row r="16">
          <cell r="C16">
            <v>54</v>
          </cell>
          <cell r="D16">
            <v>-0.107422924051993</v>
          </cell>
        </row>
        <row r="17">
          <cell r="C17">
            <v>54</v>
          </cell>
          <cell r="D17">
            <v>-0.107434464976364</v>
          </cell>
        </row>
        <row r="18">
          <cell r="C18">
            <v>53</v>
          </cell>
          <cell r="D18">
            <v>-0.10741715451957801</v>
          </cell>
        </row>
        <row r="19">
          <cell r="C19">
            <v>52</v>
          </cell>
          <cell r="D19">
            <v>-0.10742869420421999</v>
          </cell>
        </row>
        <row r="20">
          <cell r="C20">
            <v>51.5</v>
          </cell>
          <cell r="D20">
            <v>-0.16116901257118199</v>
          </cell>
        </row>
        <row r="21">
          <cell r="C21">
            <v>50.5</v>
          </cell>
          <cell r="D21">
            <v>-0.16118633139909599</v>
          </cell>
        </row>
        <row r="22">
          <cell r="C22">
            <v>54</v>
          </cell>
          <cell r="D22">
            <v>-0.107422924051993</v>
          </cell>
        </row>
        <row r="23">
          <cell r="C23">
            <v>54</v>
          </cell>
          <cell r="D23">
            <v>-0.107422924051993</v>
          </cell>
        </row>
        <row r="24">
          <cell r="C24">
            <v>53</v>
          </cell>
          <cell r="D24">
            <v>-0.107434464976364</v>
          </cell>
        </row>
        <row r="25">
          <cell r="C25">
            <v>52</v>
          </cell>
          <cell r="D25">
            <v>-0.107434464976361</v>
          </cell>
        </row>
        <row r="26">
          <cell r="C26">
            <v>51.5</v>
          </cell>
          <cell r="D26">
            <v>-0.16118633139909599</v>
          </cell>
        </row>
        <row r="27">
          <cell r="C27">
            <v>51</v>
          </cell>
          <cell r="D27">
            <v>-0.10744600838078799</v>
          </cell>
        </row>
        <row r="28">
          <cell r="C28">
            <v>50</v>
          </cell>
          <cell r="D28">
            <v>-0.107422924051993</v>
          </cell>
        </row>
        <row r="29">
          <cell r="C29">
            <v>54</v>
          </cell>
          <cell r="D29">
            <v>-0.10745178101326799</v>
          </cell>
        </row>
        <row r="30">
          <cell r="C30">
            <v>54</v>
          </cell>
          <cell r="D30">
            <v>-0.107440236368521</v>
          </cell>
        </row>
        <row r="31">
          <cell r="C31">
            <v>53</v>
          </cell>
          <cell r="D31">
            <v>-0.10745178101327101</v>
          </cell>
        </row>
        <row r="32">
          <cell r="C32">
            <v>52.5</v>
          </cell>
          <cell r="D32">
            <v>-5.3714347102111697E-2</v>
          </cell>
        </row>
        <row r="33">
          <cell r="C33">
            <v>52</v>
          </cell>
          <cell r="D33">
            <v>-0.10742869420421999</v>
          </cell>
        </row>
        <row r="34">
          <cell r="C34">
            <v>51</v>
          </cell>
          <cell r="D34">
            <v>-0.10741715451957499</v>
          </cell>
        </row>
        <row r="35">
          <cell r="C35">
            <v>50.5</v>
          </cell>
          <cell r="D35">
            <v>-0.161143041306331</v>
          </cell>
        </row>
        <row r="36">
          <cell r="C36">
            <v>50</v>
          </cell>
          <cell r="D36">
            <v>-0.107440236368518</v>
          </cell>
        </row>
        <row r="37">
          <cell r="C37">
            <v>49</v>
          </cell>
          <cell r="D37">
            <v>-0.107457554266064</v>
          </cell>
        </row>
        <row r="38">
          <cell r="C38">
            <v>48</v>
          </cell>
          <cell r="D38">
            <v>-8.0606158310495196E-2</v>
          </cell>
        </row>
        <row r="39">
          <cell r="C39">
            <v>73</v>
          </cell>
          <cell r="D39">
            <v>-0.10742869420421999</v>
          </cell>
        </row>
        <row r="40">
          <cell r="C40">
            <v>71</v>
          </cell>
          <cell r="D40">
            <v>-0.161192826919201</v>
          </cell>
        </row>
        <row r="41">
          <cell r="C41">
            <v>71</v>
          </cell>
          <cell r="D41">
            <v>-0.16118633139909799</v>
          </cell>
        </row>
        <row r="42">
          <cell r="C42">
            <v>70</v>
          </cell>
          <cell r="D42">
            <v>-0.161179836402466</v>
          </cell>
        </row>
        <row r="43">
          <cell r="C43">
            <v>68</v>
          </cell>
          <cell r="D43">
            <v>-0.107440236368518</v>
          </cell>
        </row>
        <row r="44">
          <cell r="C44">
            <v>67.5</v>
          </cell>
          <cell r="D44">
            <v>-0.16113438607798899</v>
          </cell>
        </row>
        <row r="45">
          <cell r="C45">
            <v>66.5</v>
          </cell>
          <cell r="D45">
            <v>-0.161143041306331</v>
          </cell>
        </row>
        <row r="46">
          <cell r="C46">
            <v>65.5</v>
          </cell>
          <cell r="D46">
            <v>-0.161151697464546</v>
          </cell>
        </row>
        <row r="47">
          <cell r="C47">
            <v>64.5</v>
          </cell>
          <cell r="D47">
            <v>-0.16118633139909599</v>
          </cell>
        </row>
        <row r="48">
          <cell r="C48">
            <v>63.5</v>
          </cell>
          <cell r="D48">
            <v>-0.16122098022356199</v>
          </cell>
        </row>
        <row r="49">
          <cell r="C49">
            <v>74</v>
          </cell>
          <cell r="D49">
            <v>-0.107457554266064</v>
          </cell>
        </row>
        <row r="50">
          <cell r="C50">
            <v>73</v>
          </cell>
          <cell r="D50">
            <v>-0.107457554266067</v>
          </cell>
        </row>
        <row r="51">
          <cell r="C51">
            <v>71.5</v>
          </cell>
          <cell r="D51">
            <v>-0.16118633139909999</v>
          </cell>
        </row>
        <row r="52">
          <cell r="C52">
            <v>71</v>
          </cell>
          <cell r="D52">
            <v>-0.21481123462756899</v>
          </cell>
        </row>
        <row r="53">
          <cell r="C53">
            <v>70.5</v>
          </cell>
          <cell r="D53">
            <v>-0.16110842597067701</v>
          </cell>
        </row>
        <row r="54">
          <cell r="C54">
            <v>69</v>
          </cell>
          <cell r="D54">
            <v>-0.107394082586049</v>
          </cell>
        </row>
        <row r="55">
          <cell r="C55">
            <v>68</v>
          </cell>
          <cell r="D55">
            <v>-0.10745178101327101</v>
          </cell>
        </row>
        <row r="56">
          <cell r="C56">
            <v>67.5</v>
          </cell>
          <cell r="D56">
            <v>-0.161160354552777</v>
          </cell>
        </row>
        <row r="57">
          <cell r="C57">
            <v>66.5</v>
          </cell>
          <cell r="D57">
            <v>-0.16119499220890501</v>
          </cell>
        </row>
        <row r="58">
          <cell r="C58">
            <v>65.5</v>
          </cell>
          <cell r="D58">
            <v>-0.161151697464546</v>
          </cell>
        </row>
        <row r="59">
          <cell r="C59">
            <v>65</v>
          </cell>
          <cell r="D59">
            <v>-0.10744600838078799</v>
          </cell>
        </row>
        <row r="60">
          <cell r="C60">
            <v>64</v>
          </cell>
          <cell r="D60">
            <v>-0.107422924051993</v>
          </cell>
        </row>
        <row r="61">
          <cell r="C61">
            <v>74</v>
          </cell>
          <cell r="D61">
            <v>-0.107434464976364</v>
          </cell>
        </row>
        <row r="62">
          <cell r="C62">
            <v>73</v>
          </cell>
          <cell r="D62">
            <v>-0.107434464976364</v>
          </cell>
        </row>
        <row r="63">
          <cell r="C63">
            <v>72</v>
          </cell>
          <cell r="D63">
            <v>-0.10744600838078799</v>
          </cell>
        </row>
        <row r="64">
          <cell r="C64">
            <v>71.5</v>
          </cell>
          <cell r="D64">
            <v>-0.16113438607798899</v>
          </cell>
        </row>
        <row r="65">
          <cell r="C65">
            <v>70.5</v>
          </cell>
          <cell r="D65">
            <v>-0.161151697464546</v>
          </cell>
        </row>
        <row r="66">
          <cell r="C66">
            <v>69.5</v>
          </cell>
          <cell r="D66">
            <v>-0.161143041306331</v>
          </cell>
        </row>
        <row r="67">
          <cell r="C67">
            <v>68.5</v>
          </cell>
          <cell r="D67">
            <v>-0.161143041306331</v>
          </cell>
        </row>
        <row r="68">
          <cell r="C68">
            <v>68</v>
          </cell>
          <cell r="D68">
            <v>-0.107440236368518</v>
          </cell>
        </row>
        <row r="69">
          <cell r="C69">
            <v>66.5</v>
          </cell>
          <cell r="D69">
            <v>-0.16119499220890901</v>
          </cell>
        </row>
        <row r="70">
          <cell r="C70">
            <v>65.5</v>
          </cell>
          <cell r="D70">
            <v>-0.16119499220890901</v>
          </cell>
        </row>
        <row r="71">
          <cell r="C71">
            <v>65.5</v>
          </cell>
          <cell r="D71">
            <v>-0.16116035455278099</v>
          </cell>
        </row>
        <row r="72">
          <cell r="C72">
            <v>64</v>
          </cell>
          <cell r="D72">
            <v>-0.107428694204223</v>
          </cell>
        </row>
        <row r="73">
          <cell r="C73">
            <v>74</v>
          </cell>
          <cell r="D73">
            <v>-0.107469102632994</v>
          </cell>
        </row>
        <row r="74">
          <cell r="C74">
            <v>73</v>
          </cell>
          <cell r="D74">
            <v>-0.107457554266064</v>
          </cell>
        </row>
        <row r="75">
          <cell r="C75">
            <v>72.5</v>
          </cell>
          <cell r="D75">
            <v>-0.161177671519902</v>
          </cell>
        </row>
        <row r="76">
          <cell r="C76">
            <v>71.5</v>
          </cell>
          <cell r="D76">
            <v>-0.161177671519902</v>
          </cell>
        </row>
        <row r="77">
          <cell r="C77">
            <v>70.5</v>
          </cell>
          <cell r="D77">
            <v>-0.16118633139909599</v>
          </cell>
        </row>
        <row r="78">
          <cell r="C78">
            <v>69.5</v>
          </cell>
          <cell r="D78">
            <v>-0.16118633139909999</v>
          </cell>
        </row>
        <row r="79">
          <cell r="C79">
            <v>68.5</v>
          </cell>
          <cell r="D79">
            <v>-0.161117078410312</v>
          </cell>
        </row>
        <row r="80">
          <cell r="C80">
            <v>68</v>
          </cell>
          <cell r="D80">
            <v>-0.10741138560687399</v>
          </cell>
        </row>
        <row r="81">
          <cell r="C81">
            <v>66.5</v>
          </cell>
          <cell r="D81">
            <v>-0.16112573177936301</v>
          </cell>
        </row>
        <row r="82">
          <cell r="C82">
            <v>65.5</v>
          </cell>
          <cell r="D82">
            <v>-0.120880006446934</v>
          </cell>
        </row>
        <row r="83">
          <cell r="C83">
            <v>74</v>
          </cell>
          <cell r="D83">
            <v>-0.10741138560687399</v>
          </cell>
        </row>
        <row r="84">
          <cell r="C84">
            <v>73.5</v>
          </cell>
          <cell r="D84">
            <v>-0.16112573177936301</v>
          </cell>
        </row>
        <row r="85">
          <cell r="C85">
            <v>72.5</v>
          </cell>
          <cell r="D85">
            <v>-0.16113438607798899</v>
          </cell>
        </row>
        <row r="86">
          <cell r="C86">
            <v>71.5</v>
          </cell>
          <cell r="D86">
            <v>-0.161151697464546</v>
          </cell>
        </row>
        <row r="87">
          <cell r="C87">
            <v>70.5</v>
          </cell>
          <cell r="D87">
            <v>-0.16116901257118199</v>
          </cell>
        </row>
        <row r="88">
          <cell r="C88">
            <v>69.5</v>
          </cell>
          <cell r="D88">
            <v>-0.16118633139909599</v>
          </cell>
        </row>
        <row r="89">
          <cell r="C89">
            <v>68.5</v>
          </cell>
          <cell r="D89">
            <v>-0.16116901257118199</v>
          </cell>
        </row>
        <row r="90">
          <cell r="C90">
            <v>68</v>
          </cell>
          <cell r="D90">
            <v>-0.107434464976364</v>
          </cell>
        </row>
        <row r="91">
          <cell r="C91">
            <v>67</v>
          </cell>
          <cell r="D91">
            <v>-0.10741138560687399</v>
          </cell>
        </row>
        <row r="92">
          <cell r="C92">
            <v>66</v>
          </cell>
          <cell r="D92">
            <v>-0.10741715451957499</v>
          </cell>
        </row>
        <row r="93">
          <cell r="C93">
            <v>93.5</v>
          </cell>
          <cell r="D93">
            <v>-0.161143041306335</v>
          </cell>
        </row>
        <row r="94">
          <cell r="C94">
            <v>92</v>
          </cell>
          <cell r="D94">
            <v>-0.21489201676157599</v>
          </cell>
        </row>
        <row r="95">
          <cell r="C95">
            <v>91</v>
          </cell>
          <cell r="D95">
            <v>-0.21486892995272899</v>
          </cell>
        </row>
        <row r="96">
          <cell r="C96">
            <v>90</v>
          </cell>
          <cell r="D96">
            <v>-0.21485738840844101</v>
          </cell>
        </row>
        <row r="97">
          <cell r="C97">
            <v>88.5</v>
          </cell>
          <cell r="D97">
            <v>-0.161117078410312</v>
          </cell>
        </row>
        <row r="98">
          <cell r="C98">
            <v>87</v>
          </cell>
          <cell r="D98">
            <v>-0.21483430903915099</v>
          </cell>
        </row>
        <row r="99">
          <cell r="C99">
            <v>86</v>
          </cell>
          <cell r="D99">
            <v>-0.21486892995272899</v>
          </cell>
        </row>
        <row r="100">
          <cell r="C100">
            <v>85</v>
          </cell>
          <cell r="D100">
            <v>-0.214915108532128</v>
          </cell>
        </row>
        <row r="101">
          <cell r="C101">
            <v>83.5</v>
          </cell>
          <cell r="D101">
            <v>-0.16121231662099</v>
          </cell>
        </row>
        <row r="102">
          <cell r="C102">
            <v>82.5</v>
          </cell>
          <cell r="D102">
            <v>-0.16119499220890901</v>
          </cell>
        </row>
        <row r="103">
          <cell r="C103">
            <v>81.5</v>
          </cell>
          <cell r="D103">
            <v>-0.16118633139909599</v>
          </cell>
        </row>
        <row r="104">
          <cell r="C104">
            <v>93.5</v>
          </cell>
          <cell r="D104">
            <v>-0.161177671519906</v>
          </cell>
        </row>
        <row r="105">
          <cell r="C105">
            <v>92</v>
          </cell>
          <cell r="D105">
            <v>-0.21492665627854601</v>
          </cell>
        </row>
        <row r="106">
          <cell r="C106">
            <v>91</v>
          </cell>
          <cell r="D106">
            <v>-0.214915108532128</v>
          </cell>
        </row>
        <row r="107">
          <cell r="C107">
            <v>90</v>
          </cell>
          <cell r="D107">
            <v>-0.21489201676157599</v>
          </cell>
        </row>
        <row r="108">
          <cell r="C108">
            <v>88.5</v>
          </cell>
          <cell r="D108">
            <v>-0.161143041306331</v>
          </cell>
        </row>
        <row r="109">
          <cell r="C109">
            <v>87</v>
          </cell>
          <cell r="D109">
            <v>-0.214880472737037</v>
          </cell>
        </row>
        <row r="110">
          <cell r="C110">
            <v>86</v>
          </cell>
          <cell r="D110">
            <v>-0.21489201676157599</v>
          </cell>
        </row>
        <row r="111">
          <cell r="C111">
            <v>85.5</v>
          </cell>
          <cell r="D111">
            <v>-0.16116901257118599</v>
          </cell>
        </row>
        <row r="112">
          <cell r="C112">
            <v>83.5</v>
          </cell>
          <cell r="D112">
            <v>-0.161177671519906</v>
          </cell>
        </row>
        <row r="113">
          <cell r="C113">
            <v>82.5</v>
          </cell>
          <cell r="D113">
            <v>-0.161177671519902</v>
          </cell>
        </row>
        <row r="114">
          <cell r="C114">
            <v>82</v>
          </cell>
          <cell r="D114">
            <v>-0.21492665627854099</v>
          </cell>
        </row>
        <row r="115">
          <cell r="C115">
            <v>80.5</v>
          </cell>
          <cell r="D115">
            <v>-0.161151697464546</v>
          </cell>
        </row>
        <row r="116">
          <cell r="C116">
            <v>93.5</v>
          </cell>
          <cell r="D116">
            <v>-0.161177671519902</v>
          </cell>
        </row>
        <row r="117">
          <cell r="C117">
            <v>92</v>
          </cell>
          <cell r="D117">
            <v>-0.21485738840844601</v>
          </cell>
        </row>
        <row r="118">
          <cell r="C118">
            <v>91</v>
          </cell>
          <cell r="D118">
            <v>-0.201785804368664</v>
          </cell>
        </row>
        <row r="119">
          <cell r="C119">
            <v>90</v>
          </cell>
          <cell r="D119">
            <v>-0.201785804368664</v>
          </cell>
        </row>
        <row r="120">
          <cell r="C120">
            <v>88.5</v>
          </cell>
          <cell r="D120">
            <v>-0.15135462388375601</v>
          </cell>
        </row>
        <row r="121">
          <cell r="C121">
            <v>87</v>
          </cell>
          <cell r="D121">
            <v>-0.214880472737037</v>
          </cell>
        </row>
        <row r="122">
          <cell r="C122">
            <v>86</v>
          </cell>
          <cell r="D122">
            <v>-0.21490356202654201</v>
          </cell>
        </row>
        <row r="123">
          <cell r="C123">
            <v>85</v>
          </cell>
          <cell r="D123">
            <v>-0.21492665627854601</v>
          </cell>
        </row>
        <row r="124">
          <cell r="C124">
            <v>83.5</v>
          </cell>
          <cell r="D124">
            <v>-0.16118633139909599</v>
          </cell>
        </row>
        <row r="125">
          <cell r="C125">
            <v>82.5</v>
          </cell>
          <cell r="D125">
            <v>-0.161160354552777</v>
          </cell>
        </row>
        <row r="126">
          <cell r="C126">
            <v>81.5</v>
          </cell>
          <cell r="D126">
            <v>-0.16116901257118199</v>
          </cell>
        </row>
        <row r="127">
          <cell r="C127">
            <v>93.5</v>
          </cell>
          <cell r="D127">
            <v>-0.161151697464546</v>
          </cell>
        </row>
        <row r="128">
          <cell r="C128">
            <v>92</v>
          </cell>
          <cell r="D128">
            <v>-0.21489201676157599</v>
          </cell>
        </row>
        <row r="129">
          <cell r="C129">
            <v>91</v>
          </cell>
          <cell r="D129">
            <v>-0.214868929952723</v>
          </cell>
        </row>
        <row r="130">
          <cell r="C130">
            <v>90</v>
          </cell>
          <cell r="D130">
            <v>-0.21489201676157599</v>
          </cell>
        </row>
        <row r="131">
          <cell r="C131">
            <v>88.5</v>
          </cell>
          <cell r="D131">
            <v>-0.161177671519906</v>
          </cell>
        </row>
        <row r="132">
          <cell r="C132">
            <v>87</v>
          </cell>
          <cell r="D132">
            <v>-0.21492665627854601</v>
          </cell>
        </row>
        <row r="133">
          <cell r="C133">
            <v>86</v>
          </cell>
          <cell r="D133">
            <v>-0.214938205265989</v>
          </cell>
        </row>
        <row r="134">
          <cell r="C134">
            <v>85</v>
          </cell>
          <cell r="D134">
            <v>-0.214915108532128</v>
          </cell>
        </row>
        <row r="135">
          <cell r="C135">
            <v>84</v>
          </cell>
          <cell r="D135">
            <v>-0.10744600838078799</v>
          </cell>
        </row>
        <row r="136">
          <cell r="C136">
            <v>82.5</v>
          </cell>
          <cell r="D136">
            <v>-0.161143041306331</v>
          </cell>
        </row>
        <row r="137">
          <cell r="C137">
            <v>81.5</v>
          </cell>
          <cell r="D137">
            <v>-0.161151697464546</v>
          </cell>
        </row>
        <row r="138">
          <cell r="C138">
            <v>81</v>
          </cell>
          <cell r="D138">
            <v>-0.21486892995272899</v>
          </cell>
        </row>
        <row r="139">
          <cell r="C139">
            <v>93.5</v>
          </cell>
          <cell r="D139">
            <v>-0.16112573177936301</v>
          </cell>
        </row>
        <row r="140">
          <cell r="C140">
            <v>92</v>
          </cell>
          <cell r="D140">
            <v>-0.21483430903915099</v>
          </cell>
        </row>
        <row r="141">
          <cell r="C141">
            <v>91</v>
          </cell>
          <cell r="D141">
            <v>-0.214799699280422</v>
          </cell>
        </row>
        <row r="142">
          <cell r="C142">
            <v>90</v>
          </cell>
          <cell r="D142">
            <v>-0.21484584810398599</v>
          </cell>
        </row>
        <row r="143">
          <cell r="C143">
            <v>88.5</v>
          </cell>
          <cell r="D143">
            <v>-0.161143041306335</v>
          </cell>
        </row>
        <row r="144">
          <cell r="C144">
            <v>87.5</v>
          </cell>
          <cell r="D144">
            <v>-0.161151697464546</v>
          </cell>
        </row>
        <row r="145">
          <cell r="C145">
            <v>86.5</v>
          </cell>
          <cell r="D145">
            <v>-0.161177671519902</v>
          </cell>
        </row>
        <row r="146">
          <cell r="C146">
            <v>85.5</v>
          </cell>
          <cell r="D146">
            <v>-0.161160354552777</v>
          </cell>
        </row>
        <row r="147">
          <cell r="C147">
            <v>84.5</v>
          </cell>
          <cell r="D147">
            <v>-0.161160354552777</v>
          </cell>
        </row>
        <row r="148">
          <cell r="C148">
            <v>82.5</v>
          </cell>
          <cell r="D148">
            <v>-0.20140986908358599</v>
          </cell>
        </row>
        <row r="149">
          <cell r="C149">
            <v>81.5</v>
          </cell>
          <cell r="D149">
            <v>-0.20142609676509701</v>
          </cell>
        </row>
        <row r="150">
          <cell r="C150">
            <v>122</v>
          </cell>
          <cell r="D150">
            <v>-0.32237266279819299</v>
          </cell>
        </row>
        <row r="151">
          <cell r="C151">
            <v>120.5</v>
          </cell>
          <cell r="D151">
            <v>-0.26865832034818299</v>
          </cell>
        </row>
        <row r="152">
          <cell r="C152">
            <v>118.5</v>
          </cell>
          <cell r="D152">
            <v>-0.26867275658248002</v>
          </cell>
        </row>
        <row r="153">
          <cell r="C153">
            <v>116.5</v>
          </cell>
          <cell r="D153">
            <v>-0.26862945253317799</v>
          </cell>
        </row>
        <row r="154">
          <cell r="C154">
            <v>115</v>
          </cell>
          <cell r="D154">
            <v>-0.322355343039813</v>
          </cell>
        </row>
        <row r="155">
          <cell r="C155">
            <v>113.5</v>
          </cell>
          <cell r="D155">
            <v>-0.26860059092129601</v>
          </cell>
        </row>
        <row r="156">
          <cell r="C156">
            <v>122</v>
          </cell>
          <cell r="D156">
            <v>-0.32228608261266201</v>
          </cell>
        </row>
        <row r="157">
          <cell r="C157">
            <v>120</v>
          </cell>
          <cell r="D157">
            <v>-0.32228608261266201</v>
          </cell>
        </row>
        <row r="158">
          <cell r="C158">
            <v>118.5</v>
          </cell>
          <cell r="D158">
            <v>-0.26854288629893902</v>
          </cell>
        </row>
        <row r="159">
          <cell r="C159">
            <v>116.5</v>
          </cell>
          <cell r="D159">
            <v>-0.26849962410052802</v>
          </cell>
        </row>
        <row r="160">
          <cell r="C160">
            <v>114.5</v>
          </cell>
          <cell r="D160">
            <v>-0.26851404328446898</v>
          </cell>
        </row>
        <row r="161">
          <cell r="C161">
            <v>113</v>
          </cell>
          <cell r="D161">
            <v>-0.32219954892063402</v>
          </cell>
        </row>
        <row r="162">
          <cell r="C162">
            <v>121.5</v>
          </cell>
          <cell r="D162">
            <v>-0.37606102933275898</v>
          </cell>
        </row>
        <row r="163">
          <cell r="C163">
            <v>119.5</v>
          </cell>
          <cell r="D163">
            <v>-0.268629452533171</v>
          </cell>
        </row>
        <row r="164">
          <cell r="C164">
            <v>117</v>
          </cell>
          <cell r="D164">
            <v>-0.322355343039813</v>
          </cell>
        </row>
        <row r="165">
          <cell r="C165">
            <v>115.5</v>
          </cell>
          <cell r="D165">
            <v>-0.26864388566516101</v>
          </cell>
        </row>
        <row r="166">
          <cell r="C166">
            <v>114</v>
          </cell>
          <cell r="D166">
            <v>-0.32233802514236498</v>
          </cell>
        </row>
        <row r="167">
          <cell r="C167">
            <v>121.5</v>
          </cell>
          <cell r="D167">
            <v>-0.26858616244091099</v>
          </cell>
        </row>
        <row r="168">
          <cell r="C168">
            <v>120.5</v>
          </cell>
          <cell r="D168">
            <v>-0.26862945253317799</v>
          </cell>
        </row>
        <row r="169">
          <cell r="C169">
            <v>118</v>
          </cell>
          <cell r="D169">
            <v>-0.32232070910556299</v>
          </cell>
        </row>
        <row r="170">
          <cell r="C170">
            <v>116.5</v>
          </cell>
          <cell r="D170">
            <v>-0.25228316262172701</v>
          </cell>
        </row>
        <row r="171">
          <cell r="C171">
            <v>115</v>
          </cell>
          <cell r="D171">
            <v>-0.30270924776752001</v>
          </cell>
        </row>
        <row r="172">
          <cell r="C172">
            <v>112.5</v>
          </cell>
          <cell r="D172">
            <v>-0.252257706472933</v>
          </cell>
        </row>
        <row r="173">
          <cell r="C173">
            <v>122.5</v>
          </cell>
          <cell r="D173">
            <v>-0.26862945253317799</v>
          </cell>
        </row>
        <row r="174">
          <cell r="C174">
            <v>120.5</v>
          </cell>
          <cell r="D174">
            <v>-0.26857173551055202</v>
          </cell>
        </row>
        <row r="175">
          <cell r="C175">
            <v>119</v>
          </cell>
          <cell r="D175">
            <v>-0.32225146355872702</v>
          </cell>
        </row>
        <row r="176">
          <cell r="C176">
            <v>117</v>
          </cell>
          <cell r="D176">
            <v>-0.32225146355872702</v>
          </cell>
        </row>
        <row r="177">
          <cell r="C177">
            <v>115.5</v>
          </cell>
          <cell r="D177">
            <v>-0.26861502095197098</v>
          </cell>
        </row>
        <row r="178">
          <cell r="C178">
            <v>0</v>
          </cell>
          <cell r="D17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F860-EC51-4277-8E60-B019519079B1}">
  <dimension ref="A1:T31"/>
  <sheetViews>
    <sheetView workbookViewId="0">
      <selection activeCell="E12" sqref="E12"/>
    </sheetView>
  </sheetViews>
  <sheetFormatPr defaultRowHeight="14.4" x14ac:dyDescent="0.3"/>
  <cols>
    <col min="2" max="2" width="9.21875" style="46" customWidth="1"/>
    <col min="3" max="3" width="9.5546875" style="50" customWidth="1"/>
    <col min="4" max="4" width="8.88671875" style="15"/>
    <col min="5" max="6" width="8.88671875" style="2"/>
    <col min="7" max="7" width="9.44140625" style="48" customWidth="1"/>
    <col min="8" max="8" width="8.88671875" style="42"/>
    <col min="9" max="9" width="11" customWidth="1"/>
    <col min="10" max="10" width="3.5546875" style="59" customWidth="1"/>
    <col min="11" max="11" width="8.88671875" style="50"/>
    <col min="13" max="13" width="8.88671875" style="2"/>
    <col min="14" max="14" width="9.5546875" style="2" customWidth="1"/>
    <col min="15" max="15" width="8.88671875" style="48"/>
    <col min="16" max="16" width="8.88671875" style="42"/>
    <col min="17" max="17" width="11" style="57" customWidth="1"/>
    <col min="18" max="18" width="8.88671875" style="50"/>
    <col min="19" max="19" width="8.88671875" style="42"/>
  </cols>
  <sheetData>
    <row r="1" spans="1:20" s="16" customFormat="1" ht="57.6" x14ac:dyDescent="0.3">
      <c r="A1" s="16" t="s">
        <v>333</v>
      </c>
      <c r="B1" s="47" t="s">
        <v>338</v>
      </c>
      <c r="C1" s="51" t="s">
        <v>336</v>
      </c>
      <c r="D1" s="44" t="s">
        <v>334</v>
      </c>
      <c r="E1" s="18" t="s">
        <v>340</v>
      </c>
      <c r="F1" s="18" t="s">
        <v>341</v>
      </c>
      <c r="G1" s="49" t="s">
        <v>349</v>
      </c>
      <c r="H1" s="41" t="s">
        <v>339</v>
      </c>
      <c r="I1" s="19" t="s">
        <v>342</v>
      </c>
      <c r="J1" s="58"/>
      <c r="K1" s="52" t="s">
        <v>337</v>
      </c>
      <c r="L1" s="44" t="s">
        <v>334</v>
      </c>
      <c r="M1" s="18" t="s">
        <v>343</v>
      </c>
      <c r="N1" s="18" t="s">
        <v>344</v>
      </c>
      <c r="O1" s="49" t="s">
        <v>346</v>
      </c>
      <c r="P1" s="41" t="s">
        <v>345</v>
      </c>
      <c r="Q1" s="55" t="s">
        <v>347</v>
      </c>
      <c r="R1" s="51" t="s">
        <v>348</v>
      </c>
      <c r="S1" s="41" t="s">
        <v>350</v>
      </c>
    </row>
    <row r="2" spans="1:20" x14ac:dyDescent="0.3">
      <c r="A2">
        <v>26</v>
      </c>
      <c r="B2" s="46">
        <v>73.583333333721384</v>
      </c>
      <c r="C2" s="53">
        <v>5.1588311832034682E-2</v>
      </c>
      <c r="D2" s="15">
        <v>6.1590380429956402E-4</v>
      </c>
      <c r="E2" s="2">
        <v>5.7873334488205099</v>
      </c>
      <c r="F2" s="2">
        <v>5.7357451369884744</v>
      </c>
      <c r="G2" s="48">
        <v>0.99018020920464844</v>
      </c>
      <c r="H2" s="42">
        <v>0.99108715712879436</v>
      </c>
      <c r="I2" s="11">
        <v>15280429329.269564</v>
      </c>
      <c r="K2" s="53">
        <v>263.68122837111423</v>
      </c>
      <c r="L2" s="15">
        <v>1.3341469510777499</v>
      </c>
      <c r="M2" s="2">
        <v>29671.872978452651</v>
      </c>
      <c r="N2" s="2">
        <v>29408.19175008154</v>
      </c>
      <c r="O2" s="48">
        <v>0.99075919295121195</v>
      </c>
      <c r="P2" s="42">
        <v>0.99111342824355597</v>
      </c>
      <c r="Q2" s="56">
        <v>15233194837.285135</v>
      </c>
      <c r="R2" s="53">
        <f>I2/Q2</f>
        <v>1.0031007607064026</v>
      </c>
      <c r="S2" s="42">
        <v>0.14075288420647866</v>
      </c>
    </row>
    <row r="3" spans="1:20" x14ac:dyDescent="0.3">
      <c r="A3" s="45" t="s">
        <v>335</v>
      </c>
      <c r="B3" s="46">
        <v>113.25000000046566</v>
      </c>
      <c r="C3" s="53">
        <v>0.26892215786494877</v>
      </c>
      <c r="D3" s="15">
        <v>3.8894125343624298E-3</v>
      </c>
      <c r="E3" s="2">
        <v>5.7357451369884744</v>
      </c>
      <c r="F3" s="2">
        <v>5.4668229791235259</v>
      </c>
      <c r="I3" s="11"/>
      <c r="K3" s="53">
        <v>1282.3522897823229</v>
      </c>
      <c r="L3" s="15">
        <v>7.9886830274947203</v>
      </c>
      <c r="M3" s="2">
        <v>29408.19175008154</v>
      </c>
      <c r="N3" s="2">
        <v>28125.839460299216</v>
      </c>
      <c r="Q3" s="56"/>
      <c r="R3" s="53"/>
      <c r="S3" s="42">
        <v>0.15087053679527337</v>
      </c>
    </row>
    <row r="4" spans="1:20" x14ac:dyDescent="0.3">
      <c r="A4">
        <v>26</v>
      </c>
      <c r="B4" s="46">
        <v>73.650000005494803</v>
      </c>
      <c r="C4" s="53">
        <v>4.8007050808055486E-2</v>
      </c>
      <c r="D4" s="15">
        <v>8.5116944692931803E-4</v>
      </c>
      <c r="E4" s="2">
        <v>5.4668229791235259</v>
      </c>
      <c r="F4" s="2">
        <v>5.4188159283154711</v>
      </c>
      <c r="G4" s="48">
        <v>0.99017135631665798</v>
      </c>
      <c r="H4" s="42">
        <v>0.99121968413359818</v>
      </c>
      <c r="I4" s="11">
        <v>15038706630.320127</v>
      </c>
      <c r="K4" s="53">
        <v>247.37790169969873</v>
      </c>
      <c r="L4" s="15">
        <v>1.94655116125656</v>
      </c>
      <c r="M4" s="2">
        <v>28125.839460299216</v>
      </c>
      <c r="N4" s="2">
        <v>27878.461558599516</v>
      </c>
      <c r="O4" s="48">
        <v>0.99075085959611675</v>
      </c>
      <c r="P4" s="42">
        <v>0.99120460379328823</v>
      </c>
      <c r="Q4" s="56">
        <v>15062564288.427212</v>
      </c>
      <c r="R4" s="53">
        <f t="shared" ref="R4:R30" si="0">I4/Q4</f>
        <v>0.99841609584860569</v>
      </c>
      <c r="S4" s="42">
        <v>0.13961411422442513</v>
      </c>
    </row>
    <row r="5" spans="1:20" x14ac:dyDescent="0.3">
      <c r="A5">
        <v>26</v>
      </c>
      <c r="B5" s="46">
        <v>75.283333332976326</v>
      </c>
      <c r="C5" s="53">
        <v>4.8545624269369203E-2</v>
      </c>
      <c r="D5" s="15">
        <v>9.9227378372916393E-4</v>
      </c>
      <c r="E5" s="2">
        <v>5.4188159283154711</v>
      </c>
      <c r="F5" s="2">
        <v>5.3702703040461017</v>
      </c>
      <c r="G5" s="48">
        <v>0.98995448530130159</v>
      </c>
      <c r="H5" s="42">
        <v>0.99104253159453337</v>
      </c>
      <c r="I5" s="11">
        <v>15010627119.003004</v>
      </c>
      <c r="K5" s="53">
        <v>249.99384438170395</v>
      </c>
      <c r="L5" s="15">
        <v>2.33523934609335</v>
      </c>
      <c r="M5" s="2">
        <v>27878.461558599516</v>
      </c>
      <c r="N5" s="2">
        <v>27628.467714217812</v>
      </c>
      <c r="O5" s="48">
        <v>0.99054671430635977</v>
      </c>
      <c r="P5" s="42">
        <v>0.99103272453337399</v>
      </c>
      <c r="Q5" s="56">
        <v>15025036279.003099</v>
      </c>
      <c r="R5" s="53">
        <f t="shared" si="0"/>
        <v>0.99904099000278412</v>
      </c>
      <c r="S5" s="42">
        <v>0.13970307802052742</v>
      </c>
    </row>
    <row r="6" spans="1:20" x14ac:dyDescent="0.3">
      <c r="A6" s="45" t="s">
        <v>335</v>
      </c>
      <c r="B6" s="46">
        <v>112.93333333311602</v>
      </c>
      <c r="C6" s="53">
        <v>0.27093913755875126</v>
      </c>
      <c r="D6" s="15">
        <v>5.6701415181577503E-3</v>
      </c>
      <c r="E6" s="2">
        <v>5.3702703040461017</v>
      </c>
      <c r="F6" s="2">
        <v>5.0993311664873504</v>
      </c>
      <c r="I6" s="10"/>
      <c r="K6" s="53">
        <v>1321.7849260274781</v>
      </c>
      <c r="L6" s="15">
        <v>13.087278933302199</v>
      </c>
      <c r="M6" s="2">
        <v>27628.467714217812</v>
      </c>
      <c r="N6" s="2">
        <v>26306.682788190334</v>
      </c>
      <c r="Q6" s="56"/>
      <c r="R6" s="53"/>
      <c r="S6" s="42">
        <v>0.14746744270555431</v>
      </c>
    </row>
    <row r="7" spans="1:20" x14ac:dyDescent="0.3">
      <c r="A7" s="45" t="s">
        <v>335</v>
      </c>
      <c r="B7" s="46">
        <v>126.633333329577</v>
      </c>
      <c r="C7" s="53">
        <v>0.41754737095329242</v>
      </c>
      <c r="D7" s="15">
        <v>8.7966394629807893E-3</v>
      </c>
      <c r="E7" s="2">
        <v>5.0993311664873504</v>
      </c>
      <c r="F7" s="2">
        <v>4.6817837955340575</v>
      </c>
      <c r="I7" s="11"/>
      <c r="K7" s="53">
        <v>1971.3345040045078</v>
      </c>
      <c r="L7" s="15">
        <v>20.044552496889999</v>
      </c>
      <c r="M7" s="2">
        <v>26306.682788190334</v>
      </c>
      <c r="N7" s="2">
        <v>24335.348284185828</v>
      </c>
      <c r="Q7" s="56"/>
      <c r="R7" s="53"/>
      <c r="S7" s="42">
        <v>0.15238093354654816</v>
      </c>
    </row>
    <row r="8" spans="1:20" x14ac:dyDescent="0.3">
      <c r="A8">
        <v>125</v>
      </c>
      <c r="B8" s="46">
        <v>52.933333336608484</v>
      </c>
      <c r="C8" s="53">
        <v>0.29933388066097327</v>
      </c>
      <c r="D8" s="15">
        <v>6.3147197361955497E-3</v>
      </c>
      <c r="E8" s="2">
        <v>4.6817837955340575</v>
      </c>
      <c r="F8" s="2">
        <v>4.3824499148730842</v>
      </c>
      <c r="G8" s="48">
        <v>0.92747402101310528</v>
      </c>
      <c r="H8" s="42">
        <v>0.93607443036954507</v>
      </c>
      <c r="I8" s="11">
        <v>117752713423.13338</v>
      </c>
      <c r="K8" s="53">
        <v>1445.9860284549145</v>
      </c>
      <c r="L8" s="15">
        <v>14.853989048165801</v>
      </c>
      <c r="M8" s="2">
        <v>24335.348284185828</v>
      </c>
      <c r="N8" s="2">
        <v>22889.362255730914</v>
      </c>
      <c r="O8" s="48">
        <v>0.93317710024917355</v>
      </c>
      <c r="P8" s="42">
        <v>0.94058083691390693</v>
      </c>
      <c r="Q8" s="56">
        <v>109173884425.06985</v>
      </c>
      <c r="R8" s="53">
        <f t="shared" si="0"/>
        <v>1.0785794976815311</v>
      </c>
      <c r="S8" s="42">
        <v>0.14892821323698463</v>
      </c>
      <c r="T8" s="2"/>
    </row>
    <row r="9" spans="1:20" x14ac:dyDescent="0.3">
      <c r="A9">
        <v>125</v>
      </c>
      <c r="B9" s="46">
        <v>53.100000000325963</v>
      </c>
      <c r="C9" s="53">
        <v>0.31112000385491739</v>
      </c>
      <c r="D9" s="15">
        <v>6.5656418069958396E-3</v>
      </c>
      <c r="E9" s="2">
        <v>4.3824499148730842</v>
      </c>
      <c r="F9" s="2">
        <v>4.0713299110181671</v>
      </c>
      <c r="G9" s="48">
        <v>0.92725417938780597</v>
      </c>
      <c r="H9" s="42">
        <v>0.92901995279865568</v>
      </c>
      <c r="I9" s="11">
        <v>130826615372.8532</v>
      </c>
      <c r="K9" s="53">
        <v>1509.3238604405519</v>
      </c>
      <c r="L9" s="15">
        <v>15.581772651168899</v>
      </c>
      <c r="M9" s="2">
        <v>22889.362255730914</v>
      </c>
      <c r="N9" s="2">
        <v>21380.038395290358</v>
      </c>
      <c r="O9" s="48">
        <v>0.93297391460631873</v>
      </c>
      <c r="P9" s="42">
        <v>0.93406003000093807</v>
      </c>
      <c r="Q9" s="56">
        <v>121190916799.40912</v>
      </c>
      <c r="R9" s="53">
        <f t="shared" si="0"/>
        <v>1.0795084221484414</v>
      </c>
      <c r="S9" s="42">
        <v>0.14829643045428698</v>
      </c>
      <c r="T9" s="2"/>
    </row>
    <row r="10" spans="1:20" x14ac:dyDescent="0.3">
      <c r="A10">
        <v>125</v>
      </c>
      <c r="B10" s="46">
        <v>53.100000000325963</v>
      </c>
      <c r="C10" s="53">
        <v>0.29124125334385509</v>
      </c>
      <c r="D10" s="15">
        <v>6.1484163921602698E-3</v>
      </c>
      <c r="E10" s="2">
        <v>4.0713299110181671</v>
      </c>
      <c r="F10" s="2">
        <v>3.780088657674312</v>
      </c>
      <c r="G10" s="48">
        <v>0.92725417938780597</v>
      </c>
      <c r="H10" s="42">
        <v>0.92847856852833166</v>
      </c>
      <c r="I10" s="11">
        <v>131864225094.60469</v>
      </c>
      <c r="K10" s="53">
        <v>1412.8671912131679</v>
      </c>
      <c r="L10" s="15">
        <v>14.615260665712</v>
      </c>
      <c r="M10" s="2">
        <v>21380.038395290358</v>
      </c>
      <c r="N10" s="2">
        <v>19967.171204077189</v>
      </c>
      <c r="O10" s="48">
        <v>0.93297391460631873</v>
      </c>
      <c r="P10" s="42">
        <v>0.9339165269448535</v>
      </c>
      <c r="Q10" s="56">
        <v>121463885369.34998</v>
      </c>
      <c r="R10" s="53">
        <f t="shared" si="0"/>
        <v>1.0856249550525174</v>
      </c>
      <c r="S10" s="42">
        <v>0.14829849744223364</v>
      </c>
      <c r="T10" s="2"/>
    </row>
    <row r="11" spans="1:20" x14ac:dyDescent="0.3">
      <c r="A11" s="45" t="s">
        <v>335</v>
      </c>
      <c r="B11" s="46">
        <v>73.600000004284084</v>
      </c>
      <c r="C11" s="53">
        <v>0.42240035925230157</v>
      </c>
      <c r="D11" s="15">
        <v>8.6691700418214408E-3</v>
      </c>
      <c r="E11" s="2">
        <v>3.780088657674312</v>
      </c>
      <c r="F11" s="2">
        <v>3.3576882984220102</v>
      </c>
      <c r="I11" s="11"/>
      <c r="K11" s="53">
        <v>2032.1138816839236</v>
      </c>
      <c r="L11" s="15">
        <v>20.752110905473302</v>
      </c>
      <c r="M11" s="2">
        <v>19967.171204077189</v>
      </c>
      <c r="N11" s="2">
        <v>17935.057322393266</v>
      </c>
      <c r="Q11" s="56"/>
      <c r="R11" s="53"/>
      <c r="S11" s="42">
        <v>0.14954139789124804</v>
      </c>
    </row>
    <row r="12" spans="1:20" x14ac:dyDescent="0.3">
      <c r="A12">
        <v>150</v>
      </c>
      <c r="B12" s="46">
        <v>73.583333323244005</v>
      </c>
      <c r="C12" s="53">
        <v>0.50167696175749998</v>
      </c>
      <c r="D12" s="15">
        <v>8.5645454760565204E-3</v>
      </c>
      <c r="E12" s="2">
        <v>3.3576882984220102</v>
      </c>
      <c r="F12" s="2">
        <v>2.8560113366645101</v>
      </c>
      <c r="G12" s="48">
        <v>0.85119447929776326</v>
      </c>
      <c r="H12" s="42">
        <v>0.85062211800012177</v>
      </c>
      <c r="I12" s="11">
        <v>195209482944.08044</v>
      </c>
      <c r="K12" s="53">
        <v>2398.8071608544346</v>
      </c>
      <c r="L12" s="15">
        <v>22.160017806267401</v>
      </c>
      <c r="M12" s="2">
        <v>17935.057322393266</v>
      </c>
      <c r="N12" s="2">
        <v>15536.250161538834</v>
      </c>
      <c r="O12" s="48">
        <v>0.86297681598657128</v>
      </c>
      <c r="P12" s="42">
        <v>0.86625037669328542</v>
      </c>
      <c r="Q12" s="56">
        <v>173200264018.61441</v>
      </c>
      <c r="R12" s="53">
        <f t="shared" si="0"/>
        <v>1.1270738185658922</v>
      </c>
      <c r="S12" s="42">
        <v>0.15045756216386527</v>
      </c>
    </row>
    <row r="13" spans="1:20" x14ac:dyDescent="0.3">
      <c r="A13">
        <v>150</v>
      </c>
      <c r="B13" s="46">
        <v>52.850000004749745</v>
      </c>
      <c r="C13" s="53">
        <v>0.29929773274683341</v>
      </c>
      <c r="D13" s="15">
        <v>4.4699621506438204E-3</v>
      </c>
      <c r="E13" s="2">
        <v>2.8560113366645101</v>
      </c>
      <c r="F13" s="2">
        <v>2.5567136039176765</v>
      </c>
      <c r="G13" s="48">
        <v>0.89072645882245916</v>
      </c>
      <c r="H13" s="42">
        <v>0.8952319415690958</v>
      </c>
      <c r="I13" s="11">
        <v>185928443179.71725</v>
      </c>
      <c r="K13" s="53">
        <v>1497.537173911925</v>
      </c>
      <c r="L13" s="15">
        <v>12.7038823603992</v>
      </c>
      <c r="M13" s="2">
        <v>15536.250161538834</v>
      </c>
      <c r="N13" s="2">
        <v>14038.71298762691</v>
      </c>
      <c r="O13" s="48">
        <v>0.89956477924210143</v>
      </c>
      <c r="P13" s="42">
        <v>0.9036101273897359</v>
      </c>
      <c r="Q13" s="56">
        <v>170231579749.31992</v>
      </c>
      <c r="R13" s="53">
        <f t="shared" si="0"/>
        <v>1.0922088807112773</v>
      </c>
      <c r="S13" s="42">
        <v>0.1437841501639224</v>
      </c>
    </row>
    <row r="14" spans="1:20" x14ac:dyDescent="0.3">
      <c r="A14">
        <v>150</v>
      </c>
      <c r="B14" s="46">
        <v>88.399999995948747</v>
      </c>
      <c r="C14" s="53">
        <v>0.4501909672754319</v>
      </c>
      <c r="D14" s="15">
        <v>6.2783839732323604E-3</v>
      </c>
      <c r="E14" s="2">
        <v>2.5567136039176765</v>
      </c>
      <c r="F14" s="2">
        <v>2.1065226366422447</v>
      </c>
      <c r="G14" s="48">
        <v>0.82402325217396633</v>
      </c>
      <c r="H14" s="42">
        <v>0.82397000511870022</v>
      </c>
      <c r="I14" s="11">
        <v>194478650746.91919</v>
      </c>
      <c r="K14" s="53">
        <v>2237.666533523538</v>
      </c>
      <c r="L14" s="15">
        <v>16.709317487986102</v>
      </c>
      <c r="M14" s="2">
        <v>14038.71298762691</v>
      </c>
      <c r="N14" s="2">
        <v>11801.046454103373</v>
      </c>
      <c r="O14" s="48">
        <v>0.83774525519665255</v>
      </c>
      <c r="P14" s="42">
        <v>0.8406074306458351</v>
      </c>
      <c r="Q14" s="56">
        <v>174342768480.62213</v>
      </c>
      <c r="R14" s="53">
        <f t="shared" si="0"/>
        <v>1.1154959419411488</v>
      </c>
      <c r="S14" s="42">
        <v>0.14473934738315886</v>
      </c>
    </row>
    <row r="15" spans="1:20" x14ac:dyDescent="0.3">
      <c r="A15">
        <v>175</v>
      </c>
      <c r="B15" s="46">
        <v>53.116666670888662</v>
      </c>
      <c r="C15" s="53">
        <v>0.31844047474066822</v>
      </c>
      <c r="D15" s="15">
        <v>4.5475058602175702E-3</v>
      </c>
      <c r="E15" s="2">
        <v>2.1065226366422447</v>
      </c>
      <c r="F15" s="2">
        <v>1.7880821619015768</v>
      </c>
      <c r="G15" s="48">
        <v>0.8426691532065822</v>
      </c>
      <c r="H15" s="42">
        <v>0.84888528386971662</v>
      </c>
      <c r="I15" s="11">
        <v>258599202150.57742</v>
      </c>
      <c r="K15" s="53">
        <v>1626.2654636233951</v>
      </c>
      <c r="L15" s="15">
        <v>10.8393552708245</v>
      </c>
      <c r="M15" s="2">
        <v>11801.046454103373</v>
      </c>
      <c r="N15" s="2">
        <v>10174.780990479976</v>
      </c>
      <c r="O15" s="48">
        <v>0.85557344498045418</v>
      </c>
      <c r="P15" s="42">
        <v>0.8621931139794875</v>
      </c>
      <c r="Q15" s="56">
        <v>233955121529.12054</v>
      </c>
      <c r="R15" s="53">
        <f t="shared" si="0"/>
        <v>1.1053367862194434</v>
      </c>
      <c r="S15" s="42">
        <v>0.14087113810402968</v>
      </c>
    </row>
    <row r="16" spans="1:20" x14ac:dyDescent="0.3">
      <c r="A16">
        <v>175</v>
      </c>
      <c r="B16" s="46">
        <v>53.116666670888662</v>
      </c>
      <c r="C16" s="53">
        <v>0.27220409084091063</v>
      </c>
      <c r="D16" s="15">
        <v>4.0038170349262501E-3</v>
      </c>
      <c r="E16" s="2">
        <v>1.7880821619015768</v>
      </c>
      <c r="F16" s="2">
        <v>1.5158780710606665</v>
      </c>
      <c r="G16" s="48">
        <v>0.8426691532065822</v>
      </c>
      <c r="H16" s="42">
        <v>0.84783171712263528</v>
      </c>
      <c r="I16" s="11">
        <v>260577572106.45251</v>
      </c>
      <c r="K16" s="53">
        <v>1404.118341654779</v>
      </c>
      <c r="L16" s="15">
        <v>8.4619063372195704</v>
      </c>
      <c r="M16" s="2">
        <v>10174.780990479976</v>
      </c>
      <c r="N16" s="2">
        <v>8770.6626488251968</v>
      </c>
      <c r="O16" s="48">
        <v>0.85557344498045418</v>
      </c>
      <c r="P16" s="42">
        <v>0.86200014103806843</v>
      </c>
      <c r="Q16" s="56">
        <v>234308306453.80096</v>
      </c>
      <c r="R16" s="53">
        <f t="shared" si="0"/>
        <v>1.1121141032097004</v>
      </c>
      <c r="S16" s="42">
        <v>0.13946850160059993</v>
      </c>
    </row>
    <row r="17" spans="1:19" x14ac:dyDescent="0.3">
      <c r="A17">
        <v>175</v>
      </c>
      <c r="B17" s="46">
        <v>53.100000000325963</v>
      </c>
      <c r="C17" s="53">
        <v>0.22775251227704107</v>
      </c>
      <c r="D17" s="15">
        <v>3.54037710613724E-3</v>
      </c>
      <c r="E17" s="2">
        <v>1.5158780710606665</v>
      </c>
      <c r="F17" s="2">
        <v>1.2881255587836256</v>
      </c>
      <c r="G17" s="48">
        <v>0.84271441606802644</v>
      </c>
      <c r="H17" s="42">
        <v>0.84983005937220746</v>
      </c>
      <c r="I17" s="11">
        <v>256962875206.58679</v>
      </c>
      <c r="K17" s="53">
        <v>1210.8251747503566</v>
      </c>
      <c r="L17" s="15">
        <v>6.28095895713885</v>
      </c>
      <c r="M17" s="2">
        <v>8770.6626488251968</v>
      </c>
      <c r="N17" s="2">
        <v>7559.8374740748404</v>
      </c>
      <c r="O17" s="48">
        <v>0.85561532088250014</v>
      </c>
      <c r="P17" s="42">
        <v>0.86194598706717529</v>
      </c>
      <c r="Q17" s="56">
        <v>234481009127.63193</v>
      </c>
      <c r="R17" s="53">
        <f t="shared" si="0"/>
        <v>1.0958792618753939</v>
      </c>
      <c r="S17" s="42">
        <v>0.13532154077540237</v>
      </c>
    </row>
    <row r="18" spans="1:19" x14ac:dyDescent="0.3">
      <c r="A18">
        <v>175</v>
      </c>
      <c r="B18" s="46">
        <v>53.116666660411283</v>
      </c>
      <c r="C18" s="53">
        <v>0.19286131516368543</v>
      </c>
      <c r="D18" s="15">
        <v>3.1465081310393301E-3</v>
      </c>
      <c r="E18" s="2">
        <v>1.2881255587836256</v>
      </c>
      <c r="F18" s="2">
        <v>1.0952642436199405</v>
      </c>
      <c r="G18" s="48">
        <v>0.84266915323503555</v>
      </c>
      <c r="H18" s="42">
        <v>0.85036511013757576</v>
      </c>
      <c r="I18" s="11">
        <v>255912989562.39804</v>
      </c>
      <c r="K18" s="53">
        <v>1041.7998145506419</v>
      </c>
      <c r="L18" s="15">
        <v>4.7996887915809303</v>
      </c>
      <c r="M18" s="2">
        <v>7559.8374740748404</v>
      </c>
      <c r="N18" s="2">
        <v>6518.0376595241978</v>
      </c>
      <c r="O18" s="48">
        <v>0.85557344500677857</v>
      </c>
      <c r="P18" s="42">
        <v>0.86219282912849438</v>
      </c>
      <c r="Q18" s="56">
        <v>233955642859.92914</v>
      </c>
      <c r="R18" s="53">
        <f t="shared" si="0"/>
        <v>1.0938526057078901</v>
      </c>
      <c r="S18" s="42">
        <v>0.1331821580901511</v>
      </c>
    </row>
    <row r="19" spans="1:19" x14ac:dyDescent="0.3">
      <c r="A19" s="45" t="s">
        <v>335</v>
      </c>
      <c r="B19" s="46">
        <v>53.116666670888662</v>
      </c>
      <c r="C19" s="53">
        <v>0.16354192757010144</v>
      </c>
      <c r="D19" s="15">
        <v>2.8204447934800599E-3</v>
      </c>
      <c r="E19" s="2">
        <v>1.0952642436199405</v>
      </c>
      <c r="F19" s="2">
        <v>0.93172231604983935</v>
      </c>
      <c r="I19" s="11"/>
      <c r="K19" s="53">
        <v>895.43985021398009</v>
      </c>
      <c r="L19" s="15">
        <v>3.6712919347845001</v>
      </c>
      <c r="M19" s="2">
        <v>6518.0376595241978</v>
      </c>
      <c r="N19" s="2">
        <v>5622.5978093102167</v>
      </c>
      <c r="Q19" s="56"/>
      <c r="R19" s="53"/>
      <c r="S19" s="42">
        <v>0.13139471397431904</v>
      </c>
    </row>
    <row r="20" spans="1:19" x14ac:dyDescent="0.3">
      <c r="A20">
        <v>200</v>
      </c>
      <c r="B20" s="46">
        <v>53.200000002747402</v>
      </c>
      <c r="C20" s="53">
        <v>0.17352054548085377</v>
      </c>
      <c r="D20" s="15">
        <v>3.2266979181095699E-3</v>
      </c>
      <c r="E20" s="2">
        <v>0.93172231604983935</v>
      </c>
      <c r="F20" s="2">
        <v>0.75820177056898519</v>
      </c>
      <c r="G20" s="48">
        <v>0.7843000095412872</v>
      </c>
      <c r="H20" s="42">
        <v>0.81391421225185012</v>
      </c>
      <c r="I20" s="11">
        <v>307499722913.27136</v>
      </c>
      <c r="K20" s="53">
        <v>952.2009629101284</v>
      </c>
      <c r="L20" s="15">
        <v>3.41426849629952</v>
      </c>
      <c r="M20" s="2">
        <v>5622.5978093102167</v>
      </c>
      <c r="N20" s="2">
        <v>4670.39684640009</v>
      </c>
      <c r="O20" s="48">
        <v>0.80200116341022543</v>
      </c>
      <c r="P20" s="42">
        <v>0.83064750579644553</v>
      </c>
      <c r="Q20" s="56">
        <v>276858667633.95343</v>
      </c>
      <c r="R20" s="53">
        <f t="shared" si="0"/>
        <v>1.1106739967405672</v>
      </c>
      <c r="S20" s="42">
        <v>0.13110144777090707</v>
      </c>
    </row>
    <row r="21" spans="1:19" x14ac:dyDescent="0.3">
      <c r="A21">
        <v>200</v>
      </c>
      <c r="B21" s="46">
        <v>53.099999989848584</v>
      </c>
      <c r="C21" s="53">
        <v>0.160370918628883</v>
      </c>
      <c r="D21" s="15">
        <v>3.16227671465296E-3</v>
      </c>
      <c r="E21" s="2">
        <v>0.75820177056898519</v>
      </c>
      <c r="F21" s="2">
        <v>0.59783085194010255</v>
      </c>
      <c r="G21" s="48">
        <v>0.78465828012523631</v>
      </c>
      <c r="H21" s="42">
        <v>0.78869523731720703</v>
      </c>
      <c r="I21" s="11">
        <v>355252764402.18634</v>
      </c>
      <c r="K21" s="53">
        <v>887.54732524964345</v>
      </c>
      <c r="L21" s="15">
        <v>2.9862825658639398</v>
      </c>
      <c r="M21" s="2">
        <v>4670.39684640009</v>
      </c>
      <c r="N21" s="2">
        <v>3782.8495211504451</v>
      </c>
      <c r="O21" s="48">
        <v>0.8023338597405596</v>
      </c>
      <c r="P21" s="42">
        <v>0.80996318847428128</v>
      </c>
      <c r="Q21" s="56">
        <v>315076774355.73694</v>
      </c>
      <c r="R21" s="53">
        <f t="shared" si="0"/>
        <v>1.1275117473466603</v>
      </c>
      <c r="S21" s="42">
        <v>0.12999279961895113</v>
      </c>
    </row>
    <row r="22" spans="1:19" x14ac:dyDescent="0.3">
      <c r="A22">
        <v>200</v>
      </c>
      <c r="B22" s="46">
        <v>73.566666673636064</v>
      </c>
      <c r="C22" s="53">
        <v>0.17539908654185651</v>
      </c>
      <c r="D22" s="15">
        <v>3.7987467074270401E-3</v>
      </c>
      <c r="E22" s="2">
        <v>0.59783085194010255</v>
      </c>
      <c r="F22" s="2">
        <v>0.42243176539824567</v>
      </c>
      <c r="G22" s="48">
        <v>0.71463886163584145</v>
      </c>
      <c r="H22" s="42">
        <v>0.70697695438447516</v>
      </c>
      <c r="I22" s="11">
        <v>374720949315.73419</v>
      </c>
      <c r="K22" s="53">
        <v>987.07743937232522</v>
      </c>
      <c r="L22" s="15">
        <v>3.27183122980813</v>
      </c>
      <c r="M22" s="2">
        <v>3782.8495211504451</v>
      </c>
      <c r="N22" s="2">
        <v>2795.7720817781192</v>
      </c>
      <c r="O22" s="48">
        <v>0.7370383968991967</v>
      </c>
      <c r="P22" s="42">
        <v>0.73906510585381824</v>
      </c>
      <c r="Q22" s="56">
        <v>326261578736.25952</v>
      </c>
      <c r="R22" s="53">
        <f t="shared" si="0"/>
        <v>1.1485291978515431</v>
      </c>
      <c r="S22" s="42">
        <v>0.12783839257416435</v>
      </c>
    </row>
    <row r="23" spans="1:19" x14ac:dyDescent="0.3">
      <c r="A23">
        <v>250</v>
      </c>
      <c r="B23" s="46">
        <v>53.183333332184702</v>
      </c>
      <c r="C23" s="53">
        <v>0.15208041092401742</v>
      </c>
      <c r="D23" s="15">
        <v>3.9273862073683696E-3</v>
      </c>
      <c r="E23" s="2">
        <v>0.42243176539824567</v>
      </c>
      <c r="F23" s="2">
        <v>0.27035135447422842</v>
      </c>
      <c r="G23" s="48">
        <v>0.6410410012273241</v>
      </c>
      <c r="H23" s="42">
        <v>0.64062946109324925</v>
      </c>
      <c r="I23" s="11">
        <v>602456250492.82336</v>
      </c>
      <c r="K23" s="53">
        <v>898.00748216833097</v>
      </c>
      <c r="L23" s="15">
        <v>3.0124375939200601</v>
      </c>
      <c r="M23" s="2">
        <v>2795.7720817781192</v>
      </c>
      <c r="N23" s="2">
        <v>1897.764599609789</v>
      </c>
      <c r="O23" s="48">
        <v>0.66932803666650309</v>
      </c>
      <c r="P23" s="42">
        <v>0.67879803649902859</v>
      </c>
      <c r="Q23" s="56">
        <v>522983940449.34253</v>
      </c>
      <c r="R23" s="53">
        <f t="shared" si="0"/>
        <v>1.1519593698712796</v>
      </c>
      <c r="S23" s="42">
        <v>0.12183681065446474</v>
      </c>
    </row>
    <row r="24" spans="1:19" x14ac:dyDescent="0.3">
      <c r="A24">
        <v>250</v>
      </c>
      <c r="B24" s="46">
        <v>53.133333330973983</v>
      </c>
      <c r="C24" s="53">
        <v>9.7699706092533492E-2</v>
      </c>
      <c r="D24" s="15">
        <v>2.9506461393913001E-3</v>
      </c>
      <c r="E24" s="2">
        <v>0.27035135447422842</v>
      </c>
      <c r="F24" s="2">
        <v>0.17265164838169511</v>
      </c>
      <c r="G24" s="48">
        <v>0.64130904204233063</v>
      </c>
      <c r="H24" s="42">
        <v>0.6396242628022506</v>
      </c>
      <c r="I24" s="11">
        <v>605915910072.89294</v>
      </c>
      <c r="K24" s="53">
        <v>609.83820256776039</v>
      </c>
      <c r="L24" s="15">
        <v>2.0700436913965001</v>
      </c>
      <c r="M24" s="2">
        <v>1897.764599609789</v>
      </c>
      <c r="N24" s="2">
        <v>1287.9263970420288</v>
      </c>
      <c r="O24" s="48">
        <v>0.66958072223577714</v>
      </c>
      <c r="P24" s="42">
        <v>0.67865445340631148</v>
      </c>
      <c r="Q24" s="56">
        <v>523761915162.43732</v>
      </c>
      <c r="R24" s="53">
        <f t="shared" si="0"/>
        <v>1.1568537011420097</v>
      </c>
      <c r="S24" s="42">
        <v>0.11525607619201644</v>
      </c>
    </row>
    <row r="25" spans="1:19" x14ac:dyDescent="0.3">
      <c r="A25">
        <v>250</v>
      </c>
      <c r="B25" s="46">
        <v>53.133333330973983</v>
      </c>
      <c r="C25" s="53">
        <v>6.0705809331854793E-2</v>
      </c>
      <c r="D25" s="15">
        <v>2.1196729921609601E-3</v>
      </c>
      <c r="E25" s="2">
        <v>0.17265164838169511</v>
      </c>
      <c r="F25" s="2">
        <v>0.11194583904984068</v>
      </c>
      <c r="G25" s="48">
        <v>0.64130904204233063</v>
      </c>
      <c r="H25" s="42">
        <v>0.64991974985154699</v>
      </c>
      <c r="I25" s="11">
        <v>585397893952.96594</v>
      </c>
      <c r="K25" s="53">
        <v>412.23524251069904</v>
      </c>
      <c r="L25" s="15">
        <v>1.42433574049317</v>
      </c>
      <c r="M25" s="2">
        <v>1287.9263970420288</v>
      </c>
      <c r="N25" s="2">
        <v>875.69115453133054</v>
      </c>
      <c r="O25" s="48">
        <v>0.66958072223577714</v>
      </c>
      <c r="P25" s="42">
        <v>0.6799232910689027</v>
      </c>
      <c r="Q25" s="56">
        <v>521238123805.51843</v>
      </c>
      <c r="R25" s="53">
        <f t="shared" si="0"/>
        <v>1.1230910925682529</v>
      </c>
      <c r="S25" s="42">
        <v>0.10594252897361889</v>
      </c>
    </row>
    <row r="26" spans="1:19" x14ac:dyDescent="0.3">
      <c r="A26">
        <v>250</v>
      </c>
      <c r="B26" s="46">
        <v>53.116666670888662</v>
      </c>
      <c r="C26" s="53">
        <v>3.7876758762629005E-2</v>
      </c>
      <c r="D26" s="15">
        <v>1.56317477399985E-3</v>
      </c>
      <c r="E26" s="2">
        <v>0.11194583904984068</v>
      </c>
      <c r="F26" s="2">
        <v>7.4069080287211264E-2</v>
      </c>
      <c r="G26" s="48">
        <v>0.64139841384686891</v>
      </c>
      <c r="H26" s="42">
        <v>0.66391399333277601</v>
      </c>
      <c r="I26" s="11">
        <v>558220700941.46216</v>
      </c>
      <c r="K26" s="53">
        <v>278.75230741797435</v>
      </c>
      <c r="L26" s="15">
        <v>0.99535964592249904</v>
      </c>
      <c r="M26" s="2">
        <v>875.69115453133054</v>
      </c>
      <c r="N26" s="2">
        <v>596.93884711335704</v>
      </c>
      <c r="O26" s="48">
        <v>0.66966497192048535</v>
      </c>
      <c r="P26" s="42">
        <v>0.68167737452234334</v>
      </c>
      <c r="Q26" s="56">
        <v>517919354550.88788</v>
      </c>
      <c r="R26" s="53">
        <f t="shared" si="0"/>
        <v>1.0778139415653263</v>
      </c>
      <c r="S26" s="42">
        <v>9.7755125287071393E-2</v>
      </c>
    </row>
    <row r="27" spans="1:19" x14ac:dyDescent="0.3">
      <c r="A27">
        <v>250</v>
      </c>
      <c r="B27" s="46">
        <v>52.866666664835066</v>
      </c>
      <c r="C27" s="53">
        <v>2.4932073493462409E-2</v>
      </c>
      <c r="D27" s="15">
        <v>1.1294759240760501E-3</v>
      </c>
      <c r="E27" s="2">
        <v>7.4069080287211264E-2</v>
      </c>
      <c r="F27" s="2">
        <v>4.9137006793748661E-2</v>
      </c>
      <c r="G27" s="48">
        <v>0.64274048701584563</v>
      </c>
      <c r="H27" s="42">
        <v>0.66339431518812364</v>
      </c>
      <c r="I27" s="11">
        <v>557287289410.98254</v>
      </c>
      <c r="K27" s="53">
        <v>187.74177496433666</v>
      </c>
      <c r="L27" s="15">
        <v>0.68909878205511299</v>
      </c>
      <c r="M27" s="2">
        <v>596.93884711335704</v>
      </c>
      <c r="N27" s="2">
        <v>409.19707214902155</v>
      </c>
      <c r="O27" s="48">
        <v>0.6709299905503342</v>
      </c>
      <c r="P27" s="42">
        <v>0.6854924488962203</v>
      </c>
      <c r="Q27" s="56">
        <v>512789764746.94519</v>
      </c>
      <c r="R27" s="53">
        <f t="shared" si="0"/>
        <v>1.0867753760373831</v>
      </c>
      <c r="S27" s="42">
        <v>9.5539437207748823E-2</v>
      </c>
    </row>
    <row r="28" spans="1:19" x14ac:dyDescent="0.3">
      <c r="A28">
        <v>250</v>
      </c>
      <c r="B28" s="46">
        <v>53.100000000325963</v>
      </c>
      <c r="C28" s="53">
        <v>1.5986991127221094E-2</v>
      </c>
      <c r="D28" s="15">
        <v>7.7028272808995005E-4</v>
      </c>
      <c r="E28" s="2">
        <v>4.9137006793748661E-2</v>
      </c>
      <c r="F28" s="2">
        <v>3.3150015666527644E-2</v>
      </c>
      <c r="G28" s="48">
        <v>0.64148779816231383</v>
      </c>
      <c r="H28" s="42">
        <v>0.67464458723898246</v>
      </c>
      <c r="I28" s="11">
        <v>532102718304.91479</v>
      </c>
      <c r="K28" s="53">
        <v>128.8066904422254</v>
      </c>
      <c r="L28" s="15">
        <v>0.48602450098614602</v>
      </c>
      <c r="M28" s="2">
        <v>409.19707214902155</v>
      </c>
      <c r="N28" s="2">
        <v>280.39038170679487</v>
      </c>
      <c r="O28" s="48">
        <v>0.6697492322588442</v>
      </c>
      <c r="P28" s="42">
        <v>0.68522088937303582</v>
      </c>
      <c r="Q28" s="56">
        <v>511072152561.84723</v>
      </c>
      <c r="R28" s="53">
        <f t="shared" si="0"/>
        <v>1.0411498956412473</v>
      </c>
      <c r="S28" s="42">
        <v>8.9292197681187277E-2</v>
      </c>
    </row>
    <row r="29" spans="1:19" x14ac:dyDescent="0.3">
      <c r="A29">
        <v>250</v>
      </c>
      <c r="B29" s="46">
        <v>159.9499999997206</v>
      </c>
      <c r="C29" s="53">
        <v>2.5958585505244349E-2</v>
      </c>
      <c r="D29" s="15">
        <v>1.31325990464294E-3</v>
      </c>
      <c r="E29" s="2">
        <v>3.3150015666527644E-2</v>
      </c>
      <c r="F29" s="2">
        <v>7.1914301612832077E-3</v>
      </c>
      <c r="G29" s="48">
        <v>0.26254574409431303</v>
      </c>
      <c r="H29" s="42">
        <v>0.21693595060784737</v>
      </c>
      <c r="I29" s="11">
        <v>685885235066.15881</v>
      </c>
      <c r="K29" s="53">
        <v>215.40655558841328</v>
      </c>
      <c r="L29" s="15">
        <v>0.952648420230639</v>
      </c>
      <c r="M29" s="2">
        <v>280.39038170679487</v>
      </c>
      <c r="N29" s="2">
        <v>64.983826118383149</v>
      </c>
      <c r="O29" s="48">
        <v>0.29895488573609208</v>
      </c>
      <c r="P29" s="42">
        <v>0.23176196602327445</v>
      </c>
      <c r="Q29" s="56">
        <v>656213489411.44897</v>
      </c>
      <c r="R29" s="53">
        <f t="shared" si="0"/>
        <v>1.0452166042507327</v>
      </c>
      <c r="S29" s="42">
        <v>8.6697646316591145E-2</v>
      </c>
    </row>
    <row r="30" spans="1:19" x14ac:dyDescent="0.3">
      <c r="A30">
        <v>250</v>
      </c>
      <c r="B30" s="46">
        <v>52.933333336608484</v>
      </c>
      <c r="C30" s="53">
        <v>4.9415880327102497E-3</v>
      </c>
      <c r="D30" s="15">
        <v>2.5225490402324102E-4</v>
      </c>
      <c r="E30" s="2">
        <v>7.1914301612832077E-3</v>
      </c>
      <c r="F30" s="2">
        <v>2.249842128573043E-3</v>
      </c>
      <c r="G30" s="48">
        <v>0.64238232648366189</v>
      </c>
      <c r="H30" s="42">
        <v>0.31285044533778672</v>
      </c>
      <c r="I30" s="11">
        <v>1576002585441.7698</v>
      </c>
      <c r="K30" s="53">
        <v>41.861090984028579</v>
      </c>
      <c r="L30" s="15">
        <v>0.20529329055940301</v>
      </c>
      <c r="M30" s="2">
        <v>64.983826118383149</v>
      </c>
      <c r="N30" s="2">
        <v>23.122735134355025</v>
      </c>
      <c r="O30" s="48">
        <v>0.67059241876180098</v>
      </c>
      <c r="P30" s="42">
        <v>0.35582292572665059</v>
      </c>
      <c r="Q30" s="56">
        <v>1401442508382.2932</v>
      </c>
      <c r="R30" s="53">
        <f t="shared" si="0"/>
        <v>1.1245574299447887</v>
      </c>
      <c r="S30" s="42">
        <v>8.4926102510431076E-2</v>
      </c>
    </row>
    <row r="31" spans="1:19" x14ac:dyDescent="0.3">
      <c r="A31" t="s">
        <v>332</v>
      </c>
      <c r="B31" s="46">
        <v>52.183333328925073</v>
      </c>
      <c r="C31" s="54">
        <v>2.249842128572647E-3</v>
      </c>
      <c r="E31" s="2">
        <v>2.249842128573043E-3</v>
      </c>
      <c r="F31" s="2">
        <v>0</v>
      </c>
      <c r="K31" s="54">
        <v>23.122735134354027</v>
      </c>
      <c r="L31" s="15"/>
      <c r="M31" s="2">
        <v>23.122735134355025</v>
      </c>
      <c r="N31" s="2">
        <v>0</v>
      </c>
      <c r="S31" s="43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240-BDA1-4056-B5B5-6F7FF1D4B14B}">
  <dimension ref="A1:AQ50"/>
  <sheetViews>
    <sheetView zoomScale="81" zoomScaleNormal="70" workbookViewId="0">
      <selection activeCell="V34" sqref="V34:AA34"/>
    </sheetView>
  </sheetViews>
  <sheetFormatPr defaultRowHeight="14.4" x14ac:dyDescent="0.3"/>
  <cols>
    <col min="17" max="17" width="9.5546875" customWidth="1"/>
    <col min="32" max="32" width="9.5546875" customWidth="1"/>
  </cols>
  <sheetData>
    <row r="1" spans="1:43" s="16" customFormat="1" ht="58.2" customHeight="1" x14ac:dyDescent="0.3">
      <c r="A1" s="60" t="s">
        <v>248</v>
      </c>
      <c r="B1" s="60"/>
      <c r="C1" s="60"/>
      <c r="D1" s="60"/>
      <c r="Z1" s="16" t="s">
        <v>153</v>
      </c>
      <c r="AA1" s="16" t="s">
        <v>277</v>
      </c>
      <c r="AD1" s="19" t="s">
        <v>256</v>
      </c>
      <c r="AF1" s="16" t="s">
        <v>261</v>
      </c>
      <c r="AH1" s="16" t="s">
        <v>269</v>
      </c>
      <c r="AI1" s="16" t="s">
        <v>268</v>
      </c>
      <c r="AK1" s="19" t="s">
        <v>276</v>
      </c>
      <c r="AM1" s="19" t="s">
        <v>275</v>
      </c>
    </row>
    <row r="2" spans="1:43" s="16" customFormat="1" ht="42" customHeight="1" x14ac:dyDescent="0.3">
      <c r="E2" s="16" t="s">
        <v>247</v>
      </c>
      <c r="F2" s="16" t="s">
        <v>329</v>
      </c>
      <c r="G2" s="16" t="s">
        <v>330</v>
      </c>
      <c r="H2" s="16" t="s">
        <v>331</v>
      </c>
      <c r="I2" s="16" t="s">
        <v>147</v>
      </c>
      <c r="J2" s="16" t="s">
        <v>148</v>
      </c>
      <c r="K2" s="16" t="s">
        <v>149</v>
      </c>
      <c r="L2" s="16" t="s">
        <v>150</v>
      </c>
      <c r="M2" s="16" t="s">
        <v>151</v>
      </c>
      <c r="N2" s="16" t="s">
        <v>152</v>
      </c>
      <c r="O2" s="17" t="s">
        <v>172</v>
      </c>
      <c r="P2" s="16" t="s">
        <v>168</v>
      </c>
      <c r="Q2" s="18" t="s">
        <v>169</v>
      </c>
      <c r="R2" s="18" t="s">
        <v>170</v>
      </c>
      <c r="S2" s="16" t="s">
        <v>44</v>
      </c>
      <c r="T2" s="16" t="s">
        <v>250</v>
      </c>
      <c r="U2" s="16" t="s">
        <v>251</v>
      </c>
      <c r="V2" s="16" t="s">
        <v>252</v>
      </c>
      <c r="W2" s="16" t="s">
        <v>253</v>
      </c>
      <c r="X2" s="16" t="s">
        <v>254</v>
      </c>
      <c r="Y2" s="16" t="s">
        <v>255</v>
      </c>
      <c r="Z2" s="19" t="s">
        <v>162</v>
      </c>
      <c r="AA2" s="16" t="s">
        <v>163</v>
      </c>
      <c r="AB2" s="16" t="s">
        <v>157</v>
      </c>
      <c r="AC2" s="16" t="s">
        <v>158</v>
      </c>
      <c r="AD2" s="19" t="s">
        <v>159</v>
      </c>
      <c r="AE2" s="16" t="s">
        <v>160</v>
      </c>
      <c r="AF2" s="19" t="s">
        <v>98</v>
      </c>
      <c r="AG2" s="16" t="s">
        <v>99</v>
      </c>
      <c r="AH2" s="19" t="s">
        <v>100</v>
      </c>
      <c r="AI2" s="20" t="s">
        <v>101</v>
      </c>
      <c r="AJ2" s="16" t="s">
        <v>266</v>
      </c>
      <c r="AK2" s="19" t="s">
        <v>262</v>
      </c>
      <c r="AL2" s="16" t="s">
        <v>263</v>
      </c>
      <c r="AM2" s="19" t="s">
        <v>270</v>
      </c>
      <c r="AN2" s="16" t="s">
        <v>271</v>
      </c>
      <c r="AO2" s="16" t="s">
        <v>272</v>
      </c>
      <c r="AP2" s="16" t="s">
        <v>273</v>
      </c>
      <c r="AQ2" s="16" t="s">
        <v>274</v>
      </c>
    </row>
    <row r="3" spans="1:43" x14ac:dyDescent="0.3">
      <c r="B3" t="s">
        <v>203</v>
      </c>
      <c r="C3" t="s">
        <v>204</v>
      </c>
      <c r="D3" s="1">
        <v>45250.055636574078</v>
      </c>
      <c r="E3">
        <v>26</v>
      </c>
      <c r="F3" s="2">
        <v>3.2902010000000002</v>
      </c>
      <c r="G3" s="2">
        <v>1.920115E-3</v>
      </c>
      <c r="H3" s="2">
        <v>4043.7550000000001</v>
      </c>
      <c r="I3">
        <v>5.3318089105189896E-3</v>
      </c>
      <c r="J3">
        <v>2.2189871422273199E-2</v>
      </c>
      <c r="K3" s="2">
        <f>F3*I3</f>
        <v>1.7542723009198492E-2</v>
      </c>
      <c r="L3">
        <v>1.59905998817617E-4</v>
      </c>
      <c r="M3" s="2">
        <f>H3*J3</f>
        <v>89.730403513174366</v>
      </c>
      <c r="N3">
        <v>0.336358319814058</v>
      </c>
      <c r="O3" s="13">
        <f>(K3/(M3*1000))/0.00000139</f>
        <v>0.14065092255538125</v>
      </c>
      <c r="P3" s="2" t="s">
        <v>166</v>
      </c>
      <c r="Q3" t="s">
        <v>166</v>
      </c>
      <c r="R3" s="2"/>
      <c r="S3" s="2"/>
      <c r="T3" s="2"/>
      <c r="U3" s="2"/>
      <c r="V3" s="2"/>
      <c r="W3" s="2"/>
      <c r="X3" s="2"/>
      <c r="Y3" s="2"/>
      <c r="Z3" s="11"/>
      <c r="AA3" s="2"/>
      <c r="AB3" s="2"/>
      <c r="AC3" s="2"/>
      <c r="AD3" s="11"/>
      <c r="AE3" s="2"/>
      <c r="AF3" s="11"/>
      <c r="AG3" s="2"/>
      <c r="AH3" s="11"/>
      <c r="AI3" s="2"/>
      <c r="AJ3" s="2"/>
      <c r="AK3" s="10"/>
      <c r="AM3" s="10">
        <f>10000/(E3+273)</f>
        <v>33.444816053511708</v>
      </c>
    </row>
    <row r="4" spans="1:43" x14ac:dyDescent="0.3">
      <c r="B4" t="s">
        <v>205</v>
      </c>
      <c r="C4" t="s">
        <v>206</v>
      </c>
      <c r="D4" s="1">
        <v>45250.113935185182</v>
      </c>
      <c r="E4">
        <v>100</v>
      </c>
      <c r="F4" s="2">
        <v>41.020209999999999</v>
      </c>
      <c r="G4" s="2">
        <v>5.753672E-2</v>
      </c>
      <c r="H4" s="2">
        <v>48140.61</v>
      </c>
      <c r="I4">
        <v>5.3296747635979396E-3</v>
      </c>
      <c r="J4">
        <v>2.21856830517131E-2</v>
      </c>
      <c r="K4" s="2">
        <f t="shared" ref="K4:K9" si="0">F4*I4</f>
        <v>0.21862437803448784</v>
      </c>
      <c r="L4">
        <v>2.3470624153637699E-3</v>
      </c>
      <c r="M4" s="2">
        <f t="shared" ref="M4:M9" si="1">H4*J4</f>
        <v>1068.0323153761301</v>
      </c>
      <c r="N4">
        <v>4.8003717091653897</v>
      </c>
      <c r="O4" s="13">
        <f t="shared" ref="O4:O41" si="2">(K4/(M4*1000))/0.00000139</f>
        <v>0.14726494970264706</v>
      </c>
      <c r="P4" s="2">
        <v>1800</v>
      </c>
      <c r="Q4">
        <f t="shared" ref="Q4:Q9" si="3">((D4-D3)*24*3600)-(1*60)</f>
        <v>4976.9999993825331</v>
      </c>
      <c r="R4" s="2">
        <f>R3+Q4</f>
        <v>4976.9999993825331</v>
      </c>
      <c r="S4" s="2">
        <f t="shared" ref="S4:S9" si="4">Q4-P4</f>
        <v>3176.9999993825331</v>
      </c>
      <c r="T4" s="2">
        <f>K4</f>
        <v>0.21862437803448784</v>
      </c>
      <c r="U4" s="2">
        <f>M4</f>
        <v>1068.0323153761301</v>
      </c>
      <c r="V4" s="2">
        <f>$T$36-T4</f>
        <v>5.7907857053979725</v>
      </c>
      <c r="W4" s="2">
        <f>$U$36-U4</f>
        <v>29705.897347886326</v>
      </c>
      <c r="X4" s="2">
        <f>$T$38-T3</f>
        <v>6.0059578268549974</v>
      </c>
      <c r="Y4" s="2">
        <f>$U$38-U3</f>
        <v>30739.905293828782</v>
      </c>
      <c r="Z4" s="11">
        <f t="shared" ref="Z4:Z9" si="5">EXP(-P4*(E4+273)*$Y$42*$Y$40*AH4)</f>
        <v>0.97406947290609225</v>
      </c>
      <c r="AA4" s="2">
        <f t="shared" ref="AA4:AA9" si="6">EXP(-P4*(E4+273)*$Y$40*$Y$42*AI4)</f>
        <v>0.97604130124377853</v>
      </c>
      <c r="AB4">
        <v>0.96381103344147867</v>
      </c>
      <c r="AC4">
        <v>0.96643484236845834</v>
      </c>
      <c r="AD4" s="11">
        <f t="shared" ref="AD4:AE21" si="7">V4/X4</f>
        <v>0.9641735543837977</v>
      </c>
      <c r="AE4" s="2">
        <f t="shared" si="7"/>
        <v>0.9663626827715035</v>
      </c>
      <c r="AF4" s="11">
        <f t="shared" ref="AF4:AF9" si="8">-LN(V4/X4)/($Y$40*$Y$42*(E4+273)*P4)</f>
        <v>122417203846.34799</v>
      </c>
      <c r="AG4" s="2">
        <f t="shared" ref="AG4:AG9" si="9">-LN(W4/Y4)/($Y$40*$Y$42*(E4+273)*P4)</f>
        <v>114807567854.09283</v>
      </c>
      <c r="AH4" s="11">
        <f t="shared" ref="AH4:AH9" si="10">1.17*EXP(-57/(1.987*(273+E4)))*AI4</f>
        <v>88154464997.476807</v>
      </c>
      <c r="AI4" s="2">
        <f t="shared" ref="AI4:AI9" si="11">(0.000304*EXP(-5580/(1.987*(E4+273))))*(199000000000000000*EXP(680/(1.987*(E4+273))))</f>
        <v>81368987856.687637</v>
      </c>
      <c r="AJ4" s="2">
        <f t="shared" ref="AJ4:AJ9" si="12">AF4/AG4</f>
        <v>1.0662816583827133</v>
      </c>
      <c r="AK4" s="10">
        <v>123685663230.709</v>
      </c>
      <c r="AL4">
        <v>114563170024.399</v>
      </c>
      <c r="AM4" s="10">
        <f t="shared" ref="AM4:AM35" si="13">10000/(E4+273)</f>
        <v>26.809651474530831</v>
      </c>
      <c r="AN4">
        <f t="shared" ref="AN4:AQ19" si="14">LN(AF4)</f>
        <v>25.530700751448034</v>
      </c>
      <c r="AO4">
        <f t="shared" si="14"/>
        <v>25.466523240733093</v>
      </c>
      <c r="AP4">
        <f t="shared" si="14"/>
        <v>25.202356396776104</v>
      </c>
      <c r="AQ4">
        <f t="shared" si="14"/>
        <v>25.122260052800272</v>
      </c>
    </row>
    <row r="5" spans="1:43" x14ac:dyDescent="0.3">
      <c r="B5" t="s">
        <v>207</v>
      </c>
      <c r="C5" t="s">
        <v>208</v>
      </c>
      <c r="D5" s="1">
        <v>45250.165729166663</v>
      </c>
      <c r="E5">
        <v>26</v>
      </c>
      <c r="F5" s="2">
        <v>9.6810759999999991</v>
      </c>
      <c r="G5" s="2">
        <v>7.6852650000000002E-3</v>
      </c>
      <c r="H5" s="2">
        <v>11886.14</v>
      </c>
      <c r="I5">
        <v>5.3287787258394304E-3</v>
      </c>
      <c r="J5">
        <v>2.2183924164709001E-2</v>
      </c>
      <c r="K5" s="2">
        <f t="shared" si="0"/>
        <v>5.1588311832034682E-2</v>
      </c>
      <c r="L5">
        <v>6.1590380429956402E-4</v>
      </c>
      <c r="M5" s="2">
        <f t="shared" si="1"/>
        <v>263.68122837111423</v>
      </c>
      <c r="N5">
        <v>1.3341469510777499</v>
      </c>
      <c r="O5" s="13">
        <f t="shared" si="2"/>
        <v>0.14075288420647866</v>
      </c>
      <c r="P5" s="2">
        <f>Q5</f>
        <v>4415.0000000232831</v>
      </c>
      <c r="Q5">
        <f t="shared" si="3"/>
        <v>4415.0000000232831</v>
      </c>
      <c r="R5" s="2">
        <f>R4+Q5</f>
        <v>9391.9999994058162</v>
      </c>
      <c r="S5" s="2">
        <f t="shared" si="4"/>
        <v>0</v>
      </c>
      <c r="T5" s="2">
        <f>T4+K5</f>
        <v>0.27021268986652253</v>
      </c>
      <c r="U5" s="2">
        <f>M5+U4</f>
        <v>1331.7135437472443</v>
      </c>
      <c r="V5" s="2">
        <f t="shared" ref="V5:V34" si="15">$T$36-T5</f>
        <v>5.7391973935659371</v>
      </c>
      <c r="W5" s="2">
        <f t="shared" ref="W5:W34" si="16">$U$36-U5</f>
        <v>29442.216119515215</v>
      </c>
      <c r="X5" s="2">
        <f t="shared" ref="X5:X34" si="17">$T$38-T4</f>
        <v>5.7873334488205099</v>
      </c>
      <c r="Y5" s="2">
        <f t="shared" ref="Y5:Y34" si="18">$U$38-U4</f>
        <v>29671.872978452651</v>
      </c>
      <c r="Z5" s="11">
        <f t="shared" si="5"/>
        <v>0.99018020920464844</v>
      </c>
      <c r="AA5" s="2">
        <f t="shared" si="6"/>
        <v>0.99075919295121195</v>
      </c>
      <c r="AD5" s="11">
        <f t="shared" si="7"/>
        <v>0.99168251567319254</v>
      </c>
      <c r="AE5" s="2">
        <f t="shared" si="7"/>
        <v>0.99226011586446838</v>
      </c>
      <c r="AF5" s="11">
        <f t="shared" si="8"/>
        <v>14253590170.703745</v>
      </c>
      <c r="AG5" s="2">
        <f t="shared" si="9"/>
        <v>13259906636.633036</v>
      </c>
      <c r="AH5" s="11">
        <f t="shared" si="10"/>
        <v>16840819425.918863</v>
      </c>
      <c r="AI5" s="2">
        <f t="shared" si="11"/>
        <v>15843245574.991554</v>
      </c>
      <c r="AJ5" s="2">
        <f>AF5/AG5</f>
        <v>1.0749389540440253</v>
      </c>
      <c r="AK5" s="10"/>
      <c r="AM5" s="10">
        <f t="shared" si="13"/>
        <v>33.444816053511708</v>
      </c>
      <c r="AN5">
        <f t="shared" si="14"/>
        <v>23.380274653732837</v>
      </c>
      <c r="AO5">
        <f t="shared" si="14"/>
        <v>23.308010780701441</v>
      </c>
      <c r="AP5">
        <f>LN(AH5)</f>
        <v>23.547071504073127</v>
      </c>
      <c r="AQ5">
        <f t="shared" si="14"/>
        <v>23.486009099755165</v>
      </c>
    </row>
    <row r="6" spans="1:43" x14ac:dyDescent="0.3">
      <c r="B6" t="s">
        <v>209</v>
      </c>
      <c r="C6" t="s">
        <v>210</v>
      </c>
      <c r="D6" s="1">
        <v>45250.245069444441</v>
      </c>
      <c r="E6">
        <v>110</v>
      </c>
      <c r="F6" s="2">
        <v>50.454909999999998</v>
      </c>
      <c r="G6" s="2">
        <v>0</v>
      </c>
      <c r="H6" s="2">
        <v>57801.42</v>
      </c>
      <c r="I6">
        <v>5.3299502043497602E-3</v>
      </c>
      <c r="J6">
        <v>2.2185480733558499E-2</v>
      </c>
      <c r="K6" s="2">
        <f t="shared" si="0"/>
        <v>0.26892215786494877</v>
      </c>
      <c r="L6">
        <v>3.8894125343624298E-3</v>
      </c>
      <c r="M6" s="2">
        <f t="shared" si="1"/>
        <v>1282.3522897823229</v>
      </c>
      <c r="N6">
        <v>7.9886830274947203</v>
      </c>
      <c r="O6" s="13">
        <f t="shared" si="2"/>
        <v>0.15087053679527337</v>
      </c>
      <c r="P6" s="2">
        <v>1800</v>
      </c>
      <c r="Q6">
        <f t="shared" si="3"/>
        <v>6795.0000000279397</v>
      </c>
      <c r="R6" s="2">
        <f t="shared" ref="R6:R41" si="19">R5+Q6</f>
        <v>16186.999999433756</v>
      </c>
      <c r="S6" s="2">
        <f t="shared" si="4"/>
        <v>4995.0000000279397</v>
      </c>
      <c r="T6" s="2">
        <f>T5+K6</f>
        <v>0.53913484773147125</v>
      </c>
      <c r="U6" s="2">
        <f>M6+U5</f>
        <v>2614.0658335295675</v>
      </c>
      <c r="V6" s="2">
        <f t="shared" si="15"/>
        <v>5.4702752357009885</v>
      </c>
      <c r="W6" s="2">
        <f t="shared" si="16"/>
        <v>28159.863829732891</v>
      </c>
      <c r="X6" s="2">
        <f t="shared" si="17"/>
        <v>5.7357451369884744</v>
      </c>
      <c r="Y6" s="2">
        <f t="shared" si="18"/>
        <v>29408.19175008154</v>
      </c>
      <c r="Z6" s="11">
        <f t="shared" si="5"/>
        <v>0.96838620003321851</v>
      </c>
      <c r="AA6" s="2">
        <f t="shared" si="6"/>
        <v>0.97084142791785877</v>
      </c>
      <c r="AB6">
        <v>0.954038490566257</v>
      </c>
      <c r="AC6">
        <v>0.95738378402887669</v>
      </c>
      <c r="AD6" s="11">
        <f t="shared" si="7"/>
        <v>0.95371657998268911</v>
      </c>
      <c r="AE6" s="2">
        <f t="shared" si="7"/>
        <v>0.95755169406683471</v>
      </c>
      <c r="AF6" s="11">
        <f t="shared" si="8"/>
        <v>154855139572.86917</v>
      </c>
      <c r="AG6" s="2">
        <f t="shared" si="9"/>
        <v>141741063480.87515</v>
      </c>
      <c r="AH6" s="11">
        <f>1.17*EXP(-57/(1.987*(273+E6)))*AI6</f>
        <v>104974596762.32732</v>
      </c>
      <c r="AI6" s="2">
        <f t="shared" si="11"/>
        <v>96700059240.232132</v>
      </c>
      <c r="AJ6" s="2">
        <f t="shared" si="12"/>
        <v>1.0925213609234947</v>
      </c>
      <c r="AK6" s="10">
        <v>153752348802.677</v>
      </c>
      <c r="AL6">
        <v>142314127307.10101</v>
      </c>
      <c r="AM6" s="10">
        <f t="shared" si="13"/>
        <v>26.109660574412533</v>
      </c>
      <c r="AN6">
        <f t="shared" si="14"/>
        <v>25.765755933469453</v>
      </c>
      <c r="AO6">
        <f t="shared" si="14"/>
        <v>25.677267733340273</v>
      </c>
      <c r="AP6">
        <f t="shared" si="14"/>
        <v>25.376984222235915</v>
      </c>
      <c r="AQ6">
        <f t="shared" si="14"/>
        <v>25.294879852024213</v>
      </c>
    </row>
    <row r="7" spans="1:43" x14ac:dyDescent="0.3">
      <c r="B7" t="s">
        <v>211</v>
      </c>
      <c r="C7" t="s">
        <v>212</v>
      </c>
      <c r="D7" s="1">
        <v>45250.296909722223</v>
      </c>
      <c r="E7">
        <v>26</v>
      </c>
      <c r="F7" s="2">
        <v>8.9837360000000004</v>
      </c>
      <c r="G7" s="2">
        <v>0</v>
      </c>
      <c r="H7" s="2">
        <v>11139.91</v>
      </c>
      <c r="I7">
        <v>5.3437735490062801E-3</v>
      </c>
      <c r="J7">
        <v>2.22064542442173E-2</v>
      </c>
      <c r="K7" s="2">
        <f t="shared" si="0"/>
        <v>4.8007050808055486E-2</v>
      </c>
      <c r="L7">
        <v>8.5116944692931803E-4</v>
      </c>
      <c r="M7" s="2">
        <f t="shared" si="1"/>
        <v>247.37790169969873</v>
      </c>
      <c r="N7">
        <v>1.94655116125656</v>
      </c>
      <c r="O7" s="13">
        <f t="shared" si="2"/>
        <v>0.13961411422442513</v>
      </c>
      <c r="P7" s="2">
        <f>Q7</f>
        <v>4419.0000003296882</v>
      </c>
      <c r="Q7">
        <f t="shared" si="3"/>
        <v>4419.0000003296882</v>
      </c>
      <c r="R7" s="2">
        <f t="shared" si="19"/>
        <v>20605.999999763444</v>
      </c>
      <c r="S7" s="2">
        <f t="shared" si="4"/>
        <v>0</v>
      </c>
      <c r="T7" s="2">
        <f>T6+K7</f>
        <v>0.5871418985395267</v>
      </c>
      <c r="U7" s="2">
        <f>M7+U6</f>
        <v>2861.4437352292662</v>
      </c>
      <c r="V7" s="2">
        <f t="shared" si="15"/>
        <v>5.4222681848929337</v>
      </c>
      <c r="W7" s="2">
        <f t="shared" si="16"/>
        <v>27912.485928033191</v>
      </c>
      <c r="X7" s="2">
        <f t="shared" si="17"/>
        <v>5.4668229791235259</v>
      </c>
      <c r="Y7" s="2">
        <f t="shared" si="18"/>
        <v>28125.839460299216</v>
      </c>
      <c r="Z7" s="11">
        <f t="shared" si="5"/>
        <v>0.99017135631665798</v>
      </c>
      <c r="AA7" s="2">
        <f t="shared" si="6"/>
        <v>0.99075085959611675</v>
      </c>
      <c r="AD7" s="11">
        <f>V7/X7</f>
        <v>0.9918499658026726</v>
      </c>
      <c r="AE7" s="2">
        <f t="shared" si="7"/>
        <v>0.99241432304386212</v>
      </c>
      <c r="AF7" s="11">
        <f t="shared" si="8"/>
        <v>13952813876.210409</v>
      </c>
      <c r="AG7" s="2">
        <f t="shared" si="9"/>
        <v>12982949146.631292</v>
      </c>
      <c r="AH7" s="11">
        <f t="shared" si="10"/>
        <v>16840819425.918863</v>
      </c>
      <c r="AI7" s="2">
        <f t="shared" si="11"/>
        <v>15843245574.991554</v>
      </c>
      <c r="AJ7" s="2">
        <f t="shared" si="12"/>
        <v>1.074702959907285</v>
      </c>
      <c r="AK7" s="10"/>
      <c r="AM7" s="10">
        <f t="shared" si="13"/>
        <v>33.444816053511708</v>
      </c>
      <c r="AN7">
        <f t="shared" si="14"/>
        <v>23.358947036429047</v>
      </c>
      <c r="AO7">
        <f t="shared" si="14"/>
        <v>23.286902729397138</v>
      </c>
      <c r="AP7">
        <f t="shared" si="14"/>
        <v>23.547071504073127</v>
      </c>
      <c r="AQ7">
        <f t="shared" si="14"/>
        <v>23.486009099755165</v>
      </c>
    </row>
    <row r="8" spans="1:43" x14ac:dyDescent="0.3">
      <c r="B8" t="s">
        <v>213</v>
      </c>
      <c r="C8" t="s">
        <v>214</v>
      </c>
      <c r="D8" s="1">
        <v>45250.34988425926</v>
      </c>
      <c r="E8">
        <v>26</v>
      </c>
      <c r="F8" s="2">
        <v>9.0529259999999994</v>
      </c>
      <c r="G8" s="2">
        <v>0</v>
      </c>
      <c r="H8" s="2">
        <v>11242.87</v>
      </c>
      <c r="I8">
        <v>5.3624236262805203E-3</v>
      </c>
      <c r="J8">
        <v>2.22357675915228E-2</v>
      </c>
      <c r="K8" s="2">
        <f t="shared" si="0"/>
        <v>4.8545624269369203E-2</v>
      </c>
      <c r="L8">
        <v>9.9227378372916393E-4</v>
      </c>
      <c r="M8" s="2">
        <f t="shared" si="1"/>
        <v>249.99384438170395</v>
      </c>
      <c r="N8">
        <v>2.33523934609335</v>
      </c>
      <c r="O8" s="13">
        <f t="shared" si="2"/>
        <v>0.13970307802052742</v>
      </c>
      <c r="P8" s="2">
        <f>Q8</f>
        <v>4516.9999999785796</v>
      </c>
      <c r="Q8">
        <f t="shared" si="3"/>
        <v>4516.9999999785796</v>
      </c>
      <c r="R8" s="2">
        <f t="shared" si="19"/>
        <v>25122.999999742024</v>
      </c>
      <c r="S8" s="2">
        <f t="shared" si="4"/>
        <v>0</v>
      </c>
      <c r="T8" s="2">
        <f>T7+K8</f>
        <v>0.63568752280889584</v>
      </c>
      <c r="U8" s="2">
        <f>M8+U7</f>
        <v>3111.4375796109703</v>
      </c>
      <c r="V8" s="2">
        <f t="shared" si="15"/>
        <v>5.3737225606235643</v>
      </c>
      <c r="W8" s="2">
        <f t="shared" si="16"/>
        <v>27662.492083651487</v>
      </c>
      <c r="X8" s="2">
        <f t="shared" si="17"/>
        <v>5.4188159283154711</v>
      </c>
      <c r="Y8" s="2">
        <f t="shared" si="18"/>
        <v>27878.461558599516</v>
      </c>
      <c r="Z8" s="11">
        <f t="shared" si="5"/>
        <v>0.98995448530130159</v>
      </c>
      <c r="AA8" s="2">
        <f t="shared" si="6"/>
        <v>0.99054671430635977</v>
      </c>
      <c r="AD8" s="11">
        <f>V8/X8</f>
        <v>0.99167837249162205</v>
      </c>
      <c r="AE8" s="2">
        <f t="shared" si="7"/>
        <v>0.99225317815712066</v>
      </c>
      <c r="AF8" s="11">
        <f t="shared" si="8"/>
        <v>13938693605.179016</v>
      </c>
      <c r="AG8" s="2">
        <f t="shared" si="9"/>
        <v>12972142441.718374</v>
      </c>
      <c r="AH8" s="11">
        <f t="shared" si="10"/>
        <v>16840819425.918863</v>
      </c>
      <c r="AI8" s="2">
        <f t="shared" si="11"/>
        <v>15843245574.991554</v>
      </c>
      <c r="AJ8" s="2">
        <f t="shared" si="12"/>
        <v>1.074509755640072</v>
      </c>
      <c r="AK8" s="10"/>
      <c r="AM8" s="10">
        <f t="shared" si="13"/>
        <v>33.444816053511708</v>
      </c>
      <c r="AN8">
        <f t="shared" si="14"/>
        <v>23.357934522333341</v>
      </c>
      <c r="AO8">
        <f t="shared" si="14"/>
        <v>23.286070006037207</v>
      </c>
      <c r="AP8">
        <f t="shared" si="14"/>
        <v>23.547071504073127</v>
      </c>
      <c r="AQ8">
        <f t="shared" si="14"/>
        <v>23.486009099755165</v>
      </c>
    </row>
    <row r="9" spans="1:43" x14ac:dyDescent="0.3">
      <c r="B9" t="s">
        <v>215</v>
      </c>
      <c r="C9" t="s">
        <v>216</v>
      </c>
      <c r="D9" s="1">
        <v>45250.42900462963</v>
      </c>
      <c r="E9">
        <v>100</v>
      </c>
      <c r="F9" s="2">
        <v>50.341670000000001</v>
      </c>
      <c r="G9" s="2">
        <v>0.1023144</v>
      </c>
      <c r="H9" s="2">
        <v>59353.42</v>
      </c>
      <c r="I9">
        <v>5.3820053557768598E-3</v>
      </c>
      <c r="J9">
        <v>2.2269734853147101E-2</v>
      </c>
      <c r="K9" s="2">
        <f t="shared" si="0"/>
        <v>0.27093913755875126</v>
      </c>
      <c r="L9">
        <v>5.6701415181577503E-3</v>
      </c>
      <c r="M9" s="2">
        <f t="shared" si="1"/>
        <v>1321.7849260274781</v>
      </c>
      <c r="N9">
        <v>13.087278933302199</v>
      </c>
      <c r="O9" s="13">
        <f t="shared" si="2"/>
        <v>0.14746744270555431</v>
      </c>
      <c r="P9" s="2">
        <f>45*60</f>
        <v>2700</v>
      </c>
      <c r="Q9">
        <f t="shared" si="3"/>
        <v>6775.9999999869615</v>
      </c>
      <c r="R9" s="2">
        <f t="shared" si="19"/>
        <v>31898.999999728985</v>
      </c>
      <c r="S9" s="2">
        <f t="shared" si="4"/>
        <v>4075.9999999869615</v>
      </c>
      <c r="T9" s="2">
        <f>T8+K9</f>
        <v>0.90662666036764716</v>
      </c>
      <c r="U9" s="2">
        <f>M9+U8</f>
        <v>4433.2225056384486</v>
      </c>
      <c r="V9" s="2">
        <f t="shared" si="15"/>
        <v>5.102783423064813</v>
      </c>
      <c r="W9" s="2">
        <f t="shared" si="16"/>
        <v>26340.707157624009</v>
      </c>
      <c r="X9" s="2">
        <f t="shared" si="17"/>
        <v>5.3702703040461017</v>
      </c>
      <c r="Y9" s="2">
        <f t="shared" si="18"/>
        <v>27628.467714217812</v>
      </c>
      <c r="Z9" s="11">
        <f t="shared" si="5"/>
        <v>0.96135745690107555</v>
      </c>
      <c r="AA9" s="2">
        <f t="shared" si="6"/>
        <v>0.96427807644652608</v>
      </c>
      <c r="AB9">
        <v>0.94949215851601976</v>
      </c>
      <c r="AC9">
        <v>0.95317270495475448</v>
      </c>
      <c r="AD9" s="11">
        <f t="shared" si="7"/>
        <v>0.95019116993426622</v>
      </c>
      <c r="AE9" s="2">
        <f t="shared" si="7"/>
        <v>0.95339008410042547</v>
      </c>
      <c r="AF9" s="11">
        <f t="shared" si="8"/>
        <v>114288564309.10632</v>
      </c>
      <c r="AG9" s="2">
        <f t="shared" si="9"/>
        <v>106770418584.54636</v>
      </c>
      <c r="AH9" s="11">
        <f t="shared" si="10"/>
        <v>88154464997.476807</v>
      </c>
      <c r="AI9" s="2">
        <f t="shared" si="11"/>
        <v>81368987856.687637</v>
      </c>
      <c r="AJ9" s="2">
        <f t="shared" si="12"/>
        <v>1.0704141261617957</v>
      </c>
      <c r="AK9" s="10">
        <v>115934762957.97099</v>
      </c>
      <c r="AL9">
        <v>107280507551.155</v>
      </c>
      <c r="AM9" s="10">
        <f t="shared" si="13"/>
        <v>26.809651474530831</v>
      </c>
      <c r="AN9">
        <f t="shared" si="14"/>
        <v>25.461992352952766</v>
      </c>
      <c r="AO9">
        <f t="shared" si="14"/>
        <v>25.393946745561141</v>
      </c>
      <c r="AP9">
        <f t="shared" si="14"/>
        <v>25.202356396776104</v>
      </c>
      <c r="AQ9">
        <f t="shared" si="14"/>
        <v>25.122260052800272</v>
      </c>
    </row>
    <row r="10" spans="1:43" x14ac:dyDescent="0.3">
      <c r="D10" s="1"/>
      <c r="F10" s="2"/>
      <c r="G10" s="2"/>
      <c r="H10" s="2"/>
      <c r="O10" s="13"/>
      <c r="P10" s="2"/>
      <c r="R10" s="2"/>
      <c r="S10" s="2"/>
      <c r="T10" s="2"/>
      <c r="U10" s="2"/>
      <c r="V10" s="2">
        <f t="shared" si="15"/>
        <v>6.00941008343246</v>
      </c>
      <c r="W10" s="2">
        <f t="shared" si="16"/>
        <v>30773.929663262457</v>
      </c>
      <c r="X10" s="2">
        <f t="shared" si="17"/>
        <v>5.0993311664873504</v>
      </c>
      <c r="Y10" s="2">
        <f t="shared" si="18"/>
        <v>26306.682788190334</v>
      </c>
      <c r="Z10" s="11"/>
      <c r="AA10" s="2"/>
      <c r="AB10" s="2"/>
      <c r="AC10" s="2"/>
      <c r="AD10" s="11"/>
      <c r="AE10" s="2"/>
      <c r="AF10" s="11"/>
      <c r="AG10" s="2"/>
      <c r="AH10" s="11"/>
      <c r="AI10" s="2"/>
      <c r="AJ10" s="2"/>
      <c r="AK10" s="11"/>
      <c r="AL10" s="2"/>
      <c r="AM10" s="10"/>
    </row>
    <row r="11" spans="1:43" x14ac:dyDescent="0.3">
      <c r="A11" t="s">
        <v>249</v>
      </c>
      <c r="D11" s="1"/>
      <c r="F11" s="2"/>
      <c r="G11" s="2"/>
      <c r="H11" s="2"/>
      <c r="O11" s="13"/>
      <c r="P11" s="2"/>
      <c r="R11" s="2"/>
      <c r="S11" s="2"/>
      <c r="T11" s="2"/>
      <c r="U11" s="2"/>
      <c r="V11" s="2">
        <f t="shared" si="15"/>
        <v>6.00941008343246</v>
      </c>
      <c r="W11" s="2">
        <f t="shared" si="16"/>
        <v>30773.929663262457</v>
      </c>
      <c r="X11" s="2">
        <f t="shared" si="17"/>
        <v>6.0059578268549974</v>
      </c>
      <c r="Y11" s="2">
        <f t="shared" si="18"/>
        <v>30739.905293828782</v>
      </c>
      <c r="Z11" s="11"/>
      <c r="AA11" s="2"/>
      <c r="AB11" s="2"/>
      <c r="AC11" s="2"/>
      <c r="AD11" s="11"/>
      <c r="AE11" s="2"/>
      <c r="AF11" s="11"/>
      <c r="AG11" s="2"/>
      <c r="AH11" s="11"/>
      <c r="AI11" s="2"/>
      <c r="AJ11" s="2"/>
      <c r="AK11" s="11"/>
      <c r="AL11" s="2"/>
      <c r="AM11" s="10"/>
    </row>
    <row r="12" spans="1:43" x14ac:dyDescent="0.3">
      <c r="B12" t="s">
        <v>176</v>
      </c>
      <c r="C12" t="s">
        <v>217</v>
      </c>
      <c r="D12" s="1">
        <v>45250.517638888887</v>
      </c>
      <c r="E12" t="s">
        <v>202</v>
      </c>
      <c r="F12" s="2">
        <v>77.32517</v>
      </c>
      <c r="G12" s="2">
        <v>0.12875300000000001</v>
      </c>
      <c r="H12" s="2">
        <v>88387.71</v>
      </c>
      <c r="I12">
        <v>5.39988946617631E-3</v>
      </c>
      <c r="J12">
        <v>2.2303264831779301E-2</v>
      </c>
      <c r="K12" s="2">
        <f t="shared" ref="K12:K41" si="20">F12*I12</f>
        <v>0.41754737095329242</v>
      </c>
      <c r="L12">
        <v>8.7966394629807893E-3</v>
      </c>
      <c r="M12" s="2">
        <f t="shared" ref="M12:M41" si="21">H12*J12</f>
        <v>1971.3345040045078</v>
      </c>
      <c r="N12">
        <v>20.044552496889999</v>
      </c>
      <c r="O12" s="13">
        <f t="shared" si="2"/>
        <v>0.15238093354654816</v>
      </c>
      <c r="P12" s="2">
        <f>Q12</f>
        <v>7597.9999997746199</v>
      </c>
      <c r="Q12">
        <f>((D12-D9)*24*3600)-(1*60)</f>
        <v>7597.9999997746199</v>
      </c>
      <c r="R12" s="2">
        <f>R9+Q12</f>
        <v>39496.999999503605</v>
      </c>
      <c r="S12" s="2">
        <f t="shared" ref="S12:S41" si="22">Q12-P12</f>
        <v>0</v>
      </c>
      <c r="T12" s="2">
        <f>T9+K12</f>
        <v>1.3241740313209396</v>
      </c>
      <c r="U12" s="2">
        <f>M12+U9</f>
        <v>6404.5570096429565</v>
      </c>
      <c r="V12" s="2">
        <f t="shared" si="15"/>
        <v>4.6852360521115202</v>
      </c>
      <c r="W12" s="2">
        <f t="shared" si="16"/>
        <v>24369.372653619503</v>
      </c>
      <c r="X12" s="2">
        <f t="shared" si="17"/>
        <v>6.0059578268549974</v>
      </c>
      <c r="Y12" s="2">
        <f t="shared" si="18"/>
        <v>30739.905293828782</v>
      </c>
      <c r="Z12" s="11"/>
      <c r="AA12" s="2"/>
      <c r="AB12" s="2"/>
      <c r="AC12" s="2"/>
      <c r="AD12" s="11">
        <f>V12/X12</f>
        <v>0.78009806048953401</v>
      </c>
      <c r="AE12" s="2">
        <f t="shared" si="7"/>
        <v>0.79276017348406724</v>
      </c>
      <c r="AF12" s="11"/>
      <c r="AG12" s="2"/>
      <c r="AH12" s="11"/>
      <c r="AI12" s="2"/>
      <c r="AJ12" s="2"/>
      <c r="AK12" s="11"/>
      <c r="AL12" s="2"/>
      <c r="AM12" s="10"/>
    </row>
    <row r="13" spans="1:43" x14ac:dyDescent="0.3">
      <c r="B13" t="s">
        <v>177</v>
      </c>
      <c r="C13" t="s">
        <v>218</v>
      </c>
      <c r="D13" s="1">
        <v>45250.555092592593</v>
      </c>
      <c r="E13">
        <v>125</v>
      </c>
      <c r="F13" s="2">
        <v>55.328699999999998</v>
      </c>
      <c r="G13" s="2">
        <v>8.3618509999999993E-2</v>
      </c>
      <c r="H13" s="2">
        <v>64774.48</v>
      </c>
      <c r="I13">
        <v>5.4101014602000999E-3</v>
      </c>
      <c r="J13">
        <v>2.23233907621476E-2</v>
      </c>
      <c r="K13" s="2">
        <f t="shared" si="20"/>
        <v>0.29933388066097327</v>
      </c>
      <c r="L13">
        <v>6.3147197361955497E-3</v>
      </c>
      <c r="M13" s="2">
        <f t="shared" si="21"/>
        <v>1445.9860284549145</v>
      </c>
      <c r="N13">
        <v>14.853989048165801</v>
      </c>
      <c r="O13" s="13">
        <f t="shared" si="2"/>
        <v>0.14892821323698463</v>
      </c>
      <c r="P13" s="2">
        <f t="shared" ref="P13:P34" si="23">Q13</f>
        <v>3176.0000001965091</v>
      </c>
      <c r="Q13">
        <f t="shared" ref="Q13:Q41" si="24">((D13-D12)*24*3600)-(1*60)</f>
        <v>3176.0000001965091</v>
      </c>
      <c r="R13" s="2">
        <f t="shared" si="19"/>
        <v>42672.999999700114</v>
      </c>
      <c r="S13" s="2">
        <f t="shared" si="22"/>
        <v>0</v>
      </c>
      <c r="T13" s="2">
        <f t="shared" ref="T13:T40" si="25">T12+K13</f>
        <v>1.6235079119819129</v>
      </c>
      <c r="U13" s="2">
        <f t="shared" ref="U13:U41" si="26">M13+U12</f>
        <v>7850.5430380978705</v>
      </c>
      <c r="V13" s="2">
        <f t="shared" si="15"/>
        <v>4.3859021714505468</v>
      </c>
      <c r="W13" s="2">
        <f t="shared" si="16"/>
        <v>22923.386625164589</v>
      </c>
      <c r="X13" s="2">
        <f t="shared" si="17"/>
        <v>4.6817837955340575</v>
      </c>
      <c r="Y13" s="2">
        <f t="shared" si="18"/>
        <v>24335.348284185828</v>
      </c>
      <c r="Z13" s="11">
        <f>EXP(-P13*(E13+273)*$Y$42*$Y$40*AH13)</f>
        <v>0.92747402101310528</v>
      </c>
      <c r="AA13" s="2">
        <f>EXP(-P13*(E13+273)*$Y$40*$Y$42*AI13)</f>
        <v>0.93317710024917355</v>
      </c>
      <c r="AB13" s="2"/>
      <c r="AC13" s="2"/>
      <c r="AD13" s="11">
        <f t="shared" si="7"/>
        <v>0.93680151903516962</v>
      </c>
      <c r="AE13" s="2">
        <f t="shared" si="7"/>
        <v>0.94197898289630011</v>
      </c>
      <c r="AF13" s="11">
        <f>-LN(V13/X13)/($Y$40*$Y$42*(E13+273)*P13)</f>
        <v>116349339828.34163</v>
      </c>
      <c r="AG13" s="2">
        <f>-LN(W13/Y13)/($Y$40*$Y$42*(E13+273)*P13)</f>
        <v>106526652408.77303</v>
      </c>
      <c r="AH13" s="11">
        <f>1.17*EXP(-57/(1.987*(273+E13)))*AI13</f>
        <v>134183262569.17139</v>
      </c>
      <c r="AI13" s="2">
        <f>(0.000304*EXP(-5580/(1.987*(E13+273))))*(199000000000000000*EXP(680/(1.987*(E13+273))))</f>
        <v>123257946512.99637</v>
      </c>
      <c r="AJ13" s="2">
        <f>AF13/AG13</f>
        <v>1.0922087308430211</v>
      </c>
      <c r="AK13" s="11"/>
      <c r="AL13" s="2"/>
      <c r="AM13" s="10">
        <f t="shared" si="13"/>
        <v>25.125628140703519</v>
      </c>
      <c r="AN13">
        <f t="shared" ref="AN13:AQ35" si="27">LN(AF13)</f>
        <v>25.4798630526635</v>
      </c>
      <c r="AO13">
        <f t="shared" si="14"/>
        <v>25.391661048146112</v>
      </c>
      <c r="AP13">
        <f t="shared" si="14"/>
        <v>25.622472333654915</v>
      </c>
      <c r="AQ13">
        <f t="shared" si="14"/>
        <v>25.537545122541282</v>
      </c>
    </row>
    <row r="14" spans="1:43" x14ac:dyDescent="0.3">
      <c r="B14" t="s">
        <v>178</v>
      </c>
      <c r="C14" t="s">
        <v>219</v>
      </c>
      <c r="D14" s="1">
        <v>45250.592662037037</v>
      </c>
      <c r="E14">
        <v>125</v>
      </c>
      <c r="F14" s="2">
        <v>57.424129999999998</v>
      </c>
      <c r="G14" s="2">
        <v>0</v>
      </c>
      <c r="H14" s="2">
        <v>67563.81</v>
      </c>
      <c r="I14">
        <v>5.4179315185953602E-3</v>
      </c>
      <c r="J14">
        <v>2.2339235464082799E-2</v>
      </c>
      <c r="K14" s="2">
        <f t="shared" si="20"/>
        <v>0.31112000385491739</v>
      </c>
      <c r="L14">
        <v>6.5656418069958396E-3</v>
      </c>
      <c r="M14" s="2">
        <f t="shared" si="21"/>
        <v>1509.3238604405519</v>
      </c>
      <c r="N14">
        <v>15.581772651168899</v>
      </c>
      <c r="O14" s="13">
        <f t="shared" si="2"/>
        <v>0.14829643045428698</v>
      </c>
      <c r="P14" s="2">
        <f t="shared" si="23"/>
        <v>3186.0000000195578</v>
      </c>
      <c r="Q14">
        <f t="shared" si="24"/>
        <v>3186.0000000195578</v>
      </c>
      <c r="R14" s="2">
        <f t="shared" si="19"/>
        <v>45858.999999719672</v>
      </c>
      <c r="S14" s="2">
        <f t="shared" si="22"/>
        <v>0</v>
      </c>
      <c r="T14" s="2">
        <f t="shared" si="25"/>
        <v>1.9346279158368302</v>
      </c>
      <c r="U14" s="2">
        <f t="shared" si="26"/>
        <v>9359.8668985384229</v>
      </c>
      <c r="V14" s="2">
        <f t="shared" si="15"/>
        <v>4.0747821675956297</v>
      </c>
      <c r="W14" s="2">
        <f t="shared" si="16"/>
        <v>21414.062764724033</v>
      </c>
      <c r="X14" s="2">
        <f t="shared" si="17"/>
        <v>4.3824499148730842</v>
      </c>
      <c r="Y14" s="2">
        <f t="shared" si="18"/>
        <v>22889.362255730914</v>
      </c>
      <c r="Z14" s="11">
        <f>EXP(-P14*(E14+273)*$Y$42*$Y$40*AH14)</f>
        <v>0.92725417938780597</v>
      </c>
      <c r="AA14" s="2">
        <f>EXP(-P14*(E14+273)*$Y$40*$Y$42*AI14)</f>
        <v>0.93297391460631873</v>
      </c>
      <c r="AB14" s="2"/>
      <c r="AC14" s="2"/>
      <c r="AD14" s="11">
        <f t="shared" si="7"/>
        <v>0.92979549036412334</v>
      </c>
      <c r="AE14" s="2">
        <f t="shared" si="7"/>
        <v>0.93554650083632174</v>
      </c>
      <c r="AF14" s="11">
        <f>-LN(V14/X14)/($Y$40*$Y$42*(E14+273)*P14)</f>
        <v>129320786479.92897</v>
      </c>
      <c r="AG14" s="2">
        <f>-LN(W14/Y14)/($Y$40*$Y$42*(E14+273)*P14)</f>
        <v>118365846996.56709</v>
      </c>
      <c r="AH14" s="11">
        <f t="shared" ref="AH14:AH35" si="28">1.17*EXP(-57/(1.987*(273+E14)))*AI14</f>
        <v>134183262569.17139</v>
      </c>
      <c r="AI14" s="2">
        <f t="shared" ref="AI14:AI35" si="29">(0.000304*EXP(-5580/(1.987*(E14+273))))*(199000000000000000*EXP(680/(1.987*(E14+273))))</f>
        <v>123257946512.99637</v>
      </c>
      <c r="AJ14" s="2">
        <f>AF14/AG14</f>
        <v>1.0925515236137295</v>
      </c>
      <c r="AK14" s="11"/>
      <c r="AL14" s="2"/>
      <c r="AM14" s="10">
        <f t="shared" si="13"/>
        <v>25.125628140703519</v>
      </c>
      <c r="AN14">
        <f t="shared" si="27"/>
        <v>25.585561871442504</v>
      </c>
      <c r="AO14">
        <f t="shared" si="14"/>
        <v>25.497046063364451</v>
      </c>
      <c r="AP14">
        <f t="shared" si="14"/>
        <v>25.622472333654915</v>
      </c>
      <c r="AQ14">
        <f t="shared" si="14"/>
        <v>25.537545122541282</v>
      </c>
    </row>
    <row r="15" spans="1:43" x14ac:dyDescent="0.3">
      <c r="B15" t="s">
        <v>179</v>
      </c>
      <c r="C15" t="s">
        <v>220</v>
      </c>
      <c r="D15" s="1">
        <v>45250.630231481482</v>
      </c>
      <c r="E15">
        <v>125</v>
      </c>
      <c r="F15" s="2">
        <v>53.674979999999998</v>
      </c>
      <c r="G15" s="2">
        <v>0</v>
      </c>
      <c r="H15" s="2">
        <v>63198.85</v>
      </c>
      <c r="I15">
        <v>5.4260151255548696E-3</v>
      </c>
      <c r="J15">
        <v>2.2355900324344001E-2</v>
      </c>
      <c r="K15" s="2">
        <f t="shared" si="20"/>
        <v>0.29124125334385509</v>
      </c>
      <c r="L15">
        <v>6.1484163921602698E-3</v>
      </c>
      <c r="M15" s="2">
        <f t="shared" si="21"/>
        <v>1412.8671912131679</v>
      </c>
      <c r="N15">
        <v>14.615260665712</v>
      </c>
      <c r="O15" s="13">
        <f t="shared" si="2"/>
        <v>0.14829849744223364</v>
      </c>
      <c r="P15" s="2">
        <f t="shared" si="23"/>
        <v>3186.0000000195578</v>
      </c>
      <c r="Q15">
        <f t="shared" si="24"/>
        <v>3186.0000000195578</v>
      </c>
      <c r="R15" s="2">
        <f t="shared" si="19"/>
        <v>49044.99999973923</v>
      </c>
      <c r="S15" s="2">
        <f t="shared" si="22"/>
        <v>0</v>
      </c>
      <c r="T15" s="2">
        <f t="shared" si="25"/>
        <v>2.2258691691806853</v>
      </c>
      <c r="U15" s="2">
        <f t="shared" si="26"/>
        <v>10772.734089751591</v>
      </c>
      <c r="V15" s="2">
        <f t="shared" si="15"/>
        <v>3.7835409142517746</v>
      </c>
      <c r="W15" s="2">
        <f t="shared" si="16"/>
        <v>20001.195573510864</v>
      </c>
      <c r="X15" s="2">
        <f t="shared" si="17"/>
        <v>4.0713299110181671</v>
      </c>
      <c r="Y15" s="2">
        <f t="shared" si="18"/>
        <v>21380.038395290358</v>
      </c>
      <c r="Z15" s="11">
        <f>EXP(-P15*(E15+273)*$Y$42*$Y$40*AH15)</f>
        <v>0.92725417938780597</v>
      </c>
      <c r="AA15" s="2">
        <f>EXP(-P15*(E15+273)*$Y$40*$Y$42*AI15)</f>
        <v>0.93297391460631873</v>
      </c>
      <c r="AB15" s="2"/>
      <c r="AC15" s="2"/>
      <c r="AD15" s="11">
        <f t="shared" si="7"/>
        <v>0.92931327034255951</v>
      </c>
      <c r="AE15" s="2">
        <f t="shared" si="7"/>
        <v>0.93550793519233211</v>
      </c>
      <c r="AF15" s="11">
        <f>-LN(V15/X15)/($Y$40*$Y$42*(E15+273)*P15)</f>
        <v>130242430831.17738</v>
      </c>
      <c r="AG15" s="2">
        <f>-LN(W15/Y15)/($Y$40*$Y$42*(E15+273)*P15)</f>
        <v>118439085098.44954</v>
      </c>
      <c r="AH15" s="11">
        <f t="shared" si="28"/>
        <v>134183262569.17139</v>
      </c>
      <c r="AI15" s="2">
        <f t="shared" si="29"/>
        <v>123257946512.99637</v>
      </c>
      <c r="AJ15" s="2">
        <f>AF15/AG15</f>
        <v>1.0996575220326685</v>
      </c>
      <c r="AK15" s="11"/>
      <c r="AL15" s="2"/>
      <c r="AM15" s="10">
        <f t="shared" si="13"/>
        <v>25.125628140703519</v>
      </c>
      <c r="AN15">
        <f t="shared" si="27"/>
        <v>25.592663403270766</v>
      </c>
      <c r="AO15">
        <f t="shared" si="14"/>
        <v>25.497664615550587</v>
      </c>
      <c r="AP15">
        <f t="shared" si="14"/>
        <v>25.622472333654915</v>
      </c>
      <c r="AQ15">
        <f t="shared" si="14"/>
        <v>25.537545122541282</v>
      </c>
    </row>
    <row r="16" spans="1:43" x14ac:dyDescent="0.3">
      <c r="B16" t="s">
        <v>180</v>
      </c>
      <c r="C16" t="s">
        <v>221</v>
      </c>
      <c r="D16" s="1">
        <v>45250.682037037041</v>
      </c>
      <c r="E16" t="s">
        <v>202</v>
      </c>
      <c r="F16" s="2">
        <v>77.628619999999998</v>
      </c>
      <c r="G16" s="2">
        <v>0.159635</v>
      </c>
      <c r="H16" s="2">
        <v>90765.8</v>
      </c>
      <c r="I16">
        <v>5.4412967698292403E-3</v>
      </c>
      <c r="J16">
        <v>2.2388541517663299E-2</v>
      </c>
      <c r="K16" s="2">
        <f t="shared" si="20"/>
        <v>0.42240035925230157</v>
      </c>
      <c r="L16">
        <v>8.6691700418214408E-3</v>
      </c>
      <c r="M16" s="2">
        <f t="shared" si="21"/>
        <v>2032.1138816839236</v>
      </c>
      <c r="N16">
        <v>20.752110905473302</v>
      </c>
      <c r="O16" s="13">
        <f t="shared" si="2"/>
        <v>0.14954139789124804</v>
      </c>
      <c r="P16" s="2">
        <f t="shared" si="23"/>
        <v>4416.000000257045</v>
      </c>
      <c r="Q16">
        <f t="shared" si="24"/>
        <v>4416.000000257045</v>
      </c>
      <c r="R16" s="2">
        <f t="shared" si="19"/>
        <v>53460.999999996275</v>
      </c>
      <c r="S16" s="2">
        <f t="shared" si="22"/>
        <v>0</v>
      </c>
      <c r="T16" s="2">
        <f t="shared" si="25"/>
        <v>2.6482695284329871</v>
      </c>
      <c r="U16" s="2">
        <f t="shared" si="26"/>
        <v>12804.847971435514</v>
      </c>
      <c r="V16" s="2">
        <f t="shared" si="15"/>
        <v>3.3611405549994728</v>
      </c>
      <c r="W16" s="2">
        <f t="shared" si="16"/>
        <v>17969.081691826941</v>
      </c>
      <c r="X16" s="2">
        <f t="shared" si="17"/>
        <v>3.780088657674312</v>
      </c>
      <c r="Y16" s="2">
        <f t="shared" si="18"/>
        <v>19967.171204077189</v>
      </c>
      <c r="Z16" s="11"/>
      <c r="AA16" s="2"/>
      <c r="AB16" s="2"/>
      <c r="AC16" s="2"/>
      <c r="AD16" s="11">
        <f t="shared" si="7"/>
        <v>0.88916976806237247</v>
      </c>
      <c r="AE16" s="2">
        <f t="shared" si="7"/>
        <v>0.89993126758775677</v>
      </c>
      <c r="AF16" s="11"/>
      <c r="AG16" s="2"/>
      <c r="AH16" s="11"/>
      <c r="AI16" s="2"/>
      <c r="AJ16" s="2"/>
      <c r="AK16" s="11"/>
      <c r="AL16" s="2"/>
      <c r="AM16" s="10"/>
    </row>
    <row r="17" spans="2:43" x14ac:dyDescent="0.3">
      <c r="B17" t="s">
        <v>181</v>
      </c>
      <c r="C17" t="s">
        <v>222</v>
      </c>
      <c r="D17" s="1">
        <v>45250.733831018515</v>
      </c>
      <c r="E17">
        <v>150</v>
      </c>
      <c r="F17" s="2">
        <v>91.858519999999999</v>
      </c>
      <c r="G17" s="2">
        <v>0.1839944</v>
      </c>
      <c r="H17" s="2">
        <v>106923.7</v>
      </c>
      <c r="I17">
        <v>5.4614091513503597E-3</v>
      </c>
      <c r="J17">
        <v>2.2434756380993501E-2</v>
      </c>
      <c r="K17" s="2">
        <f t="shared" si="20"/>
        <v>0.50167696175749998</v>
      </c>
      <c r="L17">
        <v>8.5645454760565204E-3</v>
      </c>
      <c r="M17" s="2">
        <f t="shared" si="21"/>
        <v>2398.8071608544346</v>
      </c>
      <c r="N17">
        <v>22.160017806267401</v>
      </c>
      <c r="O17" s="13">
        <f t="shared" si="2"/>
        <v>0.15045756216386527</v>
      </c>
      <c r="P17" s="2">
        <f t="shared" si="23"/>
        <v>4414.9999993946403</v>
      </c>
      <c r="Q17">
        <f t="shared" si="24"/>
        <v>4414.9999993946403</v>
      </c>
      <c r="R17" s="2">
        <f t="shared" si="19"/>
        <v>57875.999999390915</v>
      </c>
      <c r="S17" s="2">
        <f t="shared" si="22"/>
        <v>0</v>
      </c>
      <c r="T17" s="2">
        <f t="shared" si="25"/>
        <v>3.1499464901904872</v>
      </c>
      <c r="U17" s="2">
        <f t="shared" si="26"/>
        <v>15203.655132289949</v>
      </c>
      <c r="V17" s="2">
        <f t="shared" si="15"/>
        <v>2.8594635932419727</v>
      </c>
      <c r="W17" s="2">
        <f t="shared" si="16"/>
        <v>15570.274530972509</v>
      </c>
      <c r="X17" s="2">
        <f t="shared" si="17"/>
        <v>3.3576882984220102</v>
      </c>
      <c r="Y17" s="2">
        <f t="shared" si="18"/>
        <v>17935.057322393266</v>
      </c>
      <c r="Z17" s="11">
        <f t="shared" ref="Z17:Z23" si="30">EXP(-P17*(E17+273)*$Y$42*$Y$40*AH17)</f>
        <v>0.85119447929776326</v>
      </c>
      <c r="AA17" s="2">
        <f t="shared" ref="AA17:AA23" si="31">EXP(-P17*(E17+273)*$Y$40*$Y$42*AI17)</f>
        <v>0.86297681598657128</v>
      </c>
      <c r="AB17" s="2"/>
      <c r="AC17" s="2"/>
      <c r="AD17" s="11">
        <f t="shared" si="7"/>
        <v>0.85161674911450691</v>
      </c>
      <c r="AE17" s="2">
        <f t="shared" si="7"/>
        <v>0.86814746399119957</v>
      </c>
      <c r="AF17" s="11">
        <f t="shared" ref="AF17:AF23" si="32">-LN(V17/X17)/($Y$40*$Y$42*(E17+273)*P17)</f>
        <v>193752241621.4762</v>
      </c>
      <c r="AG17" s="2">
        <f t="shared" ref="AG17:AG23" si="33">-LN(W17/Y17)/($Y$40*$Y$42*(E17+273)*P17)</f>
        <v>170561385190.79211</v>
      </c>
      <c r="AH17" s="11">
        <f t="shared" si="28"/>
        <v>194350521265.9346</v>
      </c>
      <c r="AI17" s="2">
        <f t="shared" si="29"/>
        <v>177767458919.01862</v>
      </c>
      <c r="AJ17" s="2">
        <f t="shared" ref="AJ17:AJ23" si="34">AF17/AG17</f>
        <v>1.1359678007114125</v>
      </c>
      <c r="AK17" s="11"/>
      <c r="AL17" s="2"/>
      <c r="AM17" s="10">
        <f t="shared" si="13"/>
        <v>23.640661938534279</v>
      </c>
      <c r="AN17">
        <f t="shared" si="27"/>
        <v>25.989846074772171</v>
      </c>
      <c r="AO17">
        <f t="shared" si="14"/>
        <v>25.862361099319102</v>
      </c>
      <c r="AP17">
        <f t="shared" si="14"/>
        <v>25.992929176340017</v>
      </c>
      <c r="AQ17">
        <f t="shared" si="14"/>
        <v>25.90374212257295</v>
      </c>
    </row>
    <row r="18" spans="2:43" x14ac:dyDescent="0.3">
      <c r="B18" t="s">
        <v>182</v>
      </c>
      <c r="C18" t="s">
        <v>223</v>
      </c>
      <c r="D18" s="1">
        <v>45250.771226851852</v>
      </c>
      <c r="E18">
        <v>150</v>
      </c>
      <c r="F18" s="2">
        <v>54.704940000000001</v>
      </c>
      <c r="G18" s="2">
        <v>7.1925199999999995E-2</v>
      </c>
      <c r="H18" s="2">
        <v>66682.8</v>
      </c>
      <c r="I18">
        <v>5.47112806899767E-3</v>
      </c>
      <c r="J18">
        <v>2.24576228639458E-2</v>
      </c>
      <c r="K18" s="2">
        <f t="shared" si="20"/>
        <v>0.29929773274683341</v>
      </c>
      <c r="L18">
        <v>4.4699621506438204E-3</v>
      </c>
      <c r="M18" s="2">
        <f t="shared" si="21"/>
        <v>1497.537173911925</v>
      </c>
      <c r="N18">
        <v>12.7038823603992</v>
      </c>
      <c r="O18" s="13">
        <f t="shared" si="2"/>
        <v>0.1437841501639224</v>
      </c>
      <c r="P18" s="2">
        <f t="shared" si="23"/>
        <v>3171.0000002849847</v>
      </c>
      <c r="Q18">
        <f t="shared" si="24"/>
        <v>3171.0000002849847</v>
      </c>
      <c r="R18" s="2">
        <f t="shared" si="19"/>
        <v>61046.9999996759</v>
      </c>
      <c r="S18" s="2">
        <f t="shared" si="22"/>
        <v>0</v>
      </c>
      <c r="T18" s="2">
        <f t="shared" si="25"/>
        <v>3.4492442229373208</v>
      </c>
      <c r="U18" s="2">
        <f t="shared" si="26"/>
        <v>16701.192306201872</v>
      </c>
      <c r="V18" s="2">
        <f t="shared" si="15"/>
        <v>2.5601658604951392</v>
      </c>
      <c r="W18" s="2">
        <f t="shared" si="16"/>
        <v>14072.737357060585</v>
      </c>
      <c r="X18" s="2">
        <f t="shared" si="17"/>
        <v>2.8560113366645101</v>
      </c>
      <c r="Y18" s="2">
        <f t="shared" si="18"/>
        <v>15536.250161538834</v>
      </c>
      <c r="Z18" s="11">
        <f t="shared" si="30"/>
        <v>0.89072645882245916</v>
      </c>
      <c r="AA18" s="2">
        <f t="shared" si="31"/>
        <v>0.89956477924210143</v>
      </c>
      <c r="AB18" s="2"/>
      <c r="AC18" s="2"/>
      <c r="AD18" s="11">
        <f t="shared" si="7"/>
        <v>0.89641305958018913</v>
      </c>
      <c r="AE18" s="2">
        <f t="shared" si="7"/>
        <v>0.90580012620411543</v>
      </c>
      <c r="AF18" s="11">
        <f t="shared" si="32"/>
        <v>183662165642.12991</v>
      </c>
      <c r="AG18" s="2">
        <f t="shared" si="33"/>
        <v>166166002719.20874</v>
      </c>
      <c r="AH18" s="11">
        <f t="shared" si="28"/>
        <v>194350521265.9346</v>
      </c>
      <c r="AI18" s="2">
        <f t="shared" si="29"/>
        <v>177767458919.01862</v>
      </c>
      <c r="AJ18" s="2">
        <f t="shared" si="34"/>
        <v>1.1052932768232175</v>
      </c>
      <c r="AK18" s="11"/>
      <c r="AL18" s="2"/>
      <c r="AM18" s="10">
        <f t="shared" si="13"/>
        <v>23.640661938534279</v>
      </c>
      <c r="AN18">
        <f t="shared" si="27"/>
        <v>25.936363850645247</v>
      </c>
      <c r="AO18">
        <f t="shared" si="14"/>
        <v>25.836253142000448</v>
      </c>
      <c r="AP18">
        <f t="shared" si="14"/>
        <v>25.992929176340017</v>
      </c>
      <c r="AQ18">
        <f t="shared" si="14"/>
        <v>25.90374212257295</v>
      </c>
    </row>
    <row r="19" spans="2:43" x14ac:dyDescent="0.3">
      <c r="B19" t="s">
        <v>183</v>
      </c>
      <c r="C19" t="s">
        <v>224</v>
      </c>
      <c r="D19" s="1">
        <v>45250.833310185182</v>
      </c>
      <c r="E19">
        <v>150</v>
      </c>
      <c r="F19" s="2">
        <v>82.220550000000003</v>
      </c>
      <c r="G19" s="2">
        <v>2.760317E-2</v>
      </c>
      <c r="H19" s="2">
        <v>99593.919999999998</v>
      </c>
      <c r="I19">
        <v>5.4754069058821899E-3</v>
      </c>
      <c r="J19">
        <v>2.24679029957204E-2</v>
      </c>
      <c r="K19" s="2">
        <f t="shared" si="20"/>
        <v>0.4501909672754319</v>
      </c>
      <c r="L19">
        <v>6.2783839732323604E-3</v>
      </c>
      <c r="M19" s="2">
        <f t="shared" si="21"/>
        <v>2237.666533523538</v>
      </c>
      <c r="N19">
        <v>16.709317487986102</v>
      </c>
      <c r="O19" s="13">
        <f t="shared" si="2"/>
        <v>0.14473934738315886</v>
      </c>
      <c r="P19" s="2">
        <f t="shared" si="23"/>
        <v>5303.9999997569248</v>
      </c>
      <c r="Q19">
        <f t="shared" si="24"/>
        <v>5303.9999997569248</v>
      </c>
      <c r="R19" s="2">
        <f t="shared" si="19"/>
        <v>66350.999999432825</v>
      </c>
      <c r="S19" s="2">
        <f t="shared" si="22"/>
        <v>0</v>
      </c>
      <c r="T19" s="2">
        <f t="shared" si="25"/>
        <v>3.8994351902127526</v>
      </c>
      <c r="U19" s="2">
        <f t="shared" si="26"/>
        <v>18938.85883972541</v>
      </c>
      <c r="V19" s="2">
        <f t="shared" si="15"/>
        <v>2.1099748932197073</v>
      </c>
      <c r="W19" s="2">
        <f t="shared" si="16"/>
        <v>11835.070823537048</v>
      </c>
      <c r="X19" s="2">
        <f t="shared" si="17"/>
        <v>2.5567136039176765</v>
      </c>
      <c r="Y19" s="2">
        <f t="shared" si="18"/>
        <v>14038.71298762691</v>
      </c>
      <c r="Z19" s="11">
        <f t="shared" si="30"/>
        <v>0.82402325217396633</v>
      </c>
      <c r="AA19" s="2">
        <f t="shared" si="31"/>
        <v>0.83774525519665255</v>
      </c>
      <c r="AB19" s="2"/>
      <c r="AC19" s="2"/>
      <c r="AD19" s="11">
        <f t="shared" si="7"/>
        <v>0.82526837968342359</v>
      </c>
      <c r="AE19" s="2">
        <f t="shared" si="7"/>
        <v>0.84303104094855041</v>
      </c>
      <c r="AF19" s="11">
        <f t="shared" si="32"/>
        <v>192834433541.25473</v>
      </c>
      <c r="AG19" s="2">
        <f t="shared" si="33"/>
        <v>171451941329.58698</v>
      </c>
      <c r="AH19" s="11">
        <f t="shared" si="28"/>
        <v>194350521265.9346</v>
      </c>
      <c r="AI19" s="2">
        <f t="shared" si="29"/>
        <v>177767458919.01862</v>
      </c>
      <c r="AJ19" s="2">
        <f t="shared" si="34"/>
        <v>1.1247142029763524</v>
      </c>
      <c r="AK19" s="11"/>
      <c r="AL19" s="2"/>
      <c r="AM19" s="10">
        <f t="shared" si="13"/>
        <v>23.640661938534279</v>
      </c>
      <c r="AN19">
        <f t="shared" si="27"/>
        <v>25.985097800381951</v>
      </c>
      <c r="AO19">
        <f t="shared" si="14"/>
        <v>25.867568838798451</v>
      </c>
      <c r="AP19">
        <f t="shared" si="14"/>
        <v>25.992929176340017</v>
      </c>
      <c r="AQ19">
        <f t="shared" si="14"/>
        <v>25.90374212257295</v>
      </c>
    </row>
    <row r="20" spans="2:43" x14ac:dyDescent="0.3">
      <c r="B20" t="s">
        <v>184</v>
      </c>
      <c r="C20" t="s">
        <v>225</v>
      </c>
      <c r="D20" s="1">
        <v>45250.870891203704</v>
      </c>
      <c r="E20">
        <v>175</v>
      </c>
      <c r="F20" s="2">
        <v>58.16337</v>
      </c>
      <c r="G20" s="2">
        <v>8.7160269999999998E-2</v>
      </c>
      <c r="H20" s="2">
        <v>72381.72</v>
      </c>
      <c r="I20">
        <v>5.4749316406643598E-3</v>
      </c>
      <c r="J20">
        <v>2.24679029957204E-2</v>
      </c>
      <c r="K20" s="2">
        <f t="shared" si="20"/>
        <v>0.31844047474066822</v>
      </c>
      <c r="L20">
        <v>4.5475058602175702E-3</v>
      </c>
      <c r="M20" s="2">
        <f t="shared" si="21"/>
        <v>1626.2654636233951</v>
      </c>
      <c r="N20">
        <v>10.8393552708245</v>
      </c>
      <c r="O20" s="13">
        <f t="shared" si="2"/>
        <v>0.14087113810402968</v>
      </c>
      <c r="P20" s="2">
        <f t="shared" si="23"/>
        <v>3187.0000002533197</v>
      </c>
      <c r="Q20">
        <f t="shared" si="24"/>
        <v>3187.0000002533197</v>
      </c>
      <c r="R20" s="2">
        <f t="shared" si="19"/>
        <v>69537.999999686144</v>
      </c>
      <c r="S20" s="2">
        <f t="shared" si="22"/>
        <v>0</v>
      </c>
      <c r="T20" s="2">
        <f t="shared" si="25"/>
        <v>4.2178756649534206</v>
      </c>
      <c r="U20" s="2">
        <f t="shared" si="26"/>
        <v>20565.124303348806</v>
      </c>
      <c r="V20" s="2">
        <f t="shared" si="15"/>
        <v>1.7915344184790394</v>
      </c>
      <c r="W20" s="2">
        <f t="shared" si="16"/>
        <v>10208.805359913651</v>
      </c>
      <c r="X20" s="2">
        <f t="shared" si="17"/>
        <v>2.1065226366422447</v>
      </c>
      <c r="Y20" s="2">
        <f t="shared" si="18"/>
        <v>11801.046454103373</v>
      </c>
      <c r="Z20" s="11">
        <f t="shared" si="30"/>
        <v>0.8426691532065822</v>
      </c>
      <c r="AA20" s="2">
        <f t="shared" si="31"/>
        <v>0.85557344498045418</v>
      </c>
      <c r="AB20" s="2"/>
      <c r="AC20" s="2"/>
      <c r="AD20" s="11">
        <f t="shared" si="7"/>
        <v>0.85047005302288592</v>
      </c>
      <c r="AE20" s="2">
        <f t="shared" si="7"/>
        <v>0.86507627943146692</v>
      </c>
      <c r="AF20" s="11">
        <f t="shared" si="32"/>
        <v>255555806815.6261</v>
      </c>
      <c r="AG20" s="2">
        <f t="shared" si="33"/>
        <v>228687657575.28558</v>
      </c>
      <c r="AH20" s="11">
        <f t="shared" si="28"/>
        <v>270095216980.86789</v>
      </c>
      <c r="AI20" s="2">
        <f t="shared" si="29"/>
        <v>246116028366.41577</v>
      </c>
      <c r="AJ20" s="2">
        <f t="shared" si="34"/>
        <v>1.1174884098478088</v>
      </c>
      <c r="AK20" s="11"/>
      <c r="AL20" s="2"/>
      <c r="AM20" s="10">
        <f t="shared" si="13"/>
        <v>22.321428571428573</v>
      </c>
      <c r="AN20">
        <f t="shared" si="27"/>
        <v>26.266706644718528</v>
      </c>
      <c r="AO20">
        <f t="shared" si="27"/>
        <v>26.15562296876757</v>
      </c>
      <c r="AP20">
        <f t="shared" si="27"/>
        <v>26.322040389261151</v>
      </c>
      <c r="AQ20">
        <f t="shared" si="27"/>
        <v>26.229068921708226</v>
      </c>
    </row>
    <row r="21" spans="2:43" x14ac:dyDescent="0.3">
      <c r="B21" t="s">
        <v>185</v>
      </c>
      <c r="C21" t="s">
        <v>226</v>
      </c>
      <c r="D21" s="1">
        <v>45250.908472222225</v>
      </c>
      <c r="E21">
        <v>175</v>
      </c>
      <c r="F21" s="2">
        <v>49.724049999999998</v>
      </c>
      <c r="G21" s="2">
        <v>9.2357649999999999E-2</v>
      </c>
      <c r="H21" s="2">
        <v>62494.41</v>
      </c>
      <c r="I21">
        <v>5.4742944478760403E-3</v>
      </c>
      <c r="J21">
        <v>2.24679029957204E-2</v>
      </c>
      <c r="K21" s="2">
        <f t="shared" si="20"/>
        <v>0.27220409084091063</v>
      </c>
      <c r="L21">
        <v>4.0038170349262501E-3</v>
      </c>
      <c r="M21" s="2">
        <f t="shared" si="21"/>
        <v>1404.118341654779</v>
      </c>
      <c r="N21">
        <v>8.4619063372195704</v>
      </c>
      <c r="O21" s="13">
        <f t="shared" si="2"/>
        <v>0.13946850160059993</v>
      </c>
      <c r="P21" s="2">
        <f t="shared" si="23"/>
        <v>3187.0000002533197</v>
      </c>
      <c r="Q21">
        <f t="shared" si="24"/>
        <v>3187.0000002533197</v>
      </c>
      <c r="R21" s="2">
        <f t="shared" si="19"/>
        <v>72724.999999939464</v>
      </c>
      <c r="S21" s="2">
        <f t="shared" si="22"/>
        <v>0</v>
      </c>
      <c r="T21" s="2">
        <f t="shared" si="25"/>
        <v>4.4900797557943308</v>
      </c>
      <c r="U21" s="2">
        <f t="shared" si="26"/>
        <v>21969.242645003585</v>
      </c>
      <c r="V21" s="2">
        <f t="shared" si="15"/>
        <v>1.5193303276381291</v>
      </c>
      <c r="W21" s="2">
        <f t="shared" si="16"/>
        <v>8804.6870182588718</v>
      </c>
      <c r="X21" s="2">
        <f t="shared" si="17"/>
        <v>1.7880821619015768</v>
      </c>
      <c r="Y21" s="2">
        <f t="shared" si="18"/>
        <v>10174.780990479976</v>
      </c>
      <c r="Z21" s="11">
        <f t="shared" si="30"/>
        <v>0.8426691532065822</v>
      </c>
      <c r="AA21" s="2">
        <f t="shared" si="31"/>
        <v>0.85557344498045418</v>
      </c>
      <c r="AB21" s="2"/>
      <c r="AC21" s="2"/>
      <c r="AD21" s="11">
        <f t="shared" si="7"/>
        <v>0.84969827450342805</v>
      </c>
      <c r="AE21" s="2">
        <f t="shared" si="7"/>
        <v>0.86534413138690347</v>
      </c>
      <c r="AF21" s="11">
        <f t="shared" si="32"/>
        <v>256988299710.32422</v>
      </c>
      <c r="AG21" s="2">
        <f t="shared" si="33"/>
        <v>228199190971.19147</v>
      </c>
      <c r="AH21" s="11">
        <f t="shared" si="28"/>
        <v>270095216980.86789</v>
      </c>
      <c r="AI21" s="2">
        <f t="shared" si="29"/>
        <v>246116028366.41577</v>
      </c>
      <c r="AJ21" s="2">
        <f t="shared" si="34"/>
        <v>1.1261578037003961</v>
      </c>
      <c r="AK21" s="11"/>
      <c r="AL21" s="2"/>
      <c r="AM21" s="10">
        <f t="shared" si="13"/>
        <v>22.321428571428573</v>
      </c>
      <c r="AN21">
        <f t="shared" si="27"/>
        <v>26.272296394386299</v>
      </c>
      <c r="AO21">
        <f t="shared" si="27"/>
        <v>26.153484729106015</v>
      </c>
      <c r="AP21">
        <f t="shared" si="27"/>
        <v>26.322040389261151</v>
      </c>
      <c r="AQ21">
        <f t="shared" si="27"/>
        <v>26.229068921708226</v>
      </c>
    </row>
    <row r="22" spans="2:43" x14ac:dyDescent="0.3">
      <c r="B22" t="s">
        <v>186</v>
      </c>
      <c r="C22" t="s">
        <v>227</v>
      </c>
      <c r="D22" s="1">
        <v>45250.94604166667</v>
      </c>
      <c r="E22">
        <v>175</v>
      </c>
      <c r="F22" s="2">
        <v>41.612760000000002</v>
      </c>
      <c r="G22" s="2">
        <v>0</v>
      </c>
      <c r="H22" s="2">
        <v>53891.33</v>
      </c>
      <c r="I22">
        <v>5.47314122584133E-3</v>
      </c>
      <c r="J22">
        <v>2.24679029957204E-2</v>
      </c>
      <c r="K22" s="2">
        <f t="shared" si="20"/>
        <v>0.22775251227704107</v>
      </c>
      <c r="L22">
        <v>3.54037710613724E-3</v>
      </c>
      <c r="M22" s="2">
        <f t="shared" si="21"/>
        <v>1210.8251747503566</v>
      </c>
      <c r="N22">
        <v>6.28095895713885</v>
      </c>
      <c r="O22" s="13">
        <f t="shared" si="2"/>
        <v>0.13532154077540237</v>
      </c>
      <c r="P22" s="2">
        <f t="shared" si="23"/>
        <v>3186.0000000195578</v>
      </c>
      <c r="Q22">
        <f t="shared" si="24"/>
        <v>3186.0000000195578</v>
      </c>
      <c r="R22" s="2">
        <f t="shared" si="19"/>
        <v>75910.999999959022</v>
      </c>
      <c r="S22" s="2">
        <f t="shared" si="22"/>
        <v>0</v>
      </c>
      <c r="T22" s="2">
        <f t="shared" si="25"/>
        <v>4.7178322680713718</v>
      </c>
      <c r="U22" s="2">
        <f t="shared" si="26"/>
        <v>23180.067819753942</v>
      </c>
      <c r="V22" s="2">
        <f t="shared" si="15"/>
        <v>1.2915778153610882</v>
      </c>
      <c r="W22" s="2">
        <f t="shared" si="16"/>
        <v>7593.8618435085154</v>
      </c>
      <c r="X22" s="2">
        <f t="shared" si="17"/>
        <v>1.5158780710606665</v>
      </c>
      <c r="Y22" s="2">
        <f t="shared" si="18"/>
        <v>8770.6626488251968</v>
      </c>
      <c r="Z22" s="11">
        <f t="shared" si="30"/>
        <v>0.84271441606802644</v>
      </c>
      <c r="AA22" s="2">
        <f t="shared" si="31"/>
        <v>0.85561532088250014</v>
      </c>
      <c r="AB22" s="2"/>
      <c r="AC22" s="2"/>
      <c r="AD22" s="11">
        <f>V22/X22</f>
        <v>0.85203278549795602</v>
      </c>
      <c r="AE22" s="2">
        <f t="shared" ref="AE22:AE33" si="35">W22/Y22</f>
        <v>0.86582532558422931</v>
      </c>
      <c r="AF22" s="11">
        <f t="shared" si="32"/>
        <v>252738509323.21317</v>
      </c>
      <c r="AG22" s="2">
        <f t="shared" si="33"/>
        <v>227393394061.11603</v>
      </c>
      <c r="AH22" s="11">
        <f t="shared" si="28"/>
        <v>270095216980.86789</v>
      </c>
      <c r="AI22" s="2">
        <f t="shared" si="29"/>
        <v>246116028366.41577</v>
      </c>
      <c r="AJ22" s="2">
        <f t="shared" si="34"/>
        <v>1.1114593296201261</v>
      </c>
      <c r="AK22" s="11"/>
      <c r="AL22" s="2"/>
      <c r="AM22" s="10">
        <f t="shared" si="13"/>
        <v>22.321428571428573</v>
      </c>
      <c r="AN22">
        <f t="shared" si="27"/>
        <v>26.255621231195189</v>
      </c>
      <c r="AO22">
        <f t="shared" si="27"/>
        <v>26.149947367977724</v>
      </c>
      <c r="AP22">
        <f t="shared" si="27"/>
        <v>26.322040389261151</v>
      </c>
      <c r="AQ22">
        <f t="shared" si="27"/>
        <v>26.229068921708226</v>
      </c>
    </row>
    <row r="23" spans="2:43" x14ac:dyDescent="0.3">
      <c r="B23" t="s">
        <v>187</v>
      </c>
      <c r="C23" t="s">
        <v>228</v>
      </c>
      <c r="D23" s="1">
        <v>45250.983622685184</v>
      </c>
      <c r="E23">
        <v>175</v>
      </c>
      <c r="F23" s="2">
        <v>35.244500000000002</v>
      </c>
      <c r="G23" s="2">
        <v>2.9028979999999999E-2</v>
      </c>
      <c r="H23" s="2">
        <v>46368.36</v>
      </c>
      <c r="I23">
        <v>5.4720967857023201E-3</v>
      </c>
      <c r="J23">
        <v>2.24679029957204E-2</v>
      </c>
      <c r="K23" s="2">
        <f t="shared" si="20"/>
        <v>0.19286131516368543</v>
      </c>
      <c r="L23">
        <v>3.1465081310393301E-3</v>
      </c>
      <c r="M23" s="2">
        <f t="shared" si="21"/>
        <v>1041.7998145506419</v>
      </c>
      <c r="N23">
        <v>4.7996887915809303</v>
      </c>
      <c r="O23" s="13">
        <f t="shared" si="2"/>
        <v>0.1331821580901511</v>
      </c>
      <c r="P23" s="2">
        <f t="shared" si="23"/>
        <v>3186.999999624677</v>
      </c>
      <c r="Q23">
        <f t="shared" si="24"/>
        <v>3186.999999624677</v>
      </c>
      <c r="R23" s="2">
        <f t="shared" si="19"/>
        <v>79097.999999583699</v>
      </c>
      <c r="S23" s="2">
        <f t="shared" si="22"/>
        <v>0</v>
      </c>
      <c r="T23" s="2">
        <f t="shared" si="25"/>
        <v>4.9106935832350569</v>
      </c>
      <c r="U23" s="2">
        <f t="shared" si="26"/>
        <v>24221.867634304584</v>
      </c>
      <c r="V23" s="2">
        <f t="shared" si="15"/>
        <v>1.0987165001974031</v>
      </c>
      <c r="W23" s="2">
        <f t="shared" si="16"/>
        <v>6552.0620289578728</v>
      </c>
      <c r="X23" s="2">
        <f t="shared" si="17"/>
        <v>1.2881255587836256</v>
      </c>
      <c r="Y23" s="2">
        <f t="shared" si="18"/>
        <v>7559.8374740748404</v>
      </c>
      <c r="Z23" s="11">
        <f t="shared" si="30"/>
        <v>0.84266915323503555</v>
      </c>
      <c r="AA23" s="2">
        <f t="shared" si="31"/>
        <v>0.85557344500677857</v>
      </c>
      <c r="AB23" s="2"/>
      <c r="AC23" s="2"/>
      <c r="AD23" s="11">
        <f t="shared" ref="AD23:AD33" si="36">V23/X23</f>
        <v>0.85295761170589524</v>
      </c>
      <c r="AE23" s="2">
        <f t="shared" si="35"/>
        <v>0.86669350385203914</v>
      </c>
      <c r="AF23" s="11">
        <f t="shared" si="32"/>
        <v>250947497477.72861</v>
      </c>
      <c r="AG23" s="2">
        <f t="shared" si="33"/>
        <v>225740713230.31326</v>
      </c>
      <c r="AH23" s="11">
        <f t="shared" si="28"/>
        <v>270095216980.86789</v>
      </c>
      <c r="AI23" s="2">
        <f t="shared" si="29"/>
        <v>246116028366.41577</v>
      </c>
      <c r="AJ23" s="2">
        <f t="shared" si="34"/>
        <v>1.1116625525219193</v>
      </c>
      <c r="AK23" s="10"/>
      <c r="AM23" s="10">
        <f t="shared" si="13"/>
        <v>22.321428571428573</v>
      </c>
      <c r="AN23">
        <f t="shared" si="27"/>
        <v>26.248509580802885</v>
      </c>
      <c r="AO23">
        <f t="shared" si="27"/>
        <v>26.142652890990089</v>
      </c>
      <c r="AP23">
        <f t="shared" si="27"/>
        <v>26.322040389261151</v>
      </c>
      <c r="AQ23">
        <f t="shared" si="27"/>
        <v>26.229068921708226</v>
      </c>
    </row>
    <row r="24" spans="2:43" x14ac:dyDescent="0.3">
      <c r="B24" t="s">
        <v>188</v>
      </c>
      <c r="C24" t="s">
        <v>229</v>
      </c>
      <c r="D24" s="1">
        <v>45251.021203703705</v>
      </c>
      <c r="E24" t="s">
        <v>202</v>
      </c>
      <c r="F24" s="2">
        <v>29.89284</v>
      </c>
      <c r="G24" s="2">
        <v>2.8515570000000001E-2</v>
      </c>
      <c r="H24" s="2">
        <v>39854.18</v>
      </c>
      <c r="I24">
        <v>5.4709397825734004E-3</v>
      </c>
      <c r="J24">
        <v>2.24679029957204E-2</v>
      </c>
      <c r="K24" s="2">
        <f t="shared" si="20"/>
        <v>0.16354192757010144</v>
      </c>
      <c r="L24">
        <v>2.8204447934800599E-3</v>
      </c>
      <c r="M24" s="2">
        <f t="shared" si="21"/>
        <v>895.43985021398009</v>
      </c>
      <c r="N24">
        <v>3.6712919347845001</v>
      </c>
      <c r="O24" s="13">
        <f t="shared" si="2"/>
        <v>0.13139471397431904</v>
      </c>
      <c r="P24" s="2">
        <f t="shared" si="23"/>
        <v>3187.0000002533197</v>
      </c>
      <c r="Q24">
        <f t="shared" si="24"/>
        <v>3187.0000002533197</v>
      </c>
      <c r="R24" s="2">
        <f t="shared" si="19"/>
        <v>82284.999999837019</v>
      </c>
      <c r="S24" s="2">
        <f t="shared" si="22"/>
        <v>0</v>
      </c>
      <c r="T24" s="2">
        <f t="shared" si="25"/>
        <v>5.074235510805158</v>
      </c>
      <c r="U24" s="2">
        <f t="shared" si="26"/>
        <v>25117.307484518566</v>
      </c>
      <c r="V24" s="2">
        <f t="shared" si="15"/>
        <v>0.93517457262730197</v>
      </c>
      <c r="W24" s="2">
        <f t="shared" si="16"/>
        <v>5656.6221787438917</v>
      </c>
      <c r="X24" s="2">
        <f t="shared" si="17"/>
        <v>1.0952642436199405</v>
      </c>
      <c r="Y24" s="2">
        <f t="shared" si="18"/>
        <v>6518.0376595241978</v>
      </c>
      <c r="Z24" s="11"/>
      <c r="AA24" s="2"/>
      <c r="AD24" s="11">
        <f t="shared" si="36"/>
        <v>0.85383465960366911</v>
      </c>
      <c r="AE24" s="2">
        <f t="shared" si="35"/>
        <v>0.86784128509573732</v>
      </c>
      <c r="AF24" s="11"/>
      <c r="AG24" s="2"/>
      <c r="AH24" s="11"/>
      <c r="AI24" s="2"/>
      <c r="AJ24" s="2"/>
      <c r="AK24" s="10"/>
      <c r="AM24" s="10"/>
    </row>
    <row r="25" spans="2:43" x14ac:dyDescent="0.3">
      <c r="B25" t="s">
        <v>189</v>
      </c>
      <c r="C25" t="s">
        <v>230</v>
      </c>
      <c r="D25" s="1">
        <v>45251.058842592596</v>
      </c>
      <c r="E25">
        <v>200</v>
      </c>
      <c r="F25" s="2">
        <v>31.72636</v>
      </c>
      <c r="G25" s="2">
        <v>3.2858760000000001E-2</v>
      </c>
      <c r="H25" s="2">
        <v>42380.5</v>
      </c>
      <c r="I25">
        <v>5.4692862805835202E-3</v>
      </c>
      <c r="J25">
        <v>2.24679029957204E-2</v>
      </c>
      <c r="K25" s="2">
        <f t="shared" si="20"/>
        <v>0.17352054548085377</v>
      </c>
      <c r="L25">
        <v>3.2266979181095699E-3</v>
      </c>
      <c r="M25" s="2">
        <f t="shared" si="21"/>
        <v>952.2009629101284</v>
      </c>
      <c r="N25">
        <v>3.41426849629952</v>
      </c>
      <c r="O25" s="13">
        <f t="shared" si="2"/>
        <v>0.13110144777090707</v>
      </c>
      <c r="P25" s="2">
        <f t="shared" si="23"/>
        <v>3192.0000001648441</v>
      </c>
      <c r="Q25">
        <f t="shared" si="24"/>
        <v>3192.0000001648441</v>
      </c>
      <c r="R25" s="2">
        <f t="shared" si="19"/>
        <v>85477.000000001863</v>
      </c>
      <c r="S25" s="2">
        <f t="shared" si="22"/>
        <v>0</v>
      </c>
      <c r="T25" s="2">
        <f t="shared" si="25"/>
        <v>5.2477560562860122</v>
      </c>
      <c r="U25" s="2">
        <f t="shared" si="26"/>
        <v>26069.508447428692</v>
      </c>
      <c r="V25" s="2">
        <f t="shared" si="15"/>
        <v>0.76165402714644781</v>
      </c>
      <c r="W25" s="2">
        <f t="shared" si="16"/>
        <v>4704.421215833765</v>
      </c>
      <c r="X25" s="2">
        <f t="shared" si="17"/>
        <v>0.93172231604983935</v>
      </c>
      <c r="Y25" s="2">
        <f t="shared" si="18"/>
        <v>5622.5978093102167</v>
      </c>
      <c r="Z25" s="11">
        <f t="shared" ref="Z25:Z35" si="37">EXP(-P25*(E25+273)*$Y$42*$Y$40*AH25)</f>
        <v>0.7843000095412872</v>
      </c>
      <c r="AA25" s="2">
        <f t="shared" ref="AA25:AA35" si="38">EXP(-P25*(E25+273)*$Y$40*$Y$42*AI25)</f>
        <v>0.80200116341022543</v>
      </c>
      <c r="AD25" s="11">
        <f t="shared" si="36"/>
        <v>0.8174689110974408</v>
      </c>
      <c r="AE25" s="2">
        <f t="shared" si="35"/>
        <v>0.83669886685544492</v>
      </c>
      <c r="AF25" s="11">
        <f t="shared" ref="AF25:AF35" si="39">-LN(V25/X25)/($Y$40*$Y$42*(E25+273)*P25)</f>
        <v>300721292165.52924</v>
      </c>
      <c r="AG25" s="2">
        <f t="shared" ref="AG25:AG35" si="40">-LN(W25/Y25)/($Y$40*$Y$42*(E25+273)*P25)</f>
        <v>266027958834.2973</v>
      </c>
      <c r="AH25" s="11">
        <f t="shared" si="28"/>
        <v>362525927700.55499</v>
      </c>
      <c r="AI25" s="2">
        <f t="shared" si="29"/>
        <v>329224588875.15723</v>
      </c>
      <c r="AJ25" s="2">
        <f t="shared" ref="AJ25:AJ35" si="41">AF25/AG25</f>
        <v>1.1304123577207974</v>
      </c>
      <c r="AK25" s="10"/>
      <c r="AM25" s="10">
        <f t="shared" si="13"/>
        <v>21.141649048625794</v>
      </c>
      <c r="AN25">
        <f t="shared" si="27"/>
        <v>26.429449733098959</v>
      </c>
      <c r="AO25">
        <f t="shared" si="27"/>
        <v>26.306867248604224</v>
      </c>
      <c r="AP25">
        <f t="shared" si="27"/>
        <v>26.616361833374558</v>
      </c>
      <c r="AQ25">
        <f t="shared" si="27"/>
        <v>26.520005995776351</v>
      </c>
    </row>
    <row r="26" spans="2:43" x14ac:dyDescent="0.3">
      <c r="B26" t="s">
        <v>190</v>
      </c>
      <c r="C26" t="s">
        <v>231</v>
      </c>
      <c r="D26" s="1">
        <v>45251.096412037034</v>
      </c>
      <c r="E26">
        <v>200</v>
      </c>
      <c r="F26" s="2">
        <v>29.32893</v>
      </c>
      <c r="G26" s="2">
        <v>0</v>
      </c>
      <c r="H26" s="2">
        <v>39502.9</v>
      </c>
      <c r="I26">
        <v>5.4680112308523703E-3</v>
      </c>
      <c r="J26">
        <v>2.24679029957204E-2</v>
      </c>
      <c r="K26" s="2">
        <f t="shared" si="20"/>
        <v>0.160370918628883</v>
      </c>
      <c r="L26">
        <v>3.16227671465296E-3</v>
      </c>
      <c r="M26" s="2">
        <f t="shared" si="21"/>
        <v>887.54732524964345</v>
      </c>
      <c r="N26">
        <v>2.9862825658639398</v>
      </c>
      <c r="O26" s="13">
        <f t="shared" si="2"/>
        <v>0.12999279961895113</v>
      </c>
      <c r="P26" s="2">
        <f t="shared" si="23"/>
        <v>3185.999999390915</v>
      </c>
      <c r="Q26">
        <f t="shared" si="24"/>
        <v>3185.999999390915</v>
      </c>
      <c r="R26" s="2">
        <f t="shared" si="19"/>
        <v>88662.999999392778</v>
      </c>
      <c r="S26" s="2">
        <f t="shared" si="22"/>
        <v>0</v>
      </c>
      <c r="T26" s="2">
        <f t="shared" si="25"/>
        <v>5.4081269749148948</v>
      </c>
      <c r="U26" s="2">
        <f t="shared" si="26"/>
        <v>26957.055772678337</v>
      </c>
      <c r="V26" s="2">
        <f t="shared" si="15"/>
        <v>0.60128310851756517</v>
      </c>
      <c r="W26" s="2">
        <f t="shared" si="16"/>
        <v>3816.8738905841201</v>
      </c>
      <c r="X26" s="2">
        <f t="shared" si="17"/>
        <v>0.75820177056898519</v>
      </c>
      <c r="Y26" s="2">
        <f t="shared" si="18"/>
        <v>4670.39684640009</v>
      </c>
      <c r="Z26" s="11">
        <f t="shared" si="37"/>
        <v>0.78465828012523631</v>
      </c>
      <c r="AA26" s="2">
        <f t="shared" si="38"/>
        <v>0.8023338597405596</v>
      </c>
      <c r="AD26" s="11">
        <f t="shared" si="36"/>
        <v>0.7930383861624829</v>
      </c>
      <c r="AE26" s="2">
        <f t="shared" si="35"/>
        <v>0.8172483016140567</v>
      </c>
      <c r="AF26" s="11">
        <f t="shared" si="39"/>
        <v>346645034063.42865</v>
      </c>
      <c r="AG26" s="2">
        <f t="shared" si="40"/>
        <v>301691106424.21686</v>
      </c>
      <c r="AH26" s="11">
        <f t="shared" si="28"/>
        <v>362525927700.55499</v>
      </c>
      <c r="AI26" s="2">
        <f t="shared" si="29"/>
        <v>329224588875.15723</v>
      </c>
      <c r="AJ26" s="2">
        <f t="shared" si="41"/>
        <v>1.1490064727861111</v>
      </c>
      <c r="AK26" s="10"/>
      <c r="AM26" s="10">
        <f t="shared" si="13"/>
        <v>21.141649048625794</v>
      </c>
      <c r="AN26">
        <f t="shared" si="27"/>
        <v>26.571567136726539</v>
      </c>
      <c r="AO26">
        <f t="shared" si="27"/>
        <v>26.432669504467512</v>
      </c>
      <c r="AP26">
        <f t="shared" si="27"/>
        <v>26.616361833374558</v>
      </c>
      <c r="AQ26">
        <f t="shared" si="27"/>
        <v>26.520005995776351</v>
      </c>
    </row>
    <row r="27" spans="2:43" x14ac:dyDescent="0.3">
      <c r="B27" t="s">
        <v>191</v>
      </c>
      <c r="C27" t="s">
        <v>232</v>
      </c>
      <c r="D27" s="1">
        <v>45251.148194444446</v>
      </c>
      <c r="E27">
        <v>200</v>
      </c>
      <c r="F27" s="2">
        <v>32.087209999999999</v>
      </c>
      <c r="G27" s="2">
        <v>3.142085E-2</v>
      </c>
      <c r="H27" s="2">
        <v>43932.78</v>
      </c>
      <c r="I27">
        <v>5.4663240132705997E-3</v>
      </c>
      <c r="J27">
        <v>2.24679029957204E-2</v>
      </c>
      <c r="K27" s="2">
        <f t="shared" si="20"/>
        <v>0.17539908654185651</v>
      </c>
      <c r="L27">
        <v>3.7987467074270401E-3</v>
      </c>
      <c r="M27" s="2">
        <f t="shared" si="21"/>
        <v>987.07743937232522</v>
      </c>
      <c r="N27">
        <v>3.27183122980813</v>
      </c>
      <c r="O27" s="13">
        <f t="shared" si="2"/>
        <v>0.12783839257416435</v>
      </c>
      <c r="P27" s="2">
        <f t="shared" si="23"/>
        <v>4414.0000004181638</v>
      </c>
      <c r="Q27">
        <f t="shared" si="24"/>
        <v>4414.0000004181638</v>
      </c>
      <c r="R27" s="2">
        <f t="shared" si="19"/>
        <v>93076.999999810942</v>
      </c>
      <c r="S27" s="2">
        <f t="shared" si="22"/>
        <v>0</v>
      </c>
      <c r="T27" s="2">
        <f t="shared" si="25"/>
        <v>5.5835260614567517</v>
      </c>
      <c r="U27" s="2">
        <f t="shared" si="26"/>
        <v>27944.133212050663</v>
      </c>
      <c r="V27" s="2">
        <f t="shared" si="15"/>
        <v>0.42588402197570829</v>
      </c>
      <c r="W27" s="2">
        <f t="shared" si="16"/>
        <v>2829.7964512117942</v>
      </c>
      <c r="X27" s="2">
        <f t="shared" si="17"/>
        <v>0.59783085194010255</v>
      </c>
      <c r="Y27" s="2">
        <f t="shared" si="18"/>
        <v>3782.8495211504451</v>
      </c>
      <c r="Z27" s="11">
        <f t="shared" si="37"/>
        <v>0.71463886163584145</v>
      </c>
      <c r="AA27" s="2">
        <f t="shared" si="38"/>
        <v>0.7370383968991967</v>
      </c>
      <c r="AD27" s="11">
        <f t="shared" si="36"/>
        <v>0.71238214052288185</v>
      </c>
      <c r="AE27" s="2">
        <f t="shared" si="35"/>
        <v>0.74805948145439127</v>
      </c>
      <c r="AF27" s="11">
        <f t="shared" si="39"/>
        <v>365938691082.59918</v>
      </c>
      <c r="AG27" s="2">
        <f t="shared" si="40"/>
        <v>313209272636.95697</v>
      </c>
      <c r="AH27" s="11">
        <f t="shared" si="28"/>
        <v>362525927700.55499</v>
      </c>
      <c r="AI27" s="2">
        <f t="shared" si="29"/>
        <v>329224588875.15723</v>
      </c>
      <c r="AJ27" s="2">
        <f t="shared" si="41"/>
        <v>1.1683520350521719</v>
      </c>
      <c r="AK27" s="10"/>
      <c r="AM27" s="10">
        <f t="shared" si="13"/>
        <v>21.141649048625794</v>
      </c>
      <c r="AN27">
        <f t="shared" si="27"/>
        <v>26.625731645613012</v>
      </c>
      <c r="AO27">
        <f t="shared" si="27"/>
        <v>26.470137406745359</v>
      </c>
      <c r="AP27">
        <f t="shared" si="27"/>
        <v>26.616361833374558</v>
      </c>
      <c r="AQ27">
        <f t="shared" si="27"/>
        <v>26.520005995776351</v>
      </c>
    </row>
    <row r="28" spans="2:43" x14ac:dyDescent="0.3">
      <c r="B28" t="s">
        <v>192</v>
      </c>
      <c r="C28" t="s">
        <v>233</v>
      </c>
      <c r="D28" s="1">
        <v>45251.18582175926</v>
      </c>
      <c r="E28">
        <v>250</v>
      </c>
      <c r="F28" s="2">
        <v>27.830300000000001</v>
      </c>
      <c r="G28" s="2">
        <v>4.1953009999999999E-2</v>
      </c>
      <c r="H28" s="2">
        <v>39968.46</v>
      </c>
      <c r="I28">
        <v>5.4645623986812001E-3</v>
      </c>
      <c r="J28">
        <v>2.24679029957204E-2</v>
      </c>
      <c r="K28" s="2">
        <f t="shared" si="20"/>
        <v>0.15208041092401742</v>
      </c>
      <c r="L28">
        <v>3.9273862073683696E-3</v>
      </c>
      <c r="M28" s="2">
        <f t="shared" si="21"/>
        <v>898.00748216833097</v>
      </c>
      <c r="N28">
        <v>3.0124375939200601</v>
      </c>
      <c r="O28" s="13">
        <f t="shared" si="2"/>
        <v>0.12183681065446474</v>
      </c>
      <c r="P28" s="2">
        <f t="shared" si="23"/>
        <v>3190.9999999310821</v>
      </c>
      <c r="Q28">
        <f t="shared" si="24"/>
        <v>3190.9999999310821</v>
      </c>
      <c r="R28" s="2">
        <f t="shared" si="19"/>
        <v>96267.999999742024</v>
      </c>
      <c r="S28" s="2">
        <f t="shared" si="22"/>
        <v>0</v>
      </c>
      <c r="T28" s="2">
        <f t="shared" si="25"/>
        <v>5.7356064723807689</v>
      </c>
      <c r="U28" s="2">
        <f t="shared" si="26"/>
        <v>28842.140694218993</v>
      </c>
      <c r="V28" s="2">
        <f t="shared" si="15"/>
        <v>0.27380361105169104</v>
      </c>
      <c r="W28" s="2">
        <f t="shared" si="16"/>
        <v>1931.788969043464</v>
      </c>
      <c r="X28" s="2">
        <f t="shared" si="17"/>
        <v>0.42243176539824567</v>
      </c>
      <c r="Y28" s="2">
        <f t="shared" si="18"/>
        <v>2795.7720817781192</v>
      </c>
      <c r="Z28" s="11">
        <f t="shared" si="37"/>
        <v>0.6410410012273241</v>
      </c>
      <c r="AA28" s="2">
        <f t="shared" si="38"/>
        <v>0.66932803666650309</v>
      </c>
      <c r="AD28" s="11">
        <f t="shared" si="36"/>
        <v>0.64816056338368377</v>
      </c>
      <c r="AE28" s="2">
        <f t="shared" si="35"/>
        <v>0.69096797326012382</v>
      </c>
      <c r="AF28" s="11">
        <f t="shared" si="39"/>
        <v>585328135829.14832</v>
      </c>
      <c r="AG28" s="2">
        <f t="shared" si="40"/>
        <v>498996902081.40222</v>
      </c>
      <c r="AH28" s="11">
        <f t="shared" si="28"/>
        <v>600237535013.72363</v>
      </c>
      <c r="AI28" s="2">
        <f t="shared" si="29"/>
        <v>541948810548.71667</v>
      </c>
      <c r="AJ28" s="2">
        <f t="shared" si="41"/>
        <v>1.1730095585516536</v>
      </c>
      <c r="AK28" s="10"/>
      <c r="AM28" s="10">
        <f t="shared" si="13"/>
        <v>19.120458891013385</v>
      </c>
      <c r="AN28">
        <f t="shared" si="27"/>
        <v>27.095438442870982</v>
      </c>
      <c r="AO28">
        <f t="shared" si="27"/>
        <v>26.935865724424957</v>
      </c>
      <c r="AP28">
        <f t="shared" si="27"/>
        <v>27.120591305507659</v>
      </c>
      <c r="AQ28">
        <f t="shared" si="27"/>
        <v>27.018437388443729</v>
      </c>
    </row>
    <row r="29" spans="2:43" x14ac:dyDescent="0.3">
      <c r="B29" t="s">
        <v>193</v>
      </c>
      <c r="C29" t="s">
        <v>234</v>
      </c>
      <c r="D29" s="1">
        <v>45251.223414351851</v>
      </c>
      <c r="E29">
        <v>250</v>
      </c>
      <c r="F29" s="2">
        <v>17.883590000000002</v>
      </c>
      <c r="G29" s="2">
        <v>1.8484159999999999E-2</v>
      </c>
      <c r="H29" s="2">
        <v>27142.639999999999</v>
      </c>
      <c r="I29">
        <v>5.4630924826913098E-3</v>
      </c>
      <c r="J29">
        <v>2.24679029957204E-2</v>
      </c>
      <c r="K29" s="2">
        <f t="shared" si="20"/>
        <v>9.7699706092533492E-2</v>
      </c>
      <c r="L29">
        <v>2.9506461393913001E-3</v>
      </c>
      <c r="M29" s="2">
        <f t="shared" si="21"/>
        <v>609.83820256776039</v>
      </c>
      <c r="N29">
        <v>2.0700436913965001</v>
      </c>
      <c r="O29" s="13">
        <f t="shared" si="2"/>
        <v>0.11525607619201644</v>
      </c>
      <c r="P29" s="2">
        <f t="shared" si="23"/>
        <v>3187.999999858439</v>
      </c>
      <c r="Q29">
        <f t="shared" si="24"/>
        <v>3187.999999858439</v>
      </c>
      <c r="R29" s="2">
        <f t="shared" si="19"/>
        <v>99455.999999600463</v>
      </c>
      <c r="S29" s="2">
        <f t="shared" si="22"/>
        <v>0</v>
      </c>
      <c r="T29" s="2">
        <f t="shared" si="25"/>
        <v>5.8333061784733022</v>
      </c>
      <c r="U29" s="2">
        <f t="shared" si="26"/>
        <v>29451.978896786753</v>
      </c>
      <c r="V29" s="2">
        <f t="shared" si="15"/>
        <v>0.17610390495915773</v>
      </c>
      <c r="W29" s="2">
        <f t="shared" si="16"/>
        <v>1321.9507664757039</v>
      </c>
      <c r="X29" s="2">
        <f t="shared" si="17"/>
        <v>0.27035135447422842</v>
      </c>
      <c r="Y29" s="2">
        <f t="shared" si="18"/>
        <v>1897.764599609789</v>
      </c>
      <c r="Z29" s="11">
        <f t="shared" si="37"/>
        <v>0.64130904204233063</v>
      </c>
      <c r="AA29" s="2">
        <f t="shared" si="38"/>
        <v>0.66958072223577714</v>
      </c>
      <c r="AD29" s="11">
        <f t="shared" si="36"/>
        <v>0.65138902411508004</v>
      </c>
      <c r="AE29" s="2">
        <f t="shared" si="35"/>
        <v>0.69658310980588334</v>
      </c>
      <c r="AF29" s="11">
        <f t="shared" si="39"/>
        <v>579165658132.72742</v>
      </c>
      <c r="AG29" s="2">
        <f t="shared" si="40"/>
        <v>488530800751.36102</v>
      </c>
      <c r="AH29" s="11">
        <f t="shared" si="28"/>
        <v>600237535013.72363</v>
      </c>
      <c r="AI29" s="2">
        <f t="shared" si="29"/>
        <v>541948810548.71667</v>
      </c>
      <c r="AJ29" s="2">
        <f t="shared" si="41"/>
        <v>1.1855253696224881</v>
      </c>
      <c r="AK29" s="10"/>
      <c r="AM29" s="10">
        <f t="shared" si="13"/>
        <v>19.120458891013385</v>
      </c>
      <c r="AN29">
        <f t="shared" si="27"/>
        <v>27.084854384362167</v>
      </c>
      <c r="AO29">
        <f t="shared" si="27"/>
        <v>26.914668358133202</v>
      </c>
      <c r="AP29">
        <f t="shared" si="27"/>
        <v>27.120591305507659</v>
      </c>
      <c r="AQ29">
        <f t="shared" si="27"/>
        <v>27.018437388443729</v>
      </c>
    </row>
    <row r="30" spans="2:43" x14ac:dyDescent="0.3">
      <c r="B30" t="s">
        <v>194</v>
      </c>
      <c r="C30" t="s">
        <v>235</v>
      </c>
      <c r="D30" s="1">
        <v>45251.261006944442</v>
      </c>
      <c r="E30">
        <v>250</v>
      </c>
      <c r="F30" s="2">
        <v>11.11539</v>
      </c>
      <c r="G30" s="2">
        <v>0</v>
      </c>
      <c r="H30" s="2">
        <v>18347.740000000002</v>
      </c>
      <c r="I30">
        <v>5.4614196471608097E-3</v>
      </c>
      <c r="J30">
        <v>2.24679029957204E-2</v>
      </c>
      <c r="K30" s="2">
        <f t="shared" si="20"/>
        <v>6.0705809331854793E-2</v>
      </c>
      <c r="L30">
        <v>2.1196729921609601E-3</v>
      </c>
      <c r="M30" s="2">
        <f t="shared" si="21"/>
        <v>412.23524251069904</v>
      </c>
      <c r="N30">
        <v>1.42433574049317</v>
      </c>
      <c r="O30" s="13">
        <f t="shared" si="2"/>
        <v>0.10594252897361889</v>
      </c>
      <c r="P30" s="2">
        <f t="shared" si="23"/>
        <v>3187.999999858439</v>
      </c>
      <c r="Q30">
        <f t="shared" si="24"/>
        <v>3187.999999858439</v>
      </c>
      <c r="R30" s="2">
        <f t="shared" si="19"/>
        <v>102643.9999994589</v>
      </c>
      <c r="S30" s="2">
        <f t="shared" si="22"/>
        <v>0</v>
      </c>
      <c r="T30" s="2">
        <f>T29+K30</f>
        <v>5.8940119878051567</v>
      </c>
      <c r="U30" s="2">
        <f t="shared" si="26"/>
        <v>29864.214139297452</v>
      </c>
      <c r="V30" s="2">
        <f t="shared" si="15"/>
        <v>0.1153980956273033</v>
      </c>
      <c r="W30" s="2">
        <f t="shared" si="16"/>
        <v>909.71552396500556</v>
      </c>
      <c r="X30" s="2">
        <f t="shared" si="17"/>
        <v>0.17265164838169511</v>
      </c>
      <c r="Y30" s="2">
        <f t="shared" si="18"/>
        <v>1287.9263970420288</v>
      </c>
      <c r="Z30" s="11">
        <f t="shared" si="37"/>
        <v>0.64130904204233063</v>
      </c>
      <c r="AA30" s="2">
        <f t="shared" si="38"/>
        <v>0.66958072223577714</v>
      </c>
      <c r="AD30" s="11">
        <f t="shared" si="36"/>
        <v>0.66838687443159128</v>
      </c>
      <c r="AE30" s="2">
        <f t="shared" si="35"/>
        <v>0.7063412366221723</v>
      </c>
      <c r="AF30" s="11">
        <f t="shared" si="39"/>
        <v>544360021690.10571</v>
      </c>
      <c r="AG30" s="2">
        <f t="shared" si="40"/>
        <v>469734561394.29883</v>
      </c>
      <c r="AH30" s="11">
        <f t="shared" si="28"/>
        <v>600237535013.72363</v>
      </c>
      <c r="AI30" s="2">
        <f t="shared" si="29"/>
        <v>541948810548.71667</v>
      </c>
      <c r="AJ30" s="2">
        <f t="shared" si="41"/>
        <v>1.158867297467528</v>
      </c>
      <c r="AK30" s="10"/>
      <c r="AM30" s="10">
        <f t="shared" si="13"/>
        <v>19.120458891013385</v>
      </c>
      <c r="AN30">
        <f t="shared" si="27"/>
        <v>27.022876669483676</v>
      </c>
      <c r="AO30">
        <f t="shared" si="27"/>
        <v>26.875433609120975</v>
      </c>
      <c r="AP30">
        <f t="shared" si="27"/>
        <v>27.120591305507659</v>
      </c>
      <c r="AQ30">
        <f t="shared" si="27"/>
        <v>27.018437388443729</v>
      </c>
    </row>
    <row r="31" spans="2:43" x14ac:dyDescent="0.3">
      <c r="B31" t="s">
        <v>195</v>
      </c>
      <c r="C31" t="s">
        <v>236</v>
      </c>
      <c r="D31" s="1">
        <v>45251.298587962963</v>
      </c>
      <c r="E31">
        <v>250</v>
      </c>
      <c r="F31" s="2">
        <v>6.9387160000000003</v>
      </c>
      <c r="G31" s="2">
        <v>0</v>
      </c>
      <c r="H31" s="2">
        <v>12406.69</v>
      </c>
      <c r="I31">
        <v>5.4587561679464904E-3</v>
      </c>
      <c r="J31">
        <v>2.24679029957204E-2</v>
      </c>
      <c r="K31" s="2">
        <f t="shared" si="20"/>
        <v>3.7876758762629005E-2</v>
      </c>
      <c r="L31">
        <v>1.56317477399985E-3</v>
      </c>
      <c r="M31" s="2">
        <f t="shared" si="21"/>
        <v>278.75230741797435</v>
      </c>
      <c r="N31">
        <v>0.99535964592249904</v>
      </c>
      <c r="O31" s="13">
        <f t="shared" si="2"/>
        <v>9.7755125287071393E-2</v>
      </c>
      <c r="P31" s="2">
        <f t="shared" si="23"/>
        <v>3187.0000002533197</v>
      </c>
      <c r="Q31">
        <f t="shared" si="24"/>
        <v>3187.0000002533197</v>
      </c>
      <c r="R31" s="2">
        <f t="shared" si="19"/>
        <v>105830.99999971222</v>
      </c>
      <c r="S31" s="2">
        <f t="shared" si="22"/>
        <v>0</v>
      </c>
      <c r="T31" s="2">
        <f t="shared" si="25"/>
        <v>5.9318887465677861</v>
      </c>
      <c r="U31" s="2">
        <f t="shared" si="26"/>
        <v>30142.966446715425</v>
      </c>
      <c r="V31" s="2">
        <f t="shared" si="15"/>
        <v>7.7521336864673884E-2</v>
      </c>
      <c r="W31" s="2">
        <f t="shared" si="16"/>
        <v>630.96321654703206</v>
      </c>
      <c r="X31" s="2">
        <f t="shared" si="17"/>
        <v>0.11194583904984068</v>
      </c>
      <c r="Y31" s="2">
        <f t="shared" si="18"/>
        <v>875.69115453133054</v>
      </c>
      <c r="Z31" s="11">
        <f t="shared" si="37"/>
        <v>0.64139841384686891</v>
      </c>
      <c r="AA31" s="2">
        <f t="shared" si="38"/>
        <v>0.66966497192048535</v>
      </c>
      <c r="AD31" s="11">
        <f t="shared" si="36"/>
        <v>0.69248966752716667</v>
      </c>
      <c r="AE31" s="2">
        <f t="shared" si="35"/>
        <v>0.72053167750075453</v>
      </c>
      <c r="AF31" s="11">
        <f t="shared" si="39"/>
        <v>496649954156.19513</v>
      </c>
      <c r="AG31" s="2">
        <f t="shared" si="40"/>
        <v>442998012023.79132</v>
      </c>
      <c r="AH31" s="11">
        <f t="shared" si="28"/>
        <v>600237535013.72363</v>
      </c>
      <c r="AI31" s="2">
        <f t="shared" si="29"/>
        <v>541948810548.71667</v>
      </c>
      <c r="AJ31" s="2">
        <f t="shared" si="41"/>
        <v>1.1211110223436451</v>
      </c>
      <c r="AK31" s="10"/>
      <c r="AM31" s="10">
        <f t="shared" si="13"/>
        <v>19.120458891013385</v>
      </c>
      <c r="AN31">
        <f t="shared" si="27"/>
        <v>26.93115129730171</v>
      </c>
      <c r="AO31">
        <f t="shared" si="27"/>
        <v>26.816831119450534</v>
      </c>
      <c r="AP31">
        <f t="shared" si="27"/>
        <v>27.120591305507659</v>
      </c>
      <c r="AQ31">
        <f t="shared" si="27"/>
        <v>27.018437388443729</v>
      </c>
    </row>
    <row r="32" spans="2:43" x14ac:dyDescent="0.3">
      <c r="B32" t="s">
        <v>196</v>
      </c>
      <c r="C32" t="s">
        <v>237</v>
      </c>
      <c r="D32" s="1">
        <v>45251.335995370369</v>
      </c>
      <c r="E32">
        <v>250</v>
      </c>
      <c r="F32" s="2">
        <v>4.5693720000000004</v>
      </c>
      <c r="G32" s="2">
        <v>0</v>
      </c>
      <c r="H32" s="2">
        <v>8355.9989999999998</v>
      </c>
      <c r="I32">
        <v>5.4563457502392904E-3</v>
      </c>
      <c r="J32">
        <v>2.24679029957204E-2</v>
      </c>
      <c r="K32" s="2">
        <f t="shared" si="20"/>
        <v>2.4932073493462409E-2</v>
      </c>
      <c r="L32">
        <v>1.1294759240760501E-3</v>
      </c>
      <c r="M32" s="2">
        <f t="shared" si="21"/>
        <v>187.74177496433666</v>
      </c>
      <c r="N32">
        <v>0.68909878205511299</v>
      </c>
      <c r="O32" s="13">
        <f t="shared" si="2"/>
        <v>9.5539437207748823E-2</v>
      </c>
      <c r="P32" s="2">
        <f t="shared" si="23"/>
        <v>3171.9999998901039</v>
      </c>
      <c r="Q32">
        <f t="shared" si="24"/>
        <v>3171.9999998901039</v>
      </c>
      <c r="R32" s="2">
        <f t="shared" si="19"/>
        <v>109002.99999960233</v>
      </c>
      <c r="S32" s="2">
        <f t="shared" si="22"/>
        <v>0</v>
      </c>
      <c r="T32" s="2">
        <f t="shared" si="25"/>
        <v>5.9568208200612487</v>
      </c>
      <c r="U32" s="2">
        <f t="shared" si="26"/>
        <v>30330.708221679761</v>
      </c>
      <c r="V32" s="2">
        <f t="shared" si="15"/>
        <v>5.2589263371211281E-2</v>
      </c>
      <c r="W32" s="2">
        <f t="shared" si="16"/>
        <v>443.22144158269657</v>
      </c>
      <c r="X32" s="2">
        <f t="shared" si="17"/>
        <v>7.4069080287211264E-2</v>
      </c>
      <c r="Y32" s="2">
        <f t="shared" si="18"/>
        <v>596.93884711335704</v>
      </c>
      <c r="Z32" s="11">
        <f t="shared" si="37"/>
        <v>0.64274048701584563</v>
      </c>
      <c r="AA32" s="2">
        <f t="shared" si="38"/>
        <v>0.6709299905503342</v>
      </c>
      <c r="AD32" s="11">
        <f t="shared" si="36"/>
        <v>0.71000292115536534</v>
      </c>
      <c r="AE32" s="2">
        <f t="shared" si="35"/>
        <v>0.74249053102508178</v>
      </c>
      <c r="AF32" s="11">
        <f t="shared" si="39"/>
        <v>465082465056.62323</v>
      </c>
      <c r="AG32" s="2">
        <f t="shared" si="40"/>
        <v>404325942764.46936</v>
      </c>
      <c r="AH32" s="11">
        <f t="shared" si="28"/>
        <v>600237535013.72363</v>
      </c>
      <c r="AI32" s="2">
        <f t="shared" si="29"/>
        <v>541948810548.71667</v>
      </c>
      <c r="AJ32" s="2">
        <f t="shared" si="41"/>
        <v>1.1502661982972142</v>
      </c>
      <c r="AK32" s="10"/>
      <c r="AM32" s="10">
        <f t="shared" si="13"/>
        <v>19.120458891013385</v>
      </c>
      <c r="AN32">
        <f t="shared" si="27"/>
        <v>26.865480571017933</v>
      </c>
      <c r="AO32">
        <f t="shared" si="27"/>
        <v>26.725487178649207</v>
      </c>
      <c r="AP32">
        <f t="shared" si="27"/>
        <v>27.120591305507659</v>
      </c>
      <c r="AQ32">
        <f t="shared" si="27"/>
        <v>27.018437388443729</v>
      </c>
    </row>
    <row r="33" spans="2:43" x14ac:dyDescent="0.3">
      <c r="B33" t="s">
        <v>197</v>
      </c>
      <c r="C33" t="s">
        <v>238</v>
      </c>
      <c r="D33" s="1">
        <v>45251.373564814814</v>
      </c>
      <c r="E33">
        <v>250</v>
      </c>
      <c r="F33" s="2">
        <v>2.9315069999999999</v>
      </c>
      <c r="G33" s="2">
        <v>0</v>
      </c>
      <c r="H33" s="2">
        <v>5732.92</v>
      </c>
      <c r="I33">
        <v>5.4535060387783801E-3</v>
      </c>
      <c r="J33">
        <v>2.24679029957204E-2</v>
      </c>
      <c r="K33" s="2">
        <f t="shared" si="20"/>
        <v>1.5986991127221094E-2</v>
      </c>
      <c r="L33">
        <v>7.7028272808995005E-4</v>
      </c>
      <c r="M33" s="2">
        <f t="shared" si="21"/>
        <v>128.8066904422254</v>
      </c>
      <c r="N33">
        <v>0.48602450098614602</v>
      </c>
      <c r="O33" s="13">
        <f t="shared" si="2"/>
        <v>8.9292197681187277E-2</v>
      </c>
      <c r="P33" s="2">
        <f t="shared" si="23"/>
        <v>3186.0000000195578</v>
      </c>
      <c r="Q33">
        <f t="shared" si="24"/>
        <v>3186.0000000195578</v>
      </c>
      <c r="R33" s="2">
        <f t="shared" si="19"/>
        <v>112188.99999962188</v>
      </c>
      <c r="S33" s="2">
        <f t="shared" si="22"/>
        <v>0</v>
      </c>
      <c r="T33" s="2">
        <f t="shared" si="25"/>
        <v>5.9728078111884697</v>
      </c>
      <c r="U33" s="2">
        <f t="shared" si="26"/>
        <v>30459.514912121987</v>
      </c>
      <c r="V33" s="2">
        <f t="shared" si="15"/>
        <v>3.6602272243990264E-2</v>
      </c>
      <c r="W33" s="2">
        <f t="shared" si="16"/>
        <v>314.41475114046989</v>
      </c>
      <c r="X33" s="2">
        <f t="shared" si="17"/>
        <v>4.9137006793748661E-2</v>
      </c>
      <c r="Y33" s="2">
        <f t="shared" si="18"/>
        <v>409.19707214902155</v>
      </c>
      <c r="Z33" s="11">
        <f t="shared" si="37"/>
        <v>0.64148779816231383</v>
      </c>
      <c r="AA33" s="2">
        <f t="shared" si="38"/>
        <v>0.6697492322588442</v>
      </c>
      <c r="AD33" s="11">
        <f t="shared" si="36"/>
        <v>0.74490235837171304</v>
      </c>
      <c r="AE33" s="2">
        <f t="shared" si="35"/>
        <v>0.7683699922123739</v>
      </c>
      <c r="AF33" s="11">
        <f t="shared" si="39"/>
        <v>398164692012.4895</v>
      </c>
      <c r="AG33" s="2">
        <f t="shared" si="40"/>
        <v>356228274877.70764</v>
      </c>
      <c r="AH33" s="11">
        <f t="shared" si="28"/>
        <v>600237535013.72363</v>
      </c>
      <c r="AI33" s="2">
        <f t="shared" si="29"/>
        <v>541948810548.71667</v>
      </c>
      <c r="AJ33" s="2">
        <f t="shared" si="41"/>
        <v>1.1177234377287388</v>
      </c>
      <c r="AK33" s="10"/>
      <c r="AM33" s="10">
        <f t="shared" si="13"/>
        <v>19.120458891013385</v>
      </c>
      <c r="AN33">
        <f t="shared" si="27"/>
        <v>26.710131555665999</v>
      </c>
      <c r="AO33">
        <f t="shared" si="27"/>
        <v>26.598837583870328</v>
      </c>
      <c r="AP33">
        <f t="shared" si="27"/>
        <v>27.120591305507659</v>
      </c>
      <c r="AQ33">
        <f t="shared" si="27"/>
        <v>27.018437388443729</v>
      </c>
    </row>
    <row r="34" spans="2:43" x14ac:dyDescent="0.3">
      <c r="B34" t="s">
        <v>198</v>
      </c>
      <c r="C34" t="s">
        <v>239</v>
      </c>
      <c r="D34" s="1">
        <v>45251.485335648147</v>
      </c>
      <c r="E34">
        <v>250</v>
      </c>
      <c r="F34" s="2">
        <v>4.7753699999999997</v>
      </c>
      <c r="G34" s="2">
        <v>0</v>
      </c>
      <c r="H34" s="2">
        <v>9589.9330000000009</v>
      </c>
      <c r="I34">
        <v>5.43593177183011E-3</v>
      </c>
      <c r="J34">
        <v>2.24617372810022E-2</v>
      </c>
      <c r="K34" s="2">
        <f t="shared" si="20"/>
        <v>2.5958585505244349E-2</v>
      </c>
      <c r="L34">
        <v>1.31325990464294E-3</v>
      </c>
      <c r="M34" s="2">
        <f t="shared" si="21"/>
        <v>215.40655558841328</v>
      </c>
      <c r="N34">
        <v>0.952648420230639</v>
      </c>
      <c r="O34" s="13">
        <f t="shared" si="2"/>
        <v>8.6697646316591145E-2</v>
      </c>
      <c r="P34" s="2">
        <f t="shared" si="23"/>
        <v>9596.9999999832362</v>
      </c>
      <c r="Q34">
        <f t="shared" si="24"/>
        <v>9596.9999999832362</v>
      </c>
      <c r="R34" s="2">
        <f t="shared" si="19"/>
        <v>121785.99999960512</v>
      </c>
      <c r="S34" s="2">
        <f t="shared" si="22"/>
        <v>0</v>
      </c>
      <c r="T34" s="2">
        <f t="shared" si="25"/>
        <v>5.9987663966937141</v>
      </c>
      <c r="U34" s="2">
        <f t="shared" si="26"/>
        <v>30674.921467710399</v>
      </c>
      <c r="V34" s="2">
        <f t="shared" si="15"/>
        <v>1.0643686738745828E-2</v>
      </c>
      <c r="W34" s="2">
        <f t="shared" si="16"/>
        <v>99.008195552058169</v>
      </c>
      <c r="X34" s="2">
        <f t="shared" si="17"/>
        <v>3.3150015666527644E-2</v>
      </c>
      <c r="Y34" s="2">
        <f t="shared" si="18"/>
        <v>280.39038170679487</v>
      </c>
      <c r="Z34" s="11">
        <f t="shared" si="37"/>
        <v>0.26254574409431303</v>
      </c>
      <c r="AA34" s="2">
        <f t="shared" si="38"/>
        <v>0.29895488573609208</v>
      </c>
      <c r="AD34" s="11">
        <f>V34/X34</f>
        <v>0.32107637129996924</v>
      </c>
      <c r="AE34" s="2">
        <f>W34/Y34</f>
        <v>0.35310838748952295</v>
      </c>
      <c r="AF34" s="11">
        <f t="shared" si="39"/>
        <v>509908283173.45673</v>
      </c>
      <c r="AG34" s="2">
        <f t="shared" si="40"/>
        <v>467226059834.49323</v>
      </c>
      <c r="AH34" s="11">
        <f t="shared" si="28"/>
        <v>600237535013.72363</v>
      </c>
      <c r="AI34" s="2">
        <f t="shared" si="29"/>
        <v>541948810548.71667</v>
      </c>
      <c r="AJ34" s="2">
        <f t="shared" si="41"/>
        <v>1.0913524030617705</v>
      </c>
      <c r="AK34" s="10"/>
      <c r="AM34" s="10">
        <f t="shared" si="13"/>
        <v>19.120458891013385</v>
      </c>
      <c r="AN34">
        <f t="shared" si="27"/>
        <v>26.957496709577395</v>
      </c>
      <c r="AO34">
        <f t="shared" si="27"/>
        <v>26.870079045660187</v>
      </c>
      <c r="AP34">
        <f t="shared" si="27"/>
        <v>27.120591305507659</v>
      </c>
      <c r="AQ34">
        <f t="shared" si="27"/>
        <v>27.018437388443729</v>
      </c>
    </row>
    <row r="35" spans="2:43" ht="15" customHeight="1" x14ac:dyDescent="0.3">
      <c r="B35" t="s">
        <v>199</v>
      </c>
      <c r="C35" t="s">
        <v>240</v>
      </c>
      <c r="D35" s="1">
        <v>45251.522789351853</v>
      </c>
      <c r="E35">
        <v>250</v>
      </c>
      <c r="F35" s="2">
        <v>0.9114428</v>
      </c>
      <c r="G35" s="2">
        <v>0</v>
      </c>
      <c r="H35" s="2">
        <v>1864.232</v>
      </c>
      <c r="I35">
        <v>5.4217204115389901E-3</v>
      </c>
      <c r="J35">
        <v>2.2454872024527301E-2</v>
      </c>
      <c r="K35" s="2">
        <f t="shared" si="20"/>
        <v>4.9415880327102497E-3</v>
      </c>
      <c r="L35">
        <v>2.5225490402324102E-4</v>
      </c>
      <c r="M35" s="2">
        <f t="shared" si="21"/>
        <v>41.861090984028579</v>
      </c>
      <c r="N35">
        <v>0.20529329055940301</v>
      </c>
      <c r="O35" s="13">
        <f t="shared" si="2"/>
        <v>8.4926102510431076E-2</v>
      </c>
      <c r="P35" s="2">
        <f>Q35</f>
        <v>3176.0000001965091</v>
      </c>
      <c r="Q35">
        <f t="shared" si="24"/>
        <v>3176.0000001965091</v>
      </c>
      <c r="R35" s="2">
        <f t="shared" si="19"/>
        <v>124961.99999980163</v>
      </c>
      <c r="S35" s="2">
        <f t="shared" si="22"/>
        <v>0</v>
      </c>
      <c r="T35" s="2">
        <f t="shared" si="25"/>
        <v>6.0037079847264243</v>
      </c>
      <c r="U35" s="2">
        <f t="shared" si="26"/>
        <v>30716.782558694427</v>
      </c>
      <c r="V35" s="23">
        <f>X35-K35</f>
        <v>8.8764875230116589E-3</v>
      </c>
      <c r="W35" s="23">
        <f>Y35-M35</f>
        <v>85.218834823016721</v>
      </c>
      <c r="X35" s="23">
        <f>K35/(1-Z35)</f>
        <v>1.3818075555721909E-2</v>
      </c>
      <c r="Y35" s="23">
        <f>M35/(1-AA35)</f>
        <v>127.0799258070453</v>
      </c>
      <c r="Z35" s="25">
        <f t="shared" si="37"/>
        <v>0.64238232648366189</v>
      </c>
      <c r="AA35" s="23">
        <f t="shared" si="38"/>
        <v>0.67059241876180098</v>
      </c>
      <c r="AD35" s="11"/>
      <c r="AE35" s="2"/>
      <c r="AF35" s="11">
        <f t="shared" si="39"/>
        <v>600237535013.72363</v>
      </c>
      <c r="AG35" s="2">
        <f t="shared" si="40"/>
        <v>541948810548.7168</v>
      </c>
      <c r="AH35" s="11">
        <f t="shared" si="28"/>
        <v>600237535013.72363</v>
      </c>
      <c r="AI35" s="2">
        <f t="shared" si="29"/>
        <v>541948810548.71667</v>
      </c>
      <c r="AJ35" s="2">
        <f t="shared" si="41"/>
        <v>1.1075539300584316</v>
      </c>
      <c r="AK35" s="10"/>
      <c r="AM35" s="10">
        <f t="shared" si="13"/>
        <v>19.120458891013385</v>
      </c>
      <c r="AN35">
        <f t="shared" si="27"/>
        <v>27.120591305507659</v>
      </c>
      <c r="AO35">
        <f t="shared" si="27"/>
        <v>27.018437388443729</v>
      </c>
      <c r="AP35">
        <f t="shared" si="27"/>
        <v>27.120591305507659</v>
      </c>
      <c r="AQ35">
        <f t="shared" si="27"/>
        <v>27.018437388443729</v>
      </c>
    </row>
    <row r="36" spans="2:43" ht="15" customHeight="1" x14ac:dyDescent="0.3">
      <c r="D36" s="1"/>
      <c r="F36" s="2"/>
      <c r="G36" s="2"/>
      <c r="H36" s="2"/>
      <c r="K36" s="23">
        <f>V35*Z35</f>
        <v>5.7020987060354264E-3</v>
      </c>
      <c r="M36" s="23">
        <f>W35*AA35</f>
        <v>57.147104568029178</v>
      </c>
      <c r="O36" s="13">
        <f t="shared" si="2"/>
        <v>7.1783676809630631E-2</v>
      </c>
      <c r="P36" s="2"/>
      <c r="R36" s="2"/>
      <c r="S36" s="2"/>
      <c r="T36" s="2">
        <f>T35+K36</f>
        <v>6.00941008343246</v>
      </c>
      <c r="U36" s="2">
        <f>M36+U35</f>
        <v>30773.929663262457</v>
      </c>
      <c r="V36" s="2"/>
      <c r="W36" s="2"/>
      <c r="X36" s="2"/>
      <c r="Y36" s="2"/>
      <c r="Z36" s="2"/>
      <c r="AA36" s="2"/>
      <c r="AD36" s="2"/>
      <c r="AE36" s="2"/>
      <c r="AF36" s="2"/>
      <c r="AG36" s="2"/>
      <c r="AH36" s="2"/>
      <c r="AI36" s="2"/>
      <c r="AJ36" s="2"/>
    </row>
    <row r="37" spans="2:43" ht="15" customHeight="1" x14ac:dyDescent="0.3">
      <c r="D37" s="1"/>
      <c r="F37" s="2"/>
      <c r="G37" s="2"/>
      <c r="H37" s="2"/>
      <c r="K37" s="2"/>
      <c r="M37" s="2"/>
      <c r="O37" s="13"/>
      <c r="P37" s="2"/>
      <c r="R37" s="2"/>
      <c r="S37" s="2"/>
      <c r="T37" s="2"/>
      <c r="U37" s="2"/>
      <c r="V37" s="2"/>
      <c r="W37" s="2"/>
      <c r="X37" s="2"/>
      <c r="Y37" s="2"/>
      <c r="Z37" s="2"/>
      <c r="AA37" s="2"/>
      <c r="AD37" s="2"/>
      <c r="AE37" s="2"/>
      <c r="AF37" s="2"/>
      <c r="AG37" s="2"/>
      <c r="AH37" s="2"/>
      <c r="AI37" s="2"/>
      <c r="AJ37" s="2"/>
    </row>
    <row r="38" spans="2:43" x14ac:dyDescent="0.3">
      <c r="B38" s="21" t="s">
        <v>200</v>
      </c>
      <c r="C38" t="s">
        <v>201</v>
      </c>
      <c r="D38" s="1">
        <v>45251.55972222222</v>
      </c>
      <c r="E38" t="s">
        <v>332</v>
      </c>
      <c r="F38" s="38">
        <f>K38/I38</f>
        <v>0.41605577665328086</v>
      </c>
      <c r="G38" s="2">
        <v>0</v>
      </c>
      <c r="H38" s="39">
        <v>1030</v>
      </c>
      <c r="I38" s="2">
        <v>5.4075493114653901E-3</v>
      </c>
      <c r="J38" s="2">
        <v>2.2449257411994199E-2</v>
      </c>
      <c r="K38" s="2">
        <f>M38*O38*(0.00000139)*1000</f>
        <v>2.249842128572647E-3</v>
      </c>
      <c r="L38" s="2"/>
      <c r="M38" s="2">
        <f>H38*J38</f>
        <v>23.122735134354027</v>
      </c>
      <c r="N38" s="2"/>
      <c r="O38" s="40">
        <v>7.0000000000000007E-2</v>
      </c>
      <c r="P38" s="2"/>
      <c r="Q38">
        <f>((D38-D35)*24*3600)-(1*60)</f>
        <v>3130.9999997355044</v>
      </c>
      <c r="R38" s="2">
        <f>R35+Q38</f>
        <v>128092.99999953713</v>
      </c>
      <c r="S38" s="2">
        <f t="shared" si="22"/>
        <v>3130.9999997355044</v>
      </c>
      <c r="T38" s="2">
        <f>T35+K38</f>
        <v>6.0059578268549974</v>
      </c>
      <c r="U38" s="2">
        <f>M38+U35</f>
        <v>30739.905293828782</v>
      </c>
      <c r="V38" s="2">
        <f>$T$38-T38</f>
        <v>0</v>
      </c>
      <c r="W38" s="2">
        <f>$U$38-U38</f>
        <v>0</v>
      </c>
      <c r="X38" s="2">
        <f>$T$38-T35</f>
        <v>2.249842128573043E-3</v>
      </c>
      <c r="Y38" s="2">
        <f>$U$38-U35</f>
        <v>23.122735134355025</v>
      </c>
    </row>
    <row r="39" spans="2:43" x14ac:dyDescent="0.3">
      <c r="B39" t="s">
        <v>241</v>
      </c>
      <c r="C39" t="s">
        <v>242</v>
      </c>
      <c r="D39" s="1">
        <v>45251.835648148146</v>
      </c>
      <c r="E39" t="s">
        <v>146</v>
      </c>
      <c r="F39" s="2">
        <v>0</v>
      </c>
      <c r="G39" s="2">
        <v>0</v>
      </c>
      <c r="H39" s="2">
        <v>3.1191659999999999</v>
      </c>
      <c r="I39">
        <v>5.1855026135471998E-3</v>
      </c>
      <c r="J39">
        <v>2.2681487490542399E-2</v>
      </c>
      <c r="K39" s="2">
        <f t="shared" si="20"/>
        <v>0</v>
      </c>
      <c r="L39">
        <v>0</v>
      </c>
      <c r="M39" s="2">
        <f t="shared" si="21"/>
        <v>7.0747324609925166E-2</v>
      </c>
      <c r="N39">
        <v>5.3594856579969904E-4</v>
      </c>
      <c r="O39" s="13">
        <f t="shared" si="2"/>
        <v>0</v>
      </c>
      <c r="Q39">
        <f t="shared" si="24"/>
        <v>23779.999999967404</v>
      </c>
      <c r="R39" s="2">
        <f t="shared" si="19"/>
        <v>151872.99999950454</v>
      </c>
      <c r="S39" s="2">
        <f t="shared" si="22"/>
        <v>23779.999999967404</v>
      </c>
      <c r="T39" s="2">
        <f t="shared" si="25"/>
        <v>6.0059578268549974</v>
      </c>
      <c r="U39" s="2">
        <f t="shared" si="26"/>
        <v>30739.976041153393</v>
      </c>
      <c r="AB39" s="2"/>
      <c r="AC39" s="2"/>
    </row>
    <row r="40" spans="2:43" x14ac:dyDescent="0.3">
      <c r="B40" t="s">
        <v>243</v>
      </c>
      <c r="C40" t="s">
        <v>244</v>
      </c>
      <c r="D40" s="1">
        <v>45252.589317129627</v>
      </c>
      <c r="E40" t="s">
        <v>146</v>
      </c>
      <c r="F40" s="2">
        <v>0.12286370000000001</v>
      </c>
      <c r="G40" s="2">
        <v>0</v>
      </c>
      <c r="H40" s="2">
        <v>490.40899999999999</v>
      </c>
      <c r="I40">
        <v>5.3442908747365599E-3</v>
      </c>
      <c r="J40">
        <v>2.2630052598852798E-2</v>
      </c>
      <c r="K40" s="2">
        <f t="shared" si="20"/>
        <v>6.5661935074637031E-4</v>
      </c>
      <c r="L40" s="2">
        <v>2.7398965230244301E-5</v>
      </c>
      <c r="M40" s="2">
        <f t="shared" si="21"/>
        <v>11.097981464950802</v>
      </c>
      <c r="N40">
        <v>0.16586658798826701</v>
      </c>
      <c r="O40" s="13">
        <f t="shared" si="2"/>
        <v>4.2565219955680023E-2</v>
      </c>
      <c r="P40">
        <v>3600</v>
      </c>
      <c r="Q40">
        <f t="shared" si="24"/>
        <v>65056.9999999227</v>
      </c>
      <c r="R40" s="2">
        <f t="shared" si="19"/>
        <v>216929.99999942724</v>
      </c>
      <c r="S40" s="2">
        <f t="shared" si="22"/>
        <v>61456.9999999227</v>
      </c>
      <c r="T40" s="2">
        <f t="shared" si="25"/>
        <v>6.0066144462057434</v>
      </c>
      <c r="U40" s="2">
        <f t="shared" si="26"/>
        <v>30751.074022618344</v>
      </c>
      <c r="V40" s="33"/>
      <c r="W40" s="5"/>
      <c r="X40" s="5" t="s">
        <v>97</v>
      </c>
      <c r="Y40" s="34">
        <v>1.36E-22</v>
      </c>
      <c r="AB40" s="2"/>
      <c r="AC40" s="2"/>
      <c r="AF40" t="s">
        <v>265</v>
      </c>
      <c r="AG40" t="s">
        <v>267</v>
      </c>
    </row>
    <row r="41" spans="2:43" x14ac:dyDescent="0.3">
      <c r="B41" t="s">
        <v>245</v>
      </c>
      <c r="C41" t="s">
        <v>246</v>
      </c>
      <c r="D41" s="1">
        <v>45253.362013888887</v>
      </c>
      <c r="E41" t="s">
        <v>146</v>
      </c>
      <c r="F41" s="2">
        <v>1.906646E-2</v>
      </c>
      <c r="G41" s="2">
        <v>0</v>
      </c>
      <c r="H41" s="2">
        <v>19.175070000000002</v>
      </c>
      <c r="I41">
        <v>5.0949326873250501E-3</v>
      </c>
      <c r="J41">
        <v>2.3170872512870401E-2</v>
      </c>
      <c r="K41" s="2">
        <f t="shared" si="20"/>
        <v>9.7142330285575581E-5</v>
      </c>
      <c r="L41" s="2">
        <v>1.0084186422419601E-6</v>
      </c>
      <c r="M41" s="2">
        <f t="shared" si="21"/>
        <v>0.44430310239536586</v>
      </c>
      <c r="N41">
        <v>6.6640718883394703E-3</v>
      </c>
      <c r="O41" s="13">
        <f t="shared" si="2"/>
        <v>0.15729480207091781</v>
      </c>
      <c r="P41">
        <v>3600</v>
      </c>
      <c r="Q41">
        <f t="shared" si="24"/>
        <v>66701.00000012666</v>
      </c>
      <c r="R41" s="2">
        <f t="shared" si="19"/>
        <v>283630.9999995539</v>
      </c>
      <c r="S41" s="2">
        <f t="shared" si="22"/>
        <v>63101.00000012666</v>
      </c>
      <c r="T41" s="2">
        <f>T40+K41</f>
        <v>6.0067115885360289</v>
      </c>
      <c r="U41" s="2">
        <f t="shared" si="26"/>
        <v>30751.518325720739</v>
      </c>
      <c r="V41" s="10" t="s">
        <v>107</v>
      </c>
      <c r="W41">
        <v>0.1159</v>
      </c>
      <c r="Y41" s="14"/>
      <c r="AF41">
        <v>25</v>
      </c>
      <c r="AG41">
        <f>1.17*EXP(-57/(1.987*(273+AF41)))</f>
        <v>1.0626230782891961</v>
      </c>
    </row>
    <row r="42" spans="2:43" x14ac:dyDescent="0.3">
      <c r="N42" s="28" t="s">
        <v>280</v>
      </c>
      <c r="O42" s="32">
        <f>(T41/(U41*1000))/0.00000139</f>
        <v>0.14052558959134961</v>
      </c>
      <c r="P42" s="30" t="s">
        <v>281</v>
      </c>
      <c r="T42" s="2"/>
      <c r="U42" s="2"/>
      <c r="V42" s="35" t="s">
        <v>108</v>
      </c>
      <c r="W42" s="36">
        <v>7.4700000000000003E-2</v>
      </c>
      <c r="X42" s="36" t="s">
        <v>96</v>
      </c>
      <c r="Y42" s="37">
        <f>2/(LN(W41/W42)*((W42/2)^2))</f>
        <v>3263.9186704766953</v>
      </c>
      <c r="AF42">
        <f>AF41+25</f>
        <v>50</v>
      </c>
      <c r="AG42">
        <f t="shared" ref="AG42:AG50" si="42">1.17*EXP(-57/(1.987*(273+AF42)))</f>
        <v>1.0705699529318393</v>
      </c>
    </row>
    <row r="43" spans="2:43" x14ac:dyDescent="0.3">
      <c r="F43" s="2"/>
      <c r="H43" s="2"/>
      <c r="Q43">
        <f>Q40/60</f>
        <v>1084.283333332045</v>
      </c>
      <c r="AF43">
        <f t="shared" ref="AF43:AF50" si="43">AF42+25</f>
        <v>75</v>
      </c>
      <c r="AG43">
        <f t="shared" si="42"/>
        <v>1.0774222544307648</v>
      </c>
    </row>
    <row r="44" spans="2:43" x14ac:dyDescent="0.3">
      <c r="F44" s="2"/>
      <c r="AF44">
        <f t="shared" si="43"/>
        <v>100</v>
      </c>
      <c r="AG44">
        <f t="shared" si="42"/>
        <v>1.0833914408858101</v>
      </c>
    </row>
    <row r="45" spans="2:43" x14ac:dyDescent="0.3">
      <c r="AF45">
        <f t="shared" si="43"/>
        <v>125</v>
      </c>
      <c r="AG45">
        <f t="shared" si="42"/>
        <v>1.0886378230796101</v>
      </c>
    </row>
    <row r="46" spans="2:43" x14ac:dyDescent="0.3">
      <c r="F46" s="2"/>
      <c r="H46" s="2"/>
      <c r="AF46">
        <f t="shared" si="43"/>
        <v>150</v>
      </c>
      <c r="AG46">
        <f t="shared" si="42"/>
        <v>1.093285140304955</v>
      </c>
    </row>
    <row r="47" spans="2:43" x14ac:dyDescent="0.3">
      <c r="F47" s="2"/>
      <c r="H47" s="2"/>
      <c r="AF47">
        <f t="shared" si="43"/>
        <v>175</v>
      </c>
      <c r="AG47">
        <f t="shared" si="42"/>
        <v>1.0974304224459208</v>
      </c>
    </row>
    <row r="48" spans="2:43" x14ac:dyDescent="0.3">
      <c r="AF48">
        <f t="shared" si="43"/>
        <v>200</v>
      </c>
      <c r="AG48">
        <f t="shared" si="42"/>
        <v>1.101150825153056</v>
      </c>
    </row>
    <row r="49" spans="32:33" x14ac:dyDescent="0.3">
      <c r="AF49">
        <f t="shared" si="43"/>
        <v>225</v>
      </c>
      <c r="AG49">
        <f t="shared" si="42"/>
        <v>1.1045084688703461</v>
      </c>
    </row>
    <row r="50" spans="32:33" x14ac:dyDescent="0.3">
      <c r="AF50">
        <f t="shared" si="43"/>
        <v>250</v>
      </c>
      <c r="AG50">
        <f t="shared" si="42"/>
        <v>1.1075539300584318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A0B7-54FC-4FD5-B315-C64D96F00270}">
  <dimension ref="A1:AQ48"/>
  <sheetViews>
    <sheetView zoomScale="81" zoomScaleNormal="70" workbookViewId="0">
      <selection activeCell="V9" sqref="V9"/>
    </sheetView>
  </sheetViews>
  <sheetFormatPr defaultRowHeight="14.4" x14ac:dyDescent="0.3"/>
  <cols>
    <col min="17" max="17" width="9.5546875" customWidth="1"/>
    <col min="32" max="32" width="9.5546875" customWidth="1"/>
  </cols>
  <sheetData>
    <row r="1" spans="1:43" s="16" customFormat="1" ht="58.2" customHeight="1" x14ac:dyDescent="0.3">
      <c r="A1" s="60" t="s">
        <v>248</v>
      </c>
      <c r="B1" s="60"/>
      <c r="C1" s="60"/>
      <c r="D1" s="60"/>
      <c r="Z1" s="16" t="s">
        <v>153</v>
      </c>
      <c r="AA1" s="16" t="s">
        <v>277</v>
      </c>
      <c r="AD1" s="19" t="s">
        <v>256</v>
      </c>
      <c r="AF1" s="16" t="s">
        <v>261</v>
      </c>
      <c r="AH1" s="16" t="s">
        <v>269</v>
      </c>
      <c r="AI1" s="16" t="s">
        <v>268</v>
      </c>
      <c r="AK1" s="19" t="s">
        <v>276</v>
      </c>
      <c r="AM1" s="19" t="s">
        <v>275</v>
      </c>
    </row>
    <row r="2" spans="1:43" s="16" customFormat="1" ht="42" customHeight="1" x14ac:dyDescent="0.3">
      <c r="E2" s="16" t="s">
        <v>247</v>
      </c>
      <c r="F2" s="16" t="s">
        <v>329</v>
      </c>
      <c r="G2" s="16" t="s">
        <v>330</v>
      </c>
      <c r="H2" s="16" t="s">
        <v>331</v>
      </c>
      <c r="I2" s="16" t="s">
        <v>147</v>
      </c>
      <c r="J2" s="16" t="s">
        <v>148</v>
      </c>
      <c r="K2" s="16" t="s">
        <v>149</v>
      </c>
      <c r="L2" s="16" t="s">
        <v>150</v>
      </c>
      <c r="M2" s="16" t="s">
        <v>151</v>
      </c>
      <c r="N2" s="16" t="s">
        <v>152</v>
      </c>
      <c r="O2" s="17" t="s">
        <v>172</v>
      </c>
      <c r="P2" s="16" t="s">
        <v>168</v>
      </c>
      <c r="Q2" s="18" t="s">
        <v>169</v>
      </c>
      <c r="R2" s="18" t="s">
        <v>170</v>
      </c>
      <c r="S2" s="16" t="s">
        <v>44</v>
      </c>
      <c r="T2" s="16" t="s">
        <v>250</v>
      </c>
      <c r="U2" s="16" t="s">
        <v>251</v>
      </c>
      <c r="V2" s="16" t="s">
        <v>252</v>
      </c>
      <c r="W2" s="16" t="s">
        <v>253</v>
      </c>
      <c r="X2" s="16" t="s">
        <v>254</v>
      </c>
      <c r="Y2" s="16" t="s">
        <v>255</v>
      </c>
      <c r="Z2" s="19" t="s">
        <v>162</v>
      </c>
      <c r="AA2" s="16" t="s">
        <v>163</v>
      </c>
      <c r="AB2" s="16" t="s">
        <v>157</v>
      </c>
      <c r="AC2" s="16" t="s">
        <v>158</v>
      </c>
      <c r="AD2" s="19" t="s">
        <v>159</v>
      </c>
      <c r="AE2" s="16" t="s">
        <v>160</v>
      </c>
      <c r="AF2" s="19" t="s">
        <v>98</v>
      </c>
      <c r="AG2" s="16" t="s">
        <v>99</v>
      </c>
      <c r="AH2" s="19" t="s">
        <v>100</v>
      </c>
      <c r="AI2" s="20" t="s">
        <v>101</v>
      </c>
      <c r="AJ2" s="16" t="s">
        <v>266</v>
      </c>
      <c r="AK2" s="19" t="s">
        <v>262</v>
      </c>
      <c r="AL2" s="16" t="s">
        <v>263</v>
      </c>
      <c r="AM2" s="19" t="s">
        <v>270</v>
      </c>
      <c r="AN2" s="16" t="s">
        <v>271</v>
      </c>
      <c r="AO2" s="16" t="s">
        <v>272</v>
      </c>
      <c r="AP2" s="16" t="s">
        <v>273</v>
      </c>
      <c r="AQ2" s="16" t="s">
        <v>274</v>
      </c>
    </row>
    <row r="3" spans="1:43" x14ac:dyDescent="0.3">
      <c r="B3" t="s">
        <v>203</v>
      </c>
      <c r="C3" t="s">
        <v>204</v>
      </c>
      <c r="D3" s="1">
        <v>45250.055636574078</v>
      </c>
      <c r="E3">
        <v>26</v>
      </c>
      <c r="F3" s="2">
        <v>3.2902010000000002</v>
      </c>
      <c r="G3" s="2">
        <v>1.920115E-3</v>
      </c>
      <c r="H3" s="2">
        <v>4043.7550000000001</v>
      </c>
      <c r="I3">
        <v>5.3318089105189896E-3</v>
      </c>
      <c r="J3">
        <v>2.2189871422273199E-2</v>
      </c>
      <c r="K3" s="2">
        <f>F3*I3</f>
        <v>1.7542723009198492E-2</v>
      </c>
      <c r="L3">
        <v>1.59905998817617E-4</v>
      </c>
      <c r="M3" s="2">
        <f>H3*J3</f>
        <v>89.730403513174366</v>
      </c>
      <c r="N3">
        <v>0.336358319814058</v>
      </c>
      <c r="O3" s="13">
        <f>(K3/(M3*1000))/0.00000139</f>
        <v>0.14065092255538125</v>
      </c>
      <c r="P3" s="2" t="s">
        <v>166</v>
      </c>
      <c r="Q3" t="s">
        <v>166</v>
      </c>
      <c r="R3" s="2"/>
      <c r="S3" s="2"/>
      <c r="T3" s="2"/>
      <c r="U3" s="2"/>
      <c r="V3" s="2"/>
      <c r="W3" s="2"/>
      <c r="X3" s="2"/>
      <c r="Y3" s="2"/>
      <c r="Z3" s="11"/>
      <c r="AA3" s="2"/>
      <c r="AB3" s="2"/>
      <c r="AC3" s="2"/>
      <c r="AD3" s="11"/>
      <c r="AE3" s="2"/>
      <c r="AF3" s="11"/>
      <c r="AG3" s="2"/>
      <c r="AH3" s="11"/>
      <c r="AI3" s="2"/>
      <c r="AJ3" s="2"/>
      <c r="AK3" s="10"/>
      <c r="AM3" s="10">
        <f>10000/(E3+273)</f>
        <v>33.444816053511708</v>
      </c>
    </row>
    <row r="4" spans="1:43" x14ac:dyDescent="0.3">
      <c r="B4" t="s">
        <v>205</v>
      </c>
      <c r="C4" t="s">
        <v>206</v>
      </c>
      <c r="D4" s="1">
        <v>45250.113935185182</v>
      </c>
      <c r="E4">
        <v>100</v>
      </c>
      <c r="F4" s="2">
        <v>41.020209999999999</v>
      </c>
      <c r="G4" s="2">
        <v>5.753672E-2</v>
      </c>
      <c r="H4" s="2">
        <v>48140.61</v>
      </c>
      <c r="I4">
        <v>5.3296747635979396E-3</v>
      </c>
      <c r="J4">
        <v>2.21856830517131E-2</v>
      </c>
      <c r="K4" s="2">
        <f t="shared" ref="K4:K9" si="0">F4*I4</f>
        <v>0.21862437803448784</v>
      </c>
      <c r="L4">
        <v>2.3470624153637699E-3</v>
      </c>
      <c r="M4" s="2">
        <f t="shared" ref="M4:M9" si="1">H4*J4</f>
        <v>1068.0323153761301</v>
      </c>
      <c r="N4">
        <v>4.8003717091653897</v>
      </c>
      <c r="O4" s="13">
        <f t="shared" ref="O4:O39" si="2">(K4/(M4*1000))/0.00000139</f>
        <v>0.14726494970264706</v>
      </c>
      <c r="P4" s="2">
        <v>1800</v>
      </c>
      <c r="Q4">
        <f t="shared" ref="Q4:Q9" si="3">((D4-D3)*24*3600)-(1*60)</f>
        <v>4976.9999993825331</v>
      </c>
      <c r="R4" s="2">
        <f>R3+Q4</f>
        <v>4976.9999993825331</v>
      </c>
      <c r="S4" s="2">
        <f t="shared" ref="S4:S9" si="4">Q4-P4</f>
        <v>3176.9999993825331</v>
      </c>
      <c r="T4" s="2">
        <f>K4</f>
        <v>0.21862437803448784</v>
      </c>
      <c r="U4" s="2">
        <f>M4</f>
        <v>1068.0323153761301</v>
      </c>
      <c r="V4" s="2">
        <f>$T$36-T4</f>
        <v>5.7873334488205099</v>
      </c>
      <c r="W4" s="2">
        <f>$U$36-U4</f>
        <v>29671.872978452651</v>
      </c>
      <c r="X4" s="2">
        <f>$T$36-T3</f>
        <v>6.0059578268549974</v>
      </c>
      <c r="Y4" s="2">
        <f>$U$36-U3</f>
        <v>30739.905293828782</v>
      </c>
      <c r="Z4" s="11">
        <f t="shared" ref="Z4:Z9" si="5">EXP(-P4*(E4+273)*$Y$40*$Y$38*AH4)</f>
        <v>0.97406947290609225</v>
      </c>
      <c r="AA4" s="2">
        <f t="shared" ref="AA4:AA9" si="6">EXP(-P4*(E4+273)*$Y$38*$Y$40*AI4)</f>
        <v>0.97604130124377853</v>
      </c>
      <c r="AB4">
        <v>0.96381103344147867</v>
      </c>
      <c r="AC4">
        <v>0.96643484236845834</v>
      </c>
      <c r="AD4" s="11">
        <f t="shared" ref="AD4:AD21" si="7">V4/X4</f>
        <v>0.96359874905266041</v>
      </c>
      <c r="AE4" s="2">
        <f t="shared" ref="AE4:AE22" si="8">W4/Y4</f>
        <v>0.96525583585351693</v>
      </c>
      <c r="AF4" s="11">
        <f t="shared" ref="AF4:AF9" si="9">-LN(V4/X4)/($Y$38*$Y$40*(E4+273)*P4)</f>
        <v>124418150386.80544</v>
      </c>
      <c r="AG4" s="2">
        <f t="shared" ref="AG4:AG9" si="10">-LN(W4/Y4)/($Y$38*$Y$40*(E4+273)*P4)</f>
        <v>118652924885.09088</v>
      </c>
      <c r="AH4" s="11">
        <f t="shared" ref="AH4:AH9" si="11">1.17*EXP(-57/(1.987*(273+E4)))*AI4</f>
        <v>88154464997.476807</v>
      </c>
      <c r="AI4" s="2">
        <f t="shared" ref="AI4:AI9" si="12">(0.000304*EXP(-5580/(1.987*(E4+273))))*(199000000000000000*EXP(680/(1.987*(E4+273))))</f>
        <v>81368987856.687637</v>
      </c>
      <c r="AJ4" s="2">
        <f t="shared" ref="AJ4:AJ9" si="13">AF4/AG4</f>
        <v>1.0485889876486221</v>
      </c>
      <c r="AK4" s="10">
        <v>123685663230.709</v>
      </c>
      <c r="AL4">
        <v>114563170024.399</v>
      </c>
      <c r="AM4" s="10">
        <f t="shared" ref="AM4:AM35" si="14">10000/(E4+273)</f>
        <v>26.809651474530831</v>
      </c>
      <c r="AN4">
        <f t="shared" ref="AN4:AN9" si="15">LN(AF4)</f>
        <v>25.546913910039532</v>
      </c>
      <c r="AO4">
        <f t="shared" ref="AO4:AO35" si="16">LN(AG4)</f>
        <v>25.499468470894683</v>
      </c>
      <c r="AP4">
        <f t="shared" ref="AP4:AP35" si="17">LN(AH4)</f>
        <v>25.202356396776104</v>
      </c>
      <c r="AQ4">
        <f t="shared" ref="AQ4:AQ35" si="18">LN(AI4)</f>
        <v>25.122260052800272</v>
      </c>
    </row>
    <row r="5" spans="1:43" x14ac:dyDescent="0.3">
      <c r="B5" t="s">
        <v>207</v>
      </c>
      <c r="C5" t="s">
        <v>208</v>
      </c>
      <c r="D5" s="1">
        <v>45250.165729166663</v>
      </c>
      <c r="E5">
        <v>26</v>
      </c>
      <c r="F5" s="2">
        <v>9.6810759999999991</v>
      </c>
      <c r="G5" s="2">
        <v>7.6852650000000002E-3</v>
      </c>
      <c r="H5" s="2">
        <v>11886.14</v>
      </c>
      <c r="I5">
        <v>5.3287787258394304E-3</v>
      </c>
      <c r="J5">
        <v>2.2183924164709001E-2</v>
      </c>
      <c r="K5" s="2">
        <f t="shared" si="0"/>
        <v>5.1588311832034682E-2</v>
      </c>
      <c r="L5">
        <v>6.1590380429956402E-4</v>
      </c>
      <c r="M5" s="2">
        <f t="shared" si="1"/>
        <v>263.68122837111423</v>
      </c>
      <c r="N5">
        <v>1.3341469510777499</v>
      </c>
      <c r="O5" s="13">
        <f t="shared" si="2"/>
        <v>0.14075288420647866</v>
      </c>
      <c r="P5" s="2">
        <f>Q5</f>
        <v>4415.0000000232831</v>
      </c>
      <c r="Q5">
        <f t="shared" si="3"/>
        <v>4415.0000000232831</v>
      </c>
      <c r="R5" s="2">
        <f>R4+Q5</f>
        <v>9391.9999994058162</v>
      </c>
      <c r="S5" s="2">
        <f t="shared" si="4"/>
        <v>0</v>
      </c>
      <c r="T5" s="2">
        <f>T4+K5</f>
        <v>0.27021268986652253</v>
      </c>
      <c r="U5" s="2">
        <f>M5+U4</f>
        <v>1331.7135437472443</v>
      </c>
      <c r="V5" s="2">
        <f t="shared" ref="V5:V35" si="19">$T$36-T5</f>
        <v>5.7357451369884744</v>
      </c>
      <c r="W5" s="2">
        <f t="shared" ref="W5:W35" si="20">$U$36-U5</f>
        <v>29408.19175008154</v>
      </c>
      <c r="X5" s="2">
        <f t="shared" ref="X5:X35" si="21">$T$36-T4</f>
        <v>5.7873334488205099</v>
      </c>
      <c r="Y5" s="2">
        <f t="shared" ref="Y5:Y35" si="22">$U$36-U4</f>
        <v>29671.872978452651</v>
      </c>
      <c r="Z5" s="11">
        <f t="shared" si="5"/>
        <v>0.99018020920464844</v>
      </c>
      <c r="AA5" s="2">
        <f t="shared" si="6"/>
        <v>0.99075919295121195</v>
      </c>
      <c r="AD5" s="11">
        <f t="shared" si="7"/>
        <v>0.99108599629030369</v>
      </c>
      <c r="AE5" s="2">
        <f t="shared" si="8"/>
        <v>0.99111342824355597</v>
      </c>
      <c r="AF5" s="11">
        <f t="shared" si="9"/>
        <v>15280429329.269564</v>
      </c>
      <c r="AG5" s="2">
        <f t="shared" si="10"/>
        <v>15233194837.285135</v>
      </c>
      <c r="AH5" s="11">
        <f t="shared" si="11"/>
        <v>16840819425.918863</v>
      </c>
      <c r="AI5" s="2">
        <f t="shared" si="12"/>
        <v>15843245574.991554</v>
      </c>
      <c r="AJ5" s="2">
        <f>AF5/AG5</f>
        <v>1.0031007607064026</v>
      </c>
      <c r="AK5" s="10"/>
      <c r="AM5" s="10">
        <f t="shared" si="14"/>
        <v>33.444816053511708</v>
      </c>
      <c r="AN5">
        <f t="shared" si="15"/>
        <v>23.449838717755345</v>
      </c>
      <c r="AO5">
        <f t="shared" si="16"/>
        <v>23.446742754492828</v>
      </c>
      <c r="AP5">
        <f>LN(AH5)</f>
        <v>23.547071504073127</v>
      </c>
      <c r="AQ5">
        <f t="shared" si="18"/>
        <v>23.486009099755165</v>
      </c>
    </row>
    <row r="6" spans="1:43" x14ac:dyDescent="0.3">
      <c r="B6" t="s">
        <v>209</v>
      </c>
      <c r="C6" t="s">
        <v>210</v>
      </c>
      <c r="D6" s="1">
        <v>45250.245069444441</v>
      </c>
      <c r="E6">
        <v>110</v>
      </c>
      <c r="F6" s="2">
        <v>50.454909999999998</v>
      </c>
      <c r="G6" s="2">
        <v>0</v>
      </c>
      <c r="H6" s="2">
        <v>57801.42</v>
      </c>
      <c r="I6">
        <v>5.3299502043497602E-3</v>
      </c>
      <c r="J6">
        <v>2.2185480733558499E-2</v>
      </c>
      <c r="K6" s="2">
        <f t="shared" si="0"/>
        <v>0.26892215786494877</v>
      </c>
      <c r="L6">
        <v>3.8894125343624298E-3</v>
      </c>
      <c r="M6" s="2">
        <f t="shared" si="1"/>
        <v>1282.3522897823229</v>
      </c>
      <c r="N6">
        <v>7.9886830274947203</v>
      </c>
      <c r="O6" s="13">
        <f t="shared" si="2"/>
        <v>0.15087053679527337</v>
      </c>
      <c r="P6" s="2">
        <v>1800</v>
      </c>
      <c r="Q6">
        <f t="shared" si="3"/>
        <v>6795.0000000279397</v>
      </c>
      <c r="R6" s="2">
        <f t="shared" ref="R6:R23" si="23">R5+Q6</f>
        <v>16186.999999433756</v>
      </c>
      <c r="S6" s="2">
        <f t="shared" si="4"/>
        <v>4995.0000000279397</v>
      </c>
      <c r="T6" s="2">
        <f>T5+K6</f>
        <v>0.53913484773147125</v>
      </c>
      <c r="U6" s="2">
        <f>M6+U5</f>
        <v>2614.0658335295675</v>
      </c>
      <c r="V6" s="2">
        <f t="shared" si="19"/>
        <v>5.4668229791235259</v>
      </c>
      <c r="W6" s="2">
        <f t="shared" si="20"/>
        <v>28125.839460299216</v>
      </c>
      <c r="X6" s="2">
        <f t="shared" si="21"/>
        <v>5.7357451369884744</v>
      </c>
      <c r="Y6" s="2">
        <f t="shared" si="22"/>
        <v>29408.19175008154</v>
      </c>
      <c r="Z6" s="11">
        <f t="shared" si="5"/>
        <v>0.96838620003321851</v>
      </c>
      <c r="AA6" s="2">
        <f t="shared" si="6"/>
        <v>0.97084142791785877</v>
      </c>
      <c r="AB6">
        <v>0.954038490566257</v>
      </c>
      <c r="AC6">
        <v>0.95738378402887669</v>
      </c>
      <c r="AD6" s="11">
        <f t="shared" si="7"/>
        <v>0.95311469539838289</v>
      </c>
      <c r="AE6" s="2">
        <f t="shared" si="8"/>
        <v>0.95639472495690703</v>
      </c>
      <c r="AF6" s="11">
        <f t="shared" si="9"/>
        <v>156918055114.25293</v>
      </c>
      <c r="AG6" s="2">
        <f t="shared" si="10"/>
        <v>145691749548.70047</v>
      </c>
      <c r="AH6" s="11">
        <f>1.17*EXP(-57/(1.987*(273+E6)))*AI6</f>
        <v>104974596762.32732</v>
      </c>
      <c r="AI6" s="2">
        <f t="shared" si="12"/>
        <v>96700059240.232132</v>
      </c>
      <c r="AJ6" s="2">
        <f t="shared" si="13"/>
        <v>1.0770551908418111</v>
      </c>
      <c r="AK6" s="10">
        <v>153752348802.677</v>
      </c>
      <c r="AL6">
        <v>142314127307.10101</v>
      </c>
      <c r="AM6" s="10">
        <f t="shared" si="14"/>
        <v>26.109660574412533</v>
      </c>
      <c r="AN6">
        <f t="shared" si="15"/>
        <v>25.778989564088171</v>
      </c>
      <c r="AO6">
        <f t="shared" si="16"/>
        <v>25.704758922248431</v>
      </c>
      <c r="AP6">
        <f t="shared" si="17"/>
        <v>25.376984222235915</v>
      </c>
      <c r="AQ6">
        <f t="shared" si="18"/>
        <v>25.294879852024213</v>
      </c>
    </row>
    <row r="7" spans="1:43" x14ac:dyDescent="0.3">
      <c r="B7" t="s">
        <v>211</v>
      </c>
      <c r="C7" t="s">
        <v>212</v>
      </c>
      <c r="D7" s="1">
        <v>45250.296909722223</v>
      </c>
      <c r="E7">
        <v>26</v>
      </c>
      <c r="F7" s="2">
        <v>8.9837360000000004</v>
      </c>
      <c r="G7" s="2">
        <v>0</v>
      </c>
      <c r="H7" s="2">
        <v>11139.91</v>
      </c>
      <c r="I7">
        <v>5.3437735490062801E-3</v>
      </c>
      <c r="J7">
        <v>2.22064542442173E-2</v>
      </c>
      <c r="K7" s="2">
        <f t="shared" si="0"/>
        <v>4.8007050808055486E-2</v>
      </c>
      <c r="L7">
        <v>8.5116944692931803E-4</v>
      </c>
      <c r="M7" s="2">
        <f t="shared" si="1"/>
        <v>247.37790169969873</v>
      </c>
      <c r="N7">
        <v>1.94655116125656</v>
      </c>
      <c r="O7" s="13">
        <f t="shared" si="2"/>
        <v>0.13961411422442513</v>
      </c>
      <c r="P7" s="2">
        <f>Q7</f>
        <v>4419.0000003296882</v>
      </c>
      <c r="Q7">
        <f t="shared" si="3"/>
        <v>4419.0000003296882</v>
      </c>
      <c r="R7" s="2">
        <f t="shared" si="23"/>
        <v>20605.999999763444</v>
      </c>
      <c r="S7" s="2">
        <f t="shared" si="4"/>
        <v>0</v>
      </c>
      <c r="T7" s="2">
        <f>T6+K7</f>
        <v>0.5871418985395267</v>
      </c>
      <c r="U7" s="2">
        <f>M7+U6</f>
        <v>2861.4437352292662</v>
      </c>
      <c r="V7" s="2">
        <f t="shared" si="19"/>
        <v>5.4188159283154711</v>
      </c>
      <c r="W7" s="2">
        <f t="shared" si="20"/>
        <v>27878.461558599516</v>
      </c>
      <c r="X7" s="2">
        <f t="shared" si="21"/>
        <v>5.4668229791235259</v>
      </c>
      <c r="Y7" s="2">
        <f t="shared" si="22"/>
        <v>28125.839460299216</v>
      </c>
      <c r="Z7" s="11">
        <f t="shared" si="5"/>
        <v>0.99017135631665798</v>
      </c>
      <c r="AA7" s="2">
        <f t="shared" si="6"/>
        <v>0.99075085959611675</v>
      </c>
      <c r="AD7" s="11">
        <f>V7/X7</f>
        <v>0.99121847350986447</v>
      </c>
      <c r="AE7" s="2">
        <f t="shared" si="8"/>
        <v>0.99120460379328823</v>
      </c>
      <c r="AF7" s="11">
        <f t="shared" si="9"/>
        <v>15038706630.320127</v>
      </c>
      <c r="AG7" s="2">
        <f t="shared" si="10"/>
        <v>15062564288.427212</v>
      </c>
      <c r="AH7" s="11">
        <f t="shared" si="11"/>
        <v>16840819425.918863</v>
      </c>
      <c r="AI7" s="2">
        <f t="shared" si="12"/>
        <v>15843245574.991554</v>
      </c>
      <c r="AJ7" s="2">
        <f t="shared" si="13"/>
        <v>0.99841609584860569</v>
      </c>
      <c r="AK7" s="10"/>
      <c r="AM7" s="10">
        <f t="shared" si="14"/>
        <v>33.444816053511708</v>
      </c>
      <c r="AN7">
        <f t="shared" si="15"/>
        <v>23.433893156445837</v>
      </c>
      <c r="AO7">
        <f t="shared" si="16"/>
        <v>23.435478316299527</v>
      </c>
      <c r="AP7">
        <f t="shared" si="17"/>
        <v>23.547071504073127</v>
      </c>
      <c r="AQ7">
        <f t="shared" si="18"/>
        <v>23.486009099755165</v>
      </c>
    </row>
    <row r="8" spans="1:43" x14ac:dyDescent="0.3">
      <c r="B8" t="s">
        <v>213</v>
      </c>
      <c r="C8" t="s">
        <v>214</v>
      </c>
      <c r="D8" s="1">
        <v>45250.34988425926</v>
      </c>
      <c r="E8">
        <v>26</v>
      </c>
      <c r="F8" s="2">
        <v>9.0529259999999994</v>
      </c>
      <c r="G8" s="2">
        <v>0</v>
      </c>
      <c r="H8" s="2">
        <v>11242.87</v>
      </c>
      <c r="I8">
        <v>5.3624236262805203E-3</v>
      </c>
      <c r="J8">
        <v>2.22357675915228E-2</v>
      </c>
      <c r="K8" s="2">
        <f t="shared" si="0"/>
        <v>4.8545624269369203E-2</v>
      </c>
      <c r="L8">
        <v>9.9227378372916393E-4</v>
      </c>
      <c r="M8" s="2">
        <f t="shared" si="1"/>
        <v>249.99384438170395</v>
      </c>
      <c r="N8">
        <v>2.33523934609335</v>
      </c>
      <c r="O8" s="13">
        <f t="shared" si="2"/>
        <v>0.13970307802052742</v>
      </c>
      <c r="P8" s="2">
        <f>Q8</f>
        <v>4516.9999999785796</v>
      </c>
      <c r="Q8">
        <f t="shared" si="3"/>
        <v>4516.9999999785796</v>
      </c>
      <c r="R8" s="2">
        <f t="shared" si="23"/>
        <v>25122.999999742024</v>
      </c>
      <c r="S8" s="2">
        <f t="shared" si="4"/>
        <v>0</v>
      </c>
      <c r="T8" s="2">
        <f>T7+K8</f>
        <v>0.63568752280889584</v>
      </c>
      <c r="U8" s="2">
        <f>M8+U7</f>
        <v>3111.4375796109703</v>
      </c>
      <c r="V8" s="2">
        <f t="shared" si="19"/>
        <v>5.3702703040461017</v>
      </c>
      <c r="W8" s="2">
        <f t="shared" si="20"/>
        <v>27628.467714217812</v>
      </c>
      <c r="X8" s="2">
        <f t="shared" si="21"/>
        <v>5.4188159283154711</v>
      </c>
      <c r="Y8" s="2">
        <f t="shared" si="22"/>
        <v>27878.461558599516</v>
      </c>
      <c r="Z8" s="11">
        <f t="shared" si="5"/>
        <v>0.98995448530130159</v>
      </c>
      <c r="AA8" s="2">
        <f t="shared" si="6"/>
        <v>0.99054671430635977</v>
      </c>
      <c r="AD8" s="11">
        <f>V8/X8</f>
        <v>0.99104128560342875</v>
      </c>
      <c r="AE8" s="2">
        <f t="shared" si="8"/>
        <v>0.99103272453337399</v>
      </c>
      <c r="AF8" s="11">
        <f t="shared" si="9"/>
        <v>15010627119.003004</v>
      </c>
      <c r="AG8" s="2">
        <f t="shared" si="10"/>
        <v>15025036279.003099</v>
      </c>
      <c r="AH8" s="11">
        <f t="shared" si="11"/>
        <v>16840819425.918863</v>
      </c>
      <c r="AI8" s="2">
        <f t="shared" si="12"/>
        <v>15843245574.991554</v>
      </c>
      <c r="AJ8" s="2">
        <f t="shared" si="13"/>
        <v>0.99904099000278412</v>
      </c>
      <c r="AK8" s="10"/>
      <c r="AM8" s="10">
        <f t="shared" si="14"/>
        <v>33.444816053511708</v>
      </c>
      <c r="AN8">
        <f t="shared" si="15"/>
        <v>23.432024261799164</v>
      </c>
      <c r="AO8">
        <f t="shared" si="16"/>
        <v>23.432983731940681</v>
      </c>
      <c r="AP8">
        <f t="shared" si="17"/>
        <v>23.547071504073127</v>
      </c>
      <c r="AQ8">
        <f t="shared" si="18"/>
        <v>23.486009099755165</v>
      </c>
    </row>
    <row r="9" spans="1:43" x14ac:dyDescent="0.3">
      <c r="B9" t="s">
        <v>215</v>
      </c>
      <c r="C9" t="s">
        <v>216</v>
      </c>
      <c r="D9" s="1">
        <v>45250.42900462963</v>
      </c>
      <c r="E9">
        <v>100</v>
      </c>
      <c r="F9" s="2">
        <v>50.341670000000001</v>
      </c>
      <c r="G9" s="2">
        <v>0.1023144</v>
      </c>
      <c r="H9" s="2">
        <v>59353.42</v>
      </c>
      <c r="I9">
        <v>5.3820053557768598E-3</v>
      </c>
      <c r="J9">
        <v>2.2269734853147101E-2</v>
      </c>
      <c r="K9" s="2">
        <f t="shared" si="0"/>
        <v>0.27093913755875126</v>
      </c>
      <c r="L9">
        <v>5.6701415181577503E-3</v>
      </c>
      <c r="M9" s="2">
        <f t="shared" si="1"/>
        <v>1321.7849260274781</v>
      </c>
      <c r="N9">
        <v>13.087278933302199</v>
      </c>
      <c r="O9" s="13">
        <f t="shared" si="2"/>
        <v>0.14746744270555431</v>
      </c>
      <c r="P9" s="2">
        <f>45*60</f>
        <v>2700</v>
      </c>
      <c r="Q9">
        <f t="shared" si="3"/>
        <v>6775.9999999869615</v>
      </c>
      <c r="R9" s="2">
        <f t="shared" si="23"/>
        <v>31898.999999728985</v>
      </c>
      <c r="S9" s="2">
        <f t="shared" si="4"/>
        <v>4075.9999999869615</v>
      </c>
      <c r="T9" s="2">
        <f>T8+K9</f>
        <v>0.90662666036764716</v>
      </c>
      <c r="U9" s="2">
        <f>M9+U8</f>
        <v>4433.2225056384486</v>
      </c>
      <c r="V9" s="2">
        <f t="shared" si="19"/>
        <v>5.0993311664873504</v>
      </c>
      <c r="W9" s="2">
        <f t="shared" si="20"/>
        <v>26306.682788190334</v>
      </c>
      <c r="X9" s="2">
        <f t="shared" si="21"/>
        <v>5.3702703040461017</v>
      </c>
      <c r="Y9" s="2">
        <f t="shared" si="22"/>
        <v>27628.467714217812</v>
      </c>
      <c r="Z9" s="11">
        <f t="shared" si="5"/>
        <v>0.96135745690107555</v>
      </c>
      <c r="AA9" s="2">
        <f t="shared" si="6"/>
        <v>0.96427807644652608</v>
      </c>
      <c r="AB9">
        <v>0.94949215851601976</v>
      </c>
      <c r="AC9">
        <v>0.95317270495475448</v>
      </c>
      <c r="AD9" s="11">
        <f t="shared" si="7"/>
        <v>0.94954832397270228</v>
      </c>
      <c r="AE9" s="2">
        <f t="shared" si="8"/>
        <v>0.95215858730568403</v>
      </c>
      <c r="AF9" s="11">
        <f t="shared" si="9"/>
        <v>115802446387.89667</v>
      </c>
      <c r="AG9" s="2">
        <f t="shared" si="10"/>
        <v>109661713969.96841</v>
      </c>
      <c r="AH9" s="11">
        <f t="shared" si="11"/>
        <v>88154464997.476807</v>
      </c>
      <c r="AI9" s="2">
        <f t="shared" si="12"/>
        <v>81368987856.687637</v>
      </c>
      <c r="AJ9" s="2">
        <f t="shared" si="13"/>
        <v>1.0559970494315813</v>
      </c>
      <c r="AK9" s="10">
        <v>115934762957.97099</v>
      </c>
      <c r="AL9">
        <v>107280507551.155</v>
      </c>
      <c r="AM9" s="10">
        <f t="shared" si="14"/>
        <v>26.809651474530831</v>
      </c>
      <c r="AN9">
        <f t="shared" si="15"/>
        <v>25.475151527837085</v>
      </c>
      <c r="AO9">
        <f t="shared" si="16"/>
        <v>25.4206661366558</v>
      </c>
      <c r="AP9">
        <f t="shared" si="17"/>
        <v>25.202356396776104</v>
      </c>
      <c r="AQ9">
        <f t="shared" si="18"/>
        <v>25.122260052800272</v>
      </c>
    </row>
    <row r="10" spans="1:43" x14ac:dyDescent="0.3">
      <c r="D10" s="1"/>
      <c r="F10" s="2"/>
      <c r="G10" s="2"/>
      <c r="H10" s="2"/>
      <c r="O10" s="13"/>
      <c r="P10" s="2"/>
      <c r="R10" s="2"/>
      <c r="S10" s="2"/>
      <c r="T10" s="2"/>
      <c r="U10" s="2"/>
      <c r="V10" s="2">
        <f t="shared" si="19"/>
        <v>6.0059578268549974</v>
      </c>
      <c r="W10" s="2">
        <f t="shared" si="20"/>
        <v>30739.905293828782</v>
      </c>
      <c r="X10" s="2">
        <f t="shared" si="21"/>
        <v>5.0993311664873504</v>
      </c>
      <c r="Y10" s="2">
        <f t="shared" si="22"/>
        <v>26306.682788190334</v>
      </c>
      <c r="Z10" s="11"/>
      <c r="AA10" s="2"/>
      <c r="AB10" s="2"/>
      <c r="AC10" s="2"/>
      <c r="AD10" s="11"/>
      <c r="AE10" s="2"/>
      <c r="AF10" s="11"/>
      <c r="AG10" s="2"/>
      <c r="AH10" s="11"/>
      <c r="AI10" s="2"/>
      <c r="AJ10" s="2"/>
      <c r="AK10" s="11"/>
      <c r="AL10" s="2"/>
      <c r="AM10" s="10"/>
    </row>
    <row r="11" spans="1:43" x14ac:dyDescent="0.3">
      <c r="A11" t="s">
        <v>249</v>
      </c>
      <c r="D11" s="1"/>
      <c r="F11" s="2"/>
      <c r="G11" s="2"/>
      <c r="H11" s="2"/>
      <c r="O11" s="13"/>
      <c r="P11" s="2"/>
      <c r="R11" s="2"/>
      <c r="S11" s="2"/>
      <c r="T11" s="2"/>
      <c r="U11" s="2"/>
      <c r="V11" s="2">
        <f t="shared" si="19"/>
        <v>6.0059578268549974</v>
      </c>
      <c r="W11" s="2">
        <f t="shared" si="20"/>
        <v>30739.905293828782</v>
      </c>
      <c r="X11" s="2">
        <f t="shared" si="21"/>
        <v>6.0059578268549974</v>
      </c>
      <c r="Y11" s="2">
        <f t="shared" si="22"/>
        <v>30739.905293828782</v>
      </c>
      <c r="Z11" s="11"/>
      <c r="AA11" s="2"/>
      <c r="AB11" s="2"/>
      <c r="AC11" s="2"/>
      <c r="AD11" s="11"/>
      <c r="AE11" s="2"/>
      <c r="AF11" s="11"/>
      <c r="AG11" s="2"/>
      <c r="AH11" s="11"/>
      <c r="AI11" s="2"/>
      <c r="AJ11" s="2"/>
      <c r="AK11" s="11"/>
      <c r="AL11" s="2"/>
      <c r="AM11" s="10"/>
    </row>
    <row r="12" spans="1:43" x14ac:dyDescent="0.3">
      <c r="B12" t="s">
        <v>176</v>
      </c>
      <c r="C12" t="s">
        <v>217</v>
      </c>
      <c r="D12" s="1">
        <v>45250.517638888887</v>
      </c>
      <c r="E12" t="s">
        <v>202</v>
      </c>
      <c r="F12" s="2">
        <v>77.32517</v>
      </c>
      <c r="G12" s="2">
        <v>0.12875300000000001</v>
      </c>
      <c r="H12" s="2">
        <v>88387.71</v>
      </c>
      <c r="I12">
        <v>5.39988946617631E-3</v>
      </c>
      <c r="J12">
        <v>2.2303264831779301E-2</v>
      </c>
      <c r="K12" s="2">
        <f t="shared" ref="K12:K39" si="24">F12*I12</f>
        <v>0.41754737095329242</v>
      </c>
      <c r="L12">
        <v>8.7966394629807893E-3</v>
      </c>
      <c r="M12" s="2">
        <f t="shared" ref="M12:M39" si="25">H12*J12</f>
        <v>1971.3345040045078</v>
      </c>
      <c r="N12">
        <v>20.044552496889999</v>
      </c>
      <c r="O12" s="13">
        <f t="shared" si="2"/>
        <v>0.15238093354654816</v>
      </c>
      <c r="P12" s="2">
        <f>Q12</f>
        <v>7597.9999997746199</v>
      </c>
      <c r="Q12">
        <f>((D12-D9)*24*3600)-(1*60)</f>
        <v>7597.9999997746199</v>
      </c>
      <c r="R12" s="2">
        <f>R9+Q12</f>
        <v>39496.999999503605</v>
      </c>
      <c r="S12" s="2">
        <f t="shared" ref="S12:S23" si="26">Q12-P12</f>
        <v>0</v>
      </c>
      <c r="T12" s="2">
        <f>T9+K12</f>
        <v>1.3241740313209396</v>
      </c>
      <c r="U12" s="2">
        <f>M12+U9</f>
        <v>6404.5570096429565</v>
      </c>
      <c r="V12" s="2">
        <f t="shared" si="19"/>
        <v>4.6817837955340575</v>
      </c>
      <c r="W12" s="2">
        <f t="shared" si="20"/>
        <v>24335.348284185828</v>
      </c>
      <c r="X12" s="2">
        <f>$T$36-T11</f>
        <v>6.0059578268549974</v>
      </c>
      <c r="Y12" s="2">
        <f>$U$36-U11</f>
        <v>30739.905293828782</v>
      </c>
      <c r="Z12" s="11"/>
      <c r="AA12" s="2"/>
      <c r="AB12" s="2"/>
      <c r="AC12" s="2"/>
      <c r="AD12" s="11">
        <f>V12/X12</f>
        <v>0.7795232551583966</v>
      </c>
      <c r="AE12" s="2">
        <f t="shared" si="8"/>
        <v>0.79165332656608067</v>
      </c>
      <c r="AF12" s="11"/>
      <c r="AG12" s="2"/>
      <c r="AH12" s="11"/>
      <c r="AI12" s="2"/>
      <c r="AJ12" s="2"/>
      <c r="AK12" s="11"/>
      <c r="AL12" s="2"/>
      <c r="AM12" s="10"/>
    </row>
    <row r="13" spans="1:43" x14ac:dyDescent="0.3">
      <c r="B13" t="s">
        <v>177</v>
      </c>
      <c r="C13" t="s">
        <v>218</v>
      </c>
      <c r="D13" s="1">
        <v>45250.555092592593</v>
      </c>
      <c r="E13">
        <v>125</v>
      </c>
      <c r="F13" s="2">
        <v>55.328699999999998</v>
      </c>
      <c r="G13" s="2">
        <v>8.3618509999999993E-2</v>
      </c>
      <c r="H13" s="2">
        <v>64774.48</v>
      </c>
      <c r="I13">
        <v>5.4101014602000999E-3</v>
      </c>
      <c r="J13">
        <v>2.23233907621476E-2</v>
      </c>
      <c r="K13" s="2">
        <f t="shared" si="24"/>
        <v>0.29933388066097327</v>
      </c>
      <c r="L13">
        <v>6.3147197361955497E-3</v>
      </c>
      <c r="M13" s="2">
        <f t="shared" si="25"/>
        <v>1445.9860284549145</v>
      </c>
      <c r="N13">
        <v>14.853989048165801</v>
      </c>
      <c r="O13" s="13">
        <f t="shared" si="2"/>
        <v>0.14892821323698463</v>
      </c>
      <c r="P13" s="2">
        <f t="shared" ref="P13:P34" si="27">Q13</f>
        <v>3176.0000001965091</v>
      </c>
      <c r="Q13">
        <f t="shared" ref="Q13:Q39" si="28">((D13-D12)*24*3600)-(1*60)</f>
        <v>3176.0000001965091</v>
      </c>
      <c r="R13" s="2">
        <f t="shared" si="23"/>
        <v>42672.999999700114</v>
      </c>
      <c r="S13" s="2">
        <f t="shared" si="26"/>
        <v>0</v>
      </c>
      <c r="T13" s="2">
        <f t="shared" ref="T13:T38" si="29">T12+K13</f>
        <v>1.6235079119819129</v>
      </c>
      <c r="U13" s="2">
        <f t="shared" ref="U13:U39" si="30">M13+U12</f>
        <v>7850.5430380978705</v>
      </c>
      <c r="V13" s="2">
        <f t="shared" si="19"/>
        <v>4.3824499148730842</v>
      </c>
      <c r="W13" s="2">
        <f t="shared" si="20"/>
        <v>22889.362255730914</v>
      </c>
      <c r="X13" s="2">
        <f>$T$36-T12</f>
        <v>4.6817837955340575</v>
      </c>
      <c r="Y13" s="2">
        <f t="shared" si="22"/>
        <v>24335.348284185828</v>
      </c>
      <c r="Z13" s="11">
        <f>EXP(-P13*(E13+273)*$Y$40*$Y$38*AH13)</f>
        <v>0.92747402101310528</v>
      </c>
      <c r="AA13" s="2">
        <f>EXP(-P13*(E13+273)*$Y$38*$Y$40*AI13)</f>
        <v>0.93317710024917355</v>
      </c>
      <c r="AB13" s="2"/>
      <c r="AC13" s="2"/>
      <c r="AD13" s="11">
        <f t="shared" si="7"/>
        <v>0.93606413842806935</v>
      </c>
      <c r="AE13" s="2">
        <f t="shared" si="8"/>
        <v>0.94058083691390693</v>
      </c>
      <c r="AF13" s="11">
        <f>-LN(V13/X13)/($Y$38*$Y$40*(E13+273)*P13)</f>
        <v>117752713423.13338</v>
      </c>
      <c r="AG13" s="2">
        <f>-LN(W13/Y13)/($Y$38*$Y$40*(E13+273)*P13)</f>
        <v>109173884425.06985</v>
      </c>
      <c r="AH13" s="11">
        <f>1.17*EXP(-57/(1.987*(273+E13)))*AI13</f>
        <v>134183262569.17139</v>
      </c>
      <c r="AI13" s="2">
        <f>(0.000304*EXP(-5580/(1.987*(E13+273))))*(199000000000000000*EXP(680/(1.987*(E13+273))))</f>
        <v>123257946512.99637</v>
      </c>
      <c r="AJ13" s="2">
        <f>AF13/AG13</f>
        <v>1.0785794976815311</v>
      </c>
      <c r="AK13" s="11"/>
      <c r="AL13" s="2"/>
      <c r="AM13" s="10">
        <f t="shared" si="14"/>
        <v>25.125628140703519</v>
      </c>
      <c r="AN13">
        <f t="shared" ref="AN13:AN35" si="31">LN(AF13)</f>
        <v>25.491852613510623</v>
      </c>
      <c r="AO13">
        <f t="shared" si="16"/>
        <v>25.416207718038851</v>
      </c>
      <c r="AP13">
        <f t="shared" si="17"/>
        <v>25.622472333654915</v>
      </c>
      <c r="AQ13">
        <f t="shared" si="18"/>
        <v>25.537545122541282</v>
      </c>
    </row>
    <row r="14" spans="1:43" x14ac:dyDescent="0.3">
      <c r="B14" t="s">
        <v>178</v>
      </c>
      <c r="C14" t="s">
        <v>219</v>
      </c>
      <c r="D14" s="1">
        <v>45250.592662037037</v>
      </c>
      <c r="E14">
        <v>125</v>
      </c>
      <c r="F14" s="2">
        <v>57.424129999999998</v>
      </c>
      <c r="G14" s="2">
        <v>0</v>
      </c>
      <c r="H14" s="2">
        <v>67563.81</v>
      </c>
      <c r="I14">
        <v>5.4179315185953602E-3</v>
      </c>
      <c r="J14">
        <v>2.2339235464082799E-2</v>
      </c>
      <c r="K14" s="2">
        <f t="shared" si="24"/>
        <v>0.31112000385491739</v>
      </c>
      <c r="L14">
        <v>6.5656418069958396E-3</v>
      </c>
      <c r="M14" s="2">
        <f t="shared" si="25"/>
        <v>1509.3238604405519</v>
      </c>
      <c r="N14">
        <v>15.581772651168899</v>
      </c>
      <c r="O14" s="13">
        <f t="shared" si="2"/>
        <v>0.14829643045428698</v>
      </c>
      <c r="P14" s="2">
        <f t="shared" si="27"/>
        <v>3186.0000000195578</v>
      </c>
      <c r="Q14">
        <f t="shared" si="28"/>
        <v>3186.0000000195578</v>
      </c>
      <c r="R14" s="2">
        <f t="shared" si="23"/>
        <v>45858.999999719672</v>
      </c>
      <c r="S14" s="2">
        <f t="shared" si="26"/>
        <v>0</v>
      </c>
      <c r="T14" s="2">
        <f t="shared" si="29"/>
        <v>1.9346279158368302</v>
      </c>
      <c r="U14" s="2">
        <f t="shared" si="30"/>
        <v>9359.8668985384229</v>
      </c>
      <c r="V14" s="2">
        <f t="shared" si="19"/>
        <v>4.0713299110181671</v>
      </c>
      <c r="W14" s="2">
        <f t="shared" si="20"/>
        <v>21380.038395290358</v>
      </c>
      <c r="X14" s="2">
        <f t="shared" si="21"/>
        <v>4.3824499148730842</v>
      </c>
      <c r="Y14" s="2">
        <f t="shared" si="22"/>
        <v>22889.362255730914</v>
      </c>
      <c r="Z14" s="11">
        <f>EXP(-P14*(E14+273)*$Y$40*$Y$38*AH14)</f>
        <v>0.92725417938780597</v>
      </c>
      <c r="AA14" s="2">
        <f>EXP(-P14*(E14+273)*$Y$38*$Y$40*AI14)</f>
        <v>0.93297391460631873</v>
      </c>
      <c r="AB14" s="2"/>
      <c r="AC14" s="2"/>
      <c r="AD14" s="11">
        <f t="shared" si="7"/>
        <v>0.92900774454967683</v>
      </c>
      <c r="AE14" s="2">
        <f t="shared" si="8"/>
        <v>0.93406003000093807</v>
      </c>
      <c r="AF14" s="11">
        <f>-LN(V14/X14)/($Y$38*$Y$40*(E14+273)*P14)</f>
        <v>130826615372.8532</v>
      </c>
      <c r="AG14" s="2">
        <f>-LN(W14/Y14)/($Y$38*$Y$40*(E14+273)*P14)</f>
        <v>121190916799.40912</v>
      </c>
      <c r="AH14" s="11">
        <f t="shared" ref="AH14:AH35" si="32">1.17*EXP(-57/(1.987*(273+E14)))*AI14</f>
        <v>134183262569.17139</v>
      </c>
      <c r="AI14" s="2">
        <f t="shared" ref="AI14:AI35" si="33">(0.000304*EXP(-5580/(1.987*(E14+273))))*(199000000000000000*EXP(680/(1.987*(E14+273))))</f>
        <v>123257946512.99637</v>
      </c>
      <c r="AJ14" s="2">
        <f>AF14/AG14</f>
        <v>1.0795084221484414</v>
      </c>
      <c r="AK14" s="11"/>
      <c r="AL14" s="2"/>
      <c r="AM14" s="10">
        <f t="shared" si="14"/>
        <v>25.125628140703519</v>
      </c>
      <c r="AN14">
        <f t="shared" si="31"/>
        <v>25.597138736713799</v>
      </c>
      <c r="AO14">
        <f t="shared" si="16"/>
        <v>25.520632963873926</v>
      </c>
      <c r="AP14">
        <f t="shared" si="17"/>
        <v>25.622472333654915</v>
      </c>
      <c r="AQ14">
        <f t="shared" si="18"/>
        <v>25.537545122541282</v>
      </c>
    </row>
    <row r="15" spans="1:43" x14ac:dyDescent="0.3">
      <c r="B15" t="s">
        <v>179</v>
      </c>
      <c r="C15" t="s">
        <v>220</v>
      </c>
      <c r="D15" s="1">
        <v>45250.630231481482</v>
      </c>
      <c r="E15">
        <v>125</v>
      </c>
      <c r="F15" s="2">
        <v>53.674979999999998</v>
      </c>
      <c r="G15" s="2">
        <v>0</v>
      </c>
      <c r="H15" s="2">
        <v>63198.85</v>
      </c>
      <c r="I15">
        <v>5.4260151255548696E-3</v>
      </c>
      <c r="J15">
        <v>2.2355900324344001E-2</v>
      </c>
      <c r="K15" s="2">
        <f t="shared" si="24"/>
        <v>0.29124125334385509</v>
      </c>
      <c r="L15">
        <v>6.1484163921602698E-3</v>
      </c>
      <c r="M15" s="2">
        <f t="shared" si="25"/>
        <v>1412.8671912131679</v>
      </c>
      <c r="N15">
        <v>14.615260665712</v>
      </c>
      <c r="O15" s="13">
        <f t="shared" si="2"/>
        <v>0.14829849744223364</v>
      </c>
      <c r="P15" s="2">
        <f t="shared" si="27"/>
        <v>3186.0000000195578</v>
      </c>
      <c r="Q15">
        <f t="shared" si="28"/>
        <v>3186.0000000195578</v>
      </c>
      <c r="R15" s="2">
        <f t="shared" si="23"/>
        <v>49044.99999973923</v>
      </c>
      <c r="S15" s="2">
        <f t="shared" si="26"/>
        <v>0</v>
      </c>
      <c r="T15" s="2">
        <f t="shared" si="29"/>
        <v>2.2258691691806853</v>
      </c>
      <c r="U15" s="2">
        <f t="shared" si="30"/>
        <v>10772.734089751591</v>
      </c>
      <c r="V15" s="2">
        <f t="shared" si="19"/>
        <v>3.780088657674312</v>
      </c>
      <c r="W15" s="2">
        <f t="shared" si="20"/>
        <v>19967.171204077189</v>
      </c>
      <c r="X15" s="2">
        <f t="shared" si="21"/>
        <v>4.0713299110181671</v>
      </c>
      <c r="Y15" s="2">
        <f t="shared" si="22"/>
        <v>21380.038395290358</v>
      </c>
      <c r="Z15" s="11">
        <f>EXP(-P15*(E15+273)*$Y$40*$Y$38*AH15)</f>
        <v>0.92725417938780597</v>
      </c>
      <c r="AA15" s="2">
        <f>EXP(-P15*(E15+273)*$Y$38*$Y$40*AI15)</f>
        <v>0.93297391460631873</v>
      </c>
      <c r="AB15" s="2"/>
      <c r="AC15" s="2"/>
      <c r="AD15" s="11">
        <f t="shared" si="7"/>
        <v>0.92846532712672725</v>
      </c>
      <c r="AE15" s="2">
        <f t="shared" si="8"/>
        <v>0.9339165269448535</v>
      </c>
      <c r="AF15" s="11">
        <f>-LN(V15/X15)/($Y$38*$Y$40*(E15+273)*P15)</f>
        <v>131864225094.60469</v>
      </c>
      <c r="AG15" s="2">
        <f>-LN(W15/Y15)/($Y$38*$Y$40*(E15+273)*P15)</f>
        <v>121463885369.34998</v>
      </c>
      <c r="AH15" s="11">
        <f t="shared" si="32"/>
        <v>134183262569.17139</v>
      </c>
      <c r="AI15" s="2">
        <f t="shared" si="33"/>
        <v>123257946512.99637</v>
      </c>
      <c r="AJ15" s="2">
        <f>AF15/AG15</f>
        <v>1.0856249550525174</v>
      </c>
      <c r="AK15" s="11"/>
      <c r="AL15" s="2"/>
      <c r="AM15" s="10">
        <f t="shared" si="14"/>
        <v>25.125628140703519</v>
      </c>
      <c r="AN15">
        <f t="shared" si="31"/>
        <v>25.605038632394916</v>
      </c>
      <c r="AO15">
        <f t="shared" si="16"/>
        <v>25.522882815784087</v>
      </c>
      <c r="AP15">
        <f t="shared" si="17"/>
        <v>25.622472333654915</v>
      </c>
      <c r="AQ15">
        <f t="shared" si="18"/>
        <v>25.537545122541282</v>
      </c>
    </row>
    <row r="16" spans="1:43" x14ac:dyDescent="0.3">
      <c r="B16" t="s">
        <v>180</v>
      </c>
      <c r="C16" t="s">
        <v>221</v>
      </c>
      <c r="D16" s="1">
        <v>45250.682037037041</v>
      </c>
      <c r="E16" t="s">
        <v>202</v>
      </c>
      <c r="F16" s="2">
        <v>77.628619999999998</v>
      </c>
      <c r="G16" s="2">
        <v>0.159635</v>
      </c>
      <c r="H16" s="2">
        <v>90765.8</v>
      </c>
      <c r="I16">
        <v>5.4412967698292403E-3</v>
      </c>
      <c r="J16">
        <v>2.2388541517663299E-2</v>
      </c>
      <c r="K16" s="2">
        <f t="shared" si="24"/>
        <v>0.42240035925230157</v>
      </c>
      <c r="L16">
        <v>8.6691700418214408E-3</v>
      </c>
      <c r="M16" s="2">
        <f t="shared" si="25"/>
        <v>2032.1138816839236</v>
      </c>
      <c r="N16">
        <v>20.752110905473302</v>
      </c>
      <c r="O16" s="13">
        <f t="shared" si="2"/>
        <v>0.14954139789124804</v>
      </c>
      <c r="P16" s="2">
        <f t="shared" si="27"/>
        <v>4416.000000257045</v>
      </c>
      <c r="Q16">
        <f t="shared" si="28"/>
        <v>4416.000000257045</v>
      </c>
      <c r="R16" s="2">
        <f t="shared" si="23"/>
        <v>53460.999999996275</v>
      </c>
      <c r="S16" s="2">
        <f t="shared" si="26"/>
        <v>0</v>
      </c>
      <c r="T16" s="2">
        <f t="shared" si="29"/>
        <v>2.6482695284329871</v>
      </c>
      <c r="U16" s="2">
        <f t="shared" si="30"/>
        <v>12804.847971435514</v>
      </c>
      <c r="V16" s="2">
        <f t="shared" si="19"/>
        <v>3.3576882984220102</v>
      </c>
      <c r="W16" s="2">
        <f t="shared" si="20"/>
        <v>17935.057322393266</v>
      </c>
      <c r="X16" s="2">
        <f t="shared" si="21"/>
        <v>3.780088657674312</v>
      </c>
      <c r="Y16" s="2">
        <f t="shared" si="22"/>
        <v>19967.171204077189</v>
      </c>
      <c r="Z16" s="11"/>
      <c r="AA16" s="2"/>
      <c r="AB16" s="2"/>
      <c r="AC16" s="2"/>
      <c r="AD16" s="11">
        <f t="shared" si="7"/>
        <v>0.88825649409181262</v>
      </c>
      <c r="AE16" s="2">
        <f t="shared" si="8"/>
        <v>0.89822725207720078</v>
      </c>
      <c r="AF16" s="11"/>
      <c r="AG16" s="2"/>
      <c r="AH16" s="11"/>
      <c r="AI16" s="2"/>
      <c r="AJ16" s="2"/>
      <c r="AK16" s="11"/>
      <c r="AL16" s="2"/>
      <c r="AM16" s="10"/>
    </row>
    <row r="17" spans="2:43" x14ac:dyDescent="0.3">
      <c r="B17" t="s">
        <v>181</v>
      </c>
      <c r="C17" t="s">
        <v>222</v>
      </c>
      <c r="D17" s="1">
        <v>45250.733831018515</v>
      </c>
      <c r="E17">
        <v>150</v>
      </c>
      <c r="F17" s="2">
        <v>91.858519999999999</v>
      </c>
      <c r="G17" s="2">
        <v>0.1839944</v>
      </c>
      <c r="H17" s="2">
        <v>106923.7</v>
      </c>
      <c r="I17">
        <v>5.4614091513503597E-3</v>
      </c>
      <c r="J17">
        <v>2.2434756380993501E-2</v>
      </c>
      <c r="K17" s="2">
        <f t="shared" si="24"/>
        <v>0.50167696175749998</v>
      </c>
      <c r="L17">
        <v>8.5645454760565204E-3</v>
      </c>
      <c r="M17" s="2">
        <f t="shared" si="25"/>
        <v>2398.8071608544346</v>
      </c>
      <c r="N17">
        <v>22.160017806267401</v>
      </c>
      <c r="O17" s="13">
        <f t="shared" si="2"/>
        <v>0.15045756216386527</v>
      </c>
      <c r="P17" s="2">
        <f t="shared" si="27"/>
        <v>4414.9999993946403</v>
      </c>
      <c r="Q17">
        <f t="shared" si="28"/>
        <v>4414.9999993946403</v>
      </c>
      <c r="R17" s="2">
        <f t="shared" si="23"/>
        <v>57875.999999390915</v>
      </c>
      <c r="S17" s="2">
        <f t="shared" si="26"/>
        <v>0</v>
      </c>
      <c r="T17" s="2">
        <f t="shared" si="29"/>
        <v>3.1499464901904872</v>
      </c>
      <c r="U17" s="2">
        <f t="shared" si="30"/>
        <v>15203.655132289949</v>
      </c>
      <c r="V17" s="2">
        <f t="shared" si="19"/>
        <v>2.8560113366645101</v>
      </c>
      <c r="W17" s="2">
        <f t="shared" si="20"/>
        <v>15536.250161538834</v>
      </c>
      <c r="X17" s="2">
        <f t="shared" si="21"/>
        <v>3.3576882984220102</v>
      </c>
      <c r="Y17" s="2">
        <f t="shared" si="22"/>
        <v>17935.057322393266</v>
      </c>
      <c r="Z17" s="11">
        <f t="shared" ref="Z17:Z23" si="34">EXP(-P17*(E17+273)*$Y$40*$Y$38*AH17)</f>
        <v>0.85119447929776326</v>
      </c>
      <c r="AA17" s="2">
        <f t="shared" ref="AA17:AA23" si="35">EXP(-P17*(E17+273)*$Y$38*$Y$40*AI17)</f>
        <v>0.86297681598657128</v>
      </c>
      <c r="AB17" s="2"/>
      <c r="AC17" s="2"/>
      <c r="AD17" s="11">
        <f t="shared" si="7"/>
        <v>0.85058858441587037</v>
      </c>
      <c r="AE17" s="2">
        <f t="shared" si="8"/>
        <v>0.86625037669328542</v>
      </c>
      <c r="AF17" s="11">
        <f t="shared" ref="AF17:AF23" si="36">-LN(V17/X17)/($Y$38*$Y$40*(E17+273)*P17)</f>
        <v>195209482944.08044</v>
      </c>
      <c r="AG17" s="2">
        <f t="shared" ref="AG17:AG23" si="37">-LN(W17/Y17)/($Y$38*$Y$40*(E17+273)*P17)</f>
        <v>173200264018.61441</v>
      </c>
      <c r="AH17" s="11">
        <f t="shared" si="32"/>
        <v>194350521265.9346</v>
      </c>
      <c r="AI17" s="2">
        <f t="shared" si="33"/>
        <v>177767458919.01862</v>
      </c>
      <c r="AJ17" s="2">
        <f t="shared" ref="AJ17:AJ23" si="38">AF17/AG17</f>
        <v>1.1270738185658922</v>
      </c>
      <c r="AK17" s="11"/>
      <c r="AL17" s="2"/>
      <c r="AM17" s="10">
        <f t="shared" si="14"/>
        <v>23.640661938534279</v>
      </c>
      <c r="AN17">
        <f t="shared" si="31"/>
        <v>25.99733909040155</v>
      </c>
      <c r="AO17">
        <f t="shared" si="16"/>
        <v>25.877714357430481</v>
      </c>
      <c r="AP17">
        <f t="shared" si="17"/>
        <v>25.992929176340017</v>
      </c>
      <c r="AQ17">
        <f t="shared" si="18"/>
        <v>25.90374212257295</v>
      </c>
    </row>
    <row r="18" spans="2:43" x14ac:dyDescent="0.3">
      <c r="B18" t="s">
        <v>182</v>
      </c>
      <c r="C18" t="s">
        <v>223</v>
      </c>
      <c r="D18" s="1">
        <v>45250.771226851852</v>
      </c>
      <c r="E18">
        <v>150</v>
      </c>
      <c r="F18" s="2">
        <v>54.704940000000001</v>
      </c>
      <c r="G18" s="2">
        <v>7.1925199999999995E-2</v>
      </c>
      <c r="H18" s="2">
        <v>66682.8</v>
      </c>
      <c r="I18">
        <v>5.47112806899767E-3</v>
      </c>
      <c r="J18">
        <v>2.24576228639458E-2</v>
      </c>
      <c r="K18" s="2">
        <f t="shared" si="24"/>
        <v>0.29929773274683341</v>
      </c>
      <c r="L18">
        <v>4.4699621506438204E-3</v>
      </c>
      <c r="M18" s="2">
        <f t="shared" si="25"/>
        <v>1497.537173911925</v>
      </c>
      <c r="N18">
        <v>12.7038823603992</v>
      </c>
      <c r="O18" s="13">
        <f t="shared" si="2"/>
        <v>0.1437841501639224</v>
      </c>
      <c r="P18" s="2">
        <f t="shared" si="27"/>
        <v>3171.0000002849847</v>
      </c>
      <c r="Q18">
        <f t="shared" si="28"/>
        <v>3171.0000002849847</v>
      </c>
      <c r="R18" s="2">
        <f t="shared" si="23"/>
        <v>61046.9999996759</v>
      </c>
      <c r="S18" s="2">
        <f t="shared" si="26"/>
        <v>0</v>
      </c>
      <c r="T18" s="2">
        <f t="shared" si="29"/>
        <v>3.4492442229373208</v>
      </c>
      <c r="U18" s="2">
        <f t="shared" si="30"/>
        <v>16701.192306201872</v>
      </c>
      <c r="V18" s="2">
        <f t="shared" si="19"/>
        <v>2.5567136039176765</v>
      </c>
      <c r="W18" s="2">
        <f t="shared" si="20"/>
        <v>14038.71298762691</v>
      </c>
      <c r="X18" s="2">
        <f t="shared" si="21"/>
        <v>2.8560113366645101</v>
      </c>
      <c r="Y18" s="2">
        <f t="shared" si="22"/>
        <v>15536.250161538834</v>
      </c>
      <c r="Z18" s="11">
        <f t="shared" si="34"/>
        <v>0.89072645882245916</v>
      </c>
      <c r="AA18" s="2">
        <f t="shared" si="35"/>
        <v>0.89956477924210143</v>
      </c>
      <c r="AB18" s="2"/>
      <c r="AC18" s="2"/>
      <c r="AD18" s="11">
        <f t="shared" si="7"/>
        <v>0.89520429106686294</v>
      </c>
      <c r="AE18" s="2">
        <f t="shared" si="8"/>
        <v>0.9036101273897359</v>
      </c>
      <c r="AF18" s="11">
        <f t="shared" si="36"/>
        <v>185928443179.71725</v>
      </c>
      <c r="AG18" s="2">
        <f t="shared" si="37"/>
        <v>170231579749.31992</v>
      </c>
      <c r="AH18" s="11">
        <f t="shared" si="32"/>
        <v>194350521265.9346</v>
      </c>
      <c r="AI18" s="2">
        <f t="shared" si="33"/>
        <v>177767458919.01862</v>
      </c>
      <c r="AJ18" s="2">
        <f t="shared" si="38"/>
        <v>1.0922088807112773</v>
      </c>
      <c r="AK18" s="11"/>
      <c r="AL18" s="2"/>
      <c r="AM18" s="10">
        <f t="shared" si="14"/>
        <v>23.640661938534279</v>
      </c>
      <c r="AN18">
        <f t="shared" si="31"/>
        <v>25.948627722550622</v>
      </c>
      <c r="AO18">
        <f t="shared" si="16"/>
        <v>25.860425580817477</v>
      </c>
      <c r="AP18">
        <f t="shared" si="17"/>
        <v>25.992929176340017</v>
      </c>
      <c r="AQ18">
        <f t="shared" si="18"/>
        <v>25.90374212257295</v>
      </c>
    </row>
    <row r="19" spans="2:43" x14ac:dyDescent="0.3">
      <c r="B19" t="s">
        <v>183</v>
      </c>
      <c r="C19" t="s">
        <v>224</v>
      </c>
      <c r="D19" s="1">
        <v>45250.833310185182</v>
      </c>
      <c r="E19">
        <v>150</v>
      </c>
      <c r="F19" s="2">
        <v>82.220550000000003</v>
      </c>
      <c r="G19" s="2">
        <v>2.760317E-2</v>
      </c>
      <c r="H19" s="2">
        <v>99593.919999999998</v>
      </c>
      <c r="I19">
        <v>5.4754069058821899E-3</v>
      </c>
      <c r="J19">
        <v>2.24679029957204E-2</v>
      </c>
      <c r="K19" s="2">
        <f t="shared" si="24"/>
        <v>0.4501909672754319</v>
      </c>
      <c r="L19">
        <v>6.2783839732323604E-3</v>
      </c>
      <c r="M19" s="2">
        <f t="shared" si="25"/>
        <v>2237.666533523538</v>
      </c>
      <c r="N19">
        <v>16.709317487986102</v>
      </c>
      <c r="O19" s="13">
        <f t="shared" si="2"/>
        <v>0.14473934738315886</v>
      </c>
      <c r="P19" s="2">
        <f t="shared" si="27"/>
        <v>5303.9999997569248</v>
      </c>
      <c r="Q19">
        <f t="shared" si="28"/>
        <v>5303.9999997569248</v>
      </c>
      <c r="R19" s="2">
        <f t="shared" si="23"/>
        <v>66350.999999432825</v>
      </c>
      <c r="S19" s="2">
        <f t="shared" si="26"/>
        <v>0</v>
      </c>
      <c r="T19" s="2">
        <f t="shared" si="29"/>
        <v>3.8994351902127526</v>
      </c>
      <c r="U19" s="2">
        <f t="shared" si="30"/>
        <v>18938.85883972541</v>
      </c>
      <c r="V19" s="2">
        <f t="shared" si="19"/>
        <v>2.1065226366422447</v>
      </c>
      <c r="W19" s="2">
        <f t="shared" si="20"/>
        <v>11801.046454103373</v>
      </c>
      <c r="X19" s="2">
        <f t="shared" si="21"/>
        <v>2.5567136039176765</v>
      </c>
      <c r="Y19" s="2">
        <f t="shared" si="22"/>
        <v>14038.71298762691</v>
      </c>
      <c r="Z19" s="11">
        <f t="shared" si="34"/>
        <v>0.82402325217396633</v>
      </c>
      <c r="AA19" s="2">
        <f t="shared" si="35"/>
        <v>0.83774525519665255</v>
      </c>
      <c r="AB19" s="2"/>
      <c r="AC19" s="2"/>
      <c r="AD19" s="11">
        <f t="shared" si="7"/>
        <v>0.82391810854935021</v>
      </c>
      <c r="AE19" s="2">
        <f t="shared" si="8"/>
        <v>0.8406074306458351</v>
      </c>
      <c r="AF19" s="11">
        <f t="shared" si="36"/>
        <v>194478650746.91919</v>
      </c>
      <c r="AG19" s="2">
        <f t="shared" si="37"/>
        <v>174342768480.62213</v>
      </c>
      <c r="AH19" s="11">
        <f t="shared" si="32"/>
        <v>194350521265.9346</v>
      </c>
      <c r="AI19" s="2">
        <f t="shared" si="33"/>
        <v>177767458919.01862</v>
      </c>
      <c r="AJ19" s="2">
        <f t="shared" si="38"/>
        <v>1.1154959419411488</v>
      </c>
      <c r="AK19" s="11"/>
      <c r="AL19" s="2"/>
      <c r="AM19" s="10">
        <f t="shared" si="14"/>
        <v>23.640661938534279</v>
      </c>
      <c r="AN19">
        <f t="shared" si="31"/>
        <v>25.993588229182986</v>
      </c>
      <c r="AO19">
        <f t="shared" si="16"/>
        <v>25.884289132182481</v>
      </c>
      <c r="AP19">
        <f t="shared" si="17"/>
        <v>25.992929176340017</v>
      </c>
      <c r="AQ19">
        <f t="shared" si="18"/>
        <v>25.90374212257295</v>
      </c>
    </row>
    <row r="20" spans="2:43" x14ac:dyDescent="0.3">
      <c r="B20" t="s">
        <v>184</v>
      </c>
      <c r="C20" t="s">
        <v>225</v>
      </c>
      <c r="D20" s="1">
        <v>45250.870891203704</v>
      </c>
      <c r="E20">
        <v>175</v>
      </c>
      <c r="F20" s="2">
        <v>58.16337</v>
      </c>
      <c r="G20" s="2">
        <v>8.7160269999999998E-2</v>
      </c>
      <c r="H20" s="2">
        <v>72381.72</v>
      </c>
      <c r="I20">
        <v>5.4749316406643598E-3</v>
      </c>
      <c r="J20">
        <v>2.24679029957204E-2</v>
      </c>
      <c r="K20" s="2">
        <f t="shared" si="24"/>
        <v>0.31844047474066822</v>
      </c>
      <c r="L20">
        <v>4.5475058602175702E-3</v>
      </c>
      <c r="M20" s="2">
        <f t="shared" si="25"/>
        <v>1626.2654636233951</v>
      </c>
      <c r="N20">
        <v>10.8393552708245</v>
      </c>
      <c r="O20" s="13">
        <f t="shared" si="2"/>
        <v>0.14087113810402968</v>
      </c>
      <c r="P20" s="2">
        <f t="shared" si="27"/>
        <v>3187.0000002533197</v>
      </c>
      <c r="Q20">
        <f t="shared" si="28"/>
        <v>3187.0000002533197</v>
      </c>
      <c r="R20" s="2">
        <f t="shared" si="23"/>
        <v>69537.999999686144</v>
      </c>
      <c r="S20" s="2">
        <f t="shared" si="26"/>
        <v>0</v>
      </c>
      <c r="T20" s="2">
        <f t="shared" si="29"/>
        <v>4.2178756649534206</v>
      </c>
      <c r="U20" s="2">
        <f t="shared" si="30"/>
        <v>20565.124303348806</v>
      </c>
      <c r="V20" s="2">
        <f t="shared" si="19"/>
        <v>1.7880821619015768</v>
      </c>
      <c r="W20" s="2">
        <f t="shared" si="20"/>
        <v>10174.780990479976</v>
      </c>
      <c r="X20" s="2">
        <f t="shared" si="21"/>
        <v>2.1065226366422447</v>
      </c>
      <c r="Y20" s="2">
        <f t="shared" si="22"/>
        <v>11801.046454103373</v>
      </c>
      <c r="Z20" s="11">
        <f t="shared" si="34"/>
        <v>0.8426691532065822</v>
      </c>
      <c r="AA20" s="2">
        <f t="shared" si="35"/>
        <v>0.85557344498045418</v>
      </c>
      <c r="AB20" s="2"/>
      <c r="AC20" s="2"/>
      <c r="AD20" s="11">
        <f t="shared" si="7"/>
        <v>0.84883121158942032</v>
      </c>
      <c r="AE20" s="2">
        <f t="shared" si="8"/>
        <v>0.8621931139794875</v>
      </c>
      <c r="AF20" s="11">
        <f t="shared" si="36"/>
        <v>258599202150.57742</v>
      </c>
      <c r="AG20" s="2">
        <f t="shared" si="37"/>
        <v>233955121529.12054</v>
      </c>
      <c r="AH20" s="11">
        <f t="shared" si="32"/>
        <v>270095216980.86789</v>
      </c>
      <c r="AI20" s="2">
        <f t="shared" si="33"/>
        <v>246116028366.41577</v>
      </c>
      <c r="AJ20" s="2">
        <f t="shared" si="38"/>
        <v>1.1053367862194434</v>
      </c>
      <c r="AK20" s="11"/>
      <c r="AL20" s="2"/>
      <c r="AM20" s="10">
        <f t="shared" si="14"/>
        <v>22.321428571428573</v>
      </c>
      <c r="AN20">
        <f t="shared" si="31"/>
        <v>26.27854521801482</v>
      </c>
      <c r="AO20">
        <f t="shared" si="16"/>
        <v>26.178395145573287</v>
      </c>
      <c r="AP20">
        <f t="shared" si="17"/>
        <v>26.322040389261151</v>
      </c>
      <c r="AQ20">
        <f t="shared" si="18"/>
        <v>26.229068921708226</v>
      </c>
    </row>
    <row r="21" spans="2:43" x14ac:dyDescent="0.3">
      <c r="B21" t="s">
        <v>185</v>
      </c>
      <c r="C21" t="s">
        <v>226</v>
      </c>
      <c r="D21" s="1">
        <v>45250.908472222225</v>
      </c>
      <c r="E21">
        <v>175</v>
      </c>
      <c r="F21" s="2">
        <v>49.724049999999998</v>
      </c>
      <c r="G21" s="2">
        <v>9.2357649999999999E-2</v>
      </c>
      <c r="H21" s="2">
        <v>62494.41</v>
      </c>
      <c r="I21">
        <v>5.4742944478760403E-3</v>
      </c>
      <c r="J21">
        <v>2.24679029957204E-2</v>
      </c>
      <c r="K21" s="2">
        <f t="shared" si="24"/>
        <v>0.27220409084091063</v>
      </c>
      <c r="L21">
        <v>4.0038170349262501E-3</v>
      </c>
      <c r="M21" s="2">
        <f t="shared" si="25"/>
        <v>1404.118341654779</v>
      </c>
      <c r="N21">
        <v>8.4619063372195704</v>
      </c>
      <c r="O21" s="13">
        <f t="shared" si="2"/>
        <v>0.13946850160059993</v>
      </c>
      <c r="P21" s="2">
        <f t="shared" si="27"/>
        <v>3187.0000002533197</v>
      </c>
      <c r="Q21">
        <f t="shared" si="28"/>
        <v>3187.0000002533197</v>
      </c>
      <c r="R21" s="2">
        <f t="shared" si="23"/>
        <v>72724.999999939464</v>
      </c>
      <c r="S21" s="2">
        <f t="shared" si="26"/>
        <v>0</v>
      </c>
      <c r="T21" s="2">
        <f t="shared" si="29"/>
        <v>4.4900797557943308</v>
      </c>
      <c r="U21" s="2">
        <f t="shared" si="30"/>
        <v>21969.242645003585</v>
      </c>
      <c r="V21" s="2">
        <f t="shared" si="19"/>
        <v>1.5158780710606665</v>
      </c>
      <c r="W21" s="2">
        <f t="shared" si="20"/>
        <v>8770.6626488251968</v>
      </c>
      <c r="X21" s="2">
        <f t="shared" si="21"/>
        <v>1.7880821619015768</v>
      </c>
      <c r="Y21" s="2">
        <f t="shared" si="22"/>
        <v>10174.780990479976</v>
      </c>
      <c r="Z21" s="11">
        <f t="shared" si="34"/>
        <v>0.8426691532065822</v>
      </c>
      <c r="AA21" s="2">
        <f t="shared" si="35"/>
        <v>0.85557344498045418</v>
      </c>
      <c r="AB21" s="2"/>
      <c r="AC21" s="2"/>
      <c r="AD21" s="11">
        <f t="shared" si="7"/>
        <v>0.84776757095354693</v>
      </c>
      <c r="AE21" s="2">
        <f t="shared" si="8"/>
        <v>0.86200014103806843</v>
      </c>
      <c r="AF21" s="11">
        <f t="shared" si="36"/>
        <v>260577572106.45251</v>
      </c>
      <c r="AG21" s="2">
        <f t="shared" si="37"/>
        <v>234308306453.80096</v>
      </c>
      <c r="AH21" s="11">
        <f t="shared" si="32"/>
        <v>270095216980.86789</v>
      </c>
      <c r="AI21" s="2">
        <f t="shared" si="33"/>
        <v>246116028366.41577</v>
      </c>
      <c r="AJ21" s="2">
        <f t="shared" si="38"/>
        <v>1.1121141032097004</v>
      </c>
      <c r="AK21" s="11"/>
      <c r="AL21" s="2"/>
      <c r="AM21" s="10">
        <f t="shared" si="14"/>
        <v>22.321428571428573</v>
      </c>
      <c r="AN21">
        <f t="shared" si="31"/>
        <v>26.286166435410358</v>
      </c>
      <c r="AO21">
        <f t="shared" si="16"/>
        <v>26.179903634046006</v>
      </c>
      <c r="AP21">
        <f t="shared" si="17"/>
        <v>26.322040389261151</v>
      </c>
      <c r="AQ21">
        <f t="shared" si="18"/>
        <v>26.229068921708226</v>
      </c>
    </row>
    <row r="22" spans="2:43" x14ac:dyDescent="0.3">
      <c r="B22" t="s">
        <v>186</v>
      </c>
      <c r="C22" t="s">
        <v>227</v>
      </c>
      <c r="D22" s="1">
        <v>45250.94604166667</v>
      </c>
      <c r="E22">
        <v>175</v>
      </c>
      <c r="F22" s="2">
        <v>41.612760000000002</v>
      </c>
      <c r="G22" s="2">
        <v>0</v>
      </c>
      <c r="H22" s="2">
        <v>53891.33</v>
      </c>
      <c r="I22">
        <v>5.47314122584133E-3</v>
      </c>
      <c r="J22">
        <v>2.24679029957204E-2</v>
      </c>
      <c r="K22" s="2">
        <f t="shared" si="24"/>
        <v>0.22775251227704107</v>
      </c>
      <c r="L22">
        <v>3.54037710613724E-3</v>
      </c>
      <c r="M22" s="2">
        <f t="shared" si="25"/>
        <v>1210.8251747503566</v>
      </c>
      <c r="N22">
        <v>6.28095895713885</v>
      </c>
      <c r="O22" s="13">
        <f t="shared" si="2"/>
        <v>0.13532154077540237</v>
      </c>
      <c r="P22" s="2">
        <f t="shared" si="27"/>
        <v>3186.0000000195578</v>
      </c>
      <c r="Q22">
        <f t="shared" si="28"/>
        <v>3186.0000000195578</v>
      </c>
      <c r="R22" s="2">
        <f t="shared" si="23"/>
        <v>75910.999999959022</v>
      </c>
      <c r="S22" s="2">
        <f t="shared" si="26"/>
        <v>0</v>
      </c>
      <c r="T22" s="2">
        <f t="shared" si="29"/>
        <v>4.7178322680713718</v>
      </c>
      <c r="U22" s="2">
        <f t="shared" si="30"/>
        <v>23180.067819753942</v>
      </c>
      <c r="V22" s="2">
        <f t="shared" si="19"/>
        <v>1.2881255587836256</v>
      </c>
      <c r="W22" s="2">
        <f t="shared" si="20"/>
        <v>7559.8374740748404</v>
      </c>
      <c r="X22" s="2">
        <f t="shared" si="21"/>
        <v>1.5158780710606665</v>
      </c>
      <c r="Y22" s="2">
        <f t="shared" si="22"/>
        <v>8770.6626488251968</v>
      </c>
      <c r="Z22" s="11">
        <f t="shared" si="34"/>
        <v>0.84271441606802644</v>
      </c>
      <c r="AA22" s="2">
        <f t="shared" si="35"/>
        <v>0.85561532088250014</v>
      </c>
      <c r="AB22" s="2"/>
      <c r="AC22" s="2"/>
      <c r="AD22" s="11">
        <f>V22/X22</f>
        <v>0.84975538823008268</v>
      </c>
      <c r="AE22" s="2">
        <f t="shared" si="8"/>
        <v>0.86194598706717529</v>
      </c>
      <c r="AF22" s="11">
        <f t="shared" si="36"/>
        <v>256962875206.58679</v>
      </c>
      <c r="AG22" s="2">
        <f t="shared" si="37"/>
        <v>234481009127.63193</v>
      </c>
      <c r="AH22" s="11">
        <f t="shared" si="32"/>
        <v>270095216980.86789</v>
      </c>
      <c r="AI22" s="2">
        <f t="shared" si="33"/>
        <v>246116028366.41577</v>
      </c>
      <c r="AJ22" s="2">
        <f t="shared" si="38"/>
        <v>1.0958792618753939</v>
      </c>
      <c r="AK22" s="11"/>
      <c r="AL22" s="2"/>
      <c r="AM22" s="10">
        <f t="shared" si="14"/>
        <v>22.321428571428573</v>
      </c>
      <c r="AN22">
        <f t="shared" si="31"/>
        <v>26.272197456958004</v>
      </c>
      <c r="AO22">
        <f t="shared" si="16"/>
        <v>26.180640437022966</v>
      </c>
      <c r="AP22">
        <f t="shared" si="17"/>
        <v>26.322040389261151</v>
      </c>
      <c r="AQ22">
        <f t="shared" si="18"/>
        <v>26.229068921708226</v>
      </c>
    </row>
    <row r="23" spans="2:43" x14ac:dyDescent="0.3">
      <c r="B23" t="s">
        <v>187</v>
      </c>
      <c r="C23" t="s">
        <v>228</v>
      </c>
      <c r="D23" s="1">
        <v>45250.983622685184</v>
      </c>
      <c r="E23">
        <v>175</v>
      </c>
      <c r="F23" s="2">
        <v>35.244500000000002</v>
      </c>
      <c r="G23" s="2">
        <v>2.9028979999999999E-2</v>
      </c>
      <c r="H23" s="2">
        <v>46368.36</v>
      </c>
      <c r="I23">
        <v>5.4720967857023201E-3</v>
      </c>
      <c r="J23">
        <v>2.24679029957204E-2</v>
      </c>
      <c r="K23" s="2">
        <f t="shared" si="24"/>
        <v>0.19286131516368543</v>
      </c>
      <c r="L23">
        <v>3.1465081310393301E-3</v>
      </c>
      <c r="M23" s="2">
        <f t="shared" si="25"/>
        <v>1041.7998145506419</v>
      </c>
      <c r="N23">
        <v>4.7996887915809303</v>
      </c>
      <c r="O23" s="13">
        <f t="shared" si="2"/>
        <v>0.1331821580901511</v>
      </c>
      <c r="P23" s="2">
        <f t="shared" si="27"/>
        <v>3186.999999624677</v>
      </c>
      <c r="Q23">
        <f t="shared" si="28"/>
        <v>3186.999999624677</v>
      </c>
      <c r="R23" s="2">
        <f t="shared" si="23"/>
        <v>79097.999999583699</v>
      </c>
      <c r="S23" s="2">
        <f t="shared" si="26"/>
        <v>0</v>
      </c>
      <c r="T23" s="2">
        <f t="shared" si="29"/>
        <v>4.9106935832350569</v>
      </c>
      <c r="U23" s="2">
        <f t="shared" si="30"/>
        <v>24221.867634304584</v>
      </c>
      <c r="V23" s="2">
        <f t="shared" si="19"/>
        <v>1.0952642436199405</v>
      </c>
      <c r="W23" s="2">
        <f t="shared" si="20"/>
        <v>6518.0376595241978</v>
      </c>
      <c r="X23" s="2">
        <f t="shared" si="21"/>
        <v>1.2881255587836256</v>
      </c>
      <c r="Y23" s="2">
        <f t="shared" si="22"/>
        <v>7559.8374740748404</v>
      </c>
      <c r="Z23" s="11">
        <f t="shared" si="34"/>
        <v>0.84266915323503555</v>
      </c>
      <c r="AA23" s="2">
        <f t="shared" si="35"/>
        <v>0.85557344500677857</v>
      </c>
      <c r="AB23" s="2"/>
      <c r="AC23" s="2"/>
      <c r="AD23" s="11">
        <f t="shared" ref="AD23:AD35" si="39">V23/X23</f>
        <v>0.85027754953810275</v>
      </c>
      <c r="AE23" s="2">
        <f t="shared" ref="AE23:AE35" si="40">W23/Y23</f>
        <v>0.86219282912849438</v>
      </c>
      <c r="AF23" s="11">
        <f t="shared" si="36"/>
        <v>255912989562.39804</v>
      </c>
      <c r="AG23" s="2">
        <f t="shared" si="37"/>
        <v>233955642859.92914</v>
      </c>
      <c r="AH23" s="11">
        <f t="shared" si="32"/>
        <v>270095216980.86789</v>
      </c>
      <c r="AI23" s="2">
        <f t="shared" si="33"/>
        <v>246116028366.41577</v>
      </c>
      <c r="AJ23" s="2">
        <f t="shared" si="38"/>
        <v>1.0938526057078901</v>
      </c>
      <c r="AK23" s="10"/>
      <c r="AM23" s="10">
        <f t="shared" si="14"/>
        <v>22.321428571428573</v>
      </c>
      <c r="AN23">
        <f t="shared" si="31"/>
        <v>26.268103339130256</v>
      </c>
      <c r="AO23">
        <f t="shared" si="16"/>
        <v>26.178397373907611</v>
      </c>
      <c r="AP23">
        <f t="shared" si="17"/>
        <v>26.322040389261151</v>
      </c>
      <c r="AQ23">
        <f t="shared" si="18"/>
        <v>26.229068921708226</v>
      </c>
    </row>
    <row r="24" spans="2:43" x14ac:dyDescent="0.3">
      <c r="B24" t="s">
        <v>188</v>
      </c>
      <c r="C24" t="s">
        <v>229</v>
      </c>
      <c r="D24" s="1">
        <v>45251.021203703705</v>
      </c>
      <c r="E24" t="s">
        <v>202</v>
      </c>
      <c r="F24" s="2">
        <v>29.89284</v>
      </c>
      <c r="G24" s="2">
        <v>2.8515570000000001E-2</v>
      </c>
      <c r="H24" s="2">
        <v>39854.18</v>
      </c>
      <c r="I24">
        <v>5.4709397825734004E-3</v>
      </c>
      <c r="J24">
        <v>2.24679029957204E-2</v>
      </c>
      <c r="K24" s="2">
        <f t="shared" si="24"/>
        <v>0.16354192757010144</v>
      </c>
      <c r="L24">
        <v>2.8204447934800599E-3</v>
      </c>
      <c r="M24" s="2">
        <f t="shared" si="25"/>
        <v>895.43985021398009</v>
      </c>
      <c r="N24">
        <v>3.6712919347845001</v>
      </c>
      <c r="O24" s="13">
        <f t="shared" si="2"/>
        <v>0.13139471397431904</v>
      </c>
      <c r="P24" s="2">
        <f t="shared" si="27"/>
        <v>3187.0000002533197</v>
      </c>
      <c r="Q24">
        <f t="shared" si="28"/>
        <v>3187.0000002533197</v>
      </c>
      <c r="R24" s="2">
        <f t="shared" ref="R24:R39" si="41">R23+Q24</f>
        <v>82284.999999837019</v>
      </c>
      <c r="S24" s="2">
        <f t="shared" ref="S24:S39" si="42">Q24-P24</f>
        <v>0</v>
      </c>
      <c r="T24" s="2">
        <f t="shared" si="29"/>
        <v>5.074235510805158</v>
      </c>
      <c r="U24" s="2">
        <f t="shared" si="30"/>
        <v>25117.307484518566</v>
      </c>
      <c r="V24" s="2">
        <f t="shared" si="19"/>
        <v>0.93172231604983935</v>
      </c>
      <c r="W24" s="2">
        <f t="shared" si="20"/>
        <v>5622.5978093102167</v>
      </c>
      <c r="X24" s="2">
        <f t="shared" si="21"/>
        <v>1.0952642436199405</v>
      </c>
      <c r="Y24" s="2">
        <f t="shared" si="22"/>
        <v>6518.0376595241978</v>
      </c>
      <c r="Z24" s="11"/>
      <c r="AA24" s="2"/>
      <c r="AD24" s="11">
        <f t="shared" si="39"/>
        <v>0.85068267450274715</v>
      </c>
      <c r="AE24" s="2">
        <f t="shared" si="40"/>
        <v>0.86262125244005627</v>
      </c>
      <c r="AF24" s="11"/>
      <c r="AG24" s="2"/>
      <c r="AH24" s="11"/>
      <c r="AI24" s="2"/>
      <c r="AJ24" s="2"/>
      <c r="AK24" s="10"/>
      <c r="AM24" s="10"/>
    </row>
    <row r="25" spans="2:43" x14ac:dyDescent="0.3">
      <c r="B25" t="s">
        <v>189</v>
      </c>
      <c r="C25" t="s">
        <v>230</v>
      </c>
      <c r="D25" s="1">
        <v>45251.058842592596</v>
      </c>
      <c r="E25">
        <v>200</v>
      </c>
      <c r="F25" s="2">
        <v>31.72636</v>
      </c>
      <c r="G25" s="2">
        <v>3.2858760000000001E-2</v>
      </c>
      <c r="H25" s="2">
        <v>42380.5</v>
      </c>
      <c r="I25">
        <v>5.4692862805835202E-3</v>
      </c>
      <c r="J25">
        <v>2.24679029957204E-2</v>
      </c>
      <c r="K25" s="2">
        <f t="shared" si="24"/>
        <v>0.17352054548085377</v>
      </c>
      <c r="L25">
        <v>3.2266979181095699E-3</v>
      </c>
      <c r="M25" s="2">
        <f t="shared" si="25"/>
        <v>952.2009629101284</v>
      </c>
      <c r="N25">
        <v>3.41426849629952</v>
      </c>
      <c r="O25" s="13">
        <f t="shared" si="2"/>
        <v>0.13110144777090707</v>
      </c>
      <c r="P25" s="2">
        <f t="shared" si="27"/>
        <v>3192.0000001648441</v>
      </c>
      <c r="Q25">
        <f t="shared" si="28"/>
        <v>3192.0000001648441</v>
      </c>
      <c r="R25" s="2">
        <f t="shared" si="41"/>
        <v>85477.000000001863</v>
      </c>
      <c r="S25" s="2">
        <f t="shared" si="42"/>
        <v>0</v>
      </c>
      <c r="T25" s="2">
        <f t="shared" si="29"/>
        <v>5.2477560562860122</v>
      </c>
      <c r="U25" s="2">
        <f t="shared" si="30"/>
        <v>26069.508447428692</v>
      </c>
      <c r="V25" s="2">
        <f t="shared" si="19"/>
        <v>0.75820177056898519</v>
      </c>
      <c r="W25" s="2">
        <f t="shared" si="20"/>
        <v>4670.39684640009</v>
      </c>
      <c r="X25" s="2">
        <f t="shared" si="21"/>
        <v>0.93172231604983935</v>
      </c>
      <c r="Y25" s="2">
        <f t="shared" si="22"/>
        <v>5622.5978093102167</v>
      </c>
      <c r="Z25" s="11">
        <f t="shared" ref="Z25:Z35" si="43">EXP(-P25*(E25+273)*$Y$40*$Y$38*AH25)</f>
        <v>0.7843000095412872</v>
      </c>
      <c r="AA25" s="2">
        <f t="shared" ref="AA25:AA35" si="44">EXP(-P25*(E25+273)*$Y$38*$Y$40*AI25)</f>
        <v>0.80200116341022543</v>
      </c>
      <c r="AD25" s="11">
        <f t="shared" si="39"/>
        <v>0.81376366918362808</v>
      </c>
      <c r="AE25" s="2">
        <f t="shared" si="40"/>
        <v>0.83064750579644553</v>
      </c>
      <c r="AF25" s="11">
        <f t="shared" ref="AF25:AF35" si="45">-LN(V25/X25)/($Y$38*$Y$40*(E25+273)*P25)</f>
        <v>307499722913.27136</v>
      </c>
      <c r="AG25" s="2">
        <f t="shared" ref="AG25:AG35" si="46">-LN(W25/Y25)/($Y$38*$Y$40*(E25+273)*P25)</f>
        <v>276858667633.95343</v>
      </c>
      <c r="AH25" s="11">
        <f t="shared" si="32"/>
        <v>362525927700.55499</v>
      </c>
      <c r="AI25" s="2">
        <f t="shared" si="33"/>
        <v>329224588875.15723</v>
      </c>
      <c r="AJ25" s="2">
        <f t="shared" ref="AJ25:AJ35" si="47">AF25/AG25</f>
        <v>1.1106739967405672</v>
      </c>
      <c r="AK25" s="10"/>
      <c r="AM25" s="10">
        <f t="shared" si="14"/>
        <v>21.141649048625794</v>
      </c>
      <c r="AN25">
        <f t="shared" si="31"/>
        <v>26.451740023097525</v>
      </c>
      <c r="AO25">
        <f t="shared" si="16"/>
        <v>26.346772987776422</v>
      </c>
      <c r="AP25">
        <f t="shared" si="17"/>
        <v>26.616361833374558</v>
      </c>
      <c r="AQ25">
        <f t="shared" si="18"/>
        <v>26.520005995776351</v>
      </c>
    </row>
    <row r="26" spans="2:43" x14ac:dyDescent="0.3">
      <c r="B26" t="s">
        <v>190</v>
      </c>
      <c r="C26" t="s">
        <v>231</v>
      </c>
      <c r="D26" s="1">
        <v>45251.096412037034</v>
      </c>
      <c r="E26">
        <v>200</v>
      </c>
      <c r="F26" s="2">
        <v>29.32893</v>
      </c>
      <c r="G26" s="2">
        <v>0</v>
      </c>
      <c r="H26" s="2">
        <v>39502.9</v>
      </c>
      <c r="I26">
        <v>5.4680112308523703E-3</v>
      </c>
      <c r="J26">
        <v>2.24679029957204E-2</v>
      </c>
      <c r="K26" s="2">
        <f t="shared" si="24"/>
        <v>0.160370918628883</v>
      </c>
      <c r="L26">
        <v>3.16227671465296E-3</v>
      </c>
      <c r="M26" s="2">
        <f t="shared" si="25"/>
        <v>887.54732524964345</v>
      </c>
      <c r="N26">
        <v>2.9862825658639398</v>
      </c>
      <c r="O26" s="13">
        <f t="shared" si="2"/>
        <v>0.12999279961895113</v>
      </c>
      <c r="P26" s="2">
        <f t="shared" si="27"/>
        <v>3185.999999390915</v>
      </c>
      <c r="Q26">
        <f t="shared" si="28"/>
        <v>3185.999999390915</v>
      </c>
      <c r="R26" s="2">
        <f t="shared" si="41"/>
        <v>88662.999999392778</v>
      </c>
      <c r="S26" s="2">
        <f t="shared" si="42"/>
        <v>0</v>
      </c>
      <c r="T26" s="2">
        <f t="shared" si="29"/>
        <v>5.4081269749148948</v>
      </c>
      <c r="U26" s="2">
        <f t="shared" si="30"/>
        <v>26957.055772678337</v>
      </c>
      <c r="V26" s="2">
        <f t="shared" si="19"/>
        <v>0.59783085194010255</v>
      </c>
      <c r="W26" s="2">
        <f t="shared" si="20"/>
        <v>3782.8495211504451</v>
      </c>
      <c r="X26" s="2">
        <f t="shared" si="21"/>
        <v>0.75820177056898519</v>
      </c>
      <c r="Y26" s="2">
        <f t="shared" si="22"/>
        <v>4670.39684640009</v>
      </c>
      <c r="Z26" s="11">
        <f t="shared" si="43"/>
        <v>0.78465828012523631</v>
      </c>
      <c r="AA26" s="2">
        <f t="shared" si="44"/>
        <v>0.8023338597405596</v>
      </c>
      <c r="AD26" s="11">
        <f t="shared" si="39"/>
        <v>0.7884851699719273</v>
      </c>
      <c r="AE26" s="2">
        <f t="shared" si="40"/>
        <v>0.80996318847428128</v>
      </c>
      <c r="AF26" s="11">
        <f t="shared" si="45"/>
        <v>355252764402.18634</v>
      </c>
      <c r="AG26" s="2">
        <f t="shared" si="46"/>
        <v>315076774355.73694</v>
      </c>
      <c r="AH26" s="11">
        <f t="shared" si="32"/>
        <v>362525927700.55499</v>
      </c>
      <c r="AI26" s="2">
        <f t="shared" si="33"/>
        <v>329224588875.15723</v>
      </c>
      <c r="AJ26" s="2">
        <f t="shared" si="47"/>
        <v>1.1275117473466603</v>
      </c>
      <c r="AK26" s="10"/>
      <c r="AM26" s="10">
        <f t="shared" si="14"/>
        <v>21.141649048625794</v>
      </c>
      <c r="AN26">
        <f t="shared" si="31"/>
        <v>26.59609538546178</v>
      </c>
      <c r="AO26">
        <f t="shared" si="16"/>
        <v>26.476082174188623</v>
      </c>
      <c r="AP26">
        <f t="shared" si="17"/>
        <v>26.616361833374558</v>
      </c>
      <c r="AQ26">
        <f t="shared" si="18"/>
        <v>26.520005995776351</v>
      </c>
    </row>
    <row r="27" spans="2:43" x14ac:dyDescent="0.3">
      <c r="B27" t="s">
        <v>191</v>
      </c>
      <c r="C27" t="s">
        <v>232</v>
      </c>
      <c r="D27" s="1">
        <v>45251.148194444446</v>
      </c>
      <c r="E27">
        <v>200</v>
      </c>
      <c r="F27" s="2">
        <v>32.087209999999999</v>
      </c>
      <c r="G27" s="2">
        <v>3.142085E-2</v>
      </c>
      <c r="H27" s="2">
        <v>43932.78</v>
      </c>
      <c r="I27">
        <v>5.4663240132705997E-3</v>
      </c>
      <c r="J27">
        <v>2.24679029957204E-2</v>
      </c>
      <c r="K27" s="2">
        <f t="shared" si="24"/>
        <v>0.17539908654185651</v>
      </c>
      <c r="L27">
        <v>3.7987467074270401E-3</v>
      </c>
      <c r="M27" s="2">
        <f t="shared" si="25"/>
        <v>987.07743937232522</v>
      </c>
      <c r="N27">
        <v>3.27183122980813</v>
      </c>
      <c r="O27" s="13">
        <f t="shared" si="2"/>
        <v>0.12783839257416435</v>
      </c>
      <c r="P27" s="2">
        <f t="shared" si="27"/>
        <v>4414.0000004181638</v>
      </c>
      <c r="Q27">
        <f t="shared" si="28"/>
        <v>4414.0000004181638</v>
      </c>
      <c r="R27" s="2">
        <f t="shared" si="41"/>
        <v>93076.999999810942</v>
      </c>
      <c r="S27" s="2">
        <f t="shared" si="42"/>
        <v>0</v>
      </c>
      <c r="T27" s="2">
        <f t="shared" si="29"/>
        <v>5.5835260614567517</v>
      </c>
      <c r="U27" s="2">
        <f t="shared" si="30"/>
        <v>27944.133212050663</v>
      </c>
      <c r="V27" s="2">
        <f t="shared" si="19"/>
        <v>0.42243176539824567</v>
      </c>
      <c r="W27" s="2">
        <f t="shared" si="20"/>
        <v>2795.7720817781192</v>
      </c>
      <c r="X27" s="2">
        <f t="shared" si="21"/>
        <v>0.59783085194010255</v>
      </c>
      <c r="Y27" s="2">
        <f t="shared" si="22"/>
        <v>3782.8495211504451</v>
      </c>
      <c r="Z27" s="11">
        <f t="shared" si="43"/>
        <v>0.71463886163584145</v>
      </c>
      <c r="AA27" s="2">
        <f t="shared" si="44"/>
        <v>0.7370383968991967</v>
      </c>
      <c r="AD27" s="11">
        <f t="shared" si="39"/>
        <v>0.70660750282016171</v>
      </c>
      <c r="AE27" s="2">
        <f t="shared" si="40"/>
        <v>0.73906510585381824</v>
      </c>
      <c r="AF27" s="11">
        <f t="shared" si="45"/>
        <v>374720949315.73419</v>
      </c>
      <c r="AG27" s="2">
        <f t="shared" si="46"/>
        <v>326261578736.25952</v>
      </c>
      <c r="AH27" s="11">
        <f t="shared" si="32"/>
        <v>362525927700.55499</v>
      </c>
      <c r="AI27" s="2">
        <f t="shared" si="33"/>
        <v>329224588875.15723</v>
      </c>
      <c r="AJ27" s="2">
        <f t="shared" si="47"/>
        <v>1.1485291978515431</v>
      </c>
      <c r="AK27" s="10"/>
      <c r="AM27" s="10">
        <f t="shared" si="14"/>
        <v>21.141649048625794</v>
      </c>
      <c r="AN27">
        <f t="shared" si="31"/>
        <v>26.649447450752785</v>
      </c>
      <c r="AO27">
        <f t="shared" si="16"/>
        <v>26.510965285332887</v>
      </c>
      <c r="AP27">
        <f t="shared" si="17"/>
        <v>26.616361833374558</v>
      </c>
      <c r="AQ27">
        <f t="shared" si="18"/>
        <v>26.520005995776351</v>
      </c>
    </row>
    <row r="28" spans="2:43" x14ac:dyDescent="0.3">
      <c r="B28" t="s">
        <v>192</v>
      </c>
      <c r="C28" t="s">
        <v>233</v>
      </c>
      <c r="D28" s="1">
        <v>45251.18582175926</v>
      </c>
      <c r="E28">
        <v>250</v>
      </c>
      <c r="F28" s="2">
        <v>27.830300000000001</v>
      </c>
      <c r="G28" s="2">
        <v>4.1953009999999999E-2</v>
      </c>
      <c r="H28" s="2">
        <v>39968.46</v>
      </c>
      <c r="I28">
        <v>5.4645623986812001E-3</v>
      </c>
      <c r="J28">
        <v>2.24679029957204E-2</v>
      </c>
      <c r="K28" s="2">
        <f t="shared" si="24"/>
        <v>0.15208041092401742</v>
      </c>
      <c r="L28">
        <v>3.9273862073683696E-3</v>
      </c>
      <c r="M28" s="2">
        <f t="shared" si="25"/>
        <v>898.00748216833097</v>
      </c>
      <c r="N28">
        <v>3.0124375939200601</v>
      </c>
      <c r="O28" s="13">
        <f t="shared" si="2"/>
        <v>0.12183681065446474</v>
      </c>
      <c r="P28" s="2">
        <f t="shared" si="27"/>
        <v>3190.9999999310821</v>
      </c>
      <c r="Q28">
        <f t="shared" si="28"/>
        <v>3190.9999999310821</v>
      </c>
      <c r="R28" s="2">
        <f t="shared" si="41"/>
        <v>96267.999999742024</v>
      </c>
      <c r="S28" s="2">
        <f t="shared" si="42"/>
        <v>0</v>
      </c>
      <c r="T28" s="2">
        <f t="shared" si="29"/>
        <v>5.7356064723807689</v>
      </c>
      <c r="U28" s="2">
        <f t="shared" si="30"/>
        <v>28842.140694218993</v>
      </c>
      <c r="V28" s="2">
        <f t="shared" si="19"/>
        <v>0.27035135447422842</v>
      </c>
      <c r="W28" s="2">
        <f t="shared" si="20"/>
        <v>1897.764599609789</v>
      </c>
      <c r="X28" s="2">
        <f t="shared" si="21"/>
        <v>0.42243176539824567</v>
      </c>
      <c r="Y28" s="2">
        <f t="shared" si="22"/>
        <v>2795.7720817781192</v>
      </c>
      <c r="Z28" s="11">
        <f t="shared" si="43"/>
        <v>0.6410410012273241</v>
      </c>
      <c r="AA28" s="2">
        <f t="shared" si="44"/>
        <v>0.66932803666650309</v>
      </c>
      <c r="AD28" s="11">
        <f t="shared" si="39"/>
        <v>0.63998822204896422</v>
      </c>
      <c r="AE28" s="2">
        <f t="shared" si="40"/>
        <v>0.67879803649902859</v>
      </c>
      <c r="AF28" s="11">
        <f t="shared" si="45"/>
        <v>602456250492.82336</v>
      </c>
      <c r="AG28" s="2">
        <f t="shared" si="46"/>
        <v>522983940449.34253</v>
      </c>
      <c r="AH28" s="11">
        <f t="shared" si="32"/>
        <v>600237535013.72363</v>
      </c>
      <c r="AI28" s="2">
        <f t="shared" si="33"/>
        <v>541948810548.71667</v>
      </c>
      <c r="AJ28" s="2">
        <f t="shared" si="47"/>
        <v>1.1519593698712796</v>
      </c>
      <c r="AK28" s="10"/>
      <c r="AM28" s="10">
        <f t="shared" si="14"/>
        <v>19.120458891013385</v>
      </c>
      <c r="AN28">
        <f t="shared" si="31"/>
        <v>27.124280886384827</v>
      </c>
      <c r="AO28">
        <f t="shared" si="16"/>
        <v>26.982816593942061</v>
      </c>
      <c r="AP28">
        <f t="shared" si="17"/>
        <v>27.120591305507659</v>
      </c>
      <c r="AQ28">
        <f t="shared" si="18"/>
        <v>27.018437388443729</v>
      </c>
    </row>
    <row r="29" spans="2:43" x14ac:dyDescent="0.3">
      <c r="B29" t="s">
        <v>193</v>
      </c>
      <c r="C29" t="s">
        <v>234</v>
      </c>
      <c r="D29" s="1">
        <v>45251.223414351851</v>
      </c>
      <c r="E29">
        <v>250</v>
      </c>
      <c r="F29" s="2">
        <v>17.883590000000002</v>
      </c>
      <c r="G29" s="2">
        <v>1.8484159999999999E-2</v>
      </c>
      <c r="H29" s="2">
        <v>27142.639999999999</v>
      </c>
      <c r="I29">
        <v>5.4630924826913098E-3</v>
      </c>
      <c r="J29">
        <v>2.24679029957204E-2</v>
      </c>
      <c r="K29" s="2">
        <f t="shared" si="24"/>
        <v>9.7699706092533492E-2</v>
      </c>
      <c r="L29">
        <v>2.9506461393913001E-3</v>
      </c>
      <c r="M29" s="2">
        <f t="shared" si="25"/>
        <v>609.83820256776039</v>
      </c>
      <c r="N29">
        <v>2.0700436913965001</v>
      </c>
      <c r="O29" s="13">
        <f t="shared" si="2"/>
        <v>0.11525607619201644</v>
      </c>
      <c r="P29" s="2">
        <f t="shared" si="27"/>
        <v>3187.999999858439</v>
      </c>
      <c r="Q29">
        <f t="shared" si="28"/>
        <v>3187.999999858439</v>
      </c>
      <c r="R29" s="2">
        <f t="shared" si="41"/>
        <v>99455.999999600463</v>
      </c>
      <c r="S29" s="2">
        <f t="shared" si="42"/>
        <v>0</v>
      </c>
      <c r="T29" s="2">
        <f t="shared" si="29"/>
        <v>5.8333061784733022</v>
      </c>
      <c r="U29" s="2">
        <f t="shared" si="30"/>
        <v>29451.978896786753</v>
      </c>
      <c r="V29" s="2">
        <f t="shared" si="19"/>
        <v>0.17265164838169511</v>
      </c>
      <c r="W29" s="2">
        <f t="shared" si="20"/>
        <v>1287.9263970420288</v>
      </c>
      <c r="X29" s="2">
        <f t="shared" si="21"/>
        <v>0.27035135447422842</v>
      </c>
      <c r="Y29" s="2">
        <f t="shared" si="22"/>
        <v>1897.764599609789</v>
      </c>
      <c r="Z29" s="11">
        <f t="shared" si="43"/>
        <v>0.64130904204233063</v>
      </c>
      <c r="AA29" s="2">
        <f t="shared" si="44"/>
        <v>0.66958072223577714</v>
      </c>
      <c r="AD29" s="11">
        <f t="shared" si="39"/>
        <v>0.63861950578151572</v>
      </c>
      <c r="AE29" s="2">
        <f t="shared" si="40"/>
        <v>0.67865445340631148</v>
      </c>
      <c r="AF29" s="11">
        <f t="shared" si="45"/>
        <v>605915910072.89294</v>
      </c>
      <c r="AG29" s="2">
        <f t="shared" si="46"/>
        <v>523761915162.43732</v>
      </c>
      <c r="AH29" s="11">
        <f t="shared" si="32"/>
        <v>600237535013.72363</v>
      </c>
      <c r="AI29" s="2">
        <f t="shared" si="33"/>
        <v>541948810548.71667</v>
      </c>
      <c r="AJ29" s="2">
        <f t="shared" si="47"/>
        <v>1.1568537011420097</v>
      </c>
      <c r="AK29" s="10"/>
      <c r="AM29" s="10">
        <f t="shared" si="14"/>
        <v>19.120458891013385</v>
      </c>
      <c r="AN29">
        <f t="shared" si="31"/>
        <v>27.1300070511314</v>
      </c>
      <c r="AO29">
        <f t="shared" si="16"/>
        <v>26.984303057637472</v>
      </c>
      <c r="AP29">
        <f t="shared" si="17"/>
        <v>27.120591305507659</v>
      </c>
      <c r="AQ29">
        <f t="shared" si="18"/>
        <v>27.018437388443729</v>
      </c>
    </row>
    <row r="30" spans="2:43" x14ac:dyDescent="0.3">
      <c r="B30" t="s">
        <v>194</v>
      </c>
      <c r="C30" t="s">
        <v>235</v>
      </c>
      <c r="D30" s="1">
        <v>45251.261006944442</v>
      </c>
      <c r="E30">
        <v>250</v>
      </c>
      <c r="F30" s="2">
        <v>11.11539</v>
      </c>
      <c r="G30" s="2">
        <v>0</v>
      </c>
      <c r="H30" s="2">
        <v>18347.740000000002</v>
      </c>
      <c r="I30">
        <v>5.4614196471608097E-3</v>
      </c>
      <c r="J30">
        <v>2.24679029957204E-2</v>
      </c>
      <c r="K30" s="2">
        <f t="shared" si="24"/>
        <v>6.0705809331854793E-2</v>
      </c>
      <c r="L30">
        <v>2.1196729921609601E-3</v>
      </c>
      <c r="M30" s="2">
        <f t="shared" si="25"/>
        <v>412.23524251069904</v>
      </c>
      <c r="N30">
        <v>1.42433574049317</v>
      </c>
      <c r="O30" s="13">
        <f t="shared" si="2"/>
        <v>0.10594252897361889</v>
      </c>
      <c r="P30" s="2">
        <f t="shared" si="27"/>
        <v>3187.999999858439</v>
      </c>
      <c r="Q30">
        <f t="shared" si="28"/>
        <v>3187.999999858439</v>
      </c>
      <c r="R30" s="2">
        <f t="shared" si="41"/>
        <v>102643.9999994589</v>
      </c>
      <c r="S30" s="2">
        <f t="shared" si="42"/>
        <v>0</v>
      </c>
      <c r="T30" s="2">
        <f>T29+K30</f>
        <v>5.8940119878051567</v>
      </c>
      <c r="U30" s="2">
        <f t="shared" si="30"/>
        <v>29864.214139297452</v>
      </c>
      <c r="V30" s="2">
        <f t="shared" si="19"/>
        <v>0.11194583904984068</v>
      </c>
      <c r="W30" s="2">
        <f t="shared" si="20"/>
        <v>875.69115453133054</v>
      </c>
      <c r="X30" s="2">
        <f t="shared" si="21"/>
        <v>0.17265164838169511</v>
      </c>
      <c r="Y30" s="2">
        <f t="shared" si="22"/>
        <v>1287.9263970420288</v>
      </c>
      <c r="Z30" s="11">
        <f t="shared" si="43"/>
        <v>0.64130904204233063</v>
      </c>
      <c r="AA30" s="2">
        <f t="shared" si="44"/>
        <v>0.66958072223577714</v>
      </c>
      <c r="AD30" s="11">
        <f t="shared" si="39"/>
        <v>0.64839137129089475</v>
      </c>
      <c r="AE30" s="2">
        <f t="shared" si="40"/>
        <v>0.6799232910689027</v>
      </c>
      <c r="AF30" s="11">
        <f t="shared" si="45"/>
        <v>585397893952.96594</v>
      </c>
      <c r="AG30" s="2">
        <f t="shared" si="46"/>
        <v>521238123805.51843</v>
      </c>
      <c r="AH30" s="11">
        <f t="shared" si="32"/>
        <v>600237535013.72363</v>
      </c>
      <c r="AI30" s="2">
        <f t="shared" si="33"/>
        <v>541948810548.71667</v>
      </c>
      <c r="AJ30" s="2">
        <f t="shared" si="47"/>
        <v>1.1230910925682529</v>
      </c>
      <c r="AK30" s="10"/>
      <c r="AM30" s="10">
        <f t="shared" si="14"/>
        <v>19.120458891013385</v>
      </c>
      <c r="AN30">
        <f t="shared" si="31"/>
        <v>27.095557613577238</v>
      </c>
      <c r="AO30">
        <f t="shared" si="16"/>
        <v>26.979472825733708</v>
      </c>
      <c r="AP30">
        <f t="shared" si="17"/>
        <v>27.120591305507659</v>
      </c>
      <c r="AQ30">
        <f t="shared" si="18"/>
        <v>27.018437388443729</v>
      </c>
    </row>
    <row r="31" spans="2:43" x14ac:dyDescent="0.3">
      <c r="B31" t="s">
        <v>195</v>
      </c>
      <c r="C31" t="s">
        <v>236</v>
      </c>
      <c r="D31" s="1">
        <v>45251.298587962963</v>
      </c>
      <c r="E31">
        <v>250</v>
      </c>
      <c r="F31" s="2">
        <v>6.9387160000000003</v>
      </c>
      <c r="G31" s="2">
        <v>0</v>
      </c>
      <c r="H31" s="2">
        <v>12406.69</v>
      </c>
      <c r="I31">
        <v>5.4587561679464904E-3</v>
      </c>
      <c r="J31">
        <v>2.24679029957204E-2</v>
      </c>
      <c r="K31" s="2">
        <f t="shared" si="24"/>
        <v>3.7876758762629005E-2</v>
      </c>
      <c r="L31">
        <v>1.56317477399985E-3</v>
      </c>
      <c r="M31" s="2">
        <f t="shared" si="25"/>
        <v>278.75230741797435</v>
      </c>
      <c r="N31">
        <v>0.99535964592249904</v>
      </c>
      <c r="O31" s="13">
        <f t="shared" si="2"/>
        <v>9.7755125287071393E-2</v>
      </c>
      <c r="P31" s="2">
        <f t="shared" si="27"/>
        <v>3187.0000002533197</v>
      </c>
      <c r="Q31">
        <f t="shared" si="28"/>
        <v>3187.0000002533197</v>
      </c>
      <c r="R31" s="2">
        <f t="shared" si="41"/>
        <v>105830.99999971222</v>
      </c>
      <c r="S31" s="2">
        <f t="shared" si="42"/>
        <v>0</v>
      </c>
      <c r="T31" s="2">
        <f t="shared" si="29"/>
        <v>5.9318887465677861</v>
      </c>
      <c r="U31" s="2">
        <f t="shared" si="30"/>
        <v>30142.966446715425</v>
      </c>
      <c r="V31" s="2">
        <f t="shared" si="19"/>
        <v>7.4069080287211264E-2</v>
      </c>
      <c r="W31" s="2">
        <f t="shared" si="20"/>
        <v>596.93884711335704</v>
      </c>
      <c r="X31" s="2">
        <f t="shared" si="21"/>
        <v>0.11194583904984068</v>
      </c>
      <c r="Y31" s="2">
        <f t="shared" si="22"/>
        <v>875.69115453133054</v>
      </c>
      <c r="Z31" s="11">
        <f t="shared" si="43"/>
        <v>0.64139841384686891</v>
      </c>
      <c r="AA31" s="2">
        <f t="shared" si="44"/>
        <v>0.66966497192048535</v>
      </c>
      <c r="AD31" s="11">
        <f t="shared" si="39"/>
        <v>0.66165103514239709</v>
      </c>
      <c r="AE31" s="2">
        <f t="shared" si="40"/>
        <v>0.68167737452234334</v>
      </c>
      <c r="AF31" s="11">
        <f t="shared" si="45"/>
        <v>558220700941.46216</v>
      </c>
      <c r="AG31" s="2">
        <f t="shared" si="46"/>
        <v>517919354550.88788</v>
      </c>
      <c r="AH31" s="11">
        <f t="shared" si="32"/>
        <v>600237535013.72363</v>
      </c>
      <c r="AI31" s="2">
        <f t="shared" si="33"/>
        <v>541948810548.71667</v>
      </c>
      <c r="AJ31" s="2">
        <f t="shared" si="47"/>
        <v>1.0778139415653263</v>
      </c>
      <c r="AK31" s="10"/>
      <c r="AM31" s="10">
        <f t="shared" si="14"/>
        <v>19.120458891013385</v>
      </c>
      <c r="AN31">
        <f t="shared" si="31"/>
        <v>27.048020242530221</v>
      </c>
      <c r="AO31">
        <f t="shared" si="16"/>
        <v>26.973085380890343</v>
      </c>
      <c r="AP31">
        <f t="shared" si="17"/>
        <v>27.120591305507659</v>
      </c>
      <c r="AQ31">
        <f t="shared" si="18"/>
        <v>27.018437388443729</v>
      </c>
    </row>
    <row r="32" spans="2:43" x14ac:dyDescent="0.3">
      <c r="B32" t="s">
        <v>196</v>
      </c>
      <c r="C32" t="s">
        <v>237</v>
      </c>
      <c r="D32" s="1">
        <v>45251.335995370369</v>
      </c>
      <c r="E32">
        <v>250</v>
      </c>
      <c r="F32" s="2">
        <v>4.5693720000000004</v>
      </c>
      <c r="G32" s="2">
        <v>0</v>
      </c>
      <c r="H32" s="2">
        <v>8355.9989999999998</v>
      </c>
      <c r="I32">
        <v>5.4563457502392904E-3</v>
      </c>
      <c r="J32">
        <v>2.24679029957204E-2</v>
      </c>
      <c r="K32" s="2">
        <f t="shared" si="24"/>
        <v>2.4932073493462409E-2</v>
      </c>
      <c r="L32">
        <v>1.1294759240760501E-3</v>
      </c>
      <c r="M32" s="2">
        <f t="shared" si="25"/>
        <v>187.74177496433666</v>
      </c>
      <c r="N32">
        <v>0.68909878205511299</v>
      </c>
      <c r="O32" s="13">
        <f t="shared" si="2"/>
        <v>9.5539437207748823E-2</v>
      </c>
      <c r="P32" s="2">
        <f t="shared" si="27"/>
        <v>3171.9999998901039</v>
      </c>
      <c r="Q32">
        <f t="shared" si="28"/>
        <v>3171.9999998901039</v>
      </c>
      <c r="R32" s="2">
        <f t="shared" si="41"/>
        <v>109002.99999960233</v>
      </c>
      <c r="S32" s="2">
        <f t="shared" si="42"/>
        <v>0</v>
      </c>
      <c r="T32" s="2">
        <f t="shared" si="29"/>
        <v>5.9568208200612487</v>
      </c>
      <c r="U32" s="2">
        <f t="shared" si="30"/>
        <v>30330.708221679761</v>
      </c>
      <c r="V32" s="2">
        <f t="shared" si="19"/>
        <v>4.9137006793748661E-2</v>
      </c>
      <c r="W32" s="2">
        <f t="shared" si="20"/>
        <v>409.19707214902155</v>
      </c>
      <c r="X32" s="2">
        <f t="shared" si="21"/>
        <v>7.4069080287211264E-2</v>
      </c>
      <c r="Y32" s="2">
        <f t="shared" si="22"/>
        <v>596.93884711335704</v>
      </c>
      <c r="Z32" s="11">
        <f t="shared" si="43"/>
        <v>0.64274048701584563</v>
      </c>
      <c r="AA32" s="2">
        <f t="shared" si="44"/>
        <v>0.6709299905503342</v>
      </c>
      <c r="AD32" s="11">
        <f t="shared" si="39"/>
        <v>0.66339431518812364</v>
      </c>
      <c r="AE32" s="2">
        <f t="shared" si="40"/>
        <v>0.6854924488962203</v>
      </c>
      <c r="AF32" s="11">
        <f t="shared" si="45"/>
        <v>557287289410.98254</v>
      </c>
      <c r="AG32" s="2">
        <f t="shared" si="46"/>
        <v>512789764746.94519</v>
      </c>
      <c r="AH32" s="11">
        <f t="shared" si="32"/>
        <v>600237535013.72363</v>
      </c>
      <c r="AI32" s="2">
        <f t="shared" si="33"/>
        <v>541948810548.71667</v>
      </c>
      <c r="AJ32" s="2">
        <f t="shared" si="47"/>
        <v>1.0867753760373831</v>
      </c>
      <c r="AK32" s="10"/>
      <c r="AM32" s="10">
        <f t="shared" si="14"/>
        <v>19.120458891013385</v>
      </c>
      <c r="AN32">
        <f t="shared" si="31"/>
        <v>27.046346723816953</v>
      </c>
      <c r="AO32">
        <f t="shared" si="16"/>
        <v>26.963131782811839</v>
      </c>
      <c r="AP32">
        <f t="shared" si="17"/>
        <v>27.120591305507659</v>
      </c>
      <c r="AQ32">
        <f t="shared" si="18"/>
        <v>27.018437388443729</v>
      </c>
    </row>
    <row r="33" spans="2:43" x14ac:dyDescent="0.3">
      <c r="B33" t="s">
        <v>197</v>
      </c>
      <c r="C33" t="s">
        <v>238</v>
      </c>
      <c r="D33" s="1">
        <v>45251.373564814814</v>
      </c>
      <c r="E33">
        <v>250</v>
      </c>
      <c r="F33" s="2">
        <v>2.9315069999999999</v>
      </c>
      <c r="G33" s="2">
        <v>0</v>
      </c>
      <c r="H33" s="2">
        <v>5732.92</v>
      </c>
      <c r="I33">
        <v>5.4535060387783801E-3</v>
      </c>
      <c r="J33">
        <v>2.24679029957204E-2</v>
      </c>
      <c r="K33" s="2">
        <f t="shared" si="24"/>
        <v>1.5986991127221094E-2</v>
      </c>
      <c r="L33">
        <v>7.7028272808995005E-4</v>
      </c>
      <c r="M33" s="2">
        <f t="shared" si="25"/>
        <v>128.8066904422254</v>
      </c>
      <c r="N33">
        <v>0.48602450098614602</v>
      </c>
      <c r="O33" s="13">
        <f t="shared" si="2"/>
        <v>8.9292197681187277E-2</v>
      </c>
      <c r="P33" s="2">
        <f t="shared" si="27"/>
        <v>3186.0000000195578</v>
      </c>
      <c r="Q33">
        <f t="shared" si="28"/>
        <v>3186.0000000195578</v>
      </c>
      <c r="R33" s="2">
        <f t="shared" si="41"/>
        <v>112188.99999962188</v>
      </c>
      <c r="S33" s="2">
        <f t="shared" si="42"/>
        <v>0</v>
      </c>
      <c r="T33" s="2">
        <f t="shared" si="29"/>
        <v>5.9728078111884697</v>
      </c>
      <c r="U33" s="2">
        <f t="shared" si="30"/>
        <v>30459.514912121987</v>
      </c>
      <c r="V33" s="2">
        <f t="shared" si="19"/>
        <v>3.3150015666527644E-2</v>
      </c>
      <c r="W33" s="2">
        <f t="shared" si="20"/>
        <v>280.39038170679487</v>
      </c>
      <c r="X33" s="2">
        <f t="shared" si="21"/>
        <v>4.9137006793748661E-2</v>
      </c>
      <c r="Y33" s="2">
        <f t="shared" si="22"/>
        <v>409.19707214902155</v>
      </c>
      <c r="Z33" s="11">
        <f t="shared" si="43"/>
        <v>0.64148779816231383</v>
      </c>
      <c r="AA33" s="2">
        <f t="shared" si="44"/>
        <v>0.6697492322588442</v>
      </c>
      <c r="AD33" s="11">
        <f t="shared" si="39"/>
        <v>0.67464458723898246</v>
      </c>
      <c r="AE33" s="2">
        <f t="shared" si="40"/>
        <v>0.68522088937303582</v>
      </c>
      <c r="AF33" s="11">
        <f t="shared" si="45"/>
        <v>532102718304.91479</v>
      </c>
      <c r="AG33" s="2">
        <f t="shared" si="46"/>
        <v>511072152561.84723</v>
      </c>
      <c r="AH33" s="11">
        <f t="shared" si="32"/>
        <v>600237535013.72363</v>
      </c>
      <c r="AI33" s="2">
        <f t="shared" si="33"/>
        <v>541948810548.71667</v>
      </c>
      <c r="AJ33" s="2">
        <f t="shared" si="47"/>
        <v>1.0411498956412473</v>
      </c>
      <c r="AK33" s="10"/>
      <c r="AM33" s="10">
        <f t="shared" si="14"/>
        <v>19.120458891013385</v>
      </c>
      <c r="AN33">
        <f t="shared" si="31"/>
        <v>27.000102387171122</v>
      </c>
      <c r="AO33">
        <f t="shared" si="16"/>
        <v>26.959776615933681</v>
      </c>
      <c r="AP33">
        <f t="shared" si="17"/>
        <v>27.120591305507659</v>
      </c>
      <c r="AQ33">
        <f t="shared" si="18"/>
        <v>27.018437388443729</v>
      </c>
    </row>
    <row r="34" spans="2:43" x14ac:dyDescent="0.3">
      <c r="B34" t="s">
        <v>198</v>
      </c>
      <c r="C34" t="s">
        <v>239</v>
      </c>
      <c r="D34" s="1">
        <v>45251.485335648147</v>
      </c>
      <c r="E34">
        <v>250</v>
      </c>
      <c r="F34" s="2">
        <v>4.7753699999999997</v>
      </c>
      <c r="G34" s="2">
        <v>0</v>
      </c>
      <c r="H34" s="2">
        <v>9589.9330000000009</v>
      </c>
      <c r="I34">
        <v>5.43593177183011E-3</v>
      </c>
      <c r="J34">
        <v>2.24617372810022E-2</v>
      </c>
      <c r="K34" s="2">
        <f t="shared" si="24"/>
        <v>2.5958585505244349E-2</v>
      </c>
      <c r="L34">
        <v>1.31325990464294E-3</v>
      </c>
      <c r="M34" s="2">
        <f t="shared" si="25"/>
        <v>215.40655558841328</v>
      </c>
      <c r="N34">
        <v>0.952648420230639</v>
      </c>
      <c r="O34" s="13">
        <f t="shared" si="2"/>
        <v>8.6697646316591145E-2</v>
      </c>
      <c r="P34" s="2">
        <f t="shared" si="27"/>
        <v>9596.9999999832362</v>
      </c>
      <c r="Q34">
        <f t="shared" si="28"/>
        <v>9596.9999999832362</v>
      </c>
      <c r="R34" s="2">
        <f t="shared" si="41"/>
        <v>121785.99999960512</v>
      </c>
      <c r="S34" s="2">
        <f t="shared" si="42"/>
        <v>0</v>
      </c>
      <c r="T34" s="2">
        <f t="shared" si="29"/>
        <v>5.9987663966937141</v>
      </c>
      <c r="U34" s="2">
        <f t="shared" si="30"/>
        <v>30674.921467710399</v>
      </c>
      <c r="V34" s="2">
        <f t="shared" si="19"/>
        <v>7.1914301612832077E-3</v>
      </c>
      <c r="W34" s="2">
        <f t="shared" si="20"/>
        <v>64.983826118383149</v>
      </c>
      <c r="X34" s="2">
        <f t="shared" si="21"/>
        <v>3.3150015666527644E-2</v>
      </c>
      <c r="Y34" s="2">
        <f t="shared" si="22"/>
        <v>280.39038170679487</v>
      </c>
      <c r="Z34" s="11">
        <f t="shared" si="43"/>
        <v>0.26254574409431303</v>
      </c>
      <c r="AA34" s="2">
        <f t="shared" si="44"/>
        <v>0.29895488573609208</v>
      </c>
      <c r="AD34" s="11">
        <f t="shared" si="39"/>
        <v>0.21693595060784737</v>
      </c>
      <c r="AE34" s="2">
        <f t="shared" si="40"/>
        <v>0.23176196602327445</v>
      </c>
      <c r="AF34" s="11">
        <f t="shared" si="45"/>
        <v>685885235066.15881</v>
      </c>
      <c r="AG34" s="2">
        <f t="shared" si="46"/>
        <v>656213489411.44897</v>
      </c>
      <c r="AH34" s="11">
        <f t="shared" si="32"/>
        <v>600237535013.72363</v>
      </c>
      <c r="AI34" s="2">
        <f t="shared" si="33"/>
        <v>541948810548.71667</v>
      </c>
      <c r="AJ34" s="2">
        <f t="shared" si="47"/>
        <v>1.0452166042507327</v>
      </c>
      <c r="AK34" s="10"/>
      <c r="AM34" s="10">
        <f t="shared" si="14"/>
        <v>19.120458891013385</v>
      </c>
      <c r="AN34">
        <f t="shared" si="31"/>
        <v>27.253976154854865</v>
      </c>
      <c r="AO34">
        <f t="shared" si="16"/>
        <v>27.209752014121996</v>
      </c>
      <c r="AP34">
        <f t="shared" si="17"/>
        <v>27.120591305507659</v>
      </c>
      <c r="AQ34">
        <f t="shared" si="18"/>
        <v>27.018437388443729</v>
      </c>
    </row>
    <row r="35" spans="2:43" x14ac:dyDescent="0.3">
      <c r="B35" t="s">
        <v>199</v>
      </c>
      <c r="C35" t="s">
        <v>240</v>
      </c>
      <c r="D35" s="1">
        <v>45251.522789351853</v>
      </c>
      <c r="E35">
        <v>250</v>
      </c>
      <c r="F35" s="2">
        <v>0.9114428</v>
      </c>
      <c r="G35" s="2">
        <v>0</v>
      </c>
      <c r="H35" s="2">
        <v>1864.232</v>
      </c>
      <c r="I35">
        <v>5.4217204115389901E-3</v>
      </c>
      <c r="J35">
        <v>2.2454872024527301E-2</v>
      </c>
      <c r="K35" s="2">
        <f t="shared" si="24"/>
        <v>4.9415880327102497E-3</v>
      </c>
      <c r="L35">
        <v>2.5225490402324102E-4</v>
      </c>
      <c r="M35" s="2">
        <f t="shared" si="25"/>
        <v>41.861090984028579</v>
      </c>
      <c r="N35">
        <v>0.20529329055940301</v>
      </c>
      <c r="O35" s="13">
        <f t="shared" si="2"/>
        <v>8.4926102510431076E-2</v>
      </c>
      <c r="P35" s="2">
        <f>Q35</f>
        <v>3176.0000001965091</v>
      </c>
      <c r="Q35">
        <f t="shared" si="28"/>
        <v>3176.0000001965091</v>
      </c>
      <c r="R35" s="2">
        <f t="shared" si="41"/>
        <v>124961.99999980163</v>
      </c>
      <c r="S35" s="2">
        <f t="shared" si="42"/>
        <v>0</v>
      </c>
      <c r="T35" s="2">
        <f t="shared" si="29"/>
        <v>6.0037079847264243</v>
      </c>
      <c r="U35" s="2">
        <f t="shared" si="30"/>
        <v>30716.782558694427</v>
      </c>
      <c r="V35" s="2">
        <f t="shared" si="19"/>
        <v>2.249842128573043E-3</v>
      </c>
      <c r="W35" s="2">
        <f t="shared" si="20"/>
        <v>23.122735134355025</v>
      </c>
      <c r="X35" s="2">
        <f t="shared" si="21"/>
        <v>7.1914301612832077E-3</v>
      </c>
      <c r="Y35" s="2">
        <f t="shared" si="22"/>
        <v>64.983826118383149</v>
      </c>
      <c r="Z35" s="11">
        <f t="shared" si="43"/>
        <v>0.64238232648366189</v>
      </c>
      <c r="AA35" s="2">
        <f t="shared" si="44"/>
        <v>0.67059241876180098</v>
      </c>
      <c r="AD35" s="11">
        <f t="shared" si="39"/>
        <v>0.31285044533778672</v>
      </c>
      <c r="AE35" s="2">
        <f t="shared" si="40"/>
        <v>0.35582292572665059</v>
      </c>
      <c r="AF35" s="11">
        <f t="shared" si="45"/>
        <v>1576002585441.7698</v>
      </c>
      <c r="AG35" s="2">
        <f t="shared" si="46"/>
        <v>1401442508382.2932</v>
      </c>
      <c r="AH35" s="11">
        <f t="shared" si="32"/>
        <v>600237535013.72363</v>
      </c>
      <c r="AI35" s="2">
        <f t="shared" si="33"/>
        <v>541948810548.71667</v>
      </c>
      <c r="AJ35" s="2">
        <f t="shared" si="47"/>
        <v>1.1245574299447887</v>
      </c>
      <c r="AK35" s="10"/>
      <c r="AM35" s="10">
        <f t="shared" si="14"/>
        <v>19.120458891013385</v>
      </c>
      <c r="AN35">
        <f t="shared" si="31"/>
        <v>28.085912747871628</v>
      </c>
      <c r="AO35">
        <f t="shared" si="16"/>
        <v>27.968523185220228</v>
      </c>
      <c r="AP35">
        <f t="shared" si="17"/>
        <v>27.120591305507659</v>
      </c>
      <c r="AQ35">
        <f t="shared" si="18"/>
        <v>27.018437388443729</v>
      </c>
    </row>
    <row r="36" spans="2:43" x14ac:dyDescent="0.3">
      <c r="B36" s="21" t="s">
        <v>200</v>
      </c>
      <c r="C36" t="s">
        <v>201</v>
      </c>
      <c r="D36" s="1">
        <v>45251.55972222222</v>
      </c>
      <c r="E36" t="s">
        <v>332</v>
      </c>
      <c r="F36" s="38">
        <f>K36/I36</f>
        <v>0.41605577665328086</v>
      </c>
      <c r="G36" s="2">
        <v>0</v>
      </c>
      <c r="H36" s="39">
        <v>1030</v>
      </c>
      <c r="I36" s="2">
        <v>5.4075493114653901E-3</v>
      </c>
      <c r="J36" s="2">
        <v>2.2449257411994199E-2</v>
      </c>
      <c r="K36" s="2">
        <f>M36*O36*(0.00000139)*1000</f>
        <v>2.249842128572647E-3</v>
      </c>
      <c r="L36" s="2"/>
      <c r="M36" s="2">
        <f>H36*J36</f>
        <v>23.122735134354027</v>
      </c>
      <c r="N36" s="2"/>
      <c r="O36" s="40">
        <v>7.0000000000000007E-2</v>
      </c>
      <c r="P36" s="2"/>
      <c r="Q36">
        <f t="shared" si="28"/>
        <v>3130.9999997355044</v>
      </c>
      <c r="R36" s="2">
        <f t="shared" si="41"/>
        <v>128092.99999953713</v>
      </c>
      <c r="S36" s="2">
        <f t="shared" si="42"/>
        <v>3130.9999997355044</v>
      </c>
      <c r="T36" s="2">
        <f>T35+K36</f>
        <v>6.0059578268549974</v>
      </c>
      <c r="U36" s="2">
        <f t="shared" si="30"/>
        <v>30739.905293828782</v>
      </c>
      <c r="V36" s="2">
        <f>$T$36-T36</f>
        <v>0</v>
      </c>
      <c r="W36" s="2">
        <f>$U$36-U36</f>
        <v>0</v>
      </c>
      <c r="X36" s="2">
        <f>$T$36-T35</f>
        <v>2.249842128573043E-3</v>
      </c>
      <c r="Y36" s="2">
        <f>$U$36-U35</f>
        <v>23.122735134355025</v>
      </c>
    </row>
    <row r="37" spans="2:43" x14ac:dyDescent="0.3">
      <c r="B37" t="s">
        <v>241</v>
      </c>
      <c r="C37" t="s">
        <v>242</v>
      </c>
      <c r="D37" s="1">
        <v>45251.835648148146</v>
      </c>
      <c r="E37" t="s">
        <v>146</v>
      </c>
      <c r="F37" s="2">
        <v>0</v>
      </c>
      <c r="G37" s="2">
        <v>0</v>
      </c>
      <c r="H37" s="2">
        <v>3.1191659999999999</v>
      </c>
      <c r="I37">
        <v>5.1855026135471998E-3</v>
      </c>
      <c r="J37">
        <v>2.2681487490542399E-2</v>
      </c>
      <c r="K37" s="2">
        <f t="shared" si="24"/>
        <v>0</v>
      </c>
      <c r="L37">
        <v>0</v>
      </c>
      <c r="M37" s="2">
        <f t="shared" si="25"/>
        <v>7.0747324609925166E-2</v>
      </c>
      <c r="N37">
        <v>5.3594856579969904E-4</v>
      </c>
      <c r="O37" s="13">
        <f t="shared" si="2"/>
        <v>0</v>
      </c>
      <c r="Q37">
        <f t="shared" si="28"/>
        <v>23779.999999967404</v>
      </c>
      <c r="R37" s="2">
        <f t="shared" si="41"/>
        <v>151872.99999950454</v>
      </c>
      <c r="S37" s="2">
        <f t="shared" si="42"/>
        <v>23779.999999967404</v>
      </c>
      <c r="T37" s="2">
        <f t="shared" si="29"/>
        <v>6.0059578268549974</v>
      </c>
      <c r="U37" s="2">
        <f t="shared" si="30"/>
        <v>30739.976041153393</v>
      </c>
      <c r="AB37" s="2"/>
      <c r="AC37" s="2"/>
    </row>
    <row r="38" spans="2:43" x14ac:dyDescent="0.3">
      <c r="B38" t="s">
        <v>243</v>
      </c>
      <c r="C38" t="s">
        <v>244</v>
      </c>
      <c r="D38" s="1">
        <v>45252.589317129627</v>
      </c>
      <c r="E38" t="s">
        <v>146</v>
      </c>
      <c r="F38" s="2">
        <v>0.12286370000000001</v>
      </c>
      <c r="G38" s="2">
        <v>0</v>
      </c>
      <c r="H38" s="2">
        <v>490.40899999999999</v>
      </c>
      <c r="I38">
        <v>5.3442908747365599E-3</v>
      </c>
      <c r="J38">
        <v>2.2630052598852798E-2</v>
      </c>
      <c r="K38" s="2">
        <f t="shared" si="24"/>
        <v>6.5661935074637031E-4</v>
      </c>
      <c r="L38" s="2">
        <v>2.7398965230244301E-5</v>
      </c>
      <c r="M38" s="2">
        <f t="shared" si="25"/>
        <v>11.097981464950802</v>
      </c>
      <c r="N38">
        <v>0.16586658798826701</v>
      </c>
      <c r="O38" s="13">
        <f t="shared" si="2"/>
        <v>4.2565219955680023E-2</v>
      </c>
      <c r="P38">
        <v>3600</v>
      </c>
      <c r="Q38">
        <f t="shared" si="28"/>
        <v>65056.9999999227</v>
      </c>
      <c r="R38" s="2">
        <f t="shared" si="41"/>
        <v>216929.99999942724</v>
      </c>
      <c r="S38" s="2">
        <f t="shared" si="42"/>
        <v>61456.9999999227</v>
      </c>
      <c r="T38" s="2">
        <f t="shared" si="29"/>
        <v>6.0066144462057434</v>
      </c>
      <c r="U38" s="2">
        <f t="shared" si="30"/>
        <v>30751.074022618344</v>
      </c>
      <c r="V38" s="33"/>
      <c r="W38" s="5"/>
      <c r="X38" s="5" t="s">
        <v>97</v>
      </c>
      <c r="Y38" s="34">
        <v>1.36E-22</v>
      </c>
      <c r="AB38" s="2"/>
      <c r="AC38" s="2"/>
      <c r="AF38" t="s">
        <v>265</v>
      </c>
      <c r="AG38" t="s">
        <v>267</v>
      </c>
    </row>
    <row r="39" spans="2:43" x14ac:dyDescent="0.3">
      <c r="B39" t="s">
        <v>245</v>
      </c>
      <c r="C39" t="s">
        <v>246</v>
      </c>
      <c r="D39" s="1">
        <v>45253.362013888887</v>
      </c>
      <c r="E39" t="s">
        <v>146</v>
      </c>
      <c r="F39" s="2">
        <v>1.906646E-2</v>
      </c>
      <c r="G39" s="2">
        <v>0</v>
      </c>
      <c r="H39" s="2">
        <v>19.175070000000002</v>
      </c>
      <c r="I39">
        <v>5.0949326873250501E-3</v>
      </c>
      <c r="J39">
        <v>2.3170872512870401E-2</v>
      </c>
      <c r="K39" s="2">
        <f t="shared" si="24"/>
        <v>9.7142330285575581E-5</v>
      </c>
      <c r="L39" s="2">
        <v>1.0084186422419601E-6</v>
      </c>
      <c r="M39" s="2">
        <f t="shared" si="25"/>
        <v>0.44430310239536586</v>
      </c>
      <c r="N39">
        <v>6.6640718883394703E-3</v>
      </c>
      <c r="O39" s="13">
        <f t="shared" si="2"/>
        <v>0.15729480207091781</v>
      </c>
      <c r="P39">
        <v>3600</v>
      </c>
      <c r="Q39">
        <f t="shared" si="28"/>
        <v>66701.00000012666</v>
      </c>
      <c r="R39" s="2">
        <f t="shared" si="41"/>
        <v>283630.9999995539</v>
      </c>
      <c r="S39" s="2">
        <f t="shared" si="42"/>
        <v>63101.00000012666</v>
      </c>
      <c r="T39" s="2">
        <f>T38+K39</f>
        <v>6.0067115885360289</v>
      </c>
      <c r="U39" s="2">
        <f t="shared" si="30"/>
        <v>30751.518325720739</v>
      </c>
      <c r="V39" s="10" t="s">
        <v>107</v>
      </c>
      <c r="W39">
        <v>0.1159</v>
      </c>
      <c r="Y39" s="14"/>
      <c r="AF39">
        <v>25</v>
      </c>
      <c r="AG39">
        <f>1.17*EXP(-57/(1.987*(273+AF39)))</f>
        <v>1.0626230782891961</v>
      </c>
    </row>
    <row r="40" spans="2:43" x14ac:dyDescent="0.3">
      <c r="N40" s="28" t="s">
        <v>280</v>
      </c>
      <c r="O40" s="32">
        <f>(T39/(U39*1000))/0.00000139</f>
        <v>0.14052558959134961</v>
      </c>
      <c r="P40" s="30" t="s">
        <v>281</v>
      </c>
      <c r="T40" s="2"/>
      <c r="U40" s="2"/>
      <c r="V40" s="35" t="s">
        <v>108</v>
      </c>
      <c r="W40" s="36">
        <v>7.4700000000000003E-2</v>
      </c>
      <c r="X40" s="36" t="s">
        <v>96</v>
      </c>
      <c r="Y40" s="37">
        <f>2/(LN(W39/W40)*((W40/2)^2))</f>
        <v>3263.9186704766953</v>
      </c>
      <c r="AF40">
        <f>AF39+25</f>
        <v>50</v>
      </c>
      <c r="AG40">
        <f t="shared" ref="AG40:AG48" si="48">1.17*EXP(-57/(1.987*(273+AF40)))</f>
        <v>1.0705699529318393</v>
      </c>
    </row>
    <row r="41" spans="2:43" x14ac:dyDescent="0.3">
      <c r="F41" s="2"/>
      <c r="H41" s="2"/>
      <c r="AF41">
        <f t="shared" ref="AF41:AF48" si="49">AF40+25</f>
        <v>75</v>
      </c>
      <c r="AG41">
        <f t="shared" si="48"/>
        <v>1.0774222544307648</v>
      </c>
    </row>
    <row r="42" spans="2:43" x14ac:dyDescent="0.3">
      <c r="F42" s="2"/>
      <c r="AF42">
        <f t="shared" si="49"/>
        <v>100</v>
      </c>
      <c r="AG42">
        <f t="shared" si="48"/>
        <v>1.0833914408858101</v>
      </c>
    </row>
    <row r="43" spans="2:43" x14ac:dyDescent="0.3">
      <c r="AF43">
        <f t="shared" si="49"/>
        <v>125</v>
      </c>
      <c r="AG43">
        <f t="shared" si="48"/>
        <v>1.0886378230796101</v>
      </c>
    </row>
    <row r="44" spans="2:43" x14ac:dyDescent="0.3">
      <c r="F44" s="2"/>
      <c r="H44" s="2"/>
      <c r="AF44">
        <f t="shared" si="49"/>
        <v>150</v>
      </c>
      <c r="AG44">
        <f t="shared" si="48"/>
        <v>1.093285140304955</v>
      </c>
    </row>
    <row r="45" spans="2:43" x14ac:dyDescent="0.3">
      <c r="F45" s="2"/>
      <c r="H45" s="2"/>
      <c r="AF45">
        <f t="shared" si="49"/>
        <v>175</v>
      </c>
      <c r="AG45">
        <f t="shared" si="48"/>
        <v>1.0974304224459208</v>
      </c>
    </row>
    <row r="46" spans="2:43" x14ac:dyDescent="0.3">
      <c r="AF46">
        <f t="shared" si="49"/>
        <v>200</v>
      </c>
      <c r="AG46">
        <f t="shared" si="48"/>
        <v>1.101150825153056</v>
      </c>
    </row>
    <row r="47" spans="2:43" x14ac:dyDescent="0.3">
      <c r="AF47">
        <f t="shared" si="49"/>
        <v>225</v>
      </c>
      <c r="AG47">
        <f t="shared" si="48"/>
        <v>1.1045084688703461</v>
      </c>
    </row>
    <row r="48" spans="2:43" x14ac:dyDescent="0.3">
      <c r="AF48">
        <f t="shared" si="49"/>
        <v>250</v>
      </c>
      <c r="AG48">
        <f t="shared" si="48"/>
        <v>1.1075539300584318</v>
      </c>
    </row>
  </sheetData>
  <sortState xmlns:xlrd2="http://schemas.microsoft.com/office/spreadsheetml/2017/richdata2" ref="V38:Y40">
    <sortCondition sortBy="cellColor" ref="Y40"/>
  </sortState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DF38-83B4-4B53-8C6B-EFDC5A371315}">
  <dimension ref="A1:D958"/>
  <sheetViews>
    <sheetView workbookViewId="0">
      <selection activeCell="H23" sqref="H23"/>
    </sheetView>
  </sheetViews>
  <sheetFormatPr defaultRowHeight="14.4" x14ac:dyDescent="0.3"/>
  <sheetData>
    <row r="1" spans="1:4" x14ac:dyDescent="0.3">
      <c r="B1" t="s">
        <v>142</v>
      </c>
      <c r="C1" t="s">
        <v>143</v>
      </c>
      <c r="D1" t="s">
        <v>144</v>
      </c>
    </row>
    <row r="2" spans="1:4" x14ac:dyDescent="0.3">
      <c r="A2">
        <v>0</v>
      </c>
      <c r="B2">
        <v>71.5</v>
      </c>
      <c r="C2">
        <f>B2-24</f>
        <v>47.5</v>
      </c>
      <c r="D2">
        <v>-0.13424620754463601</v>
      </c>
    </row>
    <row r="3" spans="1:4" x14ac:dyDescent="0.3">
      <c r="A3">
        <v>1</v>
      </c>
      <c r="B3">
        <v>70.5</v>
      </c>
      <c r="C3">
        <f t="shared" ref="C3:C66" si="0">B3-24</f>
        <v>46.5</v>
      </c>
      <c r="D3">
        <v>-0.13424620754463601</v>
      </c>
    </row>
    <row r="4" spans="1:4" x14ac:dyDescent="0.3">
      <c r="A4">
        <v>2</v>
      </c>
      <c r="B4">
        <v>70.5</v>
      </c>
      <c r="C4">
        <f t="shared" si="0"/>
        <v>46.5</v>
      </c>
      <c r="D4">
        <v>-0.13425702164223199</v>
      </c>
    </row>
    <row r="5" spans="1:4" x14ac:dyDescent="0.3">
      <c r="A5">
        <v>3</v>
      </c>
      <c r="B5">
        <v>69.5</v>
      </c>
      <c r="C5">
        <f t="shared" si="0"/>
        <v>45.5</v>
      </c>
      <c r="D5">
        <v>-0.13425702164223199</v>
      </c>
    </row>
    <row r="6" spans="1:4" x14ac:dyDescent="0.3">
      <c r="A6">
        <v>4</v>
      </c>
      <c r="B6">
        <v>68.5</v>
      </c>
      <c r="C6">
        <f t="shared" si="0"/>
        <v>44.5</v>
      </c>
      <c r="D6">
        <v>-0.13425702164223199</v>
      </c>
    </row>
    <row r="7" spans="1:4" x14ac:dyDescent="0.3">
      <c r="A7">
        <v>5</v>
      </c>
      <c r="B7">
        <v>68.5</v>
      </c>
      <c r="C7">
        <f t="shared" si="0"/>
        <v>44.5</v>
      </c>
      <c r="D7">
        <v>-0.134264232008592</v>
      </c>
    </row>
    <row r="8" spans="1:4" x14ac:dyDescent="0.3">
      <c r="A8">
        <v>6</v>
      </c>
      <c r="B8">
        <v>67</v>
      </c>
      <c r="C8">
        <f t="shared" si="0"/>
        <v>43</v>
      </c>
      <c r="D8">
        <v>-0.10741138560687399</v>
      </c>
    </row>
    <row r="9" spans="1:4" x14ac:dyDescent="0.3">
      <c r="A9">
        <v>7</v>
      </c>
      <c r="B9">
        <v>66</v>
      </c>
      <c r="C9">
        <f t="shared" si="0"/>
        <v>42</v>
      </c>
      <c r="D9">
        <v>-0.107414269985767</v>
      </c>
    </row>
    <row r="10" spans="1:4" x14ac:dyDescent="0.3">
      <c r="A10">
        <v>8</v>
      </c>
      <c r="B10">
        <v>65.5</v>
      </c>
      <c r="C10">
        <f t="shared" si="0"/>
        <v>41.5</v>
      </c>
      <c r="D10">
        <v>-0.134260626728606</v>
      </c>
    </row>
    <row r="11" spans="1:4" x14ac:dyDescent="0.3">
      <c r="A11">
        <v>9</v>
      </c>
      <c r="B11">
        <v>65</v>
      </c>
      <c r="C11">
        <f t="shared" si="0"/>
        <v>41</v>
      </c>
      <c r="D11">
        <v>-0.10740561731378501</v>
      </c>
    </row>
    <row r="12" spans="1:4" x14ac:dyDescent="0.3">
      <c r="A12">
        <v>10</v>
      </c>
      <c r="B12">
        <v>64</v>
      </c>
      <c r="C12">
        <f t="shared" si="0"/>
        <v>40</v>
      </c>
      <c r="D12">
        <v>-0.10740561731378399</v>
      </c>
    </row>
    <row r="13" spans="1:4" x14ac:dyDescent="0.3">
      <c r="A13">
        <v>11</v>
      </c>
      <c r="B13">
        <v>64</v>
      </c>
      <c r="C13">
        <f t="shared" si="0"/>
        <v>40</v>
      </c>
      <c r="D13">
        <v>-0.107414269985767</v>
      </c>
    </row>
    <row r="14" spans="1:4" x14ac:dyDescent="0.3">
      <c r="A14">
        <v>12</v>
      </c>
      <c r="B14">
        <v>63</v>
      </c>
      <c r="C14">
        <f t="shared" si="0"/>
        <v>39</v>
      </c>
      <c r="D14">
        <v>-0.10740273339956501</v>
      </c>
    </row>
    <row r="15" spans="1:4" x14ac:dyDescent="0.3">
      <c r="A15">
        <v>13</v>
      </c>
      <c r="B15">
        <v>62</v>
      </c>
      <c r="C15">
        <f t="shared" si="0"/>
        <v>38</v>
      </c>
      <c r="D15">
        <v>-0.107399849640211</v>
      </c>
    </row>
    <row r="16" spans="1:4" x14ac:dyDescent="0.3">
      <c r="A16">
        <v>14</v>
      </c>
      <c r="B16">
        <v>61</v>
      </c>
      <c r="C16">
        <f t="shared" si="0"/>
        <v>37</v>
      </c>
      <c r="D16">
        <v>-0.10740273339956299</v>
      </c>
    </row>
    <row r="17" spans="1:4" x14ac:dyDescent="0.3">
      <c r="A17">
        <v>15</v>
      </c>
      <c r="B17">
        <v>61</v>
      </c>
      <c r="C17">
        <f t="shared" si="0"/>
        <v>37</v>
      </c>
      <c r="D17">
        <v>-0.10740850138288401</v>
      </c>
    </row>
    <row r="18" spans="1:4" x14ac:dyDescent="0.3">
      <c r="A18">
        <v>16</v>
      </c>
      <c r="B18">
        <v>60</v>
      </c>
      <c r="C18">
        <f t="shared" si="0"/>
        <v>36</v>
      </c>
      <c r="D18">
        <v>-0.10740561731378601</v>
      </c>
    </row>
    <row r="19" spans="1:4" x14ac:dyDescent="0.3">
      <c r="A19">
        <v>17</v>
      </c>
      <c r="B19">
        <v>60</v>
      </c>
      <c r="C19">
        <f t="shared" si="0"/>
        <v>36</v>
      </c>
      <c r="D19">
        <v>-0.107399849640211</v>
      </c>
    </row>
    <row r="20" spans="1:4" x14ac:dyDescent="0.3">
      <c r="A20">
        <v>18</v>
      </c>
      <c r="B20">
        <v>59</v>
      </c>
      <c r="C20">
        <f t="shared" si="0"/>
        <v>35</v>
      </c>
      <c r="D20">
        <v>-0.10739984964021</v>
      </c>
    </row>
    <row r="21" spans="1:4" x14ac:dyDescent="0.3">
      <c r="A21">
        <v>19</v>
      </c>
      <c r="B21">
        <v>58.5</v>
      </c>
      <c r="C21">
        <f t="shared" si="0"/>
        <v>34.5</v>
      </c>
      <c r="D21">
        <v>-8.0552050049672905E-2</v>
      </c>
    </row>
    <row r="22" spans="1:4" x14ac:dyDescent="0.3">
      <c r="A22">
        <v>20</v>
      </c>
      <c r="B22">
        <v>57.5</v>
      </c>
      <c r="C22">
        <f t="shared" si="0"/>
        <v>33.5</v>
      </c>
      <c r="D22">
        <v>-8.0552050049673904E-2</v>
      </c>
    </row>
    <row r="23" spans="1:4" x14ac:dyDescent="0.3">
      <c r="A23">
        <v>21</v>
      </c>
      <c r="B23">
        <v>57.5</v>
      </c>
      <c r="C23">
        <f t="shared" si="0"/>
        <v>33.5</v>
      </c>
      <c r="D23">
        <v>-8.0552050049673904E-2</v>
      </c>
    </row>
    <row r="24" spans="1:4" x14ac:dyDescent="0.3">
      <c r="A24">
        <v>22</v>
      </c>
      <c r="B24">
        <v>56.5</v>
      </c>
      <c r="C24">
        <f t="shared" si="0"/>
        <v>32.5</v>
      </c>
      <c r="D24">
        <v>-8.05542129853387E-2</v>
      </c>
    </row>
    <row r="25" spans="1:4" x14ac:dyDescent="0.3">
      <c r="A25">
        <v>23</v>
      </c>
      <c r="B25">
        <v>56</v>
      </c>
      <c r="C25">
        <f t="shared" si="0"/>
        <v>32</v>
      </c>
      <c r="D25">
        <v>-0.10741138560687299</v>
      </c>
    </row>
    <row r="26" spans="1:4" x14ac:dyDescent="0.3">
      <c r="A26">
        <v>24</v>
      </c>
      <c r="B26">
        <v>55.5</v>
      </c>
      <c r="C26">
        <f t="shared" si="0"/>
        <v>31.5</v>
      </c>
      <c r="D26">
        <v>-8.0560702489325606E-2</v>
      </c>
    </row>
    <row r="27" spans="1:4" x14ac:dyDescent="0.3">
      <c r="A27">
        <v>25</v>
      </c>
      <c r="B27">
        <v>55</v>
      </c>
      <c r="C27">
        <f t="shared" si="0"/>
        <v>31</v>
      </c>
      <c r="D27">
        <v>-0.107414269985767</v>
      </c>
    </row>
    <row r="28" spans="1:4" x14ac:dyDescent="0.3">
      <c r="A28">
        <v>26</v>
      </c>
      <c r="B28">
        <v>54.5</v>
      </c>
      <c r="C28">
        <f t="shared" si="0"/>
        <v>30.5</v>
      </c>
      <c r="D28">
        <v>-8.0560702489325606E-2</v>
      </c>
    </row>
    <row r="29" spans="1:4" x14ac:dyDescent="0.3">
      <c r="A29">
        <v>27</v>
      </c>
      <c r="B29">
        <v>54.5</v>
      </c>
      <c r="C29">
        <f t="shared" si="0"/>
        <v>30.5</v>
      </c>
      <c r="D29">
        <v>-8.05563760371623E-2</v>
      </c>
    </row>
    <row r="30" spans="1:4" x14ac:dyDescent="0.3">
      <c r="A30">
        <v>28</v>
      </c>
      <c r="B30">
        <v>53.5</v>
      </c>
      <c r="C30">
        <f t="shared" si="0"/>
        <v>29.5</v>
      </c>
      <c r="D30">
        <v>-8.0560702489325606E-2</v>
      </c>
    </row>
    <row r="31" spans="1:4" x14ac:dyDescent="0.3">
      <c r="A31">
        <v>29</v>
      </c>
      <c r="B31">
        <v>53</v>
      </c>
      <c r="C31">
        <f t="shared" si="0"/>
        <v>29</v>
      </c>
      <c r="D31">
        <v>-5.3699924820105001E-2</v>
      </c>
    </row>
    <row r="32" spans="1:4" x14ac:dyDescent="0.3">
      <c r="A32">
        <v>30</v>
      </c>
      <c r="B32">
        <v>52.5</v>
      </c>
      <c r="C32">
        <f t="shared" si="0"/>
        <v>28.5</v>
      </c>
      <c r="D32">
        <v>-8.0554212985339699E-2</v>
      </c>
    </row>
    <row r="33" spans="1:4" x14ac:dyDescent="0.3">
      <c r="A33">
        <v>31</v>
      </c>
      <c r="B33">
        <v>52</v>
      </c>
      <c r="C33">
        <f t="shared" si="0"/>
        <v>28</v>
      </c>
      <c r="D33">
        <v>-5.3705692803437399E-2</v>
      </c>
    </row>
    <row r="34" spans="1:4" x14ac:dyDescent="0.3">
      <c r="A34">
        <v>32</v>
      </c>
      <c r="B34">
        <v>51.5</v>
      </c>
      <c r="C34">
        <f t="shared" si="0"/>
        <v>27.5</v>
      </c>
      <c r="D34">
        <v>-8.0545561939537894E-2</v>
      </c>
    </row>
    <row r="35" spans="1:4" x14ac:dyDescent="0.3">
      <c r="A35">
        <v>33</v>
      </c>
      <c r="B35">
        <v>51.5</v>
      </c>
      <c r="C35">
        <f t="shared" si="0"/>
        <v>27.5</v>
      </c>
      <c r="D35">
        <v>-8.0547724526782299E-2</v>
      </c>
    </row>
    <row r="36" spans="1:4" x14ac:dyDescent="0.3">
      <c r="A36">
        <v>34</v>
      </c>
      <c r="B36">
        <v>50.5</v>
      </c>
      <c r="C36">
        <f t="shared" si="0"/>
        <v>26.5</v>
      </c>
      <c r="D36">
        <v>-8.0547724526782299E-2</v>
      </c>
    </row>
    <row r="37" spans="1:4" x14ac:dyDescent="0.3">
      <c r="A37">
        <v>35</v>
      </c>
      <c r="B37">
        <v>50.5</v>
      </c>
      <c r="C37">
        <f t="shared" si="0"/>
        <v>26.5</v>
      </c>
      <c r="D37">
        <v>-8.0549887230158504E-2</v>
      </c>
    </row>
    <row r="38" spans="1:4" x14ac:dyDescent="0.3">
      <c r="A38">
        <v>36</v>
      </c>
      <c r="B38">
        <v>49.5</v>
      </c>
      <c r="C38">
        <f t="shared" si="0"/>
        <v>25.5</v>
      </c>
      <c r="D38">
        <v>-8.0545561939536894E-2</v>
      </c>
    </row>
    <row r="39" spans="1:4" x14ac:dyDescent="0.3">
      <c r="A39">
        <v>37</v>
      </c>
      <c r="B39">
        <v>49.5</v>
      </c>
      <c r="C39">
        <f t="shared" si="0"/>
        <v>25.5</v>
      </c>
      <c r="D39">
        <v>-8.0545561939536894E-2</v>
      </c>
    </row>
    <row r="40" spans="1:4" x14ac:dyDescent="0.3">
      <c r="A40">
        <v>38</v>
      </c>
      <c r="B40">
        <v>49</v>
      </c>
      <c r="C40">
        <f t="shared" si="0"/>
        <v>25</v>
      </c>
      <c r="D40">
        <v>-5.3699924820105001E-2</v>
      </c>
    </row>
    <row r="41" spans="1:4" x14ac:dyDescent="0.3">
      <c r="A41">
        <v>39</v>
      </c>
      <c r="B41">
        <v>48.5</v>
      </c>
      <c r="C41">
        <f t="shared" si="0"/>
        <v>24.5</v>
      </c>
      <c r="D41">
        <v>-8.0556376037163299E-2</v>
      </c>
    </row>
    <row r="42" spans="1:4" x14ac:dyDescent="0.3">
      <c r="A42">
        <v>40</v>
      </c>
      <c r="B42">
        <v>48</v>
      </c>
      <c r="C42">
        <f t="shared" si="0"/>
        <v>24</v>
      </c>
      <c r="D42">
        <v>-5.37028086568931E-2</v>
      </c>
    </row>
    <row r="43" spans="1:4" x14ac:dyDescent="0.3">
      <c r="A43">
        <v>41</v>
      </c>
      <c r="B43">
        <v>48</v>
      </c>
      <c r="C43">
        <f t="shared" si="0"/>
        <v>24</v>
      </c>
      <c r="D43">
        <v>-5.3705692803436803E-2</v>
      </c>
    </row>
    <row r="44" spans="1:4" x14ac:dyDescent="0.3">
      <c r="A44">
        <v>42</v>
      </c>
      <c r="B44">
        <v>47</v>
      </c>
      <c r="C44">
        <f t="shared" si="0"/>
        <v>23</v>
      </c>
      <c r="D44">
        <v>-5.3711462025996498E-2</v>
      </c>
    </row>
    <row r="45" spans="1:4" x14ac:dyDescent="0.3">
      <c r="A45">
        <v>43</v>
      </c>
      <c r="B45">
        <v>47</v>
      </c>
      <c r="C45">
        <f t="shared" si="0"/>
        <v>23</v>
      </c>
      <c r="D45">
        <v>-5.3711462025996498E-2</v>
      </c>
    </row>
    <row r="46" spans="1:4" x14ac:dyDescent="0.3">
      <c r="A46">
        <v>44</v>
      </c>
      <c r="B46">
        <v>47</v>
      </c>
      <c r="C46">
        <f t="shared" si="0"/>
        <v>23</v>
      </c>
      <c r="D46">
        <v>-5.3715789756398603E-2</v>
      </c>
    </row>
    <row r="47" spans="1:4" x14ac:dyDescent="0.3">
      <c r="A47">
        <v>45</v>
      </c>
      <c r="B47">
        <v>46</v>
      </c>
      <c r="C47">
        <f t="shared" si="0"/>
        <v>22</v>
      </c>
      <c r="D47">
        <v>-5.3711462025996498E-2</v>
      </c>
    </row>
    <row r="48" spans="1:4" x14ac:dyDescent="0.3">
      <c r="A48">
        <v>46</v>
      </c>
      <c r="B48">
        <v>46</v>
      </c>
      <c r="C48">
        <f t="shared" si="0"/>
        <v>22</v>
      </c>
      <c r="D48">
        <v>-5.3710019604157E-2</v>
      </c>
    </row>
    <row r="49" spans="1:4" x14ac:dyDescent="0.3">
      <c r="A49">
        <v>47</v>
      </c>
      <c r="B49">
        <v>45.5</v>
      </c>
      <c r="C49">
        <f t="shared" si="0"/>
        <v>21.5</v>
      </c>
      <c r="D49">
        <v>-8.0064051240993195E-2</v>
      </c>
    </row>
    <row r="50" spans="1:4" x14ac:dyDescent="0.3">
      <c r="A50">
        <v>48</v>
      </c>
      <c r="B50">
        <v>45</v>
      </c>
      <c r="C50">
        <f t="shared" si="0"/>
        <v>21</v>
      </c>
      <c r="D50">
        <v>-5.3373185311699101E-2</v>
      </c>
    </row>
    <row r="51" spans="1:4" x14ac:dyDescent="0.3">
      <c r="A51">
        <v>49</v>
      </c>
      <c r="B51">
        <v>45</v>
      </c>
      <c r="C51">
        <f t="shared" si="0"/>
        <v>21</v>
      </c>
      <c r="D51">
        <v>-5.3370336766824698E-2</v>
      </c>
    </row>
    <row r="52" spans="1:4" x14ac:dyDescent="0.3">
      <c r="A52">
        <v>50</v>
      </c>
      <c r="B52">
        <v>44.5</v>
      </c>
      <c r="C52">
        <f t="shared" si="0"/>
        <v>20.5</v>
      </c>
      <c r="D52">
        <v>-8.0055505150238099E-2</v>
      </c>
    </row>
    <row r="53" spans="1:4" x14ac:dyDescent="0.3">
      <c r="A53">
        <v>51</v>
      </c>
      <c r="B53">
        <v>44</v>
      </c>
      <c r="C53">
        <f t="shared" si="0"/>
        <v>20</v>
      </c>
      <c r="D53">
        <v>-5.3367488525989798E-2</v>
      </c>
    </row>
    <row r="54" spans="1:4" x14ac:dyDescent="0.3">
      <c r="A54">
        <v>52</v>
      </c>
      <c r="B54">
        <v>44</v>
      </c>
      <c r="C54">
        <f t="shared" si="0"/>
        <v>20</v>
      </c>
      <c r="D54">
        <v>-5.3367488525989798E-2</v>
      </c>
    </row>
    <row r="55" spans="1:4" x14ac:dyDescent="0.3">
      <c r="A55">
        <v>53</v>
      </c>
      <c r="B55">
        <v>43.5</v>
      </c>
      <c r="C55">
        <f t="shared" si="0"/>
        <v>19.5</v>
      </c>
      <c r="D55">
        <v>-2.6852125345721099E-2</v>
      </c>
    </row>
    <row r="56" spans="1:4" x14ac:dyDescent="0.3">
      <c r="A56">
        <v>54</v>
      </c>
      <c r="B56">
        <v>43</v>
      </c>
      <c r="C56">
        <f t="shared" si="0"/>
        <v>19</v>
      </c>
      <c r="D56">
        <v>-5.3705692803437399E-2</v>
      </c>
    </row>
    <row r="57" spans="1:4" x14ac:dyDescent="0.3">
      <c r="A57">
        <v>55</v>
      </c>
      <c r="B57">
        <v>43</v>
      </c>
      <c r="C57">
        <f t="shared" si="0"/>
        <v>19</v>
      </c>
      <c r="D57">
        <v>-5.3708577259788601E-2</v>
      </c>
    </row>
    <row r="58" spans="1:4" x14ac:dyDescent="0.3">
      <c r="A58">
        <v>56</v>
      </c>
      <c r="B58">
        <v>42.5</v>
      </c>
      <c r="C58">
        <f t="shared" si="0"/>
        <v>18.5</v>
      </c>
      <c r="D58">
        <v>-2.6853567496441799E-2</v>
      </c>
    </row>
    <row r="59" spans="1:4" x14ac:dyDescent="0.3">
      <c r="A59">
        <v>57</v>
      </c>
      <c r="B59">
        <v>42.5</v>
      </c>
      <c r="C59">
        <f t="shared" si="0"/>
        <v>18.5</v>
      </c>
      <c r="D59">
        <v>-2.68557310129982E-2</v>
      </c>
    </row>
    <row r="60" spans="1:4" x14ac:dyDescent="0.3">
      <c r="A60">
        <v>58</v>
      </c>
      <c r="B60">
        <v>42</v>
      </c>
      <c r="C60">
        <f t="shared" si="0"/>
        <v>18</v>
      </c>
      <c r="D60">
        <v>-5.3715789756398603E-2</v>
      </c>
    </row>
    <row r="61" spans="1:4" x14ac:dyDescent="0.3">
      <c r="A61">
        <v>59</v>
      </c>
      <c r="B61">
        <v>42</v>
      </c>
      <c r="C61">
        <f t="shared" si="0"/>
        <v>18</v>
      </c>
      <c r="D61">
        <v>-5.3712904525312001E-2</v>
      </c>
    </row>
    <row r="62" spans="1:4" x14ac:dyDescent="0.3">
      <c r="A62">
        <v>60</v>
      </c>
      <c r="B62">
        <v>41.5</v>
      </c>
      <c r="C62">
        <f t="shared" si="0"/>
        <v>17.5</v>
      </c>
      <c r="D62">
        <v>-2.6856452262656001E-2</v>
      </c>
    </row>
    <row r="63" spans="1:4" x14ac:dyDescent="0.3">
      <c r="A63">
        <v>61</v>
      </c>
      <c r="B63">
        <v>41.5</v>
      </c>
      <c r="C63">
        <f t="shared" si="0"/>
        <v>17.5</v>
      </c>
      <c r="D63">
        <v>-2.68542886298943E-2</v>
      </c>
    </row>
    <row r="64" spans="1:4" x14ac:dyDescent="0.3">
      <c r="A64">
        <v>62</v>
      </c>
      <c r="B64">
        <v>41</v>
      </c>
      <c r="C64">
        <f t="shared" si="0"/>
        <v>17</v>
      </c>
      <c r="D64">
        <v>-5.3705692803436803E-2</v>
      </c>
    </row>
    <row r="65" spans="1:4" x14ac:dyDescent="0.3">
      <c r="A65">
        <v>63</v>
      </c>
      <c r="B65">
        <v>41</v>
      </c>
      <c r="C65">
        <f t="shared" si="0"/>
        <v>17</v>
      </c>
      <c r="D65">
        <v>-5.3705692803436803E-2</v>
      </c>
    </row>
    <row r="66" spans="1:4" x14ac:dyDescent="0.3">
      <c r="A66">
        <v>64</v>
      </c>
      <c r="B66">
        <v>40.5</v>
      </c>
      <c r="C66">
        <f t="shared" si="0"/>
        <v>16.5</v>
      </c>
      <c r="D66">
        <v>-2.6848520646512601E-2</v>
      </c>
    </row>
    <row r="67" spans="1:4" x14ac:dyDescent="0.3">
      <c r="A67">
        <v>65</v>
      </c>
      <c r="B67">
        <v>86.5</v>
      </c>
      <c r="C67">
        <f t="shared" ref="C67:C130" si="1">B67-24</f>
        <v>62.5</v>
      </c>
      <c r="D67">
        <v>-0.134264232008592</v>
      </c>
    </row>
    <row r="68" spans="1:4" x14ac:dyDescent="0.3">
      <c r="A68">
        <v>66</v>
      </c>
      <c r="B68">
        <v>86</v>
      </c>
      <c r="C68">
        <f t="shared" si="1"/>
        <v>62</v>
      </c>
      <c r="D68">
        <v>-0.10740561731378501</v>
      </c>
    </row>
    <row r="69" spans="1:4" x14ac:dyDescent="0.3">
      <c r="A69">
        <v>67</v>
      </c>
      <c r="B69">
        <v>85.5</v>
      </c>
      <c r="C69">
        <f t="shared" si="1"/>
        <v>61.5</v>
      </c>
      <c r="D69">
        <v>-0.13425702164223099</v>
      </c>
    </row>
    <row r="70" spans="1:4" x14ac:dyDescent="0.3">
      <c r="A70">
        <v>68</v>
      </c>
      <c r="B70">
        <v>85</v>
      </c>
      <c r="C70">
        <f t="shared" si="1"/>
        <v>61</v>
      </c>
      <c r="D70">
        <v>-0.10740273339956501</v>
      </c>
    </row>
    <row r="71" spans="1:4" x14ac:dyDescent="0.3">
      <c r="A71">
        <v>69</v>
      </c>
      <c r="B71">
        <v>84</v>
      </c>
      <c r="C71">
        <f t="shared" si="1"/>
        <v>60</v>
      </c>
      <c r="D71">
        <v>-0.10739984964021</v>
      </c>
    </row>
    <row r="72" spans="1:4" x14ac:dyDescent="0.3">
      <c r="A72">
        <v>70</v>
      </c>
      <c r="B72">
        <v>83.5</v>
      </c>
      <c r="C72">
        <f t="shared" si="1"/>
        <v>59.5</v>
      </c>
      <c r="D72">
        <v>-0.131790505811961</v>
      </c>
    </row>
    <row r="73" spans="1:4" x14ac:dyDescent="0.3">
      <c r="A73">
        <v>71</v>
      </c>
      <c r="B73">
        <v>82</v>
      </c>
      <c r="C73">
        <f t="shared" si="1"/>
        <v>58</v>
      </c>
      <c r="D73">
        <v>-0.105432404649569</v>
      </c>
    </row>
    <row r="74" spans="1:4" x14ac:dyDescent="0.3">
      <c r="A74">
        <v>72</v>
      </c>
      <c r="B74">
        <v>81.5</v>
      </c>
      <c r="C74">
        <f t="shared" si="1"/>
        <v>57.5</v>
      </c>
      <c r="D74">
        <v>-0.13178703215603599</v>
      </c>
    </row>
    <row r="75" spans="1:4" x14ac:dyDescent="0.3">
      <c r="A75">
        <v>73</v>
      </c>
      <c r="B75">
        <v>81</v>
      </c>
      <c r="C75">
        <f t="shared" si="1"/>
        <v>57</v>
      </c>
      <c r="D75">
        <v>-0.10378288620206499</v>
      </c>
    </row>
    <row r="76" spans="1:4" x14ac:dyDescent="0.3">
      <c r="A76">
        <v>74</v>
      </c>
      <c r="B76">
        <v>80.5</v>
      </c>
      <c r="C76">
        <f t="shared" si="1"/>
        <v>56.5</v>
      </c>
      <c r="D76">
        <v>-0.129738706245621</v>
      </c>
    </row>
    <row r="77" spans="1:4" x14ac:dyDescent="0.3">
      <c r="A77">
        <v>75</v>
      </c>
      <c r="B77">
        <v>80</v>
      </c>
      <c r="C77">
        <f t="shared" si="1"/>
        <v>56</v>
      </c>
      <c r="D77">
        <v>-0.103788271925273</v>
      </c>
    </row>
    <row r="78" spans="1:4" x14ac:dyDescent="0.3">
      <c r="A78">
        <v>76</v>
      </c>
      <c r="B78">
        <v>79</v>
      </c>
      <c r="C78">
        <f t="shared" si="1"/>
        <v>55</v>
      </c>
      <c r="D78">
        <v>-0.10569986523267</v>
      </c>
    </row>
    <row r="79" spans="1:4" x14ac:dyDescent="0.3">
      <c r="A79">
        <v>77</v>
      </c>
      <c r="B79">
        <v>78</v>
      </c>
      <c r="C79">
        <f t="shared" si="1"/>
        <v>54</v>
      </c>
      <c r="D79">
        <v>-0.105691486550758</v>
      </c>
    </row>
    <row r="80" spans="1:4" x14ac:dyDescent="0.3">
      <c r="A80">
        <v>78</v>
      </c>
      <c r="B80">
        <v>77.5</v>
      </c>
      <c r="C80">
        <f t="shared" si="1"/>
        <v>53.5</v>
      </c>
      <c r="D80">
        <v>-7.9264426125554899E-2</v>
      </c>
    </row>
    <row r="81" spans="1:4" x14ac:dyDescent="0.3">
      <c r="A81">
        <v>79</v>
      </c>
      <c r="B81">
        <v>77</v>
      </c>
      <c r="C81">
        <f t="shared" si="1"/>
        <v>53</v>
      </c>
      <c r="D81">
        <v>-0.10739984964021</v>
      </c>
    </row>
    <row r="82" spans="1:4" x14ac:dyDescent="0.3">
      <c r="A82">
        <v>80</v>
      </c>
      <c r="B82">
        <v>76</v>
      </c>
      <c r="C82">
        <f t="shared" si="1"/>
        <v>52</v>
      </c>
      <c r="D82">
        <v>-0.107391199291217</v>
      </c>
    </row>
    <row r="83" spans="1:4" x14ac:dyDescent="0.3">
      <c r="A83">
        <v>81</v>
      </c>
      <c r="B83">
        <v>76</v>
      </c>
      <c r="C83">
        <f t="shared" si="1"/>
        <v>52</v>
      </c>
      <c r="D83">
        <v>-0.107396966035708</v>
      </c>
    </row>
    <row r="84" spans="1:4" x14ac:dyDescent="0.3">
      <c r="A84">
        <v>82</v>
      </c>
      <c r="B84">
        <v>75</v>
      </c>
      <c r="C84">
        <f t="shared" si="1"/>
        <v>51</v>
      </c>
      <c r="D84">
        <v>-0.107394082586049</v>
      </c>
    </row>
    <row r="85" spans="1:4" x14ac:dyDescent="0.3">
      <c r="A85">
        <v>83</v>
      </c>
      <c r="B85">
        <v>74.5</v>
      </c>
      <c r="C85">
        <f t="shared" si="1"/>
        <v>50.5</v>
      </c>
      <c r="D85">
        <v>-8.0552050049673904E-2</v>
      </c>
    </row>
    <row r="86" spans="1:4" x14ac:dyDescent="0.3">
      <c r="A86">
        <v>84</v>
      </c>
      <c r="B86">
        <v>74</v>
      </c>
      <c r="C86">
        <f t="shared" si="1"/>
        <v>50</v>
      </c>
      <c r="D86">
        <v>-0.10741138560687299</v>
      </c>
    </row>
    <row r="87" spans="1:4" x14ac:dyDescent="0.3">
      <c r="A87">
        <v>85</v>
      </c>
      <c r="B87">
        <v>73.5</v>
      </c>
      <c r="C87">
        <f t="shared" si="1"/>
        <v>49.5</v>
      </c>
      <c r="D87">
        <v>-8.0556376037163299E-2</v>
      </c>
    </row>
    <row r="88" spans="1:4" x14ac:dyDescent="0.3">
      <c r="A88">
        <v>86</v>
      </c>
      <c r="B88">
        <v>72.5</v>
      </c>
      <c r="C88">
        <f t="shared" si="1"/>
        <v>48.5</v>
      </c>
      <c r="D88">
        <v>-8.0558539205156196E-2</v>
      </c>
    </row>
    <row r="89" spans="1:4" x14ac:dyDescent="0.3">
      <c r="A89">
        <v>87</v>
      </c>
      <c r="B89">
        <v>72</v>
      </c>
      <c r="C89">
        <f t="shared" si="1"/>
        <v>48</v>
      </c>
      <c r="D89">
        <v>-0.10741138560687399</v>
      </c>
    </row>
    <row r="90" spans="1:4" x14ac:dyDescent="0.3">
      <c r="A90">
        <v>88</v>
      </c>
      <c r="B90">
        <v>71</v>
      </c>
      <c r="C90">
        <f t="shared" si="1"/>
        <v>47</v>
      </c>
      <c r="D90">
        <v>-0.10741715451957699</v>
      </c>
    </row>
    <row r="91" spans="1:4" x14ac:dyDescent="0.3">
      <c r="A91">
        <v>89</v>
      </c>
      <c r="B91">
        <v>71</v>
      </c>
      <c r="C91">
        <f t="shared" si="1"/>
        <v>47</v>
      </c>
      <c r="D91">
        <v>-0.10740850138288401</v>
      </c>
    </row>
    <row r="92" spans="1:4" x14ac:dyDescent="0.3">
      <c r="A92">
        <v>90</v>
      </c>
      <c r="B92">
        <v>70.5</v>
      </c>
      <c r="C92">
        <f t="shared" si="1"/>
        <v>46.5</v>
      </c>
      <c r="D92">
        <v>-8.0552050049673904E-2</v>
      </c>
    </row>
    <row r="93" spans="1:4" x14ac:dyDescent="0.3">
      <c r="A93">
        <v>91</v>
      </c>
      <c r="B93">
        <v>70</v>
      </c>
      <c r="C93">
        <f t="shared" si="1"/>
        <v>46</v>
      </c>
      <c r="D93">
        <v>-0.10741138560687399</v>
      </c>
    </row>
    <row r="94" spans="1:4" x14ac:dyDescent="0.3">
      <c r="A94">
        <v>92</v>
      </c>
      <c r="B94">
        <v>69.5</v>
      </c>
      <c r="C94">
        <f t="shared" si="1"/>
        <v>45.5</v>
      </c>
      <c r="D94">
        <v>-8.05650294062355E-2</v>
      </c>
    </row>
    <row r="95" spans="1:4" x14ac:dyDescent="0.3">
      <c r="A95">
        <v>93</v>
      </c>
      <c r="B95">
        <v>68.5</v>
      </c>
      <c r="C95">
        <f t="shared" si="1"/>
        <v>44.5</v>
      </c>
      <c r="D95">
        <v>-8.0560702489325606E-2</v>
      </c>
    </row>
    <row r="96" spans="1:4" x14ac:dyDescent="0.3">
      <c r="A96">
        <v>94</v>
      </c>
      <c r="B96">
        <v>68</v>
      </c>
      <c r="C96">
        <f t="shared" si="1"/>
        <v>44</v>
      </c>
      <c r="D96">
        <v>-5.37013666997826E-2</v>
      </c>
    </row>
    <row r="97" spans="1:4" x14ac:dyDescent="0.3">
      <c r="A97">
        <v>95</v>
      </c>
      <c r="B97">
        <v>67.5</v>
      </c>
      <c r="C97">
        <f t="shared" si="1"/>
        <v>43.5</v>
      </c>
      <c r="D97">
        <v>-8.0549887230157505E-2</v>
      </c>
    </row>
    <row r="98" spans="1:4" x14ac:dyDescent="0.3">
      <c r="A98">
        <v>96</v>
      </c>
      <c r="B98">
        <v>67.5</v>
      </c>
      <c r="C98">
        <f t="shared" si="1"/>
        <v>43.5</v>
      </c>
      <c r="D98">
        <v>-8.0549887230157505E-2</v>
      </c>
    </row>
    <row r="99" spans="1:4" x14ac:dyDescent="0.3">
      <c r="A99">
        <v>97</v>
      </c>
      <c r="B99">
        <v>66.5</v>
      </c>
      <c r="C99">
        <f t="shared" si="1"/>
        <v>42.5</v>
      </c>
      <c r="D99">
        <v>-8.0543399468413907E-2</v>
      </c>
    </row>
    <row r="100" spans="1:4" x14ac:dyDescent="0.3">
      <c r="A100">
        <v>98</v>
      </c>
      <c r="B100">
        <v>66.5</v>
      </c>
      <c r="C100">
        <f t="shared" si="1"/>
        <v>42.5</v>
      </c>
      <c r="D100">
        <v>-8.0545561939536894E-2</v>
      </c>
    </row>
    <row r="101" spans="1:4" x14ac:dyDescent="0.3">
      <c r="A101">
        <v>99</v>
      </c>
      <c r="B101">
        <v>65.5</v>
      </c>
      <c r="C101">
        <f t="shared" si="1"/>
        <v>41.5</v>
      </c>
      <c r="D101">
        <v>-7.93419904260661E-2</v>
      </c>
    </row>
    <row r="102" spans="1:4" x14ac:dyDescent="0.3">
      <c r="A102">
        <v>100</v>
      </c>
      <c r="B102">
        <v>65.5</v>
      </c>
      <c r="C102">
        <f t="shared" si="1"/>
        <v>41.5</v>
      </c>
      <c r="D102">
        <v>-7.8460089967569993E-2</v>
      </c>
    </row>
    <row r="103" spans="1:4" x14ac:dyDescent="0.3">
      <c r="A103">
        <v>101</v>
      </c>
      <c r="B103">
        <v>64.5</v>
      </c>
      <c r="C103">
        <f t="shared" si="1"/>
        <v>40.5</v>
      </c>
      <c r="D103">
        <v>-7.8267675450039195E-2</v>
      </c>
    </row>
    <row r="104" spans="1:4" x14ac:dyDescent="0.3">
      <c r="A104">
        <v>102</v>
      </c>
      <c r="B104">
        <v>64.5</v>
      </c>
      <c r="C104">
        <f t="shared" si="1"/>
        <v>40.5</v>
      </c>
      <c r="D104">
        <v>-7.8263591777105498E-2</v>
      </c>
    </row>
    <row r="105" spans="1:4" x14ac:dyDescent="0.3">
      <c r="A105">
        <v>103</v>
      </c>
      <c r="B105">
        <v>63.5</v>
      </c>
      <c r="C105">
        <f t="shared" si="1"/>
        <v>39.5</v>
      </c>
      <c r="D105">
        <v>-7.8265633560303402E-2</v>
      </c>
    </row>
    <row r="106" spans="1:4" x14ac:dyDescent="0.3">
      <c r="A106">
        <v>104</v>
      </c>
      <c r="B106">
        <v>63.5</v>
      </c>
      <c r="C106">
        <f t="shared" si="1"/>
        <v>39.5</v>
      </c>
      <c r="D106">
        <v>-7.8263591777105498E-2</v>
      </c>
    </row>
    <row r="107" spans="1:4" x14ac:dyDescent="0.3">
      <c r="A107">
        <v>105</v>
      </c>
      <c r="B107">
        <v>63</v>
      </c>
      <c r="C107">
        <f t="shared" si="1"/>
        <v>39</v>
      </c>
      <c r="D107">
        <v>-5.1318895617366599E-2</v>
      </c>
    </row>
    <row r="108" spans="1:4" x14ac:dyDescent="0.3">
      <c r="A108">
        <v>106</v>
      </c>
      <c r="B108">
        <v>62.5</v>
      </c>
      <c r="C108">
        <f t="shared" si="1"/>
        <v>38.5</v>
      </c>
      <c r="D108">
        <v>-7.7835145162545402E-2</v>
      </c>
    </row>
    <row r="109" spans="1:4" x14ac:dyDescent="0.3">
      <c r="A109">
        <v>107</v>
      </c>
      <c r="B109">
        <v>62</v>
      </c>
      <c r="C109">
        <f t="shared" si="1"/>
        <v>38</v>
      </c>
      <c r="D109">
        <v>-5.2022369618935901E-2</v>
      </c>
    </row>
    <row r="110" spans="1:4" x14ac:dyDescent="0.3">
      <c r="A110">
        <v>108</v>
      </c>
      <c r="B110">
        <v>61.5</v>
      </c>
      <c r="C110">
        <f t="shared" si="1"/>
        <v>37.5</v>
      </c>
      <c r="D110">
        <v>-7.8041674254051993E-2</v>
      </c>
    </row>
    <row r="111" spans="1:4" x14ac:dyDescent="0.3">
      <c r="A111">
        <v>109</v>
      </c>
      <c r="B111">
        <v>61</v>
      </c>
      <c r="C111">
        <f t="shared" si="1"/>
        <v>37</v>
      </c>
      <c r="D111">
        <v>-5.20264294261484E-2</v>
      </c>
    </row>
    <row r="112" spans="1:4" x14ac:dyDescent="0.3">
      <c r="A112">
        <v>110</v>
      </c>
      <c r="B112">
        <v>60.5</v>
      </c>
      <c r="C112">
        <f t="shared" si="1"/>
        <v>36.5</v>
      </c>
      <c r="D112">
        <v>-7.8043704474505607E-2</v>
      </c>
    </row>
    <row r="113" spans="1:4" x14ac:dyDescent="0.3">
      <c r="A113">
        <v>111</v>
      </c>
      <c r="B113">
        <v>60.5</v>
      </c>
      <c r="C113">
        <f t="shared" si="1"/>
        <v>36.5</v>
      </c>
      <c r="D113">
        <v>-8.0569356787968005E-2</v>
      </c>
    </row>
    <row r="114" spans="1:4" x14ac:dyDescent="0.3">
      <c r="A114">
        <v>112</v>
      </c>
      <c r="B114">
        <v>59.5</v>
      </c>
      <c r="C114">
        <f t="shared" si="1"/>
        <v>35.5</v>
      </c>
      <c r="D114">
        <v>-8.05650294062355E-2</v>
      </c>
    </row>
    <row r="115" spans="1:4" x14ac:dyDescent="0.3">
      <c r="A115">
        <v>113</v>
      </c>
      <c r="B115">
        <v>59.5</v>
      </c>
      <c r="C115">
        <f t="shared" si="1"/>
        <v>35.5</v>
      </c>
      <c r="D115">
        <v>-8.05650294062355E-2</v>
      </c>
    </row>
    <row r="116" spans="1:4" x14ac:dyDescent="0.3">
      <c r="A116">
        <v>114</v>
      </c>
      <c r="B116">
        <v>59</v>
      </c>
      <c r="C116">
        <f t="shared" si="1"/>
        <v>35</v>
      </c>
      <c r="D116">
        <v>-5.3704250691441503E-2</v>
      </c>
    </row>
    <row r="117" spans="1:4" x14ac:dyDescent="0.3">
      <c r="A117">
        <v>115</v>
      </c>
      <c r="B117">
        <v>58.5</v>
      </c>
      <c r="C117">
        <f t="shared" si="1"/>
        <v>34.5</v>
      </c>
      <c r="D117">
        <v>-8.05542129853387E-2</v>
      </c>
    </row>
    <row r="118" spans="1:4" x14ac:dyDescent="0.3">
      <c r="A118">
        <v>116</v>
      </c>
      <c r="B118">
        <v>58</v>
      </c>
      <c r="C118">
        <f t="shared" si="1"/>
        <v>34</v>
      </c>
      <c r="D118">
        <v>-5.3695599645609202E-2</v>
      </c>
    </row>
    <row r="119" spans="1:4" x14ac:dyDescent="0.3">
      <c r="A119">
        <v>117</v>
      </c>
      <c r="B119">
        <v>58</v>
      </c>
      <c r="C119">
        <f t="shared" si="1"/>
        <v>34</v>
      </c>
      <c r="D119">
        <v>-5.3697041293024599E-2</v>
      </c>
    </row>
    <row r="120" spans="1:4" x14ac:dyDescent="0.3">
      <c r="A120">
        <v>118</v>
      </c>
      <c r="B120">
        <v>57</v>
      </c>
      <c r="C120">
        <f t="shared" si="1"/>
        <v>33</v>
      </c>
      <c r="D120">
        <v>-5.3697041293024599E-2</v>
      </c>
    </row>
    <row r="121" spans="1:4" x14ac:dyDescent="0.3">
      <c r="A121">
        <v>119</v>
      </c>
      <c r="B121">
        <v>57</v>
      </c>
      <c r="C121">
        <f t="shared" si="1"/>
        <v>33</v>
      </c>
      <c r="D121">
        <v>-5.3698483017854903E-2</v>
      </c>
    </row>
    <row r="122" spans="1:4" x14ac:dyDescent="0.3">
      <c r="A122">
        <v>120</v>
      </c>
      <c r="B122">
        <v>57</v>
      </c>
      <c r="C122">
        <f t="shared" si="1"/>
        <v>33</v>
      </c>
      <c r="D122">
        <v>-5.3697041293025202E-2</v>
      </c>
    </row>
    <row r="123" spans="1:4" x14ac:dyDescent="0.3">
      <c r="A123">
        <v>121</v>
      </c>
      <c r="B123">
        <v>56</v>
      </c>
      <c r="C123">
        <f t="shared" si="1"/>
        <v>32</v>
      </c>
      <c r="D123">
        <v>-5.3697041293024599E-2</v>
      </c>
    </row>
    <row r="124" spans="1:4" x14ac:dyDescent="0.3">
      <c r="A124">
        <v>122</v>
      </c>
      <c r="B124">
        <v>56</v>
      </c>
      <c r="C124">
        <f t="shared" si="1"/>
        <v>32</v>
      </c>
      <c r="D124">
        <v>-5.3698483017854903E-2</v>
      </c>
    </row>
    <row r="125" spans="1:4" x14ac:dyDescent="0.3">
      <c r="A125">
        <v>123</v>
      </c>
      <c r="B125">
        <v>55.5</v>
      </c>
      <c r="C125">
        <f t="shared" si="1"/>
        <v>31.5</v>
      </c>
      <c r="D125">
        <v>-8.0547724526782299E-2</v>
      </c>
    </row>
    <row r="126" spans="1:4" x14ac:dyDescent="0.3">
      <c r="A126">
        <v>124</v>
      </c>
      <c r="B126">
        <v>55</v>
      </c>
      <c r="C126">
        <f t="shared" si="1"/>
        <v>31</v>
      </c>
      <c r="D126">
        <v>-5.3699924820105702E-2</v>
      </c>
    </row>
    <row r="127" spans="1:4" x14ac:dyDescent="0.3">
      <c r="A127">
        <v>125</v>
      </c>
      <c r="B127">
        <v>55</v>
      </c>
      <c r="C127">
        <f t="shared" si="1"/>
        <v>31</v>
      </c>
      <c r="D127">
        <v>-5.3694158075601302E-2</v>
      </c>
    </row>
    <row r="128" spans="1:4" x14ac:dyDescent="0.3">
      <c r="A128">
        <v>126</v>
      </c>
      <c r="B128">
        <v>54.5</v>
      </c>
      <c r="C128">
        <f t="shared" si="1"/>
        <v>30.5</v>
      </c>
      <c r="D128">
        <v>-8.05477245267813E-2</v>
      </c>
    </row>
    <row r="129" spans="1:4" x14ac:dyDescent="0.3">
      <c r="A129">
        <v>127</v>
      </c>
      <c r="B129">
        <v>54</v>
      </c>
      <c r="C129">
        <f t="shared" si="1"/>
        <v>30</v>
      </c>
      <c r="D129">
        <v>-5.3699924820105702E-2</v>
      </c>
    </row>
    <row r="130" spans="1:4" x14ac:dyDescent="0.3">
      <c r="A130">
        <v>128</v>
      </c>
      <c r="B130">
        <v>54</v>
      </c>
      <c r="C130">
        <f t="shared" si="1"/>
        <v>30</v>
      </c>
      <c r="D130">
        <v>-5.3699924820105001E-2</v>
      </c>
    </row>
    <row r="131" spans="1:4" x14ac:dyDescent="0.3">
      <c r="A131">
        <v>129</v>
      </c>
      <c r="B131">
        <v>53.5</v>
      </c>
      <c r="C131">
        <f t="shared" ref="C131:C194" si="2">B131-24</f>
        <v>29.5</v>
      </c>
      <c r="D131">
        <v>-2.68499624100525E-2</v>
      </c>
    </row>
    <row r="132" spans="1:4" x14ac:dyDescent="0.3">
      <c r="A132">
        <v>130</v>
      </c>
      <c r="B132">
        <v>53</v>
      </c>
      <c r="C132">
        <f t="shared" si="2"/>
        <v>29</v>
      </c>
      <c r="D132">
        <v>-5.3698483017854202E-2</v>
      </c>
    </row>
    <row r="133" spans="1:4" x14ac:dyDescent="0.3">
      <c r="A133">
        <v>131</v>
      </c>
      <c r="B133">
        <v>53</v>
      </c>
      <c r="C133">
        <f t="shared" si="2"/>
        <v>29</v>
      </c>
      <c r="D133">
        <v>-5.37013666997826E-2</v>
      </c>
    </row>
    <row r="134" spans="1:4" x14ac:dyDescent="0.3">
      <c r="A134">
        <v>132</v>
      </c>
      <c r="B134">
        <v>52.5</v>
      </c>
      <c r="C134">
        <f t="shared" si="2"/>
        <v>28.5</v>
      </c>
      <c r="D134">
        <v>-2.68528464017187E-2</v>
      </c>
    </row>
    <row r="135" spans="1:4" x14ac:dyDescent="0.3">
      <c r="A135">
        <v>133</v>
      </c>
      <c r="B135">
        <v>52</v>
      </c>
      <c r="C135">
        <f t="shared" si="2"/>
        <v>28</v>
      </c>
      <c r="D135">
        <v>-5.3705692803436803E-2</v>
      </c>
    </row>
    <row r="136" spans="1:4" x14ac:dyDescent="0.3">
      <c r="A136">
        <v>134</v>
      </c>
      <c r="B136">
        <v>52</v>
      </c>
      <c r="C136">
        <f t="shared" si="2"/>
        <v>28</v>
      </c>
      <c r="D136">
        <v>-5.3702808656892399E-2</v>
      </c>
    </row>
    <row r="137" spans="1:4" x14ac:dyDescent="0.3">
      <c r="A137">
        <v>135</v>
      </c>
      <c r="B137">
        <v>52</v>
      </c>
      <c r="C137">
        <f t="shared" si="2"/>
        <v>28</v>
      </c>
      <c r="D137">
        <v>-5.37013666997826E-2</v>
      </c>
    </row>
    <row r="138" spans="1:4" x14ac:dyDescent="0.3">
      <c r="A138">
        <v>136</v>
      </c>
      <c r="B138">
        <v>51.5</v>
      </c>
      <c r="C138">
        <f t="shared" si="2"/>
        <v>27.5</v>
      </c>
      <c r="D138">
        <v>-2.68506833498913E-2</v>
      </c>
    </row>
    <row r="139" spans="1:4" x14ac:dyDescent="0.3">
      <c r="A139">
        <v>137</v>
      </c>
      <c r="B139">
        <v>51</v>
      </c>
      <c r="C139">
        <f t="shared" si="2"/>
        <v>27</v>
      </c>
      <c r="D139">
        <v>-5.3704250691442197E-2</v>
      </c>
    </row>
    <row r="140" spans="1:4" x14ac:dyDescent="0.3">
      <c r="A140">
        <v>138</v>
      </c>
      <c r="B140">
        <v>51</v>
      </c>
      <c r="C140">
        <f t="shared" si="2"/>
        <v>27</v>
      </c>
      <c r="D140">
        <v>-5.3702808656892399E-2</v>
      </c>
    </row>
    <row r="141" spans="1:4" x14ac:dyDescent="0.3">
      <c r="A141">
        <v>139</v>
      </c>
      <c r="B141">
        <v>50</v>
      </c>
      <c r="C141">
        <f t="shared" si="2"/>
        <v>26</v>
      </c>
      <c r="D141">
        <v>-5.3705692803437399E-2</v>
      </c>
    </row>
    <row r="142" spans="1:4" x14ac:dyDescent="0.3">
      <c r="A142">
        <v>140</v>
      </c>
      <c r="B142">
        <v>50</v>
      </c>
      <c r="C142">
        <f t="shared" si="2"/>
        <v>26</v>
      </c>
      <c r="D142">
        <v>-5.3708577259788601E-2</v>
      </c>
    </row>
    <row r="143" spans="1:4" x14ac:dyDescent="0.3">
      <c r="A143">
        <v>141</v>
      </c>
      <c r="B143">
        <v>50</v>
      </c>
      <c r="C143">
        <f t="shared" si="2"/>
        <v>26</v>
      </c>
      <c r="D143">
        <v>-5.3712904525312001E-2</v>
      </c>
    </row>
    <row r="144" spans="1:4" x14ac:dyDescent="0.3">
      <c r="A144">
        <v>142</v>
      </c>
      <c r="B144">
        <v>50</v>
      </c>
      <c r="C144">
        <f t="shared" si="2"/>
        <v>26</v>
      </c>
      <c r="D144">
        <v>-5.3714347102111003E-2</v>
      </c>
    </row>
    <row r="145" spans="1:4" x14ac:dyDescent="0.3">
      <c r="A145">
        <v>143</v>
      </c>
      <c r="B145">
        <v>49</v>
      </c>
      <c r="C145">
        <f t="shared" si="2"/>
        <v>25</v>
      </c>
      <c r="D145">
        <v>-5.3708577259788601E-2</v>
      </c>
    </row>
    <row r="146" spans="1:4" x14ac:dyDescent="0.3">
      <c r="A146">
        <v>144</v>
      </c>
      <c r="B146">
        <v>49</v>
      </c>
      <c r="C146">
        <f t="shared" si="2"/>
        <v>25</v>
      </c>
      <c r="D146">
        <v>-5.3711462025996498E-2</v>
      </c>
    </row>
    <row r="147" spans="1:4" x14ac:dyDescent="0.3">
      <c r="A147">
        <v>145</v>
      </c>
      <c r="B147">
        <v>48.5</v>
      </c>
      <c r="C147">
        <f t="shared" si="2"/>
        <v>24.5</v>
      </c>
      <c r="D147">
        <v>-2.6852125345721099E-2</v>
      </c>
    </row>
    <row r="148" spans="1:4" x14ac:dyDescent="0.3">
      <c r="A148">
        <v>146</v>
      </c>
      <c r="B148">
        <v>48.5</v>
      </c>
      <c r="C148">
        <f t="shared" si="2"/>
        <v>24.5</v>
      </c>
      <c r="D148">
        <v>-2.68514043284462E-2</v>
      </c>
    </row>
    <row r="149" spans="1:4" x14ac:dyDescent="0.3">
      <c r="A149">
        <v>147</v>
      </c>
      <c r="B149">
        <v>48</v>
      </c>
      <c r="C149">
        <f t="shared" si="2"/>
        <v>24</v>
      </c>
      <c r="D149">
        <v>-5.3698483017854903E-2</v>
      </c>
    </row>
    <row r="150" spans="1:4" x14ac:dyDescent="0.3">
      <c r="A150">
        <v>148</v>
      </c>
      <c r="B150">
        <v>48</v>
      </c>
      <c r="C150">
        <f t="shared" si="2"/>
        <v>24</v>
      </c>
      <c r="D150">
        <v>-5.3698483017854903E-2</v>
      </c>
    </row>
    <row r="151" spans="1:4" x14ac:dyDescent="0.3">
      <c r="A151">
        <v>149</v>
      </c>
      <c r="B151">
        <v>47.5</v>
      </c>
      <c r="C151">
        <f t="shared" si="2"/>
        <v>23.5</v>
      </c>
      <c r="D151">
        <v>-2.68499624100525E-2</v>
      </c>
    </row>
    <row r="152" spans="1:4" x14ac:dyDescent="0.3">
      <c r="A152">
        <v>150</v>
      </c>
      <c r="B152">
        <v>47.5</v>
      </c>
      <c r="C152">
        <f t="shared" si="2"/>
        <v>23.5</v>
      </c>
      <c r="D152">
        <v>-2.68499624100525E-2</v>
      </c>
    </row>
    <row r="153" spans="1:4" x14ac:dyDescent="0.3">
      <c r="A153">
        <v>151</v>
      </c>
      <c r="B153">
        <v>47.5</v>
      </c>
      <c r="C153">
        <f t="shared" si="2"/>
        <v>23.5</v>
      </c>
      <c r="D153">
        <v>-2.6852125345721099E-2</v>
      </c>
    </row>
    <row r="154" spans="1:4" x14ac:dyDescent="0.3">
      <c r="A154">
        <v>152</v>
      </c>
      <c r="B154">
        <v>47</v>
      </c>
      <c r="C154">
        <f t="shared" si="2"/>
        <v>23</v>
      </c>
      <c r="D154">
        <v>-5.3708577259788601E-2</v>
      </c>
    </row>
    <row r="155" spans="1:4" x14ac:dyDescent="0.3">
      <c r="A155">
        <v>153</v>
      </c>
      <c r="B155">
        <v>46.5</v>
      </c>
      <c r="C155">
        <f t="shared" si="2"/>
        <v>22.5</v>
      </c>
      <c r="D155">
        <v>-2.68528464017187E-2</v>
      </c>
    </row>
    <row r="156" spans="1:4" x14ac:dyDescent="0.3">
      <c r="A156">
        <v>154</v>
      </c>
      <c r="B156">
        <v>46.5</v>
      </c>
      <c r="C156">
        <f t="shared" si="2"/>
        <v>22.5</v>
      </c>
      <c r="D156">
        <v>-2.6852125345721099E-2</v>
      </c>
    </row>
    <row r="157" spans="1:4" x14ac:dyDescent="0.3">
      <c r="A157">
        <v>155</v>
      </c>
      <c r="B157">
        <v>46.5</v>
      </c>
      <c r="C157">
        <f t="shared" si="2"/>
        <v>22.5</v>
      </c>
      <c r="D157">
        <v>-2.68528464017187E-2</v>
      </c>
    </row>
    <row r="158" spans="1:4" x14ac:dyDescent="0.3">
      <c r="A158">
        <v>156</v>
      </c>
      <c r="B158">
        <v>46</v>
      </c>
      <c r="C158">
        <f t="shared" si="2"/>
        <v>22</v>
      </c>
      <c r="D158">
        <v>-5.37028086568931E-2</v>
      </c>
    </row>
    <row r="159" spans="1:4" x14ac:dyDescent="0.3">
      <c r="A159">
        <v>157</v>
      </c>
      <c r="B159">
        <v>46</v>
      </c>
      <c r="C159">
        <f t="shared" si="2"/>
        <v>22</v>
      </c>
      <c r="D159">
        <v>-5.3699924820105001E-2</v>
      </c>
    </row>
    <row r="160" spans="1:4" x14ac:dyDescent="0.3">
      <c r="A160">
        <v>158</v>
      </c>
      <c r="B160">
        <v>45.5</v>
      </c>
      <c r="C160">
        <f t="shared" si="2"/>
        <v>21.5</v>
      </c>
      <c r="D160">
        <v>-2.6847799822804601E-2</v>
      </c>
    </row>
    <row r="161" spans="1:4" x14ac:dyDescent="0.3">
      <c r="A161">
        <v>159</v>
      </c>
      <c r="B161">
        <v>45</v>
      </c>
      <c r="C161">
        <f t="shared" si="2"/>
        <v>21</v>
      </c>
      <c r="D161">
        <v>-5.37013666997826E-2</v>
      </c>
    </row>
    <row r="162" spans="1:4" x14ac:dyDescent="0.3">
      <c r="A162">
        <v>160</v>
      </c>
      <c r="B162">
        <v>45</v>
      </c>
      <c r="C162">
        <f t="shared" si="2"/>
        <v>21</v>
      </c>
      <c r="D162">
        <v>-5.37013666997826E-2</v>
      </c>
    </row>
    <row r="163" spans="1:4" x14ac:dyDescent="0.3">
      <c r="A163">
        <v>161</v>
      </c>
      <c r="B163">
        <v>45</v>
      </c>
      <c r="C163">
        <f t="shared" si="2"/>
        <v>21</v>
      </c>
      <c r="D163">
        <v>-5.3701366699781899E-2</v>
      </c>
    </row>
    <row r="164" spans="1:4" x14ac:dyDescent="0.3">
      <c r="A164">
        <v>162</v>
      </c>
      <c r="B164">
        <v>44.5</v>
      </c>
      <c r="C164">
        <f t="shared" si="2"/>
        <v>20.5</v>
      </c>
      <c r="D164">
        <v>-2.6848520646512299E-2</v>
      </c>
    </row>
    <row r="165" spans="1:4" x14ac:dyDescent="0.3">
      <c r="A165">
        <v>163</v>
      </c>
      <c r="B165">
        <v>44.5</v>
      </c>
      <c r="C165">
        <f t="shared" si="2"/>
        <v>20.5</v>
      </c>
      <c r="D165">
        <v>-2.6848520646512299E-2</v>
      </c>
    </row>
    <row r="166" spans="1:4" x14ac:dyDescent="0.3">
      <c r="A166">
        <v>164</v>
      </c>
      <c r="B166">
        <v>44</v>
      </c>
      <c r="C166">
        <f t="shared" si="2"/>
        <v>20</v>
      </c>
      <c r="D166">
        <v>-5.3702808656892399E-2</v>
      </c>
    </row>
    <row r="167" spans="1:4" x14ac:dyDescent="0.3">
      <c r="A167">
        <v>165</v>
      </c>
      <c r="B167">
        <v>43.5</v>
      </c>
      <c r="C167">
        <f t="shared" si="2"/>
        <v>19.5</v>
      </c>
      <c r="D167">
        <v>-2.68514043284462E-2</v>
      </c>
    </row>
    <row r="168" spans="1:4" x14ac:dyDescent="0.3">
      <c r="A168">
        <v>166</v>
      </c>
      <c r="B168">
        <v>43.5</v>
      </c>
      <c r="C168">
        <f t="shared" si="2"/>
        <v>19.5</v>
      </c>
      <c r="D168">
        <v>-2.6852125345721099E-2</v>
      </c>
    </row>
    <row r="169" spans="1:4" x14ac:dyDescent="0.3">
      <c r="A169">
        <v>167</v>
      </c>
      <c r="B169">
        <v>43.5</v>
      </c>
      <c r="C169">
        <f t="shared" si="2"/>
        <v>19.5</v>
      </c>
      <c r="D169">
        <v>-2.68528464017187E-2</v>
      </c>
    </row>
    <row r="170" spans="1:4" x14ac:dyDescent="0.3">
      <c r="A170">
        <v>168</v>
      </c>
      <c r="B170">
        <v>43.5</v>
      </c>
      <c r="C170">
        <f t="shared" si="2"/>
        <v>19.5</v>
      </c>
      <c r="D170">
        <v>-2.68528464017187E-2</v>
      </c>
    </row>
    <row r="171" spans="1:4" x14ac:dyDescent="0.3">
      <c r="A171">
        <v>169</v>
      </c>
      <c r="B171">
        <v>43.5</v>
      </c>
      <c r="C171">
        <f t="shared" si="2"/>
        <v>19.5</v>
      </c>
      <c r="D171">
        <v>-2.68557310129982E-2</v>
      </c>
    </row>
    <row r="172" spans="1:4" x14ac:dyDescent="0.3">
      <c r="A172">
        <v>170</v>
      </c>
      <c r="B172">
        <v>42.5</v>
      </c>
      <c r="C172">
        <f t="shared" si="2"/>
        <v>18.5</v>
      </c>
      <c r="D172">
        <v>-2.68557310129982E-2</v>
      </c>
    </row>
    <row r="173" spans="1:4" x14ac:dyDescent="0.3">
      <c r="A173">
        <v>171</v>
      </c>
      <c r="B173">
        <v>42.5</v>
      </c>
      <c r="C173">
        <f t="shared" si="2"/>
        <v>18.5</v>
      </c>
      <c r="D173">
        <v>-2.6852846401718401E-2</v>
      </c>
    </row>
    <row r="174" spans="1:4" x14ac:dyDescent="0.3">
      <c r="A174">
        <v>172</v>
      </c>
      <c r="B174">
        <v>42.5</v>
      </c>
      <c r="C174">
        <f t="shared" si="2"/>
        <v>18.5</v>
      </c>
      <c r="D174">
        <v>-2.6852125345721099E-2</v>
      </c>
    </row>
    <row r="175" spans="1:4" x14ac:dyDescent="0.3">
      <c r="A175">
        <v>173</v>
      </c>
      <c r="B175">
        <v>42.5</v>
      </c>
      <c r="C175">
        <f t="shared" si="2"/>
        <v>18.5</v>
      </c>
      <c r="D175">
        <v>-2.68492415089274E-2</v>
      </c>
    </row>
    <row r="176" spans="1:4" x14ac:dyDescent="0.3">
      <c r="A176">
        <v>174</v>
      </c>
      <c r="B176">
        <v>42.5</v>
      </c>
      <c r="C176">
        <f t="shared" si="2"/>
        <v>18.5</v>
      </c>
      <c r="D176">
        <v>-2.68499624100525E-2</v>
      </c>
    </row>
    <row r="177" spans="1:4" x14ac:dyDescent="0.3">
      <c r="A177">
        <v>175</v>
      </c>
      <c r="B177">
        <v>42.5</v>
      </c>
      <c r="C177">
        <f t="shared" si="2"/>
        <v>18.5</v>
      </c>
      <c r="D177">
        <v>-2.6847799822804601E-2</v>
      </c>
    </row>
    <row r="178" spans="1:4" x14ac:dyDescent="0.3">
      <c r="A178">
        <v>176</v>
      </c>
      <c r="B178">
        <v>41.5</v>
      </c>
      <c r="C178">
        <f t="shared" si="2"/>
        <v>17.5</v>
      </c>
      <c r="D178">
        <v>-2.6844916914982E-2</v>
      </c>
    </row>
    <row r="179" spans="1:4" x14ac:dyDescent="0.3">
      <c r="A179">
        <v>177</v>
      </c>
      <c r="B179">
        <v>41.5</v>
      </c>
      <c r="C179">
        <f t="shared" si="2"/>
        <v>17.5</v>
      </c>
      <c r="D179">
        <v>-2.68456375838926E-2</v>
      </c>
    </row>
    <row r="180" spans="1:4" x14ac:dyDescent="0.3">
      <c r="A180">
        <v>178</v>
      </c>
      <c r="B180">
        <v>41.5</v>
      </c>
      <c r="C180">
        <f t="shared" si="2"/>
        <v>17.5</v>
      </c>
      <c r="D180">
        <v>-2.6847799822804299E-2</v>
      </c>
    </row>
    <row r="181" spans="1:4" x14ac:dyDescent="0.3">
      <c r="A181">
        <v>179</v>
      </c>
      <c r="B181">
        <v>41.5</v>
      </c>
      <c r="C181">
        <f t="shared" si="2"/>
        <v>17.5</v>
      </c>
      <c r="D181">
        <v>-2.68506833498913E-2</v>
      </c>
    </row>
    <row r="182" spans="1:4" x14ac:dyDescent="0.3">
      <c r="A182">
        <v>180</v>
      </c>
      <c r="B182">
        <v>41.5</v>
      </c>
      <c r="C182">
        <f t="shared" si="2"/>
        <v>17.5</v>
      </c>
      <c r="D182">
        <v>-2.68514043284462E-2</v>
      </c>
    </row>
    <row r="183" spans="1:4" x14ac:dyDescent="0.3">
      <c r="A183">
        <v>181</v>
      </c>
      <c r="B183">
        <v>41.5</v>
      </c>
      <c r="C183">
        <f t="shared" si="2"/>
        <v>17.5</v>
      </c>
      <c r="D183">
        <v>-2.68550098020785E-2</v>
      </c>
    </row>
    <row r="184" spans="1:4" x14ac:dyDescent="0.3">
      <c r="A184">
        <v>182</v>
      </c>
      <c r="B184">
        <v>40.5</v>
      </c>
      <c r="C184">
        <f t="shared" si="2"/>
        <v>16.5</v>
      </c>
      <c r="D184">
        <v>-2.68578948781996E-2</v>
      </c>
    </row>
    <row r="185" spans="1:4" x14ac:dyDescent="0.3">
      <c r="A185">
        <v>183</v>
      </c>
      <c r="B185">
        <v>40.5</v>
      </c>
      <c r="C185">
        <f t="shared" si="2"/>
        <v>16.5</v>
      </c>
      <c r="D185">
        <v>-2.6859337648733699E-2</v>
      </c>
    </row>
    <row r="186" spans="1:4" x14ac:dyDescent="0.3">
      <c r="A186">
        <v>184</v>
      </c>
      <c r="B186">
        <v>40.5</v>
      </c>
      <c r="C186">
        <f t="shared" si="2"/>
        <v>16.5</v>
      </c>
      <c r="D186">
        <v>-2.68600590921299E-2</v>
      </c>
    </row>
    <row r="187" spans="1:4" x14ac:dyDescent="0.3">
      <c r="A187">
        <v>185</v>
      </c>
      <c r="B187">
        <v>40.5</v>
      </c>
      <c r="C187">
        <f t="shared" si="2"/>
        <v>16.5</v>
      </c>
      <c r="D187">
        <v>-2.6860780574283202E-2</v>
      </c>
    </row>
    <row r="188" spans="1:4" x14ac:dyDescent="0.3">
      <c r="A188">
        <v>186</v>
      </c>
      <c r="B188">
        <v>40</v>
      </c>
      <c r="C188">
        <f t="shared" si="2"/>
        <v>16</v>
      </c>
      <c r="D188">
        <v>-5.3724447309748499E-2</v>
      </c>
    </row>
    <row r="189" spans="1:4" x14ac:dyDescent="0.3">
      <c r="A189">
        <v>187</v>
      </c>
      <c r="B189">
        <v>40</v>
      </c>
      <c r="C189">
        <f t="shared" si="2"/>
        <v>16</v>
      </c>
      <c r="D189">
        <v>-5.37215611485665E-2</v>
      </c>
    </row>
    <row r="190" spans="1:4" x14ac:dyDescent="0.3">
      <c r="A190">
        <v>188</v>
      </c>
      <c r="B190">
        <v>39.5</v>
      </c>
      <c r="C190">
        <f t="shared" si="2"/>
        <v>15.5</v>
      </c>
      <c r="D190">
        <v>-2.68600590921299E-2</v>
      </c>
    </row>
    <row r="191" spans="1:4" x14ac:dyDescent="0.3">
      <c r="A191">
        <v>189</v>
      </c>
      <c r="B191">
        <v>39.5</v>
      </c>
      <c r="C191">
        <f t="shared" si="2"/>
        <v>15.5</v>
      </c>
      <c r="D191">
        <v>-2.68586162440911E-2</v>
      </c>
    </row>
    <row r="192" spans="1:4" x14ac:dyDescent="0.3">
      <c r="A192">
        <v>190</v>
      </c>
      <c r="B192">
        <v>39.5</v>
      </c>
      <c r="C192">
        <f t="shared" si="2"/>
        <v>15.5</v>
      </c>
      <c r="D192">
        <v>-2.68542886298943E-2</v>
      </c>
    </row>
    <row r="193" spans="1:4" x14ac:dyDescent="0.3">
      <c r="A193">
        <v>191</v>
      </c>
      <c r="B193">
        <v>39.5</v>
      </c>
      <c r="C193">
        <f t="shared" si="2"/>
        <v>15.5</v>
      </c>
      <c r="D193">
        <v>-2.6853567496441799E-2</v>
      </c>
    </row>
    <row r="194" spans="1:4" x14ac:dyDescent="0.3">
      <c r="A194">
        <v>192</v>
      </c>
      <c r="B194">
        <v>39</v>
      </c>
      <c r="C194">
        <f t="shared" si="2"/>
        <v>15</v>
      </c>
      <c r="D194">
        <v>0</v>
      </c>
    </row>
    <row r="195" spans="1:4" x14ac:dyDescent="0.3">
      <c r="A195">
        <v>193</v>
      </c>
      <c r="B195">
        <v>38.5</v>
      </c>
      <c r="C195">
        <f t="shared" ref="C195:C258" si="3">B195-24</f>
        <v>14.5</v>
      </c>
      <c r="D195">
        <v>-2.6852125345721099E-2</v>
      </c>
    </row>
    <row r="196" spans="1:4" x14ac:dyDescent="0.3">
      <c r="A196">
        <v>194</v>
      </c>
      <c r="B196">
        <v>38.5</v>
      </c>
      <c r="C196">
        <f t="shared" si="3"/>
        <v>14.5</v>
      </c>
      <c r="D196">
        <v>-2.6853567496441799E-2</v>
      </c>
    </row>
    <row r="197" spans="1:4" x14ac:dyDescent="0.3">
      <c r="A197">
        <v>195</v>
      </c>
      <c r="B197">
        <v>38.5</v>
      </c>
      <c r="C197">
        <f t="shared" si="3"/>
        <v>14.5</v>
      </c>
      <c r="D197">
        <v>-2.6854288629893901E-2</v>
      </c>
    </row>
    <row r="198" spans="1:4" x14ac:dyDescent="0.3">
      <c r="A198">
        <v>196</v>
      </c>
      <c r="B198">
        <v>38.5</v>
      </c>
      <c r="C198">
        <f t="shared" si="3"/>
        <v>14.5</v>
      </c>
      <c r="D198">
        <v>-2.68550098020785E-2</v>
      </c>
    </row>
    <row r="199" spans="1:4" x14ac:dyDescent="0.3">
      <c r="A199">
        <v>197</v>
      </c>
      <c r="B199">
        <v>38.5</v>
      </c>
      <c r="C199">
        <f t="shared" si="3"/>
        <v>14.5</v>
      </c>
      <c r="D199">
        <v>-2.68542886298943E-2</v>
      </c>
    </row>
    <row r="200" spans="1:4" x14ac:dyDescent="0.3">
      <c r="A200">
        <v>198</v>
      </c>
      <c r="B200">
        <v>38.5</v>
      </c>
      <c r="C200">
        <f t="shared" si="3"/>
        <v>14.5</v>
      </c>
      <c r="D200">
        <v>-2.68550098020785E-2</v>
      </c>
    </row>
    <row r="201" spans="1:4" x14ac:dyDescent="0.3">
      <c r="A201">
        <v>199</v>
      </c>
      <c r="B201">
        <v>38</v>
      </c>
      <c r="C201">
        <f t="shared" si="3"/>
        <v>14</v>
      </c>
      <c r="D201">
        <v>0</v>
      </c>
    </row>
    <row r="202" spans="1:4" x14ac:dyDescent="0.3">
      <c r="A202">
        <v>200</v>
      </c>
      <c r="B202">
        <v>38</v>
      </c>
      <c r="C202">
        <f t="shared" si="3"/>
        <v>14</v>
      </c>
      <c r="D202">
        <v>0</v>
      </c>
    </row>
    <row r="203" spans="1:4" x14ac:dyDescent="0.3">
      <c r="A203">
        <v>201</v>
      </c>
      <c r="B203">
        <v>37.5</v>
      </c>
      <c r="C203">
        <f t="shared" si="3"/>
        <v>13.5</v>
      </c>
      <c r="D203">
        <v>-2.68506833498913E-2</v>
      </c>
    </row>
    <row r="204" spans="1:4" x14ac:dyDescent="0.3">
      <c r="A204">
        <v>202</v>
      </c>
      <c r="B204">
        <v>37.5</v>
      </c>
      <c r="C204">
        <f t="shared" si="3"/>
        <v>13.5</v>
      </c>
      <c r="D204">
        <v>-2.6852125345721099E-2</v>
      </c>
    </row>
    <row r="205" spans="1:4" x14ac:dyDescent="0.3">
      <c r="A205">
        <v>203</v>
      </c>
      <c r="B205">
        <v>37.5</v>
      </c>
      <c r="C205">
        <f t="shared" si="3"/>
        <v>13.5</v>
      </c>
      <c r="D205">
        <v>-2.68550098020785E-2</v>
      </c>
    </row>
    <row r="206" spans="1:4" x14ac:dyDescent="0.3">
      <c r="A206">
        <v>204</v>
      </c>
      <c r="B206">
        <v>37.5</v>
      </c>
      <c r="C206">
        <f t="shared" si="3"/>
        <v>13.5</v>
      </c>
      <c r="D206">
        <v>-2.68550098020785E-2</v>
      </c>
    </row>
    <row r="207" spans="1:4" x14ac:dyDescent="0.3">
      <c r="A207">
        <v>205</v>
      </c>
      <c r="B207">
        <v>37.5</v>
      </c>
      <c r="C207">
        <f t="shared" si="3"/>
        <v>13.5</v>
      </c>
      <c r="D207">
        <v>-2.6856452262656001E-2</v>
      </c>
    </row>
    <row r="208" spans="1:4" x14ac:dyDescent="0.3">
      <c r="A208">
        <v>206</v>
      </c>
      <c r="B208">
        <v>37.5</v>
      </c>
      <c r="C208">
        <f t="shared" si="3"/>
        <v>13.5</v>
      </c>
      <c r="D208">
        <v>-2.68557310129982E-2</v>
      </c>
    </row>
    <row r="209" spans="1:4" x14ac:dyDescent="0.3">
      <c r="A209">
        <v>207</v>
      </c>
      <c r="B209">
        <v>37</v>
      </c>
      <c r="C209">
        <f t="shared" si="3"/>
        <v>13</v>
      </c>
      <c r="D209">
        <v>0</v>
      </c>
    </row>
    <row r="210" spans="1:4" x14ac:dyDescent="0.3">
      <c r="A210">
        <v>208</v>
      </c>
      <c r="B210">
        <v>37</v>
      </c>
      <c r="C210">
        <f t="shared" si="3"/>
        <v>13</v>
      </c>
      <c r="D210">
        <v>0</v>
      </c>
    </row>
    <row r="211" spans="1:4" x14ac:dyDescent="0.3">
      <c r="A211">
        <v>209</v>
      </c>
      <c r="B211">
        <v>36.5</v>
      </c>
      <c r="C211">
        <f t="shared" si="3"/>
        <v>12.5</v>
      </c>
      <c r="D211">
        <v>-2.68542886298943E-2</v>
      </c>
    </row>
    <row r="212" spans="1:4" x14ac:dyDescent="0.3">
      <c r="A212">
        <v>210</v>
      </c>
      <c r="B212">
        <v>36.5</v>
      </c>
      <c r="C212">
        <f t="shared" si="3"/>
        <v>12.5</v>
      </c>
      <c r="D212">
        <v>-2.6852125345721099E-2</v>
      </c>
    </row>
    <row r="213" spans="1:4" x14ac:dyDescent="0.3">
      <c r="A213">
        <v>211</v>
      </c>
      <c r="B213">
        <v>36.5</v>
      </c>
      <c r="C213">
        <f t="shared" si="3"/>
        <v>12.5</v>
      </c>
      <c r="D213">
        <v>-2.68499624100525E-2</v>
      </c>
    </row>
    <row r="214" spans="1:4" x14ac:dyDescent="0.3">
      <c r="A214">
        <v>212</v>
      </c>
      <c r="B214">
        <v>36.5</v>
      </c>
      <c r="C214">
        <f t="shared" si="3"/>
        <v>12.5</v>
      </c>
      <c r="D214">
        <v>-2.68492415089274E-2</v>
      </c>
    </row>
    <row r="215" spans="1:4" x14ac:dyDescent="0.3">
      <c r="A215">
        <v>213</v>
      </c>
      <c r="B215">
        <v>36.5</v>
      </c>
      <c r="C215">
        <f t="shared" si="3"/>
        <v>12.5</v>
      </c>
      <c r="D215">
        <v>-2.6849241508927101E-2</v>
      </c>
    </row>
    <row r="216" spans="1:4" x14ac:dyDescent="0.3">
      <c r="A216">
        <v>214</v>
      </c>
      <c r="B216">
        <v>36.5</v>
      </c>
      <c r="C216">
        <f t="shared" si="3"/>
        <v>12.5</v>
      </c>
      <c r="D216">
        <v>-2.68492415089274E-2</v>
      </c>
    </row>
    <row r="217" spans="1:4" x14ac:dyDescent="0.3">
      <c r="A217">
        <v>215</v>
      </c>
      <c r="B217">
        <v>36</v>
      </c>
      <c r="C217">
        <f t="shared" si="3"/>
        <v>12</v>
      </c>
      <c r="D217">
        <v>0</v>
      </c>
    </row>
    <row r="218" spans="1:4" x14ac:dyDescent="0.3">
      <c r="A218">
        <v>216</v>
      </c>
      <c r="B218">
        <v>36</v>
      </c>
      <c r="C218">
        <f t="shared" si="3"/>
        <v>12</v>
      </c>
      <c r="D218">
        <v>0</v>
      </c>
    </row>
    <row r="219" spans="1:4" x14ac:dyDescent="0.3">
      <c r="A219">
        <v>217</v>
      </c>
      <c r="B219">
        <v>36</v>
      </c>
      <c r="C219">
        <f t="shared" si="3"/>
        <v>12</v>
      </c>
      <c r="D219">
        <v>0</v>
      </c>
    </row>
    <row r="220" spans="1:4" x14ac:dyDescent="0.3">
      <c r="A220">
        <v>218</v>
      </c>
      <c r="B220">
        <v>36</v>
      </c>
      <c r="C220">
        <f t="shared" si="3"/>
        <v>12</v>
      </c>
      <c r="D220">
        <v>0</v>
      </c>
    </row>
    <row r="221" spans="1:4" x14ac:dyDescent="0.3">
      <c r="A221">
        <v>219</v>
      </c>
      <c r="B221">
        <v>35.5</v>
      </c>
      <c r="C221">
        <f t="shared" si="3"/>
        <v>11.5</v>
      </c>
      <c r="D221">
        <v>-2.6852125345721099E-2</v>
      </c>
    </row>
    <row r="222" spans="1:4" x14ac:dyDescent="0.3">
      <c r="A222">
        <v>220</v>
      </c>
      <c r="B222">
        <v>35.5</v>
      </c>
      <c r="C222">
        <f t="shared" si="3"/>
        <v>11.5</v>
      </c>
      <c r="D222">
        <v>-2.6854288629893901E-2</v>
      </c>
    </row>
    <row r="223" spans="1:4" x14ac:dyDescent="0.3">
      <c r="A223">
        <v>221</v>
      </c>
      <c r="B223">
        <v>35.5</v>
      </c>
      <c r="C223">
        <f t="shared" si="3"/>
        <v>11.5</v>
      </c>
      <c r="D223">
        <v>-2.68571735510552E-2</v>
      </c>
    </row>
    <row r="224" spans="1:4" x14ac:dyDescent="0.3">
      <c r="A224">
        <v>222</v>
      </c>
      <c r="B224">
        <v>35.5</v>
      </c>
      <c r="C224">
        <f t="shared" si="3"/>
        <v>11.5</v>
      </c>
      <c r="D224">
        <v>-2.6857173551055501E-2</v>
      </c>
    </row>
    <row r="225" spans="1:4" x14ac:dyDescent="0.3">
      <c r="A225">
        <v>223</v>
      </c>
      <c r="B225">
        <v>35.5</v>
      </c>
      <c r="C225">
        <f t="shared" si="3"/>
        <v>11.5</v>
      </c>
      <c r="D225">
        <v>-2.68578948781996E-2</v>
      </c>
    </row>
    <row r="226" spans="1:4" x14ac:dyDescent="0.3">
      <c r="A226">
        <v>224</v>
      </c>
      <c r="B226">
        <v>35.5</v>
      </c>
      <c r="C226">
        <f t="shared" si="3"/>
        <v>11.5</v>
      </c>
      <c r="D226">
        <v>-2.68571735510552E-2</v>
      </c>
    </row>
    <row r="227" spans="1:4" x14ac:dyDescent="0.3">
      <c r="A227">
        <v>225</v>
      </c>
      <c r="B227">
        <v>34.5</v>
      </c>
      <c r="C227">
        <f t="shared" si="3"/>
        <v>10.5</v>
      </c>
      <c r="D227">
        <v>-2.68586162440911E-2</v>
      </c>
    </row>
    <row r="228" spans="1:4" x14ac:dyDescent="0.3">
      <c r="A228">
        <v>226</v>
      </c>
      <c r="B228">
        <v>34.5</v>
      </c>
      <c r="C228">
        <f t="shared" si="3"/>
        <v>10.5</v>
      </c>
      <c r="D228">
        <v>-2.6856452262656299E-2</v>
      </c>
    </row>
    <row r="229" spans="1:4" x14ac:dyDescent="0.3">
      <c r="A229">
        <v>227</v>
      </c>
      <c r="B229">
        <v>34.5</v>
      </c>
      <c r="C229">
        <f t="shared" si="3"/>
        <v>10.5</v>
      </c>
      <c r="D229">
        <v>-2.68528464017187E-2</v>
      </c>
    </row>
    <row r="230" spans="1:4" x14ac:dyDescent="0.3">
      <c r="A230">
        <v>228</v>
      </c>
      <c r="B230">
        <v>34.5</v>
      </c>
      <c r="C230">
        <f t="shared" si="3"/>
        <v>10.5</v>
      </c>
      <c r="D230">
        <v>-2.6852846401718401E-2</v>
      </c>
    </row>
    <row r="231" spans="1:4" x14ac:dyDescent="0.3">
      <c r="A231">
        <v>229</v>
      </c>
      <c r="B231">
        <v>34.5</v>
      </c>
      <c r="C231">
        <f t="shared" si="3"/>
        <v>10.5</v>
      </c>
      <c r="D231">
        <v>-2.6854288629893901E-2</v>
      </c>
    </row>
    <row r="232" spans="1:4" x14ac:dyDescent="0.3">
      <c r="A232">
        <v>230</v>
      </c>
      <c r="B232">
        <v>34.5</v>
      </c>
      <c r="C232">
        <f t="shared" si="3"/>
        <v>10.5</v>
      </c>
      <c r="D232">
        <v>-2.68578948781996E-2</v>
      </c>
    </row>
    <row r="233" spans="1:4" x14ac:dyDescent="0.3">
      <c r="A233">
        <v>231</v>
      </c>
      <c r="B233">
        <v>34</v>
      </c>
      <c r="C233">
        <f t="shared" si="3"/>
        <v>10</v>
      </c>
      <c r="D233">
        <v>0</v>
      </c>
    </row>
    <row r="234" spans="1:4" x14ac:dyDescent="0.3">
      <c r="A234">
        <v>232</v>
      </c>
      <c r="B234">
        <v>34</v>
      </c>
      <c r="C234">
        <f t="shared" si="3"/>
        <v>10</v>
      </c>
      <c r="D234">
        <v>0</v>
      </c>
    </row>
    <row r="235" spans="1:4" x14ac:dyDescent="0.3">
      <c r="A235">
        <v>233</v>
      </c>
      <c r="B235">
        <v>34</v>
      </c>
      <c r="C235">
        <f t="shared" si="3"/>
        <v>10</v>
      </c>
      <c r="D235">
        <v>0</v>
      </c>
    </row>
    <row r="236" spans="1:4" x14ac:dyDescent="0.3">
      <c r="A236">
        <v>234</v>
      </c>
      <c r="B236">
        <v>34</v>
      </c>
      <c r="C236">
        <f t="shared" si="3"/>
        <v>10</v>
      </c>
      <c r="D236">
        <v>0</v>
      </c>
    </row>
    <row r="237" spans="1:4" x14ac:dyDescent="0.3">
      <c r="A237">
        <v>235</v>
      </c>
      <c r="B237">
        <v>34</v>
      </c>
      <c r="C237">
        <f t="shared" si="3"/>
        <v>10</v>
      </c>
      <c r="D237">
        <v>0</v>
      </c>
    </row>
    <row r="238" spans="1:4" x14ac:dyDescent="0.3">
      <c r="A238">
        <v>236</v>
      </c>
      <c r="B238">
        <v>34</v>
      </c>
      <c r="C238">
        <f t="shared" si="3"/>
        <v>10</v>
      </c>
      <c r="D238">
        <v>0</v>
      </c>
    </row>
    <row r="239" spans="1:4" x14ac:dyDescent="0.3">
      <c r="A239">
        <v>237</v>
      </c>
      <c r="B239">
        <v>33.5</v>
      </c>
      <c r="C239">
        <f t="shared" si="3"/>
        <v>9.5</v>
      </c>
      <c r="D239">
        <v>-2.6856452262656299E-2</v>
      </c>
    </row>
    <row r="240" spans="1:4" x14ac:dyDescent="0.3">
      <c r="A240">
        <v>238</v>
      </c>
      <c r="B240">
        <v>33.5</v>
      </c>
      <c r="C240">
        <f t="shared" si="3"/>
        <v>9.5</v>
      </c>
      <c r="D240">
        <v>-2.6854288629893901E-2</v>
      </c>
    </row>
    <row r="241" spans="1:4" x14ac:dyDescent="0.3">
      <c r="A241">
        <v>239</v>
      </c>
      <c r="B241">
        <v>33.5</v>
      </c>
      <c r="C241">
        <f t="shared" si="3"/>
        <v>9.5</v>
      </c>
      <c r="D241">
        <v>-2.6852846401718401E-2</v>
      </c>
    </row>
    <row r="242" spans="1:4" x14ac:dyDescent="0.3">
      <c r="A242">
        <v>240</v>
      </c>
      <c r="B242">
        <v>33.5</v>
      </c>
      <c r="C242">
        <f t="shared" si="3"/>
        <v>9.5</v>
      </c>
      <c r="D242">
        <v>-2.6857173551055501E-2</v>
      </c>
    </row>
    <row r="243" spans="1:4" x14ac:dyDescent="0.3">
      <c r="A243">
        <v>241</v>
      </c>
      <c r="B243">
        <v>33.5</v>
      </c>
      <c r="C243">
        <f t="shared" si="3"/>
        <v>9.5</v>
      </c>
      <c r="D243">
        <v>-2.6857894878199302E-2</v>
      </c>
    </row>
    <row r="244" spans="1:4" x14ac:dyDescent="0.3">
      <c r="A244">
        <v>242</v>
      </c>
      <c r="B244">
        <v>33.5</v>
      </c>
      <c r="C244">
        <f t="shared" si="3"/>
        <v>9.5</v>
      </c>
      <c r="D244">
        <v>-2.6857173551055501E-2</v>
      </c>
    </row>
    <row r="245" spans="1:4" x14ac:dyDescent="0.3">
      <c r="A245">
        <v>243</v>
      </c>
      <c r="B245">
        <v>33</v>
      </c>
      <c r="C245">
        <f t="shared" si="3"/>
        <v>9</v>
      </c>
      <c r="D245">
        <v>0</v>
      </c>
    </row>
    <row r="246" spans="1:4" x14ac:dyDescent="0.3">
      <c r="A246">
        <v>244</v>
      </c>
      <c r="B246">
        <v>33</v>
      </c>
      <c r="C246">
        <f t="shared" si="3"/>
        <v>9</v>
      </c>
      <c r="D246">
        <v>0</v>
      </c>
    </row>
    <row r="247" spans="1:4" x14ac:dyDescent="0.3">
      <c r="A247">
        <v>245</v>
      </c>
      <c r="B247">
        <v>33</v>
      </c>
      <c r="C247">
        <f t="shared" si="3"/>
        <v>9</v>
      </c>
      <c r="D247">
        <v>0</v>
      </c>
    </row>
    <row r="248" spans="1:4" x14ac:dyDescent="0.3">
      <c r="A248">
        <v>246</v>
      </c>
      <c r="B248">
        <v>33</v>
      </c>
      <c r="C248">
        <f t="shared" si="3"/>
        <v>9</v>
      </c>
      <c r="D248">
        <v>0</v>
      </c>
    </row>
    <row r="249" spans="1:4" x14ac:dyDescent="0.3">
      <c r="A249">
        <v>247</v>
      </c>
      <c r="B249">
        <v>33</v>
      </c>
      <c r="C249">
        <f t="shared" si="3"/>
        <v>9</v>
      </c>
      <c r="D249">
        <v>0</v>
      </c>
    </row>
    <row r="250" spans="1:4" x14ac:dyDescent="0.3">
      <c r="A250">
        <v>248</v>
      </c>
      <c r="B250">
        <v>33</v>
      </c>
      <c r="C250">
        <f t="shared" si="3"/>
        <v>9</v>
      </c>
      <c r="D250">
        <v>0</v>
      </c>
    </row>
    <row r="251" spans="1:4" x14ac:dyDescent="0.3">
      <c r="A251">
        <v>249</v>
      </c>
      <c r="B251">
        <v>33</v>
      </c>
      <c r="C251">
        <f t="shared" si="3"/>
        <v>9</v>
      </c>
      <c r="D251">
        <v>0</v>
      </c>
    </row>
    <row r="252" spans="1:4" x14ac:dyDescent="0.3">
      <c r="A252">
        <v>250</v>
      </c>
      <c r="B252">
        <v>33</v>
      </c>
      <c r="C252">
        <f t="shared" si="3"/>
        <v>9</v>
      </c>
      <c r="D252">
        <v>0</v>
      </c>
    </row>
    <row r="253" spans="1:4" x14ac:dyDescent="0.3">
      <c r="A253">
        <v>251</v>
      </c>
      <c r="B253">
        <v>32.5</v>
      </c>
      <c r="C253">
        <f t="shared" si="3"/>
        <v>8.5</v>
      </c>
      <c r="D253">
        <v>-2.6843475693232598E-2</v>
      </c>
    </row>
    <row r="254" spans="1:4" x14ac:dyDescent="0.3">
      <c r="A254">
        <v>252</v>
      </c>
      <c r="B254">
        <v>32.5</v>
      </c>
      <c r="C254">
        <f t="shared" si="3"/>
        <v>8.5</v>
      </c>
      <c r="D254">
        <v>-2.68441962847632E-2</v>
      </c>
    </row>
    <row r="255" spans="1:4" x14ac:dyDescent="0.3">
      <c r="A255">
        <v>253</v>
      </c>
      <c r="B255">
        <v>32.5</v>
      </c>
      <c r="C255">
        <f t="shared" si="3"/>
        <v>8.5</v>
      </c>
      <c r="D255">
        <v>-2.6847799822804601E-2</v>
      </c>
    </row>
    <row r="256" spans="1:4" x14ac:dyDescent="0.3">
      <c r="A256">
        <v>254</v>
      </c>
      <c r="B256">
        <v>32.5</v>
      </c>
      <c r="C256">
        <f t="shared" si="3"/>
        <v>8.5</v>
      </c>
      <c r="D256">
        <v>-2.6847079037800599E-2</v>
      </c>
    </row>
    <row r="257" spans="1:4" x14ac:dyDescent="0.3">
      <c r="A257">
        <v>255</v>
      </c>
      <c r="B257">
        <v>32.5</v>
      </c>
      <c r="C257">
        <f t="shared" si="3"/>
        <v>8.5</v>
      </c>
      <c r="D257">
        <v>-2.6847799822804601E-2</v>
      </c>
    </row>
    <row r="258" spans="1:4" x14ac:dyDescent="0.3">
      <c r="A258">
        <v>256</v>
      </c>
      <c r="B258">
        <v>32.5</v>
      </c>
      <c r="C258">
        <f t="shared" si="3"/>
        <v>8.5</v>
      </c>
      <c r="D258">
        <v>-2.68456375838926E-2</v>
      </c>
    </row>
    <row r="259" spans="1:4" x14ac:dyDescent="0.3">
      <c r="A259">
        <v>257</v>
      </c>
      <c r="B259">
        <v>32</v>
      </c>
      <c r="C259">
        <f t="shared" ref="C259:C322" si="4">B259-24</f>
        <v>8</v>
      </c>
      <c r="D259">
        <v>0</v>
      </c>
    </row>
    <row r="260" spans="1:4" x14ac:dyDescent="0.3">
      <c r="A260">
        <v>258</v>
      </c>
      <c r="B260">
        <v>32</v>
      </c>
      <c r="C260">
        <f t="shared" si="4"/>
        <v>8</v>
      </c>
      <c r="D260">
        <v>0</v>
      </c>
    </row>
    <row r="261" spans="1:4" x14ac:dyDescent="0.3">
      <c r="A261">
        <v>259</v>
      </c>
      <c r="B261">
        <v>32</v>
      </c>
      <c r="C261">
        <f t="shared" si="4"/>
        <v>8</v>
      </c>
      <c r="D261">
        <v>0</v>
      </c>
    </row>
    <row r="262" spans="1:4" x14ac:dyDescent="0.3">
      <c r="A262">
        <v>260</v>
      </c>
      <c r="B262">
        <v>32</v>
      </c>
      <c r="C262">
        <f t="shared" si="4"/>
        <v>8</v>
      </c>
      <c r="D262">
        <v>0</v>
      </c>
    </row>
    <row r="263" spans="1:4" x14ac:dyDescent="0.3">
      <c r="A263">
        <v>261</v>
      </c>
      <c r="B263">
        <v>32</v>
      </c>
      <c r="C263">
        <f t="shared" si="4"/>
        <v>8</v>
      </c>
      <c r="D263">
        <v>0</v>
      </c>
    </row>
    <row r="264" spans="1:4" x14ac:dyDescent="0.3">
      <c r="A264">
        <v>262</v>
      </c>
      <c r="B264">
        <v>32</v>
      </c>
      <c r="C264">
        <f t="shared" si="4"/>
        <v>8</v>
      </c>
      <c r="D264">
        <v>0</v>
      </c>
    </row>
    <row r="265" spans="1:4" x14ac:dyDescent="0.3">
      <c r="A265">
        <v>263</v>
      </c>
      <c r="B265">
        <v>32</v>
      </c>
      <c r="C265">
        <f t="shared" si="4"/>
        <v>8</v>
      </c>
      <c r="D265">
        <v>0</v>
      </c>
    </row>
    <row r="266" spans="1:4" x14ac:dyDescent="0.3">
      <c r="A266">
        <v>264</v>
      </c>
      <c r="B266">
        <v>32</v>
      </c>
      <c r="C266">
        <f t="shared" si="4"/>
        <v>8</v>
      </c>
      <c r="D266">
        <v>0</v>
      </c>
    </row>
    <row r="267" spans="1:4" x14ac:dyDescent="0.3">
      <c r="A267">
        <v>265</v>
      </c>
      <c r="B267">
        <v>32</v>
      </c>
      <c r="C267">
        <f t="shared" si="4"/>
        <v>8</v>
      </c>
      <c r="D267">
        <v>0</v>
      </c>
    </row>
    <row r="268" spans="1:4" x14ac:dyDescent="0.3">
      <c r="A268">
        <v>266</v>
      </c>
      <c r="B268">
        <v>32</v>
      </c>
      <c r="C268">
        <f t="shared" si="4"/>
        <v>8</v>
      </c>
      <c r="D268">
        <v>0</v>
      </c>
    </row>
    <row r="269" spans="1:4" x14ac:dyDescent="0.3">
      <c r="A269">
        <v>267</v>
      </c>
      <c r="B269">
        <v>32</v>
      </c>
      <c r="C269">
        <f t="shared" si="4"/>
        <v>8</v>
      </c>
      <c r="D269">
        <v>0</v>
      </c>
    </row>
    <row r="270" spans="1:4" x14ac:dyDescent="0.3">
      <c r="A270">
        <v>268</v>
      </c>
      <c r="B270">
        <v>31.5</v>
      </c>
      <c r="C270">
        <f t="shared" si="4"/>
        <v>7.5</v>
      </c>
      <c r="D270">
        <v>-2.6852846401718401E-2</v>
      </c>
    </row>
    <row r="271" spans="1:4" x14ac:dyDescent="0.3">
      <c r="A271">
        <v>269</v>
      </c>
      <c r="B271">
        <v>31.5</v>
      </c>
      <c r="C271">
        <f t="shared" si="4"/>
        <v>7.5</v>
      </c>
      <c r="D271">
        <v>-2.6852125345721099E-2</v>
      </c>
    </row>
    <row r="272" spans="1:4" x14ac:dyDescent="0.3">
      <c r="A272">
        <v>270</v>
      </c>
      <c r="B272">
        <v>31.5</v>
      </c>
      <c r="C272">
        <f t="shared" si="4"/>
        <v>7.5</v>
      </c>
      <c r="D272">
        <v>-2.6848520646512299E-2</v>
      </c>
    </row>
    <row r="273" spans="1:4" x14ac:dyDescent="0.3">
      <c r="A273">
        <v>271</v>
      </c>
      <c r="B273">
        <v>31.5</v>
      </c>
      <c r="C273">
        <f t="shared" si="4"/>
        <v>7.5</v>
      </c>
      <c r="D273">
        <v>-2.6851404328446501E-2</v>
      </c>
    </row>
    <row r="274" spans="1:4" x14ac:dyDescent="0.3">
      <c r="A274">
        <v>272</v>
      </c>
      <c r="B274">
        <v>31.5</v>
      </c>
      <c r="C274">
        <f t="shared" si="4"/>
        <v>7.5</v>
      </c>
      <c r="D274">
        <v>-2.6847799822804601E-2</v>
      </c>
    </row>
    <row r="275" spans="1:4" x14ac:dyDescent="0.3">
      <c r="A275">
        <v>273</v>
      </c>
      <c r="B275">
        <v>31.5</v>
      </c>
      <c r="C275">
        <f t="shared" si="4"/>
        <v>7.5</v>
      </c>
      <c r="D275">
        <v>-2.68499624100525E-2</v>
      </c>
    </row>
    <row r="276" spans="1:4" x14ac:dyDescent="0.3">
      <c r="A276">
        <v>274</v>
      </c>
      <c r="B276">
        <v>31</v>
      </c>
      <c r="C276">
        <f t="shared" si="4"/>
        <v>7</v>
      </c>
      <c r="D276">
        <v>0</v>
      </c>
    </row>
    <row r="277" spans="1:4" x14ac:dyDescent="0.3">
      <c r="A277">
        <v>275</v>
      </c>
      <c r="B277">
        <v>31</v>
      </c>
      <c r="C277">
        <f t="shared" si="4"/>
        <v>7</v>
      </c>
      <c r="D277">
        <v>0</v>
      </c>
    </row>
    <row r="278" spans="1:4" x14ac:dyDescent="0.3">
      <c r="A278">
        <v>276</v>
      </c>
      <c r="B278">
        <v>31</v>
      </c>
      <c r="C278">
        <f t="shared" si="4"/>
        <v>7</v>
      </c>
      <c r="D278">
        <v>0</v>
      </c>
    </row>
    <row r="279" spans="1:4" x14ac:dyDescent="0.3">
      <c r="A279">
        <v>277</v>
      </c>
      <c r="B279">
        <v>31</v>
      </c>
      <c r="C279">
        <f t="shared" si="4"/>
        <v>7</v>
      </c>
      <c r="D279">
        <v>0</v>
      </c>
    </row>
    <row r="280" spans="1:4" x14ac:dyDescent="0.3">
      <c r="A280">
        <v>278</v>
      </c>
      <c r="B280">
        <v>31</v>
      </c>
      <c r="C280">
        <f t="shared" si="4"/>
        <v>7</v>
      </c>
      <c r="D280">
        <v>0</v>
      </c>
    </row>
    <row r="281" spans="1:4" x14ac:dyDescent="0.3">
      <c r="A281">
        <v>279</v>
      </c>
      <c r="B281">
        <v>31</v>
      </c>
      <c r="C281">
        <f t="shared" si="4"/>
        <v>7</v>
      </c>
      <c r="D281">
        <v>0</v>
      </c>
    </row>
    <row r="282" spans="1:4" x14ac:dyDescent="0.3">
      <c r="A282">
        <v>280</v>
      </c>
      <c r="B282">
        <v>31</v>
      </c>
      <c r="C282">
        <f t="shared" si="4"/>
        <v>7</v>
      </c>
      <c r="D282">
        <v>0</v>
      </c>
    </row>
    <row r="283" spans="1:4" x14ac:dyDescent="0.3">
      <c r="A283">
        <v>281</v>
      </c>
      <c r="B283">
        <v>31</v>
      </c>
      <c r="C283">
        <f t="shared" si="4"/>
        <v>7</v>
      </c>
      <c r="D283">
        <v>0</v>
      </c>
    </row>
    <row r="284" spans="1:4" x14ac:dyDescent="0.3">
      <c r="A284">
        <v>282</v>
      </c>
      <c r="B284">
        <v>31</v>
      </c>
      <c r="C284">
        <f t="shared" si="4"/>
        <v>7</v>
      </c>
      <c r="D284">
        <v>0</v>
      </c>
    </row>
    <row r="285" spans="1:4" x14ac:dyDescent="0.3">
      <c r="A285">
        <v>283</v>
      </c>
      <c r="B285">
        <v>31</v>
      </c>
      <c r="C285">
        <f t="shared" si="4"/>
        <v>7</v>
      </c>
      <c r="D285">
        <v>0</v>
      </c>
    </row>
    <row r="286" spans="1:4" x14ac:dyDescent="0.3">
      <c r="A286">
        <v>284</v>
      </c>
      <c r="B286">
        <v>31</v>
      </c>
      <c r="C286">
        <f t="shared" si="4"/>
        <v>7</v>
      </c>
      <c r="D286">
        <v>0</v>
      </c>
    </row>
    <row r="287" spans="1:4" x14ac:dyDescent="0.3">
      <c r="A287">
        <v>285</v>
      </c>
      <c r="B287">
        <v>31</v>
      </c>
      <c r="C287">
        <f t="shared" si="4"/>
        <v>7</v>
      </c>
      <c r="D287">
        <v>0</v>
      </c>
    </row>
    <row r="288" spans="1:4" x14ac:dyDescent="0.3">
      <c r="A288">
        <v>286</v>
      </c>
      <c r="B288">
        <v>30.5</v>
      </c>
      <c r="C288">
        <f t="shared" si="4"/>
        <v>6.5</v>
      </c>
      <c r="D288">
        <v>-2.68492415089274E-2</v>
      </c>
    </row>
    <row r="289" spans="1:4" x14ac:dyDescent="0.3">
      <c r="A289">
        <v>287</v>
      </c>
      <c r="B289">
        <v>30.5</v>
      </c>
      <c r="C289">
        <f t="shared" si="4"/>
        <v>6.5</v>
      </c>
      <c r="D289">
        <v>-2.6849962410052799E-2</v>
      </c>
    </row>
    <row r="290" spans="1:4" x14ac:dyDescent="0.3">
      <c r="A290">
        <v>288</v>
      </c>
      <c r="B290">
        <v>30.5</v>
      </c>
      <c r="C290">
        <f t="shared" si="4"/>
        <v>6.5</v>
      </c>
      <c r="D290">
        <v>-2.6847079037800599E-2</v>
      </c>
    </row>
    <row r="291" spans="1:4" x14ac:dyDescent="0.3">
      <c r="A291">
        <v>289</v>
      </c>
      <c r="B291">
        <v>30.5</v>
      </c>
      <c r="C291">
        <f t="shared" si="4"/>
        <v>6.5</v>
      </c>
      <c r="D291">
        <v>-2.68492415089274E-2</v>
      </c>
    </row>
    <row r="292" spans="1:4" x14ac:dyDescent="0.3">
      <c r="A292">
        <v>290</v>
      </c>
      <c r="B292">
        <v>30.5</v>
      </c>
      <c r="C292">
        <f t="shared" si="4"/>
        <v>6.5</v>
      </c>
      <c r="D292">
        <v>-2.6851404328446501E-2</v>
      </c>
    </row>
    <row r="293" spans="1:4" x14ac:dyDescent="0.3">
      <c r="A293">
        <v>291</v>
      </c>
      <c r="B293">
        <v>30.5</v>
      </c>
      <c r="C293">
        <f t="shared" si="4"/>
        <v>6.5</v>
      </c>
      <c r="D293">
        <v>-2.6851404328446501E-2</v>
      </c>
    </row>
    <row r="294" spans="1:4" x14ac:dyDescent="0.3">
      <c r="A294">
        <v>292</v>
      </c>
      <c r="B294">
        <v>30</v>
      </c>
      <c r="C294">
        <f t="shared" si="4"/>
        <v>6</v>
      </c>
      <c r="D294">
        <v>0</v>
      </c>
    </row>
    <row r="295" spans="1:4" x14ac:dyDescent="0.3">
      <c r="A295">
        <v>293</v>
      </c>
      <c r="B295">
        <v>30</v>
      </c>
      <c r="C295">
        <f t="shared" si="4"/>
        <v>6</v>
      </c>
      <c r="D295">
        <v>0</v>
      </c>
    </row>
    <row r="296" spans="1:4" x14ac:dyDescent="0.3">
      <c r="A296">
        <v>294</v>
      </c>
      <c r="B296">
        <v>30</v>
      </c>
      <c r="C296">
        <f t="shared" si="4"/>
        <v>6</v>
      </c>
      <c r="D296">
        <v>0</v>
      </c>
    </row>
    <row r="297" spans="1:4" x14ac:dyDescent="0.3">
      <c r="A297">
        <v>295</v>
      </c>
      <c r="B297">
        <v>30</v>
      </c>
      <c r="C297">
        <f t="shared" si="4"/>
        <v>6</v>
      </c>
      <c r="D297">
        <v>0</v>
      </c>
    </row>
    <row r="298" spans="1:4" x14ac:dyDescent="0.3">
      <c r="A298">
        <v>296</v>
      </c>
      <c r="B298">
        <v>30</v>
      </c>
      <c r="C298">
        <f t="shared" si="4"/>
        <v>6</v>
      </c>
      <c r="D298">
        <v>0</v>
      </c>
    </row>
    <row r="299" spans="1:4" x14ac:dyDescent="0.3">
      <c r="A299">
        <v>297</v>
      </c>
      <c r="B299">
        <v>30</v>
      </c>
      <c r="C299">
        <f t="shared" si="4"/>
        <v>6</v>
      </c>
      <c r="D299">
        <v>0</v>
      </c>
    </row>
    <row r="300" spans="1:4" x14ac:dyDescent="0.3">
      <c r="A300">
        <v>298</v>
      </c>
      <c r="B300">
        <v>30</v>
      </c>
      <c r="C300">
        <f t="shared" si="4"/>
        <v>6</v>
      </c>
      <c r="D300">
        <v>0</v>
      </c>
    </row>
    <row r="301" spans="1:4" x14ac:dyDescent="0.3">
      <c r="A301">
        <v>299</v>
      </c>
      <c r="B301">
        <v>30</v>
      </c>
      <c r="C301">
        <f t="shared" si="4"/>
        <v>6</v>
      </c>
      <c r="D301">
        <v>0</v>
      </c>
    </row>
    <row r="302" spans="1:4" x14ac:dyDescent="0.3">
      <c r="A302">
        <v>300</v>
      </c>
      <c r="B302">
        <v>30</v>
      </c>
      <c r="C302">
        <f t="shared" si="4"/>
        <v>6</v>
      </c>
      <c r="D302">
        <v>0</v>
      </c>
    </row>
    <row r="303" spans="1:4" x14ac:dyDescent="0.3">
      <c r="A303">
        <v>301</v>
      </c>
      <c r="B303">
        <v>29.5</v>
      </c>
      <c r="C303">
        <f t="shared" si="4"/>
        <v>5.5</v>
      </c>
      <c r="D303">
        <v>-2.68542886298943E-2</v>
      </c>
    </row>
    <row r="304" spans="1:4" x14ac:dyDescent="0.3">
      <c r="A304">
        <v>302</v>
      </c>
      <c r="B304">
        <v>29.5</v>
      </c>
      <c r="C304">
        <f t="shared" si="4"/>
        <v>5.5</v>
      </c>
      <c r="D304">
        <v>-2.68542886298943E-2</v>
      </c>
    </row>
    <row r="305" spans="1:4" x14ac:dyDescent="0.3">
      <c r="A305">
        <v>303</v>
      </c>
      <c r="B305">
        <v>29.5</v>
      </c>
      <c r="C305">
        <f t="shared" si="4"/>
        <v>5.5</v>
      </c>
      <c r="D305">
        <v>-2.6853567496442202E-2</v>
      </c>
    </row>
    <row r="306" spans="1:4" x14ac:dyDescent="0.3">
      <c r="A306">
        <v>304</v>
      </c>
      <c r="B306">
        <v>29.5</v>
      </c>
      <c r="C306">
        <f t="shared" si="4"/>
        <v>5.5</v>
      </c>
      <c r="D306">
        <v>-2.68550098020785E-2</v>
      </c>
    </row>
    <row r="307" spans="1:4" x14ac:dyDescent="0.3">
      <c r="A307">
        <v>305</v>
      </c>
      <c r="B307">
        <v>29.5</v>
      </c>
      <c r="C307">
        <f t="shared" si="4"/>
        <v>5.5</v>
      </c>
      <c r="D307">
        <v>-2.6852125345721099E-2</v>
      </c>
    </row>
    <row r="308" spans="1:4" x14ac:dyDescent="0.3">
      <c r="A308">
        <v>306</v>
      </c>
      <c r="B308">
        <v>29.5</v>
      </c>
      <c r="C308">
        <f t="shared" si="4"/>
        <v>5.5</v>
      </c>
      <c r="D308">
        <v>-2.6848520646512601E-2</v>
      </c>
    </row>
    <row r="309" spans="1:4" x14ac:dyDescent="0.3">
      <c r="A309">
        <v>307</v>
      </c>
      <c r="B309">
        <v>29</v>
      </c>
      <c r="C309">
        <f t="shared" si="4"/>
        <v>5</v>
      </c>
      <c r="D309">
        <v>0</v>
      </c>
    </row>
    <row r="310" spans="1:4" x14ac:dyDescent="0.3">
      <c r="A310">
        <v>308</v>
      </c>
      <c r="B310">
        <v>29</v>
      </c>
      <c r="C310">
        <f t="shared" si="4"/>
        <v>5</v>
      </c>
      <c r="D310">
        <v>0</v>
      </c>
    </row>
    <row r="311" spans="1:4" x14ac:dyDescent="0.3">
      <c r="A311">
        <v>309</v>
      </c>
      <c r="B311">
        <v>29</v>
      </c>
      <c r="C311">
        <f t="shared" si="4"/>
        <v>5</v>
      </c>
      <c r="D311">
        <v>0</v>
      </c>
    </row>
    <row r="312" spans="1:4" x14ac:dyDescent="0.3">
      <c r="A312">
        <v>310</v>
      </c>
      <c r="B312">
        <v>29</v>
      </c>
      <c r="C312">
        <f t="shared" si="4"/>
        <v>5</v>
      </c>
      <c r="D312">
        <v>0</v>
      </c>
    </row>
    <row r="313" spans="1:4" x14ac:dyDescent="0.3">
      <c r="A313">
        <v>311</v>
      </c>
      <c r="B313">
        <v>29</v>
      </c>
      <c r="C313">
        <f t="shared" si="4"/>
        <v>5</v>
      </c>
      <c r="D313">
        <v>0</v>
      </c>
    </row>
    <row r="314" spans="1:4" x14ac:dyDescent="0.3">
      <c r="A314">
        <v>312</v>
      </c>
      <c r="B314">
        <v>29</v>
      </c>
      <c r="C314">
        <f t="shared" si="4"/>
        <v>5</v>
      </c>
      <c r="D314">
        <v>0</v>
      </c>
    </row>
    <row r="315" spans="1:4" x14ac:dyDescent="0.3">
      <c r="A315">
        <v>313</v>
      </c>
      <c r="B315">
        <v>29</v>
      </c>
      <c r="C315">
        <f t="shared" si="4"/>
        <v>5</v>
      </c>
      <c r="D315">
        <v>0</v>
      </c>
    </row>
    <row r="316" spans="1:4" x14ac:dyDescent="0.3">
      <c r="A316">
        <v>314</v>
      </c>
      <c r="B316">
        <v>29</v>
      </c>
      <c r="C316">
        <f t="shared" si="4"/>
        <v>5</v>
      </c>
      <c r="D316">
        <v>0</v>
      </c>
    </row>
    <row r="317" spans="1:4" x14ac:dyDescent="0.3">
      <c r="A317">
        <v>315</v>
      </c>
      <c r="B317">
        <v>29</v>
      </c>
      <c r="C317">
        <f t="shared" si="4"/>
        <v>5</v>
      </c>
      <c r="D317">
        <v>0</v>
      </c>
    </row>
    <row r="318" spans="1:4" x14ac:dyDescent="0.3">
      <c r="A318">
        <v>316</v>
      </c>
      <c r="B318">
        <v>29</v>
      </c>
      <c r="C318">
        <f t="shared" si="4"/>
        <v>5</v>
      </c>
      <c r="D318">
        <v>0</v>
      </c>
    </row>
    <row r="319" spans="1:4" x14ac:dyDescent="0.3">
      <c r="A319">
        <v>317</v>
      </c>
      <c r="B319">
        <v>29</v>
      </c>
      <c r="C319">
        <f t="shared" si="4"/>
        <v>5</v>
      </c>
      <c r="D319">
        <v>0</v>
      </c>
    </row>
    <row r="320" spans="1:4" x14ac:dyDescent="0.3">
      <c r="A320">
        <v>318</v>
      </c>
      <c r="B320">
        <v>29</v>
      </c>
      <c r="C320">
        <f t="shared" si="4"/>
        <v>5</v>
      </c>
      <c r="D320">
        <v>0</v>
      </c>
    </row>
    <row r="321" spans="1:4" x14ac:dyDescent="0.3">
      <c r="A321">
        <v>319</v>
      </c>
      <c r="B321">
        <v>83</v>
      </c>
      <c r="C321">
        <f t="shared" si="4"/>
        <v>59</v>
      </c>
      <c r="D321">
        <v>-0.107394082586049</v>
      </c>
    </row>
    <row r="322" spans="1:4" x14ac:dyDescent="0.3">
      <c r="A322">
        <v>320</v>
      </c>
      <c r="B322">
        <v>82.5</v>
      </c>
      <c r="C322">
        <f t="shared" si="4"/>
        <v>58.5</v>
      </c>
      <c r="D322">
        <v>-8.0539074874492703E-2</v>
      </c>
    </row>
    <row r="323" spans="1:4" x14ac:dyDescent="0.3">
      <c r="A323">
        <v>321</v>
      </c>
      <c r="B323">
        <v>81.5</v>
      </c>
      <c r="C323">
        <f t="shared" ref="C323:C386" si="5">B323-24</f>
        <v>57.5</v>
      </c>
      <c r="D323">
        <v>-8.0547724526782299E-2</v>
      </c>
    </row>
    <row r="324" spans="1:4" x14ac:dyDescent="0.3">
      <c r="A324">
        <v>322</v>
      </c>
      <c r="B324">
        <v>81</v>
      </c>
      <c r="C324">
        <f t="shared" si="5"/>
        <v>57</v>
      </c>
      <c r="D324">
        <v>-0.10740561731378399</v>
      </c>
    </row>
    <row r="325" spans="1:4" x14ac:dyDescent="0.3">
      <c r="A325">
        <v>323</v>
      </c>
      <c r="B325">
        <v>80.5</v>
      </c>
      <c r="C325">
        <f t="shared" si="5"/>
        <v>56.5</v>
      </c>
      <c r="D325">
        <v>-8.0556376037163299E-2</v>
      </c>
    </row>
    <row r="326" spans="1:4" x14ac:dyDescent="0.3">
      <c r="A326">
        <v>324</v>
      </c>
      <c r="B326">
        <v>80</v>
      </c>
      <c r="C326">
        <f t="shared" si="5"/>
        <v>56</v>
      </c>
      <c r="D326">
        <v>-0.107414269985767</v>
      </c>
    </row>
    <row r="327" spans="1:4" x14ac:dyDescent="0.3">
      <c r="A327">
        <v>325</v>
      </c>
      <c r="B327">
        <v>79.5</v>
      </c>
      <c r="C327">
        <f t="shared" si="5"/>
        <v>55.5</v>
      </c>
      <c r="D327">
        <v>-8.0558539205156196E-2</v>
      </c>
    </row>
    <row r="328" spans="1:4" x14ac:dyDescent="0.3">
      <c r="A328">
        <v>326</v>
      </c>
      <c r="B328">
        <v>79</v>
      </c>
      <c r="C328">
        <f t="shared" si="5"/>
        <v>55</v>
      </c>
      <c r="D328">
        <v>-0.107414269985767</v>
      </c>
    </row>
    <row r="329" spans="1:4" x14ac:dyDescent="0.3">
      <c r="A329">
        <v>327</v>
      </c>
      <c r="B329">
        <v>78.5</v>
      </c>
      <c r="C329">
        <f t="shared" si="5"/>
        <v>54.5</v>
      </c>
      <c r="D329">
        <v>-8.0554212985339699E-2</v>
      </c>
    </row>
    <row r="330" spans="1:4" x14ac:dyDescent="0.3">
      <c r="A330">
        <v>328</v>
      </c>
      <c r="B330">
        <v>77.5</v>
      </c>
      <c r="C330">
        <f t="shared" si="5"/>
        <v>53.5</v>
      </c>
      <c r="D330">
        <v>-8.0547724526782299E-2</v>
      </c>
    </row>
    <row r="331" spans="1:4" x14ac:dyDescent="0.3">
      <c r="A331">
        <v>329</v>
      </c>
      <c r="B331">
        <v>77.5</v>
      </c>
      <c r="C331">
        <f t="shared" si="5"/>
        <v>53.5</v>
      </c>
      <c r="D331">
        <v>-8.0549887230158504E-2</v>
      </c>
    </row>
    <row r="332" spans="1:4" x14ac:dyDescent="0.3">
      <c r="A332">
        <v>330</v>
      </c>
      <c r="B332">
        <v>77</v>
      </c>
      <c r="C332">
        <f t="shared" si="5"/>
        <v>53</v>
      </c>
      <c r="D332">
        <v>-5.3699924820105001E-2</v>
      </c>
    </row>
    <row r="333" spans="1:4" x14ac:dyDescent="0.3">
      <c r="A333">
        <v>331</v>
      </c>
      <c r="B333">
        <v>76.5</v>
      </c>
      <c r="C333">
        <f t="shared" si="5"/>
        <v>52.5</v>
      </c>
      <c r="D333">
        <v>-8.0558539205155197E-2</v>
      </c>
    </row>
    <row r="334" spans="1:4" x14ac:dyDescent="0.3">
      <c r="A334">
        <v>332</v>
      </c>
      <c r="B334">
        <v>75.5</v>
      </c>
      <c r="C334">
        <f t="shared" si="5"/>
        <v>51.5</v>
      </c>
      <c r="D334">
        <v>-8.0562865889682894E-2</v>
      </c>
    </row>
    <row r="335" spans="1:4" x14ac:dyDescent="0.3">
      <c r="A335">
        <v>333</v>
      </c>
      <c r="B335">
        <v>75.5</v>
      </c>
      <c r="C335">
        <f t="shared" si="5"/>
        <v>51.5</v>
      </c>
      <c r="D335">
        <v>-8.0562865889681895E-2</v>
      </c>
    </row>
    <row r="336" spans="1:4" x14ac:dyDescent="0.3">
      <c r="A336">
        <v>334</v>
      </c>
      <c r="B336">
        <v>74.5</v>
      </c>
      <c r="C336">
        <f t="shared" si="5"/>
        <v>50.5</v>
      </c>
      <c r="D336">
        <v>-8.0558539205155197E-2</v>
      </c>
    </row>
    <row r="337" spans="1:4" x14ac:dyDescent="0.3">
      <c r="A337">
        <v>335</v>
      </c>
      <c r="B337">
        <v>74.5</v>
      </c>
      <c r="C337">
        <f t="shared" si="5"/>
        <v>50.5</v>
      </c>
      <c r="D337">
        <v>-8.0560702489325606E-2</v>
      </c>
    </row>
    <row r="338" spans="1:4" x14ac:dyDescent="0.3">
      <c r="A338">
        <v>336</v>
      </c>
      <c r="B338">
        <v>74</v>
      </c>
      <c r="C338">
        <f t="shared" si="5"/>
        <v>50</v>
      </c>
      <c r="D338">
        <v>-0.107414269985767</v>
      </c>
    </row>
    <row r="339" spans="1:4" x14ac:dyDescent="0.3">
      <c r="A339">
        <v>337</v>
      </c>
      <c r="B339">
        <v>73.5</v>
      </c>
      <c r="C339">
        <f t="shared" si="5"/>
        <v>49.5</v>
      </c>
      <c r="D339">
        <v>-8.0560702489325606E-2</v>
      </c>
    </row>
    <row r="340" spans="1:4" x14ac:dyDescent="0.3">
      <c r="A340">
        <v>338</v>
      </c>
      <c r="B340">
        <v>73</v>
      </c>
      <c r="C340">
        <f t="shared" si="5"/>
        <v>49</v>
      </c>
      <c r="D340">
        <v>-5.3704250691442197E-2</v>
      </c>
    </row>
    <row r="341" spans="1:4" x14ac:dyDescent="0.3">
      <c r="A341">
        <v>339</v>
      </c>
      <c r="B341">
        <v>72.5</v>
      </c>
      <c r="C341">
        <f t="shared" si="5"/>
        <v>48.5</v>
      </c>
      <c r="D341">
        <v>-8.0558539205156196E-2</v>
      </c>
    </row>
    <row r="342" spans="1:4" x14ac:dyDescent="0.3">
      <c r="A342">
        <v>340</v>
      </c>
      <c r="B342">
        <v>72</v>
      </c>
      <c r="C342">
        <f t="shared" si="5"/>
        <v>48</v>
      </c>
      <c r="D342">
        <v>-5.3707134992883702E-2</v>
      </c>
    </row>
    <row r="343" spans="1:4" x14ac:dyDescent="0.3">
      <c r="A343">
        <v>341</v>
      </c>
      <c r="B343">
        <v>71.5</v>
      </c>
      <c r="C343">
        <f t="shared" si="5"/>
        <v>47.5</v>
      </c>
      <c r="D343">
        <v>-8.05477245267813E-2</v>
      </c>
    </row>
    <row r="344" spans="1:4" x14ac:dyDescent="0.3">
      <c r="A344">
        <v>342</v>
      </c>
      <c r="B344">
        <v>70.5</v>
      </c>
      <c r="C344">
        <f t="shared" si="5"/>
        <v>46.5</v>
      </c>
      <c r="D344">
        <v>-8.0549887230158504E-2</v>
      </c>
    </row>
    <row r="345" spans="1:4" x14ac:dyDescent="0.3">
      <c r="A345">
        <v>343</v>
      </c>
      <c r="B345">
        <v>70.5</v>
      </c>
      <c r="C345">
        <f t="shared" si="5"/>
        <v>46.5</v>
      </c>
      <c r="D345">
        <v>-8.0545561939536894E-2</v>
      </c>
    </row>
    <row r="346" spans="1:4" x14ac:dyDescent="0.3">
      <c r="A346">
        <v>344</v>
      </c>
      <c r="B346">
        <v>70.5</v>
      </c>
      <c r="C346">
        <f t="shared" si="5"/>
        <v>46.5</v>
      </c>
      <c r="D346">
        <v>-8.0547724526782299E-2</v>
      </c>
    </row>
    <row r="347" spans="1:4" x14ac:dyDescent="0.3">
      <c r="A347">
        <v>345</v>
      </c>
      <c r="B347">
        <v>69.5</v>
      </c>
      <c r="C347">
        <f t="shared" si="5"/>
        <v>45.5</v>
      </c>
      <c r="D347">
        <v>-8.05477245267813E-2</v>
      </c>
    </row>
    <row r="348" spans="1:4" x14ac:dyDescent="0.3">
      <c r="A348">
        <v>346</v>
      </c>
      <c r="B348">
        <v>69.5</v>
      </c>
      <c r="C348">
        <f t="shared" si="5"/>
        <v>45.5</v>
      </c>
      <c r="D348">
        <v>-8.0549887230158504E-2</v>
      </c>
    </row>
    <row r="349" spans="1:4" x14ac:dyDescent="0.3">
      <c r="A349">
        <v>347</v>
      </c>
      <c r="B349">
        <v>69</v>
      </c>
      <c r="C349">
        <f t="shared" si="5"/>
        <v>45</v>
      </c>
      <c r="D349">
        <v>-5.3707134992883702E-2</v>
      </c>
    </row>
    <row r="350" spans="1:4" x14ac:dyDescent="0.3">
      <c r="A350">
        <v>348</v>
      </c>
      <c r="B350">
        <v>68</v>
      </c>
      <c r="C350">
        <f t="shared" si="5"/>
        <v>44</v>
      </c>
      <c r="D350">
        <v>-5.3704250691442197E-2</v>
      </c>
    </row>
    <row r="351" spans="1:4" x14ac:dyDescent="0.3">
      <c r="A351">
        <v>349</v>
      </c>
      <c r="B351">
        <v>68</v>
      </c>
      <c r="C351">
        <f t="shared" si="5"/>
        <v>44</v>
      </c>
      <c r="D351">
        <v>-5.3705692803437399E-2</v>
      </c>
    </row>
    <row r="352" spans="1:4" x14ac:dyDescent="0.3">
      <c r="A352">
        <v>350</v>
      </c>
      <c r="B352">
        <v>67.5</v>
      </c>
      <c r="C352">
        <f t="shared" si="5"/>
        <v>43.5</v>
      </c>
      <c r="D352">
        <v>-8.05542129853387E-2</v>
      </c>
    </row>
    <row r="353" spans="1:4" x14ac:dyDescent="0.3">
      <c r="A353">
        <v>351</v>
      </c>
      <c r="B353">
        <v>67</v>
      </c>
      <c r="C353">
        <f t="shared" si="5"/>
        <v>43</v>
      </c>
      <c r="D353">
        <v>-5.3707134992883702E-2</v>
      </c>
    </row>
    <row r="354" spans="1:4" x14ac:dyDescent="0.3">
      <c r="A354">
        <v>352</v>
      </c>
      <c r="B354">
        <v>67</v>
      </c>
      <c r="C354">
        <f t="shared" si="5"/>
        <v>43</v>
      </c>
      <c r="D354">
        <v>-5.3711462025995797E-2</v>
      </c>
    </row>
    <row r="355" spans="1:4" x14ac:dyDescent="0.3">
      <c r="A355">
        <v>353</v>
      </c>
      <c r="B355">
        <v>66.5</v>
      </c>
      <c r="C355">
        <f t="shared" si="5"/>
        <v>42.5</v>
      </c>
      <c r="D355">
        <v>-8.0567193038994706E-2</v>
      </c>
    </row>
    <row r="356" spans="1:4" x14ac:dyDescent="0.3">
      <c r="A356">
        <v>354</v>
      </c>
      <c r="B356">
        <v>66</v>
      </c>
      <c r="C356">
        <f t="shared" si="5"/>
        <v>42</v>
      </c>
      <c r="D356">
        <v>-5.3711462025995797E-2</v>
      </c>
    </row>
    <row r="357" spans="1:4" x14ac:dyDescent="0.3">
      <c r="A357">
        <v>355</v>
      </c>
      <c r="B357">
        <v>65.5</v>
      </c>
      <c r="C357">
        <f t="shared" si="5"/>
        <v>41.5</v>
      </c>
      <c r="D357">
        <v>-8.0560702489325606E-2</v>
      </c>
    </row>
    <row r="358" spans="1:4" x14ac:dyDescent="0.3">
      <c r="A358">
        <v>356</v>
      </c>
      <c r="B358">
        <v>65</v>
      </c>
      <c r="C358">
        <f t="shared" si="5"/>
        <v>41</v>
      </c>
      <c r="D358">
        <v>-5.3707134992883702E-2</v>
      </c>
    </row>
    <row r="359" spans="1:4" x14ac:dyDescent="0.3">
      <c r="A359">
        <v>357</v>
      </c>
      <c r="B359">
        <v>65</v>
      </c>
      <c r="C359">
        <f t="shared" si="5"/>
        <v>41</v>
      </c>
      <c r="D359">
        <v>-5.3699924820105702E-2</v>
      </c>
    </row>
    <row r="360" spans="1:4" x14ac:dyDescent="0.3">
      <c r="A360">
        <v>358</v>
      </c>
      <c r="B360">
        <v>64.5</v>
      </c>
      <c r="C360">
        <f t="shared" si="5"/>
        <v>40.5</v>
      </c>
      <c r="D360">
        <v>-8.0545561939537894E-2</v>
      </c>
    </row>
    <row r="361" spans="1:4" x14ac:dyDescent="0.3">
      <c r="A361">
        <v>359</v>
      </c>
      <c r="B361">
        <v>64</v>
      </c>
      <c r="C361">
        <f t="shared" si="5"/>
        <v>40</v>
      </c>
      <c r="D361">
        <v>-5.3689833829964603E-2</v>
      </c>
    </row>
    <row r="362" spans="1:4" x14ac:dyDescent="0.3">
      <c r="A362">
        <v>360</v>
      </c>
      <c r="B362">
        <v>64</v>
      </c>
      <c r="C362">
        <f t="shared" si="5"/>
        <v>40</v>
      </c>
      <c r="D362">
        <v>-5.3688392569526497E-2</v>
      </c>
    </row>
    <row r="363" spans="1:4" x14ac:dyDescent="0.3">
      <c r="A363">
        <v>361</v>
      </c>
      <c r="B363">
        <v>63</v>
      </c>
      <c r="C363">
        <f t="shared" si="5"/>
        <v>39</v>
      </c>
      <c r="D363">
        <v>-5.3689833829964E-2</v>
      </c>
    </row>
    <row r="364" spans="1:4" x14ac:dyDescent="0.3">
      <c r="A364">
        <v>362</v>
      </c>
      <c r="B364">
        <v>63</v>
      </c>
      <c r="C364">
        <f t="shared" si="5"/>
        <v>39</v>
      </c>
      <c r="D364">
        <v>-5.3686951386465898E-2</v>
      </c>
    </row>
    <row r="365" spans="1:4" x14ac:dyDescent="0.3">
      <c r="A365">
        <v>363</v>
      </c>
      <c r="B365">
        <v>63</v>
      </c>
      <c r="C365">
        <f t="shared" si="5"/>
        <v>39</v>
      </c>
      <c r="D365">
        <v>-5.3692716582995098E-2</v>
      </c>
    </row>
    <row r="366" spans="1:4" x14ac:dyDescent="0.3">
      <c r="A366">
        <v>364</v>
      </c>
      <c r="B366">
        <v>62</v>
      </c>
      <c r="C366">
        <f t="shared" si="5"/>
        <v>38</v>
      </c>
      <c r="D366">
        <v>-5.3692716582995098E-2</v>
      </c>
    </row>
    <row r="367" spans="1:4" x14ac:dyDescent="0.3">
      <c r="A367">
        <v>365</v>
      </c>
      <c r="B367">
        <v>62</v>
      </c>
      <c r="C367">
        <f t="shared" si="5"/>
        <v>38</v>
      </c>
      <c r="D367">
        <v>-5.3694158075601302E-2</v>
      </c>
    </row>
    <row r="368" spans="1:4" x14ac:dyDescent="0.3">
      <c r="A368">
        <v>366</v>
      </c>
      <c r="B368">
        <v>62</v>
      </c>
      <c r="C368">
        <f t="shared" si="5"/>
        <v>38</v>
      </c>
      <c r="D368">
        <v>-5.3695599645609202E-2</v>
      </c>
    </row>
    <row r="369" spans="1:4" x14ac:dyDescent="0.3">
      <c r="A369">
        <v>367</v>
      </c>
      <c r="B369">
        <v>61</v>
      </c>
      <c r="C369">
        <f t="shared" si="5"/>
        <v>37</v>
      </c>
      <c r="D369">
        <v>-5.3695599645609202E-2</v>
      </c>
    </row>
    <row r="370" spans="1:4" x14ac:dyDescent="0.3">
      <c r="A370">
        <v>368</v>
      </c>
      <c r="B370">
        <v>61</v>
      </c>
      <c r="C370">
        <f t="shared" si="5"/>
        <v>37</v>
      </c>
      <c r="D370">
        <v>-5.3704250691441503E-2</v>
      </c>
    </row>
    <row r="371" spans="1:4" x14ac:dyDescent="0.3">
      <c r="A371">
        <v>369</v>
      </c>
      <c r="B371">
        <v>60.5</v>
      </c>
      <c r="C371">
        <f t="shared" si="5"/>
        <v>36.5</v>
      </c>
      <c r="D371">
        <v>-8.0560702489325606E-2</v>
      </c>
    </row>
    <row r="372" spans="1:4" x14ac:dyDescent="0.3">
      <c r="A372">
        <v>370</v>
      </c>
      <c r="B372">
        <v>60</v>
      </c>
      <c r="C372">
        <f t="shared" si="5"/>
        <v>36</v>
      </c>
      <c r="D372">
        <v>-5.3707134992883702E-2</v>
      </c>
    </row>
    <row r="373" spans="1:4" x14ac:dyDescent="0.3">
      <c r="A373">
        <v>371</v>
      </c>
      <c r="B373">
        <v>60</v>
      </c>
      <c r="C373">
        <f t="shared" si="5"/>
        <v>36</v>
      </c>
      <c r="D373">
        <v>-5.3711462025995797E-2</v>
      </c>
    </row>
    <row r="374" spans="1:4" x14ac:dyDescent="0.3">
      <c r="A374">
        <v>372</v>
      </c>
      <c r="B374">
        <v>59.5</v>
      </c>
      <c r="C374">
        <f t="shared" si="5"/>
        <v>35.5</v>
      </c>
      <c r="D374">
        <v>-8.05650294062355E-2</v>
      </c>
    </row>
    <row r="375" spans="1:4" x14ac:dyDescent="0.3">
      <c r="A375">
        <v>373</v>
      </c>
      <c r="B375">
        <v>59</v>
      </c>
      <c r="C375">
        <f t="shared" si="5"/>
        <v>35</v>
      </c>
      <c r="D375">
        <v>-5.3711462025996498E-2</v>
      </c>
    </row>
    <row r="376" spans="1:4" x14ac:dyDescent="0.3">
      <c r="A376">
        <v>374</v>
      </c>
      <c r="B376">
        <v>59</v>
      </c>
      <c r="C376">
        <f t="shared" si="5"/>
        <v>35</v>
      </c>
      <c r="D376">
        <v>-5.3704250691442197E-2</v>
      </c>
    </row>
    <row r="377" spans="1:4" x14ac:dyDescent="0.3">
      <c r="A377">
        <v>375</v>
      </c>
      <c r="B377">
        <v>58.5</v>
      </c>
      <c r="C377">
        <f t="shared" si="5"/>
        <v>34.5</v>
      </c>
      <c r="D377">
        <v>-2.6849962410052799E-2</v>
      </c>
    </row>
    <row r="378" spans="1:4" x14ac:dyDescent="0.3">
      <c r="A378">
        <v>376</v>
      </c>
      <c r="B378">
        <v>58</v>
      </c>
      <c r="C378">
        <f t="shared" si="5"/>
        <v>34</v>
      </c>
      <c r="D378">
        <v>-5.3699924820105001E-2</v>
      </c>
    </row>
    <row r="379" spans="1:4" x14ac:dyDescent="0.3">
      <c r="A379">
        <v>377</v>
      </c>
      <c r="B379">
        <v>58</v>
      </c>
      <c r="C379">
        <f t="shared" si="5"/>
        <v>34</v>
      </c>
      <c r="D379">
        <v>-5.3699924820105702E-2</v>
      </c>
    </row>
    <row r="380" spans="1:4" x14ac:dyDescent="0.3">
      <c r="A380">
        <v>378</v>
      </c>
      <c r="B380">
        <v>57.5</v>
      </c>
      <c r="C380">
        <f t="shared" si="5"/>
        <v>33.5</v>
      </c>
      <c r="D380">
        <v>-2.68514043284462E-2</v>
      </c>
    </row>
    <row r="381" spans="1:4" x14ac:dyDescent="0.3">
      <c r="A381">
        <v>379</v>
      </c>
      <c r="B381">
        <v>57</v>
      </c>
      <c r="C381">
        <f t="shared" si="5"/>
        <v>33</v>
      </c>
      <c r="D381">
        <v>-5.3704250691442197E-2</v>
      </c>
    </row>
    <row r="382" spans="1:4" x14ac:dyDescent="0.3">
      <c r="A382">
        <v>380</v>
      </c>
      <c r="B382">
        <v>57</v>
      </c>
      <c r="C382">
        <f t="shared" si="5"/>
        <v>33</v>
      </c>
      <c r="D382">
        <v>-5.3710019604157597E-2</v>
      </c>
    </row>
    <row r="383" spans="1:4" x14ac:dyDescent="0.3">
      <c r="A383">
        <v>381</v>
      </c>
      <c r="B383">
        <v>57</v>
      </c>
      <c r="C383">
        <f t="shared" si="5"/>
        <v>33</v>
      </c>
      <c r="D383">
        <v>-5.3711462025995797E-2</v>
      </c>
    </row>
    <row r="384" spans="1:4" x14ac:dyDescent="0.3">
      <c r="A384">
        <v>382</v>
      </c>
      <c r="B384">
        <v>56.5</v>
      </c>
      <c r="C384">
        <f t="shared" si="5"/>
        <v>32.5</v>
      </c>
      <c r="D384">
        <v>-2.6857173551055501E-2</v>
      </c>
    </row>
    <row r="385" spans="1:4" x14ac:dyDescent="0.3">
      <c r="A385">
        <v>383</v>
      </c>
      <c r="B385">
        <v>56</v>
      </c>
      <c r="C385">
        <f t="shared" si="5"/>
        <v>32</v>
      </c>
      <c r="D385">
        <v>-5.37172324881822E-2</v>
      </c>
    </row>
    <row r="386" spans="1:4" x14ac:dyDescent="0.3">
      <c r="A386">
        <v>384</v>
      </c>
      <c r="B386">
        <v>56</v>
      </c>
      <c r="C386">
        <f t="shared" si="5"/>
        <v>32</v>
      </c>
      <c r="D386">
        <v>-5.3720118184260597E-2</v>
      </c>
    </row>
    <row r="387" spans="1:4" x14ac:dyDescent="0.3">
      <c r="A387">
        <v>385</v>
      </c>
      <c r="B387">
        <v>55</v>
      </c>
      <c r="C387">
        <f t="shared" ref="C387:C450" si="6">B387-24</f>
        <v>31</v>
      </c>
      <c r="D387">
        <v>-5.3718675297466802E-2</v>
      </c>
    </row>
    <row r="388" spans="1:4" x14ac:dyDescent="0.3">
      <c r="A388">
        <v>386</v>
      </c>
      <c r="B388">
        <v>55</v>
      </c>
      <c r="C388">
        <f t="shared" si="6"/>
        <v>31</v>
      </c>
      <c r="D388">
        <v>-5.37172324881822E-2</v>
      </c>
    </row>
    <row r="389" spans="1:4" x14ac:dyDescent="0.3">
      <c r="A389">
        <v>387</v>
      </c>
      <c r="B389">
        <v>55</v>
      </c>
      <c r="C389">
        <f t="shared" si="6"/>
        <v>31</v>
      </c>
      <c r="D389">
        <v>-5.3715789756399297E-2</v>
      </c>
    </row>
    <row r="390" spans="1:4" x14ac:dyDescent="0.3">
      <c r="A390">
        <v>388</v>
      </c>
      <c r="B390">
        <v>55</v>
      </c>
      <c r="C390">
        <f t="shared" si="6"/>
        <v>31</v>
      </c>
      <c r="D390">
        <v>-5.3715789756399297E-2</v>
      </c>
    </row>
    <row r="391" spans="1:4" x14ac:dyDescent="0.3">
      <c r="A391">
        <v>389</v>
      </c>
      <c r="B391">
        <v>54</v>
      </c>
      <c r="C391">
        <f t="shared" si="6"/>
        <v>30</v>
      </c>
      <c r="D391">
        <v>-5.3712904525312001E-2</v>
      </c>
    </row>
    <row r="392" spans="1:4" x14ac:dyDescent="0.3">
      <c r="A392">
        <v>390</v>
      </c>
      <c r="B392">
        <v>54</v>
      </c>
      <c r="C392">
        <f t="shared" si="6"/>
        <v>30</v>
      </c>
      <c r="D392">
        <v>-5.3712904525312001E-2</v>
      </c>
    </row>
    <row r="393" spans="1:4" x14ac:dyDescent="0.3">
      <c r="A393">
        <v>391</v>
      </c>
      <c r="B393">
        <v>53.5</v>
      </c>
      <c r="C393">
        <f t="shared" si="6"/>
        <v>29.5</v>
      </c>
      <c r="D393">
        <v>-2.6857173551055501E-2</v>
      </c>
    </row>
    <row r="394" spans="1:4" x14ac:dyDescent="0.3">
      <c r="A394">
        <v>392</v>
      </c>
      <c r="B394">
        <v>53.5</v>
      </c>
      <c r="C394">
        <f t="shared" si="6"/>
        <v>29.5</v>
      </c>
      <c r="D394">
        <v>-2.6855731012997899E-2</v>
      </c>
    </row>
    <row r="395" spans="1:4" x14ac:dyDescent="0.3">
      <c r="A395">
        <v>393</v>
      </c>
      <c r="B395">
        <v>53</v>
      </c>
      <c r="C395">
        <f t="shared" si="6"/>
        <v>29</v>
      </c>
      <c r="D395">
        <v>-5.3711462025996498E-2</v>
      </c>
    </row>
    <row r="396" spans="1:4" x14ac:dyDescent="0.3">
      <c r="A396">
        <v>394</v>
      </c>
      <c r="B396">
        <v>53</v>
      </c>
      <c r="C396">
        <f t="shared" si="6"/>
        <v>29</v>
      </c>
      <c r="D396">
        <v>-5.37085772597879E-2</v>
      </c>
    </row>
    <row r="397" spans="1:4" x14ac:dyDescent="0.3">
      <c r="A397">
        <v>395</v>
      </c>
      <c r="B397">
        <v>52.5</v>
      </c>
      <c r="C397">
        <f t="shared" si="6"/>
        <v>28.5</v>
      </c>
      <c r="D397">
        <v>-2.68514043284462E-2</v>
      </c>
    </row>
    <row r="398" spans="1:4" x14ac:dyDescent="0.3">
      <c r="A398">
        <v>396</v>
      </c>
      <c r="B398">
        <v>52.5</v>
      </c>
      <c r="C398">
        <f t="shared" si="6"/>
        <v>28.5</v>
      </c>
      <c r="D398">
        <v>-2.68506833498913E-2</v>
      </c>
    </row>
    <row r="399" spans="1:4" x14ac:dyDescent="0.3">
      <c r="A399">
        <v>397</v>
      </c>
      <c r="B399">
        <v>52.5</v>
      </c>
      <c r="C399">
        <f t="shared" si="6"/>
        <v>28.5</v>
      </c>
      <c r="D399">
        <v>-2.68499624100525E-2</v>
      </c>
    </row>
    <row r="400" spans="1:4" x14ac:dyDescent="0.3">
      <c r="A400">
        <v>398</v>
      </c>
      <c r="B400">
        <v>52</v>
      </c>
      <c r="C400">
        <f t="shared" si="6"/>
        <v>28</v>
      </c>
      <c r="D400">
        <v>-5.3704250691442197E-2</v>
      </c>
    </row>
    <row r="401" spans="1:4" x14ac:dyDescent="0.3">
      <c r="A401">
        <v>399</v>
      </c>
      <c r="B401">
        <v>51.5</v>
      </c>
      <c r="C401">
        <f t="shared" si="6"/>
        <v>27.5</v>
      </c>
      <c r="D401">
        <v>-2.68514043284462E-2</v>
      </c>
    </row>
    <row r="402" spans="1:4" x14ac:dyDescent="0.3">
      <c r="A402">
        <v>400</v>
      </c>
      <c r="B402">
        <v>51.5</v>
      </c>
      <c r="C402">
        <f t="shared" si="6"/>
        <v>27.5</v>
      </c>
      <c r="D402">
        <v>-2.6851404328446501E-2</v>
      </c>
    </row>
    <row r="403" spans="1:4" x14ac:dyDescent="0.3">
      <c r="A403">
        <v>401</v>
      </c>
      <c r="B403">
        <v>51.5</v>
      </c>
      <c r="C403">
        <f t="shared" si="6"/>
        <v>27.5</v>
      </c>
      <c r="D403">
        <v>-2.68528464017187E-2</v>
      </c>
    </row>
    <row r="404" spans="1:4" x14ac:dyDescent="0.3">
      <c r="A404">
        <v>402</v>
      </c>
      <c r="B404">
        <v>51.5</v>
      </c>
      <c r="C404">
        <f t="shared" si="6"/>
        <v>27.5</v>
      </c>
      <c r="D404">
        <v>-2.68514043284462E-2</v>
      </c>
    </row>
    <row r="405" spans="1:4" x14ac:dyDescent="0.3">
      <c r="A405">
        <v>403</v>
      </c>
      <c r="B405">
        <v>51</v>
      </c>
      <c r="C405">
        <f t="shared" si="6"/>
        <v>27</v>
      </c>
      <c r="D405">
        <v>-5.37028086568931E-2</v>
      </c>
    </row>
    <row r="406" spans="1:4" x14ac:dyDescent="0.3">
      <c r="A406">
        <v>404</v>
      </c>
      <c r="B406">
        <v>50.5</v>
      </c>
      <c r="C406">
        <f t="shared" si="6"/>
        <v>26.5</v>
      </c>
      <c r="D406">
        <v>-2.6852125345721099E-2</v>
      </c>
    </row>
    <row r="407" spans="1:4" x14ac:dyDescent="0.3">
      <c r="A407">
        <v>405</v>
      </c>
      <c r="B407">
        <v>50</v>
      </c>
      <c r="C407">
        <f t="shared" si="6"/>
        <v>26</v>
      </c>
      <c r="D407">
        <v>-5.37013666997826E-2</v>
      </c>
    </row>
    <row r="408" spans="1:4" x14ac:dyDescent="0.3">
      <c r="A408">
        <v>406</v>
      </c>
      <c r="B408">
        <v>50</v>
      </c>
      <c r="C408">
        <f t="shared" si="6"/>
        <v>26</v>
      </c>
      <c r="D408">
        <v>-5.3705692803436803E-2</v>
      </c>
    </row>
    <row r="409" spans="1:4" x14ac:dyDescent="0.3">
      <c r="A409">
        <v>407</v>
      </c>
      <c r="B409">
        <v>50</v>
      </c>
      <c r="C409">
        <f t="shared" si="6"/>
        <v>26</v>
      </c>
      <c r="D409">
        <v>-5.3708577259788601E-2</v>
      </c>
    </row>
    <row r="410" spans="1:4" x14ac:dyDescent="0.3">
      <c r="A410">
        <v>408</v>
      </c>
      <c r="B410">
        <v>50</v>
      </c>
      <c r="C410">
        <f t="shared" si="6"/>
        <v>26</v>
      </c>
      <c r="D410">
        <v>-5.3710019604157E-2</v>
      </c>
    </row>
    <row r="411" spans="1:4" x14ac:dyDescent="0.3">
      <c r="A411">
        <v>409</v>
      </c>
      <c r="B411">
        <v>49.5</v>
      </c>
      <c r="C411">
        <f t="shared" si="6"/>
        <v>25.5</v>
      </c>
      <c r="D411">
        <v>-2.6854288629893901E-2</v>
      </c>
    </row>
    <row r="412" spans="1:4" x14ac:dyDescent="0.3">
      <c r="A412">
        <v>410</v>
      </c>
      <c r="B412">
        <v>49</v>
      </c>
      <c r="C412">
        <f t="shared" si="6"/>
        <v>25</v>
      </c>
      <c r="D412">
        <v>-5.3705692803437399E-2</v>
      </c>
    </row>
    <row r="413" spans="1:4" x14ac:dyDescent="0.3">
      <c r="A413">
        <v>411</v>
      </c>
      <c r="B413">
        <v>48.5</v>
      </c>
      <c r="C413">
        <f t="shared" si="6"/>
        <v>24.5</v>
      </c>
      <c r="D413">
        <v>-2.68557310129982E-2</v>
      </c>
    </row>
    <row r="414" spans="1:4" x14ac:dyDescent="0.3">
      <c r="A414">
        <v>412</v>
      </c>
      <c r="B414">
        <v>48.5</v>
      </c>
      <c r="C414">
        <f t="shared" si="6"/>
        <v>24.5</v>
      </c>
      <c r="D414">
        <v>-2.6852125345721099E-2</v>
      </c>
    </row>
    <row r="415" spans="1:4" x14ac:dyDescent="0.3">
      <c r="A415">
        <v>413</v>
      </c>
      <c r="B415">
        <v>48.5</v>
      </c>
      <c r="C415">
        <f t="shared" si="6"/>
        <v>24.5</v>
      </c>
      <c r="D415">
        <v>-2.68514043284462E-2</v>
      </c>
    </row>
    <row r="416" spans="1:4" x14ac:dyDescent="0.3">
      <c r="A416">
        <v>414</v>
      </c>
      <c r="B416">
        <v>48.5</v>
      </c>
      <c r="C416">
        <f t="shared" si="6"/>
        <v>24.5</v>
      </c>
      <c r="D416">
        <v>-2.68506833498913E-2</v>
      </c>
    </row>
    <row r="417" spans="1:4" x14ac:dyDescent="0.3">
      <c r="A417">
        <v>415</v>
      </c>
      <c r="B417">
        <v>48</v>
      </c>
      <c r="C417">
        <f t="shared" si="6"/>
        <v>24</v>
      </c>
      <c r="D417">
        <v>-5.3699924820105702E-2</v>
      </c>
    </row>
    <row r="418" spans="1:4" x14ac:dyDescent="0.3">
      <c r="A418">
        <v>416</v>
      </c>
      <c r="B418">
        <v>47.5</v>
      </c>
      <c r="C418">
        <f t="shared" si="6"/>
        <v>23.5</v>
      </c>
      <c r="D418">
        <v>-2.68506833498913E-2</v>
      </c>
    </row>
    <row r="419" spans="1:4" x14ac:dyDescent="0.3">
      <c r="A419">
        <v>417</v>
      </c>
      <c r="B419">
        <v>47.5</v>
      </c>
      <c r="C419">
        <f t="shared" si="6"/>
        <v>23.5</v>
      </c>
      <c r="D419">
        <v>-2.6852125345721099E-2</v>
      </c>
    </row>
    <row r="420" spans="1:4" x14ac:dyDescent="0.3">
      <c r="A420">
        <v>418</v>
      </c>
      <c r="B420">
        <v>47.5</v>
      </c>
      <c r="C420">
        <f t="shared" si="6"/>
        <v>23.5</v>
      </c>
      <c r="D420">
        <v>-2.68542886298943E-2</v>
      </c>
    </row>
    <row r="421" spans="1:4" x14ac:dyDescent="0.3">
      <c r="A421">
        <v>419</v>
      </c>
      <c r="B421">
        <v>47.5</v>
      </c>
      <c r="C421">
        <f t="shared" si="6"/>
        <v>23.5</v>
      </c>
      <c r="D421">
        <v>-2.68514043284462E-2</v>
      </c>
    </row>
    <row r="422" spans="1:4" x14ac:dyDescent="0.3">
      <c r="A422">
        <v>420</v>
      </c>
      <c r="B422">
        <v>47.5</v>
      </c>
      <c r="C422">
        <f t="shared" si="6"/>
        <v>23.5</v>
      </c>
      <c r="D422">
        <v>-2.6852125345721099E-2</v>
      </c>
    </row>
    <row r="423" spans="1:4" x14ac:dyDescent="0.3">
      <c r="A423">
        <v>421</v>
      </c>
      <c r="B423">
        <v>46.5</v>
      </c>
      <c r="C423">
        <f t="shared" si="6"/>
        <v>22.5</v>
      </c>
      <c r="D423">
        <v>-2.6852125345721099E-2</v>
      </c>
    </row>
    <row r="424" spans="1:4" x14ac:dyDescent="0.3">
      <c r="A424">
        <v>422</v>
      </c>
      <c r="B424">
        <v>46.5</v>
      </c>
      <c r="C424">
        <f t="shared" si="6"/>
        <v>22.5</v>
      </c>
      <c r="D424">
        <v>-2.6849241508927101E-2</v>
      </c>
    </row>
    <row r="425" spans="1:4" x14ac:dyDescent="0.3">
      <c r="A425">
        <v>423</v>
      </c>
      <c r="B425">
        <v>46.5</v>
      </c>
      <c r="C425">
        <f t="shared" si="6"/>
        <v>22.5</v>
      </c>
      <c r="D425">
        <v>-2.68456375838926E-2</v>
      </c>
    </row>
    <row r="426" spans="1:4" x14ac:dyDescent="0.3">
      <c r="A426">
        <v>424</v>
      </c>
      <c r="B426">
        <v>46.5</v>
      </c>
      <c r="C426">
        <f t="shared" si="6"/>
        <v>22.5</v>
      </c>
      <c r="D426">
        <v>-2.6847079037800599E-2</v>
      </c>
    </row>
    <row r="427" spans="1:4" x14ac:dyDescent="0.3">
      <c r="A427">
        <v>425</v>
      </c>
      <c r="B427">
        <v>46.5</v>
      </c>
      <c r="C427">
        <f t="shared" si="6"/>
        <v>22.5</v>
      </c>
      <c r="D427">
        <v>-2.6849962410052799E-2</v>
      </c>
    </row>
    <row r="428" spans="1:4" x14ac:dyDescent="0.3">
      <c r="A428">
        <v>426</v>
      </c>
      <c r="B428">
        <v>46.5</v>
      </c>
      <c r="C428">
        <f t="shared" si="6"/>
        <v>22.5</v>
      </c>
      <c r="D428">
        <v>-2.68492415089274E-2</v>
      </c>
    </row>
    <row r="429" spans="1:4" x14ac:dyDescent="0.3">
      <c r="A429">
        <v>427</v>
      </c>
      <c r="B429">
        <v>45.5</v>
      </c>
      <c r="C429">
        <f t="shared" si="6"/>
        <v>21.5</v>
      </c>
      <c r="D429">
        <v>-2.6852125345721099E-2</v>
      </c>
    </row>
    <row r="430" spans="1:4" x14ac:dyDescent="0.3">
      <c r="A430">
        <v>428</v>
      </c>
      <c r="B430">
        <v>45.5</v>
      </c>
      <c r="C430">
        <f t="shared" si="6"/>
        <v>21.5</v>
      </c>
      <c r="D430">
        <v>-2.68542886298943E-2</v>
      </c>
    </row>
    <row r="431" spans="1:4" x14ac:dyDescent="0.3">
      <c r="A431">
        <v>429</v>
      </c>
      <c r="B431">
        <v>45.5</v>
      </c>
      <c r="C431">
        <f t="shared" si="6"/>
        <v>21.5</v>
      </c>
      <c r="D431">
        <v>-2.6855731012997899E-2</v>
      </c>
    </row>
    <row r="432" spans="1:4" x14ac:dyDescent="0.3">
      <c r="A432">
        <v>430</v>
      </c>
      <c r="B432">
        <v>45</v>
      </c>
      <c r="C432">
        <f t="shared" si="6"/>
        <v>21</v>
      </c>
      <c r="D432">
        <v>-5.3714347102111003E-2</v>
      </c>
    </row>
    <row r="433" spans="1:4" x14ac:dyDescent="0.3">
      <c r="A433">
        <v>431</v>
      </c>
      <c r="B433">
        <v>45</v>
      </c>
      <c r="C433">
        <f t="shared" si="6"/>
        <v>21</v>
      </c>
      <c r="D433">
        <v>-5.3710019604157E-2</v>
      </c>
    </row>
    <row r="434" spans="1:4" x14ac:dyDescent="0.3">
      <c r="A434">
        <v>432</v>
      </c>
      <c r="B434">
        <v>45</v>
      </c>
      <c r="C434">
        <f t="shared" si="6"/>
        <v>21</v>
      </c>
      <c r="D434">
        <v>-5.3714347102111003E-2</v>
      </c>
    </row>
    <row r="435" spans="1:4" x14ac:dyDescent="0.3">
      <c r="A435">
        <v>433</v>
      </c>
      <c r="B435">
        <v>44.5</v>
      </c>
      <c r="C435">
        <f t="shared" si="6"/>
        <v>20.5</v>
      </c>
      <c r="D435">
        <v>-2.6857173551055501E-2</v>
      </c>
    </row>
    <row r="436" spans="1:4" x14ac:dyDescent="0.3">
      <c r="A436">
        <v>434</v>
      </c>
      <c r="B436">
        <v>44.5</v>
      </c>
      <c r="C436">
        <f t="shared" si="6"/>
        <v>20.5</v>
      </c>
      <c r="D436">
        <v>-2.68557310129982E-2</v>
      </c>
    </row>
    <row r="437" spans="1:4" x14ac:dyDescent="0.3">
      <c r="A437">
        <v>435</v>
      </c>
      <c r="B437">
        <v>44.5</v>
      </c>
      <c r="C437">
        <f t="shared" si="6"/>
        <v>20.5</v>
      </c>
      <c r="D437">
        <v>-2.6856452262656299E-2</v>
      </c>
    </row>
    <row r="438" spans="1:4" x14ac:dyDescent="0.3">
      <c r="A438">
        <v>436</v>
      </c>
      <c r="B438">
        <v>43.5</v>
      </c>
      <c r="C438">
        <f t="shared" si="6"/>
        <v>19.5</v>
      </c>
      <c r="D438">
        <v>-2.68514043284462E-2</v>
      </c>
    </row>
    <row r="439" spans="1:4" x14ac:dyDescent="0.3">
      <c r="A439">
        <v>437</v>
      </c>
      <c r="B439">
        <v>43.5</v>
      </c>
      <c r="C439">
        <f t="shared" si="6"/>
        <v>19.5</v>
      </c>
      <c r="D439">
        <v>-2.6852125345721099E-2</v>
      </c>
    </row>
    <row r="440" spans="1:4" x14ac:dyDescent="0.3">
      <c r="A440">
        <v>438</v>
      </c>
      <c r="B440">
        <v>43.5</v>
      </c>
      <c r="C440">
        <f t="shared" si="6"/>
        <v>19.5</v>
      </c>
      <c r="D440">
        <v>-2.6852846401718401E-2</v>
      </c>
    </row>
    <row r="441" spans="1:4" x14ac:dyDescent="0.3">
      <c r="A441">
        <v>439</v>
      </c>
      <c r="B441">
        <v>43.5</v>
      </c>
      <c r="C441">
        <f t="shared" si="6"/>
        <v>19.5</v>
      </c>
      <c r="D441">
        <v>-2.6850683349890901E-2</v>
      </c>
    </row>
    <row r="442" spans="1:4" x14ac:dyDescent="0.3">
      <c r="A442">
        <v>440</v>
      </c>
      <c r="B442">
        <v>43.5</v>
      </c>
      <c r="C442">
        <f t="shared" si="6"/>
        <v>19.5</v>
      </c>
      <c r="D442">
        <v>-2.6852125345721099E-2</v>
      </c>
    </row>
    <row r="443" spans="1:4" x14ac:dyDescent="0.3">
      <c r="A443">
        <v>441</v>
      </c>
      <c r="B443">
        <v>43.5</v>
      </c>
      <c r="C443">
        <f t="shared" si="6"/>
        <v>19.5</v>
      </c>
      <c r="D443">
        <v>-2.68499624100525E-2</v>
      </c>
    </row>
    <row r="444" spans="1:4" x14ac:dyDescent="0.3">
      <c r="A444">
        <v>442</v>
      </c>
      <c r="B444">
        <v>43</v>
      </c>
      <c r="C444">
        <f t="shared" si="6"/>
        <v>19</v>
      </c>
      <c r="D444">
        <v>0</v>
      </c>
    </row>
    <row r="445" spans="1:4" x14ac:dyDescent="0.3">
      <c r="A445">
        <v>443</v>
      </c>
      <c r="B445">
        <v>42.5</v>
      </c>
      <c r="C445">
        <f t="shared" si="6"/>
        <v>18.5</v>
      </c>
      <c r="D445">
        <v>-2.68514043284462E-2</v>
      </c>
    </row>
    <row r="446" spans="1:4" x14ac:dyDescent="0.3">
      <c r="A446">
        <v>444</v>
      </c>
      <c r="B446">
        <v>42.5</v>
      </c>
      <c r="C446">
        <f t="shared" si="6"/>
        <v>18.5</v>
      </c>
      <c r="D446">
        <v>-2.68492415089274E-2</v>
      </c>
    </row>
    <row r="447" spans="1:4" x14ac:dyDescent="0.3">
      <c r="A447">
        <v>445</v>
      </c>
      <c r="B447">
        <v>42.5</v>
      </c>
      <c r="C447">
        <f t="shared" si="6"/>
        <v>18.5</v>
      </c>
      <c r="D447">
        <v>-2.6852125345721099E-2</v>
      </c>
    </row>
    <row r="448" spans="1:4" x14ac:dyDescent="0.3">
      <c r="A448">
        <v>446</v>
      </c>
      <c r="B448">
        <v>42.5</v>
      </c>
      <c r="C448">
        <f t="shared" si="6"/>
        <v>18.5</v>
      </c>
      <c r="D448">
        <v>-2.6852125345721099E-2</v>
      </c>
    </row>
    <row r="449" spans="1:4" x14ac:dyDescent="0.3">
      <c r="A449">
        <v>447</v>
      </c>
      <c r="B449">
        <v>42.5</v>
      </c>
      <c r="C449">
        <f t="shared" si="6"/>
        <v>18.5</v>
      </c>
      <c r="D449">
        <v>-2.68550098020785E-2</v>
      </c>
    </row>
    <row r="450" spans="1:4" x14ac:dyDescent="0.3">
      <c r="A450">
        <v>448</v>
      </c>
      <c r="B450">
        <v>42.5</v>
      </c>
      <c r="C450">
        <f t="shared" si="6"/>
        <v>18.5</v>
      </c>
      <c r="D450">
        <v>-2.68557310129982E-2</v>
      </c>
    </row>
    <row r="451" spans="1:4" x14ac:dyDescent="0.3">
      <c r="A451">
        <v>449</v>
      </c>
      <c r="B451">
        <v>42</v>
      </c>
      <c r="C451">
        <f t="shared" ref="C451:C514" si="7">B451-24</f>
        <v>18</v>
      </c>
      <c r="D451">
        <v>0</v>
      </c>
    </row>
    <row r="452" spans="1:4" x14ac:dyDescent="0.3">
      <c r="A452">
        <v>450</v>
      </c>
      <c r="B452">
        <v>42</v>
      </c>
      <c r="C452">
        <f t="shared" si="7"/>
        <v>18</v>
      </c>
      <c r="D452">
        <v>0</v>
      </c>
    </row>
    <row r="453" spans="1:4" x14ac:dyDescent="0.3">
      <c r="A453">
        <v>451</v>
      </c>
      <c r="B453">
        <v>41.5</v>
      </c>
      <c r="C453">
        <f t="shared" si="7"/>
        <v>17.5</v>
      </c>
      <c r="D453">
        <v>-2.6852125345721099E-2</v>
      </c>
    </row>
    <row r="454" spans="1:4" x14ac:dyDescent="0.3">
      <c r="A454">
        <v>452</v>
      </c>
      <c r="B454">
        <v>41.5</v>
      </c>
      <c r="C454">
        <f t="shared" si="7"/>
        <v>17.5</v>
      </c>
      <c r="D454">
        <v>-2.6849241508927101E-2</v>
      </c>
    </row>
    <row r="455" spans="1:4" x14ac:dyDescent="0.3">
      <c r="A455">
        <v>453</v>
      </c>
      <c r="B455">
        <v>41.5</v>
      </c>
      <c r="C455">
        <f t="shared" si="7"/>
        <v>17.5</v>
      </c>
      <c r="D455">
        <v>-2.6846358291497899E-2</v>
      </c>
    </row>
    <row r="456" spans="1:4" x14ac:dyDescent="0.3">
      <c r="A456">
        <v>454</v>
      </c>
      <c r="B456">
        <v>41.5</v>
      </c>
      <c r="C456">
        <f t="shared" si="7"/>
        <v>17.5</v>
      </c>
      <c r="D456">
        <v>-2.6847079037800599E-2</v>
      </c>
    </row>
    <row r="457" spans="1:4" x14ac:dyDescent="0.3">
      <c r="A457">
        <v>455</v>
      </c>
      <c r="B457">
        <v>41.5</v>
      </c>
      <c r="C457">
        <f t="shared" si="7"/>
        <v>17.5</v>
      </c>
      <c r="D457">
        <v>-2.68492415089274E-2</v>
      </c>
    </row>
    <row r="458" spans="1:4" x14ac:dyDescent="0.3">
      <c r="A458">
        <v>456</v>
      </c>
      <c r="B458">
        <v>41.5</v>
      </c>
      <c r="C458">
        <f t="shared" si="7"/>
        <v>17.5</v>
      </c>
      <c r="D458">
        <v>-2.68499624100525E-2</v>
      </c>
    </row>
    <row r="459" spans="1:4" x14ac:dyDescent="0.3">
      <c r="A459">
        <v>457</v>
      </c>
      <c r="B459">
        <v>41</v>
      </c>
      <c r="C459">
        <f t="shared" si="7"/>
        <v>17</v>
      </c>
      <c r="D459">
        <v>0</v>
      </c>
    </row>
    <row r="460" spans="1:4" x14ac:dyDescent="0.3">
      <c r="A460">
        <v>458</v>
      </c>
      <c r="B460">
        <v>40.5</v>
      </c>
      <c r="C460">
        <f t="shared" si="7"/>
        <v>16.5</v>
      </c>
      <c r="D460">
        <v>-2.6852125345721099E-2</v>
      </c>
    </row>
    <row r="461" spans="1:4" x14ac:dyDescent="0.3">
      <c r="A461">
        <v>459</v>
      </c>
      <c r="B461">
        <v>40.5</v>
      </c>
      <c r="C461">
        <f t="shared" si="7"/>
        <v>16.5</v>
      </c>
      <c r="D461">
        <v>-2.6852846401718401E-2</v>
      </c>
    </row>
    <row r="462" spans="1:4" x14ac:dyDescent="0.3">
      <c r="A462">
        <v>460</v>
      </c>
      <c r="B462">
        <v>40.5</v>
      </c>
      <c r="C462">
        <f t="shared" si="7"/>
        <v>16.5</v>
      </c>
      <c r="D462">
        <v>-2.68514043284462E-2</v>
      </c>
    </row>
    <row r="463" spans="1:4" x14ac:dyDescent="0.3">
      <c r="A463">
        <v>461</v>
      </c>
      <c r="B463">
        <v>40.5</v>
      </c>
      <c r="C463">
        <f t="shared" si="7"/>
        <v>16.5</v>
      </c>
      <c r="D463">
        <v>-2.6852125345721099E-2</v>
      </c>
    </row>
    <row r="464" spans="1:4" x14ac:dyDescent="0.3">
      <c r="A464">
        <v>462</v>
      </c>
      <c r="B464">
        <v>40.5</v>
      </c>
      <c r="C464">
        <f t="shared" si="7"/>
        <v>16.5</v>
      </c>
      <c r="D464">
        <v>-2.6851404328446501E-2</v>
      </c>
    </row>
    <row r="465" spans="1:4" x14ac:dyDescent="0.3">
      <c r="A465">
        <v>463</v>
      </c>
      <c r="B465">
        <v>40</v>
      </c>
      <c r="C465">
        <f t="shared" si="7"/>
        <v>16</v>
      </c>
      <c r="D465">
        <v>-5.3702808656892399E-2</v>
      </c>
    </row>
    <row r="466" spans="1:4" x14ac:dyDescent="0.3">
      <c r="A466">
        <v>464</v>
      </c>
      <c r="B466">
        <v>39.5</v>
      </c>
      <c r="C466">
        <f t="shared" si="7"/>
        <v>15.5</v>
      </c>
      <c r="D466">
        <v>-2.6851404328446501E-2</v>
      </c>
    </row>
    <row r="467" spans="1:4" x14ac:dyDescent="0.3">
      <c r="A467">
        <v>465</v>
      </c>
      <c r="B467">
        <v>39.5</v>
      </c>
      <c r="C467">
        <f t="shared" si="7"/>
        <v>15.5</v>
      </c>
      <c r="D467">
        <v>-2.68499624100525E-2</v>
      </c>
    </row>
    <row r="468" spans="1:4" x14ac:dyDescent="0.3">
      <c r="A468">
        <v>466</v>
      </c>
      <c r="B468">
        <v>39.5</v>
      </c>
      <c r="C468">
        <f t="shared" si="7"/>
        <v>15.5</v>
      </c>
      <c r="D468">
        <v>-2.6853567496441799E-2</v>
      </c>
    </row>
    <row r="469" spans="1:4" x14ac:dyDescent="0.3">
      <c r="A469">
        <v>467</v>
      </c>
      <c r="B469">
        <v>39.5</v>
      </c>
      <c r="C469">
        <f t="shared" si="7"/>
        <v>15.5</v>
      </c>
      <c r="D469">
        <v>-2.68542886298943E-2</v>
      </c>
    </row>
    <row r="470" spans="1:4" x14ac:dyDescent="0.3">
      <c r="A470">
        <v>468</v>
      </c>
      <c r="B470">
        <v>39.5</v>
      </c>
      <c r="C470">
        <f t="shared" si="7"/>
        <v>15.5</v>
      </c>
      <c r="D470">
        <v>-2.6852846401718401E-2</v>
      </c>
    </row>
    <row r="471" spans="1:4" x14ac:dyDescent="0.3">
      <c r="A471">
        <v>469</v>
      </c>
      <c r="B471">
        <v>39</v>
      </c>
      <c r="C471">
        <f t="shared" si="7"/>
        <v>15</v>
      </c>
      <c r="D471">
        <v>0</v>
      </c>
    </row>
    <row r="472" spans="1:4" x14ac:dyDescent="0.3">
      <c r="A472">
        <v>470</v>
      </c>
      <c r="B472">
        <v>39</v>
      </c>
      <c r="C472">
        <f t="shared" si="7"/>
        <v>15</v>
      </c>
      <c r="D472">
        <v>0</v>
      </c>
    </row>
    <row r="473" spans="1:4" x14ac:dyDescent="0.3">
      <c r="A473">
        <v>471</v>
      </c>
      <c r="B473">
        <v>39</v>
      </c>
      <c r="C473">
        <f t="shared" si="7"/>
        <v>15</v>
      </c>
      <c r="D473">
        <v>0</v>
      </c>
    </row>
    <row r="474" spans="1:4" x14ac:dyDescent="0.3">
      <c r="A474">
        <v>472</v>
      </c>
      <c r="B474">
        <v>38.5</v>
      </c>
      <c r="C474">
        <f t="shared" si="7"/>
        <v>14.5</v>
      </c>
      <c r="D474">
        <v>-2.6853567496441799E-2</v>
      </c>
    </row>
    <row r="475" spans="1:4" x14ac:dyDescent="0.3">
      <c r="A475">
        <v>473</v>
      </c>
      <c r="B475">
        <v>38.5</v>
      </c>
      <c r="C475">
        <f t="shared" si="7"/>
        <v>14.5</v>
      </c>
      <c r="D475">
        <v>-2.68499624100525E-2</v>
      </c>
    </row>
    <row r="476" spans="1:4" x14ac:dyDescent="0.3">
      <c r="A476">
        <v>474</v>
      </c>
      <c r="B476">
        <v>38.5</v>
      </c>
      <c r="C476">
        <f t="shared" si="7"/>
        <v>14.5</v>
      </c>
      <c r="D476">
        <v>-2.68506833498913E-2</v>
      </c>
    </row>
    <row r="477" spans="1:4" x14ac:dyDescent="0.3">
      <c r="A477">
        <v>475</v>
      </c>
      <c r="B477">
        <v>38.5</v>
      </c>
      <c r="C477">
        <f t="shared" si="7"/>
        <v>14.5</v>
      </c>
      <c r="D477">
        <v>-2.6852125345721099E-2</v>
      </c>
    </row>
    <row r="478" spans="1:4" x14ac:dyDescent="0.3">
      <c r="A478">
        <v>476</v>
      </c>
      <c r="B478">
        <v>38.5</v>
      </c>
      <c r="C478">
        <f t="shared" si="7"/>
        <v>14.5</v>
      </c>
      <c r="D478">
        <v>-2.6852846401718401E-2</v>
      </c>
    </row>
    <row r="479" spans="1:4" x14ac:dyDescent="0.3">
      <c r="A479">
        <v>477</v>
      </c>
      <c r="B479">
        <v>38.5</v>
      </c>
      <c r="C479">
        <f t="shared" si="7"/>
        <v>14.5</v>
      </c>
      <c r="D479">
        <v>-2.68506833498913E-2</v>
      </c>
    </row>
    <row r="480" spans="1:4" x14ac:dyDescent="0.3">
      <c r="A480">
        <v>478</v>
      </c>
      <c r="B480">
        <v>38</v>
      </c>
      <c r="C480">
        <f t="shared" si="7"/>
        <v>14</v>
      </c>
      <c r="D480">
        <v>0</v>
      </c>
    </row>
    <row r="481" spans="1:4" x14ac:dyDescent="0.3">
      <c r="A481">
        <v>479</v>
      </c>
      <c r="B481">
        <v>38</v>
      </c>
      <c r="C481">
        <f t="shared" si="7"/>
        <v>14</v>
      </c>
      <c r="D481">
        <v>0</v>
      </c>
    </row>
    <row r="482" spans="1:4" x14ac:dyDescent="0.3">
      <c r="A482">
        <v>480</v>
      </c>
      <c r="B482">
        <v>38</v>
      </c>
      <c r="C482">
        <f t="shared" si="7"/>
        <v>14</v>
      </c>
      <c r="D482">
        <v>0</v>
      </c>
    </row>
    <row r="483" spans="1:4" x14ac:dyDescent="0.3">
      <c r="A483">
        <v>481</v>
      </c>
      <c r="B483">
        <v>37.5</v>
      </c>
      <c r="C483">
        <f t="shared" si="7"/>
        <v>13.5</v>
      </c>
      <c r="D483">
        <v>-2.6854288629893901E-2</v>
      </c>
    </row>
    <row r="484" spans="1:4" x14ac:dyDescent="0.3">
      <c r="A484">
        <v>482</v>
      </c>
      <c r="B484">
        <v>37.5</v>
      </c>
      <c r="C484">
        <f t="shared" si="7"/>
        <v>13.5</v>
      </c>
      <c r="D484">
        <v>-2.68528464017187E-2</v>
      </c>
    </row>
    <row r="485" spans="1:4" x14ac:dyDescent="0.3">
      <c r="A485">
        <v>483</v>
      </c>
      <c r="B485">
        <v>37.5</v>
      </c>
      <c r="C485">
        <f t="shared" si="7"/>
        <v>13.5</v>
      </c>
      <c r="D485">
        <v>-2.6852125345721099E-2</v>
      </c>
    </row>
    <row r="486" spans="1:4" x14ac:dyDescent="0.3">
      <c r="A486">
        <v>484</v>
      </c>
      <c r="B486">
        <v>37.5</v>
      </c>
      <c r="C486">
        <f t="shared" si="7"/>
        <v>13.5</v>
      </c>
      <c r="D486">
        <v>-2.68499624100525E-2</v>
      </c>
    </row>
    <row r="487" spans="1:4" x14ac:dyDescent="0.3">
      <c r="A487">
        <v>485</v>
      </c>
      <c r="B487">
        <v>37.5</v>
      </c>
      <c r="C487">
        <f t="shared" si="7"/>
        <v>13.5</v>
      </c>
      <c r="D487">
        <v>-2.6847799822804299E-2</v>
      </c>
    </row>
    <row r="488" spans="1:4" x14ac:dyDescent="0.3">
      <c r="A488">
        <v>486</v>
      </c>
      <c r="B488">
        <v>37.5</v>
      </c>
      <c r="C488">
        <f t="shared" si="7"/>
        <v>13.5</v>
      </c>
      <c r="D488">
        <v>-2.68441962847632E-2</v>
      </c>
    </row>
    <row r="489" spans="1:4" x14ac:dyDescent="0.3">
      <c r="A489">
        <v>487</v>
      </c>
      <c r="B489">
        <v>37</v>
      </c>
      <c r="C489">
        <f t="shared" si="7"/>
        <v>13</v>
      </c>
      <c r="D489">
        <v>0</v>
      </c>
    </row>
    <row r="490" spans="1:4" x14ac:dyDescent="0.3">
      <c r="A490">
        <v>488</v>
      </c>
      <c r="B490">
        <v>37</v>
      </c>
      <c r="C490">
        <f t="shared" si="7"/>
        <v>13</v>
      </c>
      <c r="D490">
        <v>0</v>
      </c>
    </row>
    <row r="491" spans="1:4" x14ac:dyDescent="0.3">
      <c r="A491">
        <v>489</v>
      </c>
      <c r="B491">
        <v>37</v>
      </c>
      <c r="C491">
        <f t="shared" si="7"/>
        <v>13</v>
      </c>
      <c r="D491">
        <v>0</v>
      </c>
    </row>
    <row r="492" spans="1:4" x14ac:dyDescent="0.3">
      <c r="A492">
        <v>490</v>
      </c>
      <c r="B492">
        <v>37</v>
      </c>
      <c r="C492">
        <f t="shared" si="7"/>
        <v>13</v>
      </c>
      <c r="D492">
        <v>0</v>
      </c>
    </row>
    <row r="493" spans="1:4" x14ac:dyDescent="0.3">
      <c r="A493">
        <v>491</v>
      </c>
      <c r="B493">
        <v>37</v>
      </c>
      <c r="C493">
        <f t="shared" si="7"/>
        <v>13</v>
      </c>
      <c r="D493">
        <v>0</v>
      </c>
    </row>
    <row r="494" spans="1:4" x14ac:dyDescent="0.3">
      <c r="A494">
        <v>492</v>
      </c>
      <c r="B494">
        <v>37</v>
      </c>
      <c r="C494">
        <f t="shared" si="7"/>
        <v>13</v>
      </c>
      <c r="D494">
        <v>0</v>
      </c>
    </row>
    <row r="495" spans="1:4" x14ac:dyDescent="0.3">
      <c r="A495">
        <v>493</v>
      </c>
      <c r="B495">
        <v>36.5</v>
      </c>
      <c r="C495">
        <f t="shared" si="7"/>
        <v>12.5</v>
      </c>
      <c r="D495">
        <v>-2.6847799822804601E-2</v>
      </c>
    </row>
    <row r="496" spans="1:4" x14ac:dyDescent="0.3">
      <c r="A496">
        <v>494</v>
      </c>
      <c r="B496">
        <v>36.5</v>
      </c>
      <c r="C496">
        <f t="shared" si="7"/>
        <v>12.5</v>
      </c>
      <c r="D496">
        <v>-2.68499624100525E-2</v>
      </c>
    </row>
    <row r="497" spans="1:4" x14ac:dyDescent="0.3">
      <c r="A497">
        <v>495</v>
      </c>
      <c r="B497">
        <v>36.5</v>
      </c>
      <c r="C497">
        <f t="shared" si="7"/>
        <v>12.5</v>
      </c>
      <c r="D497">
        <v>-2.6847799822804299E-2</v>
      </c>
    </row>
    <row r="498" spans="1:4" x14ac:dyDescent="0.3">
      <c r="A498">
        <v>496</v>
      </c>
      <c r="B498">
        <v>36.5</v>
      </c>
      <c r="C498">
        <f t="shared" si="7"/>
        <v>12.5</v>
      </c>
      <c r="D498">
        <v>-2.68441962847632E-2</v>
      </c>
    </row>
    <row r="499" spans="1:4" x14ac:dyDescent="0.3">
      <c r="A499">
        <v>497</v>
      </c>
      <c r="B499">
        <v>36.5</v>
      </c>
      <c r="C499">
        <f t="shared" si="7"/>
        <v>12.5</v>
      </c>
      <c r="D499">
        <v>-2.6844916914982302E-2</v>
      </c>
    </row>
    <row r="500" spans="1:4" x14ac:dyDescent="0.3">
      <c r="A500">
        <v>498</v>
      </c>
      <c r="B500">
        <v>36.5</v>
      </c>
      <c r="C500">
        <f t="shared" si="7"/>
        <v>12.5</v>
      </c>
      <c r="D500">
        <v>-2.6847079037800599E-2</v>
      </c>
    </row>
    <row r="501" spans="1:4" x14ac:dyDescent="0.3">
      <c r="A501">
        <v>499</v>
      </c>
      <c r="B501">
        <v>36</v>
      </c>
      <c r="C501">
        <f t="shared" si="7"/>
        <v>12</v>
      </c>
      <c r="D501">
        <v>0</v>
      </c>
    </row>
    <row r="502" spans="1:4" x14ac:dyDescent="0.3">
      <c r="A502">
        <v>500</v>
      </c>
      <c r="B502">
        <v>36</v>
      </c>
      <c r="C502">
        <f t="shared" si="7"/>
        <v>12</v>
      </c>
      <c r="D502">
        <v>0</v>
      </c>
    </row>
    <row r="503" spans="1:4" x14ac:dyDescent="0.3">
      <c r="A503">
        <v>501</v>
      </c>
      <c r="B503">
        <v>36</v>
      </c>
      <c r="C503">
        <f t="shared" si="7"/>
        <v>12</v>
      </c>
      <c r="D503">
        <v>0</v>
      </c>
    </row>
    <row r="504" spans="1:4" x14ac:dyDescent="0.3">
      <c r="A504">
        <v>502</v>
      </c>
      <c r="B504">
        <v>36</v>
      </c>
      <c r="C504">
        <f t="shared" si="7"/>
        <v>12</v>
      </c>
      <c r="D504">
        <v>0</v>
      </c>
    </row>
    <row r="505" spans="1:4" x14ac:dyDescent="0.3">
      <c r="A505">
        <v>503</v>
      </c>
      <c r="B505">
        <v>35.5</v>
      </c>
      <c r="C505">
        <f t="shared" si="7"/>
        <v>11.5</v>
      </c>
      <c r="D505">
        <v>-2.68550098020785E-2</v>
      </c>
    </row>
    <row r="506" spans="1:4" x14ac:dyDescent="0.3">
      <c r="A506">
        <v>504</v>
      </c>
      <c r="B506">
        <v>35.5</v>
      </c>
      <c r="C506">
        <f t="shared" si="7"/>
        <v>11.5</v>
      </c>
      <c r="D506">
        <v>-2.68557310129982E-2</v>
      </c>
    </row>
    <row r="507" spans="1:4" x14ac:dyDescent="0.3">
      <c r="A507">
        <v>505</v>
      </c>
      <c r="B507">
        <v>35.5</v>
      </c>
      <c r="C507">
        <f t="shared" si="7"/>
        <v>11.5</v>
      </c>
      <c r="D507">
        <v>-2.6856452262656001E-2</v>
      </c>
    </row>
    <row r="508" spans="1:4" x14ac:dyDescent="0.3">
      <c r="A508">
        <v>506</v>
      </c>
      <c r="B508">
        <v>35.5</v>
      </c>
      <c r="C508">
        <f t="shared" si="7"/>
        <v>11.5</v>
      </c>
      <c r="D508">
        <v>-2.68542886298943E-2</v>
      </c>
    </row>
    <row r="509" spans="1:4" x14ac:dyDescent="0.3">
      <c r="A509">
        <v>507</v>
      </c>
      <c r="B509">
        <v>35.5</v>
      </c>
      <c r="C509">
        <f t="shared" si="7"/>
        <v>11.5</v>
      </c>
      <c r="D509">
        <v>-2.6853567496441501E-2</v>
      </c>
    </row>
    <row r="510" spans="1:4" x14ac:dyDescent="0.3">
      <c r="A510">
        <v>508</v>
      </c>
      <c r="B510">
        <v>35.5</v>
      </c>
      <c r="C510">
        <f t="shared" si="7"/>
        <v>11.5</v>
      </c>
      <c r="D510">
        <v>-2.6853567496441501E-2</v>
      </c>
    </row>
    <row r="511" spans="1:4" x14ac:dyDescent="0.3">
      <c r="A511">
        <v>509</v>
      </c>
      <c r="B511">
        <v>35</v>
      </c>
      <c r="C511">
        <f t="shared" si="7"/>
        <v>11</v>
      </c>
      <c r="D511">
        <v>0</v>
      </c>
    </row>
    <row r="512" spans="1:4" x14ac:dyDescent="0.3">
      <c r="A512">
        <v>510</v>
      </c>
      <c r="B512">
        <v>35</v>
      </c>
      <c r="C512">
        <f t="shared" si="7"/>
        <v>11</v>
      </c>
      <c r="D512">
        <v>0</v>
      </c>
    </row>
    <row r="513" spans="1:4" x14ac:dyDescent="0.3">
      <c r="A513">
        <v>511</v>
      </c>
      <c r="B513">
        <v>34.5</v>
      </c>
      <c r="C513">
        <f t="shared" si="7"/>
        <v>10.5</v>
      </c>
      <c r="D513">
        <v>-2.68528464017187E-2</v>
      </c>
    </row>
    <row r="514" spans="1:4" x14ac:dyDescent="0.3">
      <c r="A514">
        <v>512</v>
      </c>
      <c r="B514">
        <v>34.5</v>
      </c>
      <c r="C514">
        <f t="shared" si="7"/>
        <v>10.5</v>
      </c>
      <c r="D514">
        <v>-2.6853567496442202E-2</v>
      </c>
    </row>
    <row r="515" spans="1:4" x14ac:dyDescent="0.3">
      <c r="A515">
        <v>513</v>
      </c>
      <c r="B515">
        <v>34.5</v>
      </c>
      <c r="C515">
        <f t="shared" ref="C515:C578" si="8">B515-24</f>
        <v>10.5</v>
      </c>
      <c r="D515">
        <v>-2.6854288629894599E-2</v>
      </c>
    </row>
    <row r="516" spans="1:4" x14ac:dyDescent="0.3">
      <c r="A516">
        <v>514</v>
      </c>
      <c r="B516">
        <v>34.5</v>
      </c>
      <c r="C516">
        <f t="shared" si="8"/>
        <v>10.5</v>
      </c>
      <c r="D516">
        <v>-2.68514043284468E-2</v>
      </c>
    </row>
    <row r="517" spans="1:4" x14ac:dyDescent="0.3">
      <c r="A517">
        <v>515</v>
      </c>
      <c r="B517">
        <v>34.5</v>
      </c>
      <c r="C517">
        <f t="shared" si="8"/>
        <v>10.5</v>
      </c>
      <c r="D517">
        <v>-2.6848520646512899E-2</v>
      </c>
    </row>
    <row r="518" spans="1:4" x14ac:dyDescent="0.3">
      <c r="A518">
        <v>516</v>
      </c>
      <c r="B518">
        <v>34.5</v>
      </c>
      <c r="C518">
        <f t="shared" si="8"/>
        <v>10.5</v>
      </c>
      <c r="D518">
        <v>-2.6848520646512299E-2</v>
      </c>
    </row>
    <row r="519" spans="1:4" x14ac:dyDescent="0.3">
      <c r="A519">
        <v>517</v>
      </c>
      <c r="B519">
        <v>34</v>
      </c>
      <c r="C519">
        <f t="shared" si="8"/>
        <v>10</v>
      </c>
      <c r="D519">
        <v>0</v>
      </c>
    </row>
    <row r="520" spans="1:4" x14ac:dyDescent="0.3">
      <c r="A520">
        <v>518</v>
      </c>
      <c r="B520">
        <v>34</v>
      </c>
      <c r="C520">
        <f t="shared" si="8"/>
        <v>10</v>
      </c>
      <c r="D520">
        <v>0</v>
      </c>
    </row>
    <row r="521" spans="1:4" x14ac:dyDescent="0.3">
      <c r="A521">
        <v>519</v>
      </c>
      <c r="B521">
        <v>34</v>
      </c>
      <c r="C521">
        <f t="shared" si="8"/>
        <v>10</v>
      </c>
      <c r="D521">
        <v>0</v>
      </c>
    </row>
    <row r="522" spans="1:4" x14ac:dyDescent="0.3">
      <c r="A522">
        <v>520</v>
      </c>
      <c r="B522">
        <v>34</v>
      </c>
      <c r="C522">
        <f t="shared" si="8"/>
        <v>10</v>
      </c>
      <c r="D522">
        <v>0</v>
      </c>
    </row>
    <row r="523" spans="1:4" x14ac:dyDescent="0.3">
      <c r="A523">
        <v>521</v>
      </c>
      <c r="B523">
        <v>34</v>
      </c>
      <c r="C523">
        <f t="shared" si="8"/>
        <v>10</v>
      </c>
      <c r="D523">
        <v>0</v>
      </c>
    </row>
    <row r="524" spans="1:4" x14ac:dyDescent="0.3">
      <c r="A524">
        <v>522</v>
      </c>
      <c r="B524">
        <v>34</v>
      </c>
      <c r="C524">
        <f t="shared" si="8"/>
        <v>10</v>
      </c>
      <c r="D524">
        <v>0</v>
      </c>
    </row>
    <row r="525" spans="1:4" x14ac:dyDescent="0.3">
      <c r="A525">
        <v>523</v>
      </c>
      <c r="B525">
        <v>34</v>
      </c>
      <c r="C525">
        <f t="shared" si="8"/>
        <v>10</v>
      </c>
      <c r="D525">
        <v>0</v>
      </c>
    </row>
    <row r="526" spans="1:4" x14ac:dyDescent="0.3">
      <c r="A526">
        <v>524</v>
      </c>
      <c r="B526">
        <v>34</v>
      </c>
      <c r="C526">
        <f t="shared" si="8"/>
        <v>10</v>
      </c>
      <c r="D526">
        <v>0</v>
      </c>
    </row>
    <row r="527" spans="1:4" x14ac:dyDescent="0.3">
      <c r="A527">
        <v>525</v>
      </c>
      <c r="B527">
        <v>33.5</v>
      </c>
      <c r="C527">
        <f t="shared" si="8"/>
        <v>9.5</v>
      </c>
      <c r="D527">
        <v>-2.6854288629894599E-2</v>
      </c>
    </row>
    <row r="528" spans="1:4" x14ac:dyDescent="0.3">
      <c r="A528">
        <v>526</v>
      </c>
      <c r="B528">
        <v>33.5</v>
      </c>
      <c r="C528">
        <f t="shared" si="8"/>
        <v>9.5</v>
      </c>
      <c r="D528">
        <v>-2.6853567496442202E-2</v>
      </c>
    </row>
    <row r="529" spans="1:4" x14ac:dyDescent="0.3">
      <c r="A529">
        <v>527</v>
      </c>
      <c r="B529">
        <v>33.5</v>
      </c>
      <c r="C529">
        <f t="shared" si="8"/>
        <v>9.5</v>
      </c>
      <c r="D529">
        <v>-2.6853567496441501E-2</v>
      </c>
    </row>
    <row r="530" spans="1:4" x14ac:dyDescent="0.3">
      <c r="A530">
        <v>528</v>
      </c>
      <c r="B530">
        <v>33.5</v>
      </c>
      <c r="C530">
        <f t="shared" si="8"/>
        <v>9.5</v>
      </c>
      <c r="D530">
        <v>-2.68514043284462E-2</v>
      </c>
    </row>
    <row r="531" spans="1:4" x14ac:dyDescent="0.3">
      <c r="A531">
        <v>529</v>
      </c>
      <c r="B531">
        <v>33.5</v>
      </c>
      <c r="C531">
        <f t="shared" si="8"/>
        <v>9.5</v>
      </c>
      <c r="D531">
        <v>-2.6850683349890901E-2</v>
      </c>
    </row>
    <row r="532" spans="1:4" x14ac:dyDescent="0.3">
      <c r="A532">
        <v>530</v>
      </c>
      <c r="B532">
        <v>33.5</v>
      </c>
      <c r="C532">
        <f t="shared" si="8"/>
        <v>9.5</v>
      </c>
      <c r="D532">
        <v>-2.6852125345721099E-2</v>
      </c>
    </row>
    <row r="533" spans="1:4" x14ac:dyDescent="0.3">
      <c r="A533">
        <v>531</v>
      </c>
      <c r="B533">
        <v>33</v>
      </c>
      <c r="C533">
        <f t="shared" si="8"/>
        <v>9</v>
      </c>
      <c r="D533">
        <v>0</v>
      </c>
    </row>
    <row r="534" spans="1:4" x14ac:dyDescent="0.3">
      <c r="A534">
        <v>532</v>
      </c>
      <c r="B534">
        <v>33</v>
      </c>
      <c r="C534">
        <f t="shared" si="8"/>
        <v>9</v>
      </c>
      <c r="D534">
        <v>0</v>
      </c>
    </row>
    <row r="535" spans="1:4" x14ac:dyDescent="0.3">
      <c r="A535">
        <v>533</v>
      </c>
      <c r="B535">
        <v>33</v>
      </c>
      <c r="C535">
        <f t="shared" si="8"/>
        <v>9</v>
      </c>
      <c r="D535">
        <v>0</v>
      </c>
    </row>
    <row r="536" spans="1:4" x14ac:dyDescent="0.3">
      <c r="A536">
        <v>534</v>
      </c>
      <c r="B536">
        <v>33</v>
      </c>
      <c r="C536">
        <f t="shared" si="8"/>
        <v>9</v>
      </c>
      <c r="D536">
        <v>0</v>
      </c>
    </row>
    <row r="537" spans="1:4" x14ac:dyDescent="0.3">
      <c r="A537">
        <v>535</v>
      </c>
      <c r="B537">
        <v>33</v>
      </c>
      <c r="C537">
        <f t="shared" si="8"/>
        <v>9</v>
      </c>
      <c r="D537">
        <v>0</v>
      </c>
    </row>
    <row r="538" spans="1:4" x14ac:dyDescent="0.3">
      <c r="A538">
        <v>536</v>
      </c>
      <c r="B538">
        <v>33</v>
      </c>
      <c r="C538">
        <f t="shared" si="8"/>
        <v>9</v>
      </c>
      <c r="D538">
        <v>0</v>
      </c>
    </row>
    <row r="539" spans="1:4" x14ac:dyDescent="0.3">
      <c r="A539">
        <v>537</v>
      </c>
      <c r="B539">
        <v>33</v>
      </c>
      <c r="C539">
        <f t="shared" si="8"/>
        <v>9</v>
      </c>
      <c r="D539">
        <v>0</v>
      </c>
    </row>
    <row r="540" spans="1:4" x14ac:dyDescent="0.3">
      <c r="A540">
        <v>538</v>
      </c>
      <c r="B540">
        <v>33</v>
      </c>
      <c r="C540">
        <f t="shared" si="8"/>
        <v>9</v>
      </c>
      <c r="D540">
        <v>0</v>
      </c>
    </row>
    <row r="541" spans="1:4" x14ac:dyDescent="0.3">
      <c r="A541">
        <v>539</v>
      </c>
      <c r="B541">
        <v>33</v>
      </c>
      <c r="C541">
        <f t="shared" si="8"/>
        <v>9</v>
      </c>
      <c r="D541">
        <v>0</v>
      </c>
    </row>
    <row r="542" spans="1:4" x14ac:dyDescent="0.3">
      <c r="A542">
        <v>540</v>
      </c>
      <c r="B542">
        <v>33</v>
      </c>
      <c r="C542">
        <f t="shared" si="8"/>
        <v>9</v>
      </c>
      <c r="D542">
        <v>0</v>
      </c>
    </row>
    <row r="543" spans="1:4" x14ac:dyDescent="0.3">
      <c r="A543">
        <v>541</v>
      </c>
      <c r="B543">
        <v>33</v>
      </c>
      <c r="C543">
        <f t="shared" si="8"/>
        <v>9</v>
      </c>
      <c r="D543">
        <v>0</v>
      </c>
    </row>
    <row r="544" spans="1:4" x14ac:dyDescent="0.3">
      <c r="A544">
        <v>542</v>
      </c>
      <c r="B544">
        <v>33</v>
      </c>
      <c r="C544">
        <f t="shared" si="8"/>
        <v>9</v>
      </c>
      <c r="D544">
        <v>0</v>
      </c>
    </row>
    <row r="545" spans="1:4" x14ac:dyDescent="0.3">
      <c r="A545">
        <v>543</v>
      </c>
      <c r="B545">
        <v>32.5</v>
      </c>
      <c r="C545">
        <f t="shared" si="8"/>
        <v>8.5</v>
      </c>
      <c r="D545">
        <v>-2.6854288629893901E-2</v>
      </c>
    </row>
    <row r="546" spans="1:4" x14ac:dyDescent="0.3">
      <c r="A546">
        <v>544</v>
      </c>
      <c r="B546">
        <v>32.5</v>
      </c>
      <c r="C546">
        <f t="shared" si="8"/>
        <v>8.5</v>
      </c>
      <c r="D546">
        <v>-2.6854288629894599E-2</v>
      </c>
    </row>
    <row r="547" spans="1:4" x14ac:dyDescent="0.3">
      <c r="A547">
        <v>545</v>
      </c>
      <c r="B547">
        <v>32.5</v>
      </c>
      <c r="C547">
        <f t="shared" si="8"/>
        <v>8.5</v>
      </c>
      <c r="D547">
        <v>-2.6697992310978101E-2</v>
      </c>
    </row>
    <row r="548" spans="1:4" x14ac:dyDescent="0.3">
      <c r="A548">
        <v>546</v>
      </c>
      <c r="B548">
        <v>32.5</v>
      </c>
      <c r="C548">
        <f t="shared" si="8"/>
        <v>8.5</v>
      </c>
      <c r="D548">
        <v>-2.6696566821506999E-2</v>
      </c>
    </row>
    <row r="549" spans="1:4" x14ac:dyDescent="0.3">
      <c r="A549">
        <v>547</v>
      </c>
      <c r="B549">
        <v>32.5</v>
      </c>
      <c r="C549">
        <f t="shared" si="8"/>
        <v>8.5</v>
      </c>
      <c r="D549">
        <v>-2.66930037637137E-2</v>
      </c>
    </row>
    <row r="550" spans="1:4" x14ac:dyDescent="0.3">
      <c r="A550">
        <v>548</v>
      </c>
      <c r="B550">
        <v>32.5</v>
      </c>
      <c r="C550">
        <f t="shared" si="8"/>
        <v>8.5</v>
      </c>
      <c r="D550">
        <v>-2.66937162991835E-2</v>
      </c>
    </row>
    <row r="551" spans="1:4" x14ac:dyDescent="0.3">
      <c r="A551">
        <v>549</v>
      </c>
      <c r="B551">
        <v>32</v>
      </c>
      <c r="C551">
        <f t="shared" si="8"/>
        <v>8</v>
      </c>
      <c r="D551">
        <v>0</v>
      </c>
    </row>
    <row r="552" spans="1:4" x14ac:dyDescent="0.3">
      <c r="A552">
        <v>550</v>
      </c>
      <c r="B552">
        <v>32</v>
      </c>
      <c r="C552">
        <f t="shared" si="8"/>
        <v>8</v>
      </c>
      <c r="D552">
        <v>0</v>
      </c>
    </row>
    <row r="553" spans="1:4" x14ac:dyDescent="0.3">
      <c r="A553">
        <v>551</v>
      </c>
      <c r="B553">
        <v>32</v>
      </c>
      <c r="C553">
        <f t="shared" si="8"/>
        <v>8</v>
      </c>
      <c r="D553">
        <v>0</v>
      </c>
    </row>
    <row r="554" spans="1:4" x14ac:dyDescent="0.3">
      <c r="A554">
        <v>552</v>
      </c>
      <c r="B554">
        <v>32</v>
      </c>
      <c r="C554">
        <f t="shared" si="8"/>
        <v>8</v>
      </c>
      <c r="D554">
        <v>0</v>
      </c>
    </row>
    <row r="555" spans="1:4" x14ac:dyDescent="0.3">
      <c r="A555">
        <v>553</v>
      </c>
      <c r="B555">
        <v>32</v>
      </c>
      <c r="C555">
        <f t="shared" si="8"/>
        <v>8</v>
      </c>
      <c r="D555">
        <v>0</v>
      </c>
    </row>
    <row r="556" spans="1:4" x14ac:dyDescent="0.3">
      <c r="A556">
        <v>554</v>
      </c>
      <c r="B556">
        <v>32</v>
      </c>
      <c r="C556">
        <f t="shared" si="8"/>
        <v>8</v>
      </c>
      <c r="D556">
        <v>0</v>
      </c>
    </row>
    <row r="557" spans="1:4" x14ac:dyDescent="0.3">
      <c r="A557">
        <v>555</v>
      </c>
      <c r="B557">
        <v>32</v>
      </c>
      <c r="C557">
        <f t="shared" si="8"/>
        <v>8</v>
      </c>
      <c r="D557">
        <v>0</v>
      </c>
    </row>
    <row r="558" spans="1:4" x14ac:dyDescent="0.3">
      <c r="A558">
        <v>556</v>
      </c>
      <c r="B558">
        <v>32</v>
      </c>
      <c r="C558">
        <f t="shared" si="8"/>
        <v>8</v>
      </c>
      <c r="D558">
        <v>0</v>
      </c>
    </row>
    <row r="559" spans="1:4" x14ac:dyDescent="0.3">
      <c r="A559">
        <v>557</v>
      </c>
      <c r="B559">
        <v>32</v>
      </c>
      <c r="C559">
        <f t="shared" si="8"/>
        <v>8</v>
      </c>
      <c r="D559">
        <v>0</v>
      </c>
    </row>
    <row r="560" spans="1:4" x14ac:dyDescent="0.3">
      <c r="A560">
        <v>558</v>
      </c>
      <c r="B560">
        <v>32</v>
      </c>
      <c r="C560">
        <f t="shared" si="8"/>
        <v>8</v>
      </c>
      <c r="D560">
        <v>0</v>
      </c>
    </row>
    <row r="561" spans="1:4" x14ac:dyDescent="0.3">
      <c r="A561">
        <v>559</v>
      </c>
      <c r="B561">
        <v>32</v>
      </c>
      <c r="C561">
        <f t="shared" si="8"/>
        <v>8</v>
      </c>
      <c r="D561">
        <v>0</v>
      </c>
    </row>
    <row r="562" spans="1:4" x14ac:dyDescent="0.3">
      <c r="A562">
        <v>560</v>
      </c>
      <c r="B562">
        <v>32</v>
      </c>
      <c r="C562">
        <f t="shared" si="8"/>
        <v>8</v>
      </c>
      <c r="D562">
        <v>0</v>
      </c>
    </row>
    <row r="563" spans="1:4" x14ac:dyDescent="0.3">
      <c r="A563">
        <v>561</v>
      </c>
      <c r="B563">
        <v>32</v>
      </c>
      <c r="C563">
        <f t="shared" si="8"/>
        <v>8</v>
      </c>
      <c r="D563">
        <v>0</v>
      </c>
    </row>
    <row r="564" spans="1:4" x14ac:dyDescent="0.3">
      <c r="A564">
        <v>562</v>
      </c>
      <c r="B564">
        <v>31.5</v>
      </c>
      <c r="C564">
        <f t="shared" si="8"/>
        <v>7.5</v>
      </c>
      <c r="D564">
        <v>-2.6852846401717999E-2</v>
      </c>
    </row>
    <row r="565" spans="1:4" x14ac:dyDescent="0.3">
      <c r="A565">
        <v>563</v>
      </c>
      <c r="B565">
        <v>31.5</v>
      </c>
      <c r="C565">
        <f t="shared" si="8"/>
        <v>7.5</v>
      </c>
      <c r="D565">
        <v>-2.6852125345721099E-2</v>
      </c>
    </row>
    <row r="566" spans="1:4" x14ac:dyDescent="0.3">
      <c r="A566">
        <v>564</v>
      </c>
      <c r="B566">
        <v>31.5</v>
      </c>
      <c r="C566">
        <f t="shared" si="8"/>
        <v>7.5</v>
      </c>
      <c r="D566">
        <v>-2.6856452262656299E-2</v>
      </c>
    </row>
    <row r="567" spans="1:4" x14ac:dyDescent="0.3">
      <c r="A567">
        <v>565</v>
      </c>
      <c r="B567">
        <v>31.5</v>
      </c>
      <c r="C567">
        <f t="shared" si="8"/>
        <v>7.5</v>
      </c>
      <c r="D567">
        <v>-2.6856452262656299E-2</v>
      </c>
    </row>
    <row r="568" spans="1:4" x14ac:dyDescent="0.3">
      <c r="A568">
        <v>566</v>
      </c>
      <c r="B568">
        <v>31.5</v>
      </c>
      <c r="C568">
        <f t="shared" si="8"/>
        <v>7.5</v>
      </c>
      <c r="D568">
        <v>-2.68550098020785E-2</v>
      </c>
    </row>
    <row r="569" spans="1:4" x14ac:dyDescent="0.3">
      <c r="A569">
        <v>567</v>
      </c>
      <c r="B569">
        <v>31.5</v>
      </c>
      <c r="C569">
        <f t="shared" si="8"/>
        <v>7.5</v>
      </c>
      <c r="D569">
        <v>-2.68550098020785E-2</v>
      </c>
    </row>
    <row r="570" spans="1:4" x14ac:dyDescent="0.3">
      <c r="A570">
        <v>568</v>
      </c>
      <c r="B570">
        <v>31</v>
      </c>
      <c r="C570">
        <f t="shared" si="8"/>
        <v>7</v>
      </c>
      <c r="D570">
        <v>0</v>
      </c>
    </row>
    <row r="571" spans="1:4" x14ac:dyDescent="0.3">
      <c r="A571">
        <v>569</v>
      </c>
      <c r="B571">
        <v>31</v>
      </c>
      <c r="C571">
        <f t="shared" si="8"/>
        <v>7</v>
      </c>
      <c r="D571">
        <v>0</v>
      </c>
    </row>
    <row r="572" spans="1:4" x14ac:dyDescent="0.3">
      <c r="A572">
        <v>570</v>
      </c>
      <c r="B572">
        <v>31</v>
      </c>
      <c r="C572">
        <f t="shared" si="8"/>
        <v>7</v>
      </c>
      <c r="D572">
        <v>0</v>
      </c>
    </row>
    <row r="573" spans="1:4" x14ac:dyDescent="0.3">
      <c r="A573">
        <v>571</v>
      </c>
      <c r="B573">
        <v>31</v>
      </c>
      <c r="C573">
        <f t="shared" si="8"/>
        <v>7</v>
      </c>
      <c r="D573">
        <v>0</v>
      </c>
    </row>
    <row r="574" spans="1:4" x14ac:dyDescent="0.3">
      <c r="A574">
        <v>572</v>
      </c>
      <c r="B574">
        <v>31</v>
      </c>
      <c r="C574">
        <f t="shared" si="8"/>
        <v>7</v>
      </c>
      <c r="D574">
        <v>0</v>
      </c>
    </row>
    <row r="575" spans="1:4" x14ac:dyDescent="0.3">
      <c r="A575">
        <v>573</v>
      </c>
      <c r="B575">
        <v>31</v>
      </c>
      <c r="C575">
        <f t="shared" si="8"/>
        <v>7</v>
      </c>
      <c r="D575">
        <v>0</v>
      </c>
    </row>
    <row r="576" spans="1:4" x14ac:dyDescent="0.3">
      <c r="A576">
        <v>574</v>
      </c>
      <c r="B576">
        <v>31</v>
      </c>
      <c r="C576">
        <f t="shared" si="8"/>
        <v>7</v>
      </c>
      <c r="D576">
        <v>0</v>
      </c>
    </row>
    <row r="577" spans="1:4" x14ac:dyDescent="0.3">
      <c r="A577">
        <v>575</v>
      </c>
      <c r="B577">
        <v>31</v>
      </c>
      <c r="C577">
        <f t="shared" si="8"/>
        <v>7</v>
      </c>
      <c r="D577">
        <v>0</v>
      </c>
    </row>
    <row r="578" spans="1:4" x14ac:dyDescent="0.3">
      <c r="A578">
        <v>576</v>
      </c>
      <c r="B578">
        <v>31</v>
      </c>
      <c r="C578">
        <f t="shared" si="8"/>
        <v>7</v>
      </c>
      <c r="D578">
        <v>0</v>
      </c>
    </row>
    <row r="579" spans="1:4" x14ac:dyDescent="0.3">
      <c r="A579">
        <v>577</v>
      </c>
      <c r="B579">
        <v>31</v>
      </c>
      <c r="C579">
        <f t="shared" ref="C579:C642" si="9">B579-24</f>
        <v>7</v>
      </c>
      <c r="D579">
        <v>0</v>
      </c>
    </row>
    <row r="580" spans="1:4" x14ac:dyDescent="0.3">
      <c r="A580">
        <v>578</v>
      </c>
      <c r="B580">
        <v>31</v>
      </c>
      <c r="C580">
        <f t="shared" si="9"/>
        <v>7</v>
      </c>
      <c r="D580">
        <v>0</v>
      </c>
    </row>
    <row r="581" spans="1:4" x14ac:dyDescent="0.3">
      <c r="A581">
        <v>579</v>
      </c>
      <c r="B581">
        <v>31</v>
      </c>
      <c r="C581">
        <f t="shared" si="9"/>
        <v>7</v>
      </c>
      <c r="D581">
        <v>0</v>
      </c>
    </row>
    <row r="582" spans="1:4" x14ac:dyDescent="0.3">
      <c r="A582">
        <v>580</v>
      </c>
      <c r="B582">
        <v>31</v>
      </c>
      <c r="C582">
        <f t="shared" si="9"/>
        <v>7</v>
      </c>
      <c r="D582">
        <v>0</v>
      </c>
    </row>
    <row r="583" spans="1:4" x14ac:dyDescent="0.3">
      <c r="A583">
        <v>581</v>
      </c>
      <c r="B583">
        <v>31</v>
      </c>
      <c r="C583">
        <f t="shared" si="9"/>
        <v>7</v>
      </c>
      <c r="D583">
        <v>0</v>
      </c>
    </row>
    <row r="584" spans="1:4" x14ac:dyDescent="0.3">
      <c r="A584">
        <v>582</v>
      </c>
      <c r="B584">
        <v>31</v>
      </c>
      <c r="C584">
        <f t="shared" si="9"/>
        <v>7</v>
      </c>
      <c r="D584">
        <v>0</v>
      </c>
    </row>
    <row r="585" spans="1:4" x14ac:dyDescent="0.3">
      <c r="A585">
        <v>583</v>
      </c>
      <c r="B585">
        <v>31</v>
      </c>
      <c r="C585">
        <f t="shared" si="9"/>
        <v>7</v>
      </c>
      <c r="D585">
        <v>0</v>
      </c>
    </row>
    <row r="586" spans="1:4" x14ac:dyDescent="0.3">
      <c r="A586">
        <v>584</v>
      </c>
      <c r="B586">
        <v>31</v>
      </c>
      <c r="C586">
        <f t="shared" si="9"/>
        <v>7</v>
      </c>
      <c r="D586">
        <v>0</v>
      </c>
    </row>
    <row r="587" spans="1:4" x14ac:dyDescent="0.3">
      <c r="A587">
        <v>585</v>
      </c>
      <c r="B587">
        <v>30.5</v>
      </c>
      <c r="C587">
        <f t="shared" si="9"/>
        <v>6.5</v>
      </c>
      <c r="D587">
        <v>-2.6850683349891599E-2</v>
      </c>
    </row>
    <row r="588" spans="1:4" x14ac:dyDescent="0.3">
      <c r="A588">
        <v>586</v>
      </c>
      <c r="B588">
        <v>30.5</v>
      </c>
      <c r="C588">
        <f t="shared" si="9"/>
        <v>6.5</v>
      </c>
      <c r="D588">
        <v>-2.6849962410052799E-2</v>
      </c>
    </row>
    <row r="589" spans="1:4" x14ac:dyDescent="0.3">
      <c r="A589">
        <v>587</v>
      </c>
      <c r="B589">
        <v>30.5</v>
      </c>
      <c r="C589">
        <f t="shared" si="9"/>
        <v>6.5</v>
      </c>
      <c r="D589">
        <v>-2.6847799822804899E-2</v>
      </c>
    </row>
    <row r="590" spans="1:4" x14ac:dyDescent="0.3">
      <c r="A590">
        <v>588</v>
      </c>
      <c r="B590">
        <v>30.5</v>
      </c>
      <c r="C590">
        <f t="shared" si="9"/>
        <v>6.5</v>
      </c>
      <c r="D590">
        <v>-2.68492415089274E-2</v>
      </c>
    </row>
    <row r="591" spans="1:4" x14ac:dyDescent="0.3">
      <c r="A591">
        <v>589</v>
      </c>
      <c r="B591">
        <v>30.5</v>
      </c>
      <c r="C591">
        <f t="shared" si="9"/>
        <v>6.5</v>
      </c>
      <c r="D591">
        <v>-2.6852125345721099E-2</v>
      </c>
    </row>
    <row r="592" spans="1:4" x14ac:dyDescent="0.3">
      <c r="A592">
        <v>590</v>
      </c>
      <c r="B592">
        <v>30.5</v>
      </c>
      <c r="C592">
        <f t="shared" si="9"/>
        <v>6.5</v>
      </c>
      <c r="D592">
        <v>-2.6850683349890901E-2</v>
      </c>
    </row>
    <row r="593" spans="1:4" x14ac:dyDescent="0.3">
      <c r="A593">
        <v>591</v>
      </c>
      <c r="B593">
        <v>30</v>
      </c>
      <c r="C593">
        <f t="shared" si="9"/>
        <v>6</v>
      </c>
      <c r="D593">
        <v>0</v>
      </c>
    </row>
    <row r="594" spans="1:4" x14ac:dyDescent="0.3">
      <c r="A594">
        <v>592</v>
      </c>
      <c r="B594">
        <v>30</v>
      </c>
      <c r="C594">
        <f t="shared" si="9"/>
        <v>6</v>
      </c>
      <c r="D594">
        <v>0</v>
      </c>
    </row>
    <row r="595" spans="1:4" x14ac:dyDescent="0.3">
      <c r="A595">
        <v>593</v>
      </c>
      <c r="B595">
        <v>30</v>
      </c>
      <c r="C595">
        <f t="shared" si="9"/>
        <v>6</v>
      </c>
      <c r="D595">
        <v>0</v>
      </c>
    </row>
    <row r="596" spans="1:4" x14ac:dyDescent="0.3">
      <c r="A596">
        <v>594</v>
      </c>
      <c r="B596">
        <v>30</v>
      </c>
      <c r="C596">
        <f t="shared" si="9"/>
        <v>6</v>
      </c>
      <c r="D596">
        <v>0</v>
      </c>
    </row>
    <row r="597" spans="1:4" x14ac:dyDescent="0.3">
      <c r="A597">
        <v>595</v>
      </c>
      <c r="B597">
        <v>30</v>
      </c>
      <c r="C597">
        <f t="shared" si="9"/>
        <v>6</v>
      </c>
      <c r="D597">
        <v>0</v>
      </c>
    </row>
    <row r="598" spans="1:4" x14ac:dyDescent="0.3">
      <c r="A598">
        <v>596</v>
      </c>
      <c r="B598">
        <v>30</v>
      </c>
      <c r="C598">
        <f t="shared" si="9"/>
        <v>6</v>
      </c>
      <c r="D598">
        <v>0</v>
      </c>
    </row>
    <row r="599" spans="1:4" x14ac:dyDescent="0.3">
      <c r="A599">
        <v>597</v>
      </c>
      <c r="B599">
        <v>30</v>
      </c>
      <c r="C599">
        <f t="shared" si="9"/>
        <v>6</v>
      </c>
      <c r="D599">
        <v>0</v>
      </c>
    </row>
    <row r="600" spans="1:4" x14ac:dyDescent="0.3">
      <c r="A600">
        <v>598</v>
      </c>
      <c r="B600">
        <v>30</v>
      </c>
      <c r="C600">
        <f t="shared" si="9"/>
        <v>6</v>
      </c>
      <c r="D600">
        <v>0</v>
      </c>
    </row>
    <row r="601" spans="1:4" x14ac:dyDescent="0.3">
      <c r="A601">
        <v>599</v>
      </c>
      <c r="B601">
        <v>29.5</v>
      </c>
      <c r="C601">
        <f t="shared" si="9"/>
        <v>5.5</v>
      </c>
      <c r="D601">
        <v>-2.6847799822804899E-2</v>
      </c>
    </row>
    <row r="602" spans="1:4" x14ac:dyDescent="0.3">
      <c r="A602">
        <v>600</v>
      </c>
      <c r="B602">
        <v>29.5</v>
      </c>
      <c r="C602">
        <f t="shared" si="9"/>
        <v>5.5</v>
      </c>
      <c r="D602">
        <v>-2.6847799822804299E-2</v>
      </c>
    </row>
    <row r="603" spans="1:4" x14ac:dyDescent="0.3">
      <c r="A603">
        <v>601</v>
      </c>
      <c r="B603">
        <v>29.5</v>
      </c>
      <c r="C603">
        <f t="shared" si="9"/>
        <v>5.5</v>
      </c>
      <c r="D603">
        <v>-2.68492415089274E-2</v>
      </c>
    </row>
    <row r="604" spans="1:4" x14ac:dyDescent="0.3">
      <c r="A604">
        <v>602</v>
      </c>
      <c r="B604">
        <v>29.5</v>
      </c>
      <c r="C604">
        <f t="shared" si="9"/>
        <v>5.5</v>
      </c>
      <c r="D604">
        <v>-2.68528464017187E-2</v>
      </c>
    </row>
    <row r="605" spans="1:4" x14ac:dyDescent="0.3">
      <c r="A605">
        <v>603</v>
      </c>
      <c r="B605">
        <v>29.5</v>
      </c>
      <c r="C605">
        <f t="shared" si="9"/>
        <v>5.5</v>
      </c>
      <c r="D605">
        <v>-2.6852846401717999E-2</v>
      </c>
    </row>
    <row r="606" spans="1:4" x14ac:dyDescent="0.3">
      <c r="A606">
        <v>604</v>
      </c>
      <c r="B606">
        <v>29.5</v>
      </c>
      <c r="C606">
        <f t="shared" si="9"/>
        <v>5.5</v>
      </c>
      <c r="D606">
        <v>-2.6849962410052799E-2</v>
      </c>
    </row>
    <row r="607" spans="1:4" x14ac:dyDescent="0.3">
      <c r="A607">
        <v>605</v>
      </c>
      <c r="B607">
        <v>29</v>
      </c>
      <c r="C607">
        <f t="shared" si="9"/>
        <v>5</v>
      </c>
      <c r="D607">
        <v>0</v>
      </c>
    </row>
    <row r="608" spans="1:4" x14ac:dyDescent="0.3">
      <c r="A608">
        <v>606</v>
      </c>
      <c r="B608">
        <v>29</v>
      </c>
      <c r="C608">
        <f t="shared" si="9"/>
        <v>5</v>
      </c>
      <c r="D608">
        <v>0</v>
      </c>
    </row>
    <row r="609" spans="1:4" x14ac:dyDescent="0.3">
      <c r="A609">
        <v>607</v>
      </c>
      <c r="B609">
        <v>29</v>
      </c>
      <c r="C609">
        <f t="shared" si="9"/>
        <v>5</v>
      </c>
      <c r="D609">
        <v>0</v>
      </c>
    </row>
    <row r="610" spans="1:4" x14ac:dyDescent="0.3">
      <c r="A610">
        <v>608</v>
      </c>
      <c r="B610">
        <v>29</v>
      </c>
      <c r="C610">
        <f t="shared" si="9"/>
        <v>5</v>
      </c>
      <c r="D610">
        <v>0</v>
      </c>
    </row>
    <row r="611" spans="1:4" x14ac:dyDescent="0.3">
      <c r="A611">
        <v>609</v>
      </c>
      <c r="B611">
        <v>29</v>
      </c>
      <c r="C611">
        <f t="shared" si="9"/>
        <v>5</v>
      </c>
      <c r="D611">
        <v>0</v>
      </c>
    </row>
    <row r="612" spans="1:4" x14ac:dyDescent="0.3">
      <c r="A612">
        <v>610</v>
      </c>
      <c r="B612">
        <v>29</v>
      </c>
      <c r="C612">
        <f t="shared" si="9"/>
        <v>5</v>
      </c>
      <c r="D612">
        <v>0</v>
      </c>
    </row>
    <row r="613" spans="1:4" x14ac:dyDescent="0.3">
      <c r="A613">
        <v>611</v>
      </c>
      <c r="B613">
        <v>29</v>
      </c>
      <c r="C613">
        <f t="shared" si="9"/>
        <v>5</v>
      </c>
      <c r="D613">
        <v>0</v>
      </c>
    </row>
    <row r="614" spans="1:4" x14ac:dyDescent="0.3">
      <c r="A614">
        <v>612</v>
      </c>
      <c r="B614">
        <v>29</v>
      </c>
      <c r="C614">
        <f t="shared" si="9"/>
        <v>5</v>
      </c>
      <c r="D614">
        <v>0</v>
      </c>
    </row>
    <row r="615" spans="1:4" x14ac:dyDescent="0.3">
      <c r="A615">
        <v>613</v>
      </c>
      <c r="B615">
        <v>29</v>
      </c>
      <c r="C615">
        <f t="shared" si="9"/>
        <v>5</v>
      </c>
      <c r="D615">
        <v>0</v>
      </c>
    </row>
    <row r="616" spans="1:4" x14ac:dyDescent="0.3">
      <c r="A616">
        <v>614</v>
      </c>
      <c r="B616">
        <v>29</v>
      </c>
      <c r="C616">
        <f t="shared" si="9"/>
        <v>5</v>
      </c>
      <c r="D616">
        <v>0</v>
      </c>
    </row>
    <row r="617" spans="1:4" x14ac:dyDescent="0.3">
      <c r="A617">
        <v>615</v>
      </c>
      <c r="B617">
        <v>29</v>
      </c>
      <c r="C617">
        <f t="shared" si="9"/>
        <v>5</v>
      </c>
      <c r="D617">
        <v>0</v>
      </c>
    </row>
    <row r="618" spans="1:4" x14ac:dyDescent="0.3">
      <c r="A618">
        <v>616</v>
      </c>
      <c r="B618">
        <v>29</v>
      </c>
      <c r="C618">
        <f t="shared" si="9"/>
        <v>5</v>
      </c>
      <c r="D618">
        <v>0</v>
      </c>
    </row>
    <row r="619" spans="1:4" x14ac:dyDescent="0.3">
      <c r="A619">
        <v>617</v>
      </c>
      <c r="B619">
        <v>29</v>
      </c>
      <c r="C619">
        <f t="shared" si="9"/>
        <v>5</v>
      </c>
      <c r="D619">
        <v>0</v>
      </c>
    </row>
    <row r="620" spans="1:4" x14ac:dyDescent="0.3">
      <c r="A620">
        <v>618</v>
      </c>
      <c r="B620">
        <v>29</v>
      </c>
      <c r="C620">
        <f t="shared" si="9"/>
        <v>5</v>
      </c>
      <c r="D620">
        <v>0</v>
      </c>
    </row>
    <row r="621" spans="1:4" x14ac:dyDescent="0.3">
      <c r="A621">
        <v>619</v>
      </c>
      <c r="B621">
        <v>29</v>
      </c>
      <c r="C621">
        <f t="shared" si="9"/>
        <v>5</v>
      </c>
      <c r="D621">
        <v>0</v>
      </c>
    </row>
    <row r="622" spans="1:4" x14ac:dyDescent="0.3">
      <c r="A622">
        <v>620</v>
      </c>
      <c r="B622">
        <v>29</v>
      </c>
      <c r="C622">
        <f t="shared" si="9"/>
        <v>5</v>
      </c>
      <c r="D622">
        <v>0</v>
      </c>
    </row>
    <row r="623" spans="1:4" x14ac:dyDescent="0.3">
      <c r="A623">
        <v>621</v>
      </c>
      <c r="B623">
        <v>29</v>
      </c>
      <c r="C623">
        <f t="shared" si="9"/>
        <v>5</v>
      </c>
      <c r="D623">
        <v>0</v>
      </c>
    </row>
    <row r="624" spans="1:4" x14ac:dyDescent="0.3">
      <c r="A624">
        <v>622</v>
      </c>
      <c r="B624">
        <v>29</v>
      </c>
      <c r="C624">
        <f t="shared" si="9"/>
        <v>5</v>
      </c>
      <c r="D624">
        <v>0</v>
      </c>
    </row>
    <row r="625" spans="1:4" x14ac:dyDescent="0.3">
      <c r="A625">
        <v>623</v>
      </c>
      <c r="B625">
        <v>29</v>
      </c>
      <c r="C625">
        <f t="shared" si="9"/>
        <v>5</v>
      </c>
      <c r="D625">
        <v>0</v>
      </c>
    </row>
    <row r="626" spans="1:4" x14ac:dyDescent="0.3">
      <c r="A626">
        <v>624</v>
      </c>
      <c r="B626">
        <v>29</v>
      </c>
      <c r="C626">
        <f t="shared" si="9"/>
        <v>5</v>
      </c>
      <c r="D626">
        <v>0</v>
      </c>
    </row>
    <row r="627" spans="1:4" x14ac:dyDescent="0.3">
      <c r="A627">
        <v>625</v>
      </c>
      <c r="B627">
        <v>29</v>
      </c>
      <c r="C627">
        <f t="shared" si="9"/>
        <v>5</v>
      </c>
      <c r="D627">
        <v>0</v>
      </c>
    </row>
    <row r="628" spans="1:4" x14ac:dyDescent="0.3">
      <c r="A628">
        <v>626</v>
      </c>
      <c r="B628">
        <v>29</v>
      </c>
      <c r="C628">
        <f t="shared" si="9"/>
        <v>5</v>
      </c>
      <c r="D628">
        <v>0</v>
      </c>
    </row>
    <row r="629" spans="1:4" x14ac:dyDescent="0.3">
      <c r="A629">
        <v>627</v>
      </c>
      <c r="B629">
        <v>29</v>
      </c>
      <c r="C629">
        <f t="shared" si="9"/>
        <v>5</v>
      </c>
      <c r="D629">
        <v>0</v>
      </c>
    </row>
    <row r="630" spans="1:4" x14ac:dyDescent="0.3">
      <c r="A630">
        <v>628</v>
      </c>
      <c r="B630">
        <v>29</v>
      </c>
      <c r="C630">
        <f t="shared" si="9"/>
        <v>5</v>
      </c>
      <c r="D630">
        <v>0</v>
      </c>
    </row>
    <row r="631" spans="1:4" x14ac:dyDescent="0.3">
      <c r="A631">
        <v>629</v>
      </c>
      <c r="B631">
        <v>29</v>
      </c>
      <c r="C631">
        <f t="shared" si="9"/>
        <v>5</v>
      </c>
      <c r="D631">
        <v>0</v>
      </c>
    </row>
    <row r="632" spans="1:4" x14ac:dyDescent="0.3">
      <c r="A632">
        <v>630</v>
      </c>
      <c r="B632">
        <v>29</v>
      </c>
      <c r="C632">
        <f t="shared" si="9"/>
        <v>5</v>
      </c>
      <c r="D632">
        <v>0</v>
      </c>
    </row>
    <row r="633" spans="1:4" x14ac:dyDescent="0.3">
      <c r="A633">
        <v>631</v>
      </c>
      <c r="B633">
        <v>29</v>
      </c>
      <c r="C633">
        <f t="shared" si="9"/>
        <v>5</v>
      </c>
      <c r="D633">
        <v>0</v>
      </c>
    </row>
    <row r="634" spans="1:4" x14ac:dyDescent="0.3">
      <c r="A634">
        <v>632</v>
      </c>
      <c r="B634">
        <v>28.5</v>
      </c>
      <c r="C634">
        <f t="shared" si="9"/>
        <v>4.5</v>
      </c>
      <c r="D634">
        <v>-2.68550098020785E-2</v>
      </c>
    </row>
    <row r="635" spans="1:4" x14ac:dyDescent="0.3">
      <c r="A635">
        <v>633</v>
      </c>
      <c r="B635">
        <v>28.5</v>
      </c>
      <c r="C635">
        <f t="shared" si="9"/>
        <v>4.5</v>
      </c>
      <c r="D635">
        <v>-2.6852125345721099E-2</v>
      </c>
    </row>
    <row r="636" spans="1:4" x14ac:dyDescent="0.3">
      <c r="A636">
        <v>634</v>
      </c>
      <c r="B636">
        <v>28.5</v>
      </c>
      <c r="C636">
        <f t="shared" si="9"/>
        <v>4.5</v>
      </c>
      <c r="D636">
        <v>-2.6852125345721099E-2</v>
      </c>
    </row>
    <row r="637" spans="1:4" x14ac:dyDescent="0.3">
      <c r="A637">
        <v>635</v>
      </c>
      <c r="B637">
        <v>28.5</v>
      </c>
      <c r="C637">
        <f t="shared" si="9"/>
        <v>4.5</v>
      </c>
      <c r="D637">
        <v>-2.6850683349890901E-2</v>
      </c>
    </row>
    <row r="638" spans="1:4" x14ac:dyDescent="0.3">
      <c r="A638">
        <v>636</v>
      </c>
      <c r="B638">
        <v>28.5</v>
      </c>
      <c r="C638">
        <f t="shared" si="9"/>
        <v>4.5</v>
      </c>
      <c r="D638">
        <v>-2.6852125345721099E-2</v>
      </c>
    </row>
    <row r="639" spans="1:4" x14ac:dyDescent="0.3">
      <c r="A639">
        <v>637</v>
      </c>
      <c r="B639">
        <v>28.5</v>
      </c>
      <c r="C639">
        <f t="shared" si="9"/>
        <v>4.5</v>
      </c>
      <c r="D639">
        <v>-2.6852846401717999E-2</v>
      </c>
    </row>
    <row r="640" spans="1:4" x14ac:dyDescent="0.3">
      <c r="A640">
        <v>638</v>
      </c>
      <c r="B640">
        <v>28</v>
      </c>
      <c r="C640">
        <f t="shared" si="9"/>
        <v>4</v>
      </c>
      <c r="D640">
        <v>0</v>
      </c>
    </row>
    <row r="641" spans="1:4" x14ac:dyDescent="0.3">
      <c r="A641">
        <v>639</v>
      </c>
      <c r="B641">
        <v>28</v>
      </c>
      <c r="C641">
        <f t="shared" si="9"/>
        <v>4</v>
      </c>
      <c r="D641">
        <v>0</v>
      </c>
    </row>
    <row r="642" spans="1:4" x14ac:dyDescent="0.3">
      <c r="A642">
        <v>640</v>
      </c>
      <c r="B642">
        <v>28</v>
      </c>
      <c r="C642">
        <f t="shared" si="9"/>
        <v>4</v>
      </c>
      <c r="D642">
        <v>0</v>
      </c>
    </row>
    <row r="643" spans="1:4" x14ac:dyDescent="0.3">
      <c r="A643">
        <v>641</v>
      </c>
      <c r="B643">
        <v>28</v>
      </c>
      <c r="C643">
        <f t="shared" ref="C643:C706" si="10">B643-24</f>
        <v>4</v>
      </c>
      <c r="D643">
        <v>0</v>
      </c>
    </row>
    <row r="644" spans="1:4" x14ac:dyDescent="0.3">
      <c r="A644">
        <v>642</v>
      </c>
      <c r="B644">
        <v>28</v>
      </c>
      <c r="C644">
        <f t="shared" si="10"/>
        <v>4</v>
      </c>
      <c r="D644">
        <v>0</v>
      </c>
    </row>
    <row r="645" spans="1:4" x14ac:dyDescent="0.3">
      <c r="A645">
        <v>643</v>
      </c>
      <c r="B645">
        <v>28</v>
      </c>
      <c r="C645">
        <f t="shared" si="10"/>
        <v>4</v>
      </c>
      <c r="D645">
        <v>0</v>
      </c>
    </row>
    <row r="646" spans="1:4" x14ac:dyDescent="0.3">
      <c r="A646">
        <v>644</v>
      </c>
      <c r="B646">
        <v>28</v>
      </c>
      <c r="C646">
        <f t="shared" si="10"/>
        <v>4</v>
      </c>
      <c r="D646">
        <v>0</v>
      </c>
    </row>
    <row r="647" spans="1:4" x14ac:dyDescent="0.3">
      <c r="A647">
        <v>645</v>
      </c>
      <c r="B647">
        <v>28</v>
      </c>
      <c r="C647">
        <f t="shared" si="10"/>
        <v>4</v>
      </c>
      <c r="D647">
        <v>0</v>
      </c>
    </row>
    <row r="648" spans="1:4" x14ac:dyDescent="0.3">
      <c r="A648">
        <v>646</v>
      </c>
      <c r="B648">
        <v>28</v>
      </c>
      <c r="C648">
        <f t="shared" si="10"/>
        <v>4</v>
      </c>
      <c r="D648">
        <v>0</v>
      </c>
    </row>
    <row r="649" spans="1:4" x14ac:dyDescent="0.3">
      <c r="A649">
        <v>647</v>
      </c>
      <c r="B649">
        <v>28</v>
      </c>
      <c r="C649">
        <f t="shared" si="10"/>
        <v>4</v>
      </c>
      <c r="D649">
        <v>0</v>
      </c>
    </row>
    <row r="650" spans="1:4" x14ac:dyDescent="0.3">
      <c r="A650">
        <v>648</v>
      </c>
      <c r="B650">
        <v>28</v>
      </c>
      <c r="C650">
        <f t="shared" si="10"/>
        <v>4</v>
      </c>
      <c r="D650">
        <v>0</v>
      </c>
    </row>
    <row r="651" spans="1:4" x14ac:dyDescent="0.3">
      <c r="A651">
        <v>649</v>
      </c>
      <c r="B651">
        <v>28</v>
      </c>
      <c r="C651">
        <f t="shared" si="10"/>
        <v>4</v>
      </c>
      <c r="D651">
        <v>0</v>
      </c>
    </row>
    <row r="652" spans="1:4" x14ac:dyDescent="0.3">
      <c r="A652">
        <v>650</v>
      </c>
      <c r="B652">
        <v>28</v>
      </c>
      <c r="C652">
        <f t="shared" si="10"/>
        <v>4</v>
      </c>
      <c r="D652">
        <v>0</v>
      </c>
    </row>
    <row r="653" spans="1:4" x14ac:dyDescent="0.3">
      <c r="A653">
        <v>651</v>
      </c>
      <c r="B653">
        <v>28</v>
      </c>
      <c r="C653">
        <f t="shared" si="10"/>
        <v>4</v>
      </c>
      <c r="D653">
        <v>0</v>
      </c>
    </row>
    <row r="654" spans="1:4" x14ac:dyDescent="0.3">
      <c r="A654">
        <v>652</v>
      </c>
      <c r="B654">
        <v>28</v>
      </c>
      <c r="C654">
        <f t="shared" si="10"/>
        <v>4</v>
      </c>
      <c r="D654">
        <v>0</v>
      </c>
    </row>
    <row r="655" spans="1:4" x14ac:dyDescent="0.3">
      <c r="A655">
        <v>653</v>
      </c>
      <c r="B655">
        <v>28</v>
      </c>
      <c r="C655">
        <f t="shared" si="10"/>
        <v>4</v>
      </c>
      <c r="D655">
        <v>0</v>
      </c>
    </row>
    <row r="656" spans="1:4" x14ac:dyDescent="0.3">
      <c r="A656">
        <v>654</v>
      </c>
      <c r="B656">
        <v>28</v>
      </c>
      <c r="C656">
        <f t="shared" si="10"/>
        <v>4</v>
      </c>
      <c r="D656">
        <v>0</v>
      </c>
    </row>
    <row r="657" spans="1:4" x14ac:dyDescent="0.3">
      <c r="A657">
        <v>655</v>
      </c>
      <c r="B657">
        <v>28</v>
      </c>
      <c r="C657">
        <f t="shared" si="10"/>
        <v>4</v>
      </c>
      <c r="D657">
        <v>0</v>
      </c>
    </row>
    <row r="658" spans="1:4" x14ac:dyDescent="0.3">
      <c r="A658">
        <v>656</v>
      </c>
      <c r="B658">
        <v>28</v>
      </c>
      <c r="C658">
        <f t="shared" si="10"/>
        <v>4</v>
      </c>
      <c r="D658">
        <v>0</v>
      </c>
    </row>
    <row r="659" spans="1:4" x14ac:dyDescent="0.3">
      <c r="A659">
        <v>657</v>
      </c>
      <c r="B659">
        <v>28</v>
      </c>
      <c r="C659">
        <f t="shared" si="10"/>
        <v>4</v>
      </c>
      <c r="D659">
        <v>0</v>
      </c>
    </row>
    <row r="660" spans="1:4" x14ac:dyDescent="0.3">
      <c r="A660">
        <v>658</v>
      </c>
      <c r="B660">
        <v>28</v>
      </c>
      <c r="C660">
        <f t="shared" si="10"/>
        <v>4</v>
      </c>
      <c r="D660">
        <v>0</v>
      </c>
    </row>
    <row r="661" spans="1:4" x14ac:dyDescent="0.3">
      <c r="A661">
        <v>659</v>
      </c>
      <c r="B661">
        <v>28</v>
      </c>
      <c r="C661">
        <f t="shared" si="10"/>
        <v>4</v>
      </c>
      <c r="D661">
        <v>0</v>
      </c>
    </row>
    <row r="662" spans="1:4" x14ac:dyDescent="0.3">
      <c r="A662">
        <v>660</v>
      </c>
      <c r="B662">
        <v>28</v>
      </c>
      <c r="C662">
        <f t="shared" si="10"/>
        <v>4</v>
      </c>
      <c r="D662">
        <v>0</v>
      </c>
    </row>
    <row r="663" spans="1:4" x14ac:dyDescent="0.3">
      <c r="A663">
        <v>661</v>
      </c>
      <c r="B663">
        <v>28</v>
      </c>
      <c r="C663">
        <f t="shared" si="10"/>
        <v>4</v>
      </c>
      <c r="D663">
        <v>0</v>
      </c>
    </row>
    <row r="664" spans="1:4" x14ac:dyDescent="0.3">
      <c r="A664">
        <v>662</v>
      </c>
      <c r="B664">
        <v>28</v>
      </c>
      <c r="C664">
        <f t="shared" si="10"/>
        <v>4</v>
      </c>
      <c r="D664">
        <v>0</v>
      </c>
    </row>
    <row r="665" spans="1:4" x14ac:dyDescent="0.3">
      <c r="A665">
        <v>663</v>
      </c>
      <c r="B665">
        <v>28</v>
      </c>
      <c r="C665">
        <f t="shared" si="10"/>
        <v>4</v>
      </c>
      <c r="D665">
        <v>0</v>
      </c>
    </row>
    <row r="666" spans="1:4" x14ac:dyDescent="0.3">
      <c r="A666">
        <v>664</v>
      </c>
      <c r="B666">
        <v>28</v>
      </c>
      <c r="C666">
        <f t="shared" si="10"/>
        <v>4</v>
      </c>
      <c r="D666">
        <v>0</v>
      </c>
    </row>
    <row r="667" spans="1:4" x14ac:dyDescent="0.3">
      <c r="A667">
        <v>665</v>
      </c>
      <c r="B667">
        <v>28</v>
      </c>
      <c r="C667">
        <f t="shared" si="10"/>
        <v>4</v>
      </c>
      <c r="D667">
        <v>0</v>
      </c>
    </row>
    <row r="668" spans="1:4" x14ac:dyDescent="0.3">
      <c r="A668">
        <v>666</v>
      </c>
      <c r="B668">
        <v>28</v>
      </c>
      <c r="C668">
        <f t="shared" si="10"/>
        <v>4</v>
      </c>
      <c r="D668">
        <v>0</v>
      </c>
    </row>
    <row r="669" spans="1:4" x14ac:dyDescent="0.3">
      <c r="A669">
        <v>667</v>
      </c>
      <c r="B669">
        <v>28</v>
      </c>
      <c r="C669">
        <f t="shared" si="10"/>
        <v>4</v>
      </c>
      <c r="D669">
        <v>0</v>
      </c>
    </row>
    <row r="670" spans="1:4" x14ac:dyDescent="0.3">
      <c r="A670">
        <v>668</v>
      </c>
      <c r="B670">
        <v>28</v>
      </c>
      <c r="C670">
        <f t="shared" si="10"/>
        <v>4</v>
      </c>
      <c r="D670">
        <v>0</v>
      </c>
    </row>
    <row r="671" spans="1:4" x14ac:dyDescent="0.3">
      <c r="A671">
        <v>669</v>
      </c>
      <c r="B671">
        <v>28</v>
      </c>
      <c r="C671">
        <f t="shared" si="10"/>
        <v>4</v>
      </c>
      <c r="D671">
        <v>0</v>
      </c>
    </row>
    <row r="672" spans="1:4" x14ac:dyDescent="0.3">
      <c r="A672">
        <v>670</v>
      </c>
      <c r="B672">
        <v>28</v>
      </c>
      <c r="C672">
        <f t="shared" si="10"/>
        <v>4</v>
      </c>
      <c r="D672">
        <v>0</v>
      </c>
    </row>
    <row r="673" spans="1:4" x14ac:dyDescent="0.3">
      <c r="A673">
        <v>671</v>
      </c>
      <c r="B673">
        <v>28</v>
      </c>
      <c r="C673">
        <f t="shared" si="10"/>
        <v>4</v>
      </c>
      <c r="D673">
        <v>0</v>
      </c>
    </row>
    <row r="674" spans="1:4" x14ac:dyDescent="0.3">
      <c r="A674">
        <v>672</v>
      </c>
      <c r="B674">
        <v>28</v>
      </c>
      <c r="C674">
        <f t="shared" si="10"/>
        <v>4</v>
      </c>
      <c r="D674">
        <v>0</v>
      </c>
    </row>
    <row r="675" spans="1:4" x14ac:dyDescent="0.3">
      <c r="A675">
        <v>673</v>
      </c>
      <c r="B675">
        <v>28</v>
      </c>
      <c r="C675">
        <f t="shared" si="10"/>
        <v>4</v>
      </c>
      <c r="D675">
        <v>0</v>
      </c>
    </row>
    <row r="676" spans="1:4" x14ac:dyDescent="0.3">
      <c r="A676">
        <v>674</v>
      </c>
      <c r="B676">
        <v>28</v>
      </c>
      <c r="C676">
        <f t="shared" si="10"/>
        <v>4</v>
      </c>
      <c r="D676">
        <v>0</v>
      </c>
    </row>
    <row r="677" spans="1:4" x14ac:dyDescent="0.3">
      <c r="A677">
        <v>675</v>
      </c>
      <c r="B677">
        <v>28</v>
      </c>
      <c r="C677">
        <f t="shared" si="10"/>
        <v>4</v>
      </c>
      <c r="D677">
        <v>0</v>
      </c>
    </row>
    <row r="678" spans="1:4" x14ac:dyDescent="0.3">
      <c r="A678">
        <v>676</v>
      </c>
      <c r="B678">
        <v>28</v>
      </c>
      <c r="C678">
        <f t="shared" si="10"/>
        <v>4</v>
      </c>
      <c r="D678">
        <v>0</v>
      </c>
    </row>
    <row r="679" spans="1:4" x14ac:dyDescent="0.3">
      <c r="A679">
        <v>677</v>
      </c>
      <c r="B679">
        <v>28</v>
      </c>
      <c r="C679">
        <f t="shared" si="10"/>
        <v>4</v>
      </c>
      <c r="D679">
        <v>0</v>
      </c>
    </row>
    <row r="680" spans="1:4" x14ac:dyDescent="0.3">
      <c r="A680">
        <v>678</v>
      </c>
      <c r="B680">
        <v>27.5</v>
      </c>
      <c r="C680">
        <f t="shared" si="10"/>
        <v>3.5</v>
      </c>
      <c r="D680">
        <v>-2.68514043284462E-2</v>
      </c>
    </row>
    <row r="681" spans="1:4" x14ac:dyDescent="0.3">
      <c r="A681">
        <v>679</v>
      </c>
      <c r="B681">
        <v>27.5</v>
      </c>
      <c r="C681">
        <f t="shared" si="10"/>
        <v>3.5</v>
      </c>
      <c r="D681">
        <v>-2.68492415089274E-2</v>
      </c>
    </row>
    <row r="682" spans="1:4" x14ac:dyDescent="0.3">
      <c r="A682">
        <v>680</v>
      </c>
      <c r="B682">
        <v>27.5</v>
      </c>
      <c r="C682">
        <f t="shared" si="10"/>
        <v>3.5</v>
      </c>
      <c r="D682">
        <v>-2.68492415089274E-2</v>
      </c>
    </row>
    <row r="683" spans="1:4" x14ac:dyDescent="0.3">
      <c r="A683">
        <v>681</v>
      </c>
      <c r="B683">
        <v>27.5</v>
      </c>
      <c r="C683">
        <f t="shared" si="10"/>
        <v>3.5</v>
      </c>
      <c r="D683">
        <v>-2.68470790378003E-2</v>
      </c>
    </row>
    <row r="684" spans="1:4" x14ac:dyDescent="0.3">
      <c r="A684">
        <v>682</v>
      </c>
      <c r="B684">
        <v>27.5</v>
      </c>
      <c r="C684">
        <f t="shared" si="10"/>
        <v>3.5</v>
      </c>
      <c r="D684">
        <v>-2.6848520646512299E-2</v>
      </c>
    </row>
    <row r="685" spans="1:4" x14ac:dyDescent="0.3">
      <c r="A685">
        <v>683</v>
      </c>
      <c r="B685">
        <v>27.5</v>
      </c>
      <c r="C685">
        <f t="shared" si="10"/>
        <v>3.5</v>
      </c>
      <c r="D685">
        <v>-2.6853567496442202E-2</v>
      </c>
    </row>
    <row r="686" spans="1:4" x14ac:dyDescent="0.3">
      <c r="A686">
        <v>684</v>
      </c>
      <c r="B686">
        <v>27</v>
      </c>
      <c r="C686">
        <f t="shared" si="10"/>
        <v>3</v>
      </c>
      <c r="D686">
        <v>0</v>
      </c>
    </row>
    <row r="687" spans="1:4" x14ac:dyDescent="0.3">
      <c r="A687">
        <v>685</v>
      </c>
      <c r="B687">
        <v>27</v>
      </c>
      <c r="C687">
        <f t="shared" si="10"/>
        <v>3</v>
      </c>
      <c r="D687">
        <v>0</v>
      </c>
    </row>
    <row r="688" spans="1:4" x14ac:dyDescent="0.3">
      <c r="A688">
        <v>686</v>
      </c>
      <c r="B688">
        <v>27</v>
      </c>
      <c r="C688">
        <f t="shared" si="10"/>
        <v>3</v>
      </c>
      <c r="D688">
        <v>0</v>
      </c>
    </row>
    <row r="689" spans="1:4" x14ac:dyDescent="0.3">
      <c r="A689">
        <v>687</v>
      </c>
      <c r="B689">
        <v>27</v>
      </c>
      <c r="C689">
        <f t="shared" si="10"/>
        <v>3</v>
      </c>
      <c r="D689">
        <v>0</v>
      </c>
    </row>
    <row r="690" spans="1:4" x14ac:dyDescent="0.3">
      <c r="A690">
        <v>688</v>
      </c>
      <c r="B690">
        <v>27</v>
      </c>
      <c r="C690">
        <f t="shared" si="10"/>
        <v>3</v>
      </c>
      <c r="D690">
        <v>0</v>
      </c>
    </row>
    <row r="691" spans="1:4" x14ac:dyDescent="0.3">
      <c r="A691">
        <v>689</v>
      </c>
      <c r="B691">
        <v>27</v>
      </c>
      <c r="C691">
        <f t="shared" si="10"/>
        <v>3</v>
      </c>
      <c r="D691">
        <v>0</v>
      </c>
    </row>
    <row r="692" spans="1:4" x14ac:dyDescent="0.3">
      <c r="A692">
        <v>690</v>
      </c>
      <c r="B692">
        <v>27</v>
      </c>
      <c r="C692">
        <f t="shared" si="10"/>
        <v>3</v>
      </c>
      <c r="D692">
        <v>0</v>
      </c>
    </row>
    <row r="693" spans="1:4" x14ac:dyDescent="0.3">
      <c r="A693">
        <v>691</v>
      </c>
      <c r="B693">
        <v>27</v>
      </c>
      <c r="C693">
        <f t="shared" si="10"/>
        <v>3</v>
      </c>
      <c r="D693">
        <v>0</v>
      </c>
    </row>
    <row r="694" spans="1:4" x14ac:dyDescent="0.3">
      <c r="A694">
        <v>692</v>
      </c>
      <c r="B694">
        <v>27</v>
      </c>
      <c r="C694">
        <f t="shared" si="10"/>
        <v>3</v>
      </c>
      <c r="D694">
        <v>0</v>
      </c>
    </row>
    <row r="695" spans="1:4" x14ac:dyDescent="0.3">
      <c r="A695">
        <v>693</v>
      </c>
      <c r="B695">
        <v>27</v>
      </c>
      <c r="C695">
        <f t="shared" si="10"/>
        <v>3</v>
      </c>
      <c r="D695">
        <v>0</v>
      </c>
    </row>
    <row r="696" spans="1:4" x14ac:dyDescent="0.3">
      <c r="A696">
        <v>694</v>
      </c>
      <c r="B696">
        <v>27</v>
      </c>
      <c r="C696">
        <f t="shared" si="10"/>
        <v>3</v>
      </c>
      <c r="D696">
        <v>0</v>
      </c>
    </row>
    <row r="697" spans="1:4" x14ac:dyDescent="0.3">
      <c r="A697">
        <v>695</v>
      </c>
      <c r="B697">
        <v>27</v>
      </c>
      <c r="C697">
        <f t="shared" si="10"/>
        <v>3</v>
      </c>
      <c r="D697">
        <v>0</v>
      </c>
    </row>
    <row r="698" spans="1:4" x14ac:dyDescent="0.3">
      <c r="A698">
        <v>696</v>
      </c>
      <c r="B698">
        <v>27</v>
      </c>
      <c r="C698">
        <f t="shared" si="10"/>
        <v>3</v>
      </c>
      <c r="D698">
        <v>0</v>
      </c>
    </row>
    <row r="699" spans="1:4" x14ac:dyDescent="0.3">
      <c r="A699">
        <v>697</v>
      </c>
      <c r="B699">
        <v>27</v>
      </c>
      <c r="C699">
        <f t="shared" si="10"/>
        <v>3</v>
      </c>
      <c r="D699">
        <v>0</v>
      </c>
    </row>
    <row r="700" spans="1:4" x14ac:dyDescent="0.3">
      <c r="A700">
        <v>698</v>
      </c>
      <c r="B700">
        <v>27</v>
      </c>
      <c r="C700">
        <f t="shared" si="10"/>
        <v>3</v>
      </c>
      <c r="D700">
        <v>0</v>
      </c>
    </row>
    <row r="701" spans="1:4" x14ac:dyDescent="0.3">
      <c r="A701">
        <v>699</v>
      </c>
      <c r="B701">
        <v>27</v>
      </c>
      <c r="C701">
        <f t="shared" si="10"/>
        <v>3</v>
      </c>
      <c r="D701">
        <v>0</v>
      </c>
    </row>
    <row r="702" spans="1:4" x14ac:dyDescent="0.3">
      <c r="A702">
        <v>700</v>
      </c>
      <c r="B702">
        <v>27</v>
      </c>
      <c r="C702">
        <f t="shared" si="10"/>
        <v>3</v>
      </c>
      <c r="D702">
        <v>0</v>
      </c>
    </row>
    <row r="703" spans="1:4" x14ac:dyDescent="0.3">
      <c r="A703">
        <v>701</v>
      </c>
      <c r="B703">
        <v>27</v>
      </c>
      <c r="C703">
        <f t="shared" si="10"/>
        <v>3</v>
      </c>
      <c r="D703">
        <v>0</v>
      </c>
    </row>
    <row r="704" spans="1:4" x14ac:dyDescent="0.3">
      <c r="A704">
        <v>702</v>
      </c>
      <c r="B704">
        <v>27</v>
      </c>
      <c r="C704">
        <f t="shared" si="10"/>
        <v>3</v>
      </c>
      <c r="D704">
        <v>0</v>
      </c>
    </row>
    <row r="705" spans="1:4" x14ac:dyDescent="0.3">
      <c r="A705">
        <v>703</v>
      </c>
      <c r="B705">
        <v>27</v>
      </c>
      <c r="C705">
        <f t="shared" si="10"/>
        <v>3</v>
      </c>
      <c r="D705">
        <v>0</v>
      </c>
    </row>
    <row r="706" spans="1:4" x14ac:dyDescent="0.3">
      <c r="A706">
        <v>704</v>
      </c>
      <c r="B706">
        <v>27</v>
      </c>
      <c r="C706">
        <f t="shared" si="10"/>
        <v>3</v>
      </c>
      <c r="D706">
        <v>0</v>
      </c>
    </row>
    <row r="707" spans="1:4" x14ac:dyDescent="0.3">
      <c r="A707">
        <v>705</v>
      </c>
      <c r="B707">
        <v>27</v>
      </c>
      <c r="C707">
        <f t="shared" ref="C707:C770" si="11">B707-24</f>
        <v>3</v>
      </c>
      <c r="D707">
        <v>0</v>
      </c>
    </row>
    <row r="708" spans="1:4" x14ac:dyDescent="0.3">
      <c r="A708">
        <v>706</v>
      </c>
      <c r="B708">
        <v>27</v>
      </c>
      <c r="C708">
        <f t="shared" si="11"/>
        <v>3</v>
      </c>
      <c r="D708">
        <v>0</v>
      </c>
    </row>
    <row r="709" spans="1:4" x14ac:dyDescent="0.3">
      <c r="A709">
        <v>707</v>
      </c>
      <c r="B709">
        <v>27</v>
      </c>
      <c r="C709">
        <f t="shared" si="11"/>
        <v>3</v>
      </c>
      <c r="D709">
        <v>0</v>
      </c>
    </row>
    <row r="710" spans="1:4" x14ac:dyDescent="0.3">
      <c r="A710">
        <v>708</v>
      </c>
      <c r="B710">
        <v>27</v>
      </c>
      <c r="C710">
        <f t="shared" si="11"/>
        <v>3</v>
      </c>
      <c r="D710">
        <v>0</v>
      </c>
    </row>
    <row r="711" spans="1:4" x14ac:dyDescent="0.3">
      <c r="A711">
        <v>709</v>
      </c>
      <c r="B711">
        <v>27</v>
      </c>
      <c r="C711">
        <f t="shared" si="11"/>
        <v>3</v>
      </c>
      <c r="D711">
        <v>0</v>
      </c>
    </row>
    <row r="712" spans="1:4" x14ac:dyDescent="0.3">
      <c r="A712">
        <v>710</v>
      </c>
      <c r="B712">
        <v>27</v>
      </c>
      <c r="C712">
        <f t="shared" si="11"/>
        <v>3</v>
      </c>
      <c r="D712">
        <v>0</v>
      </c>
    </row>
    <row r="713" spans="1:4" x14ac:dyDescent="0.3">
      <c r="A713">
        <v>711</v>
      </c>
      <c r="B713">
        <v>27</v>
      </c>
      <c r="C713">
        <f t="shared" si="11"/>
        <v>3</v>
      </c>
      <c r="D713">
        <v>0</v>
      </c>
    </row>
    <row r="714" spans="1:4" x14ac:dyDescent="0.3">
      <c r="A714">
        <v>712</v>
      </c>
      <c r="B714">
        <v>27</v>
      </c>
      <c r="C714">
        <f t="shared" si="11"/>
        <v>3</v>
      </c>
      <c r="D714">
        <v>0</v>
      </c>
    </row>
    <row r="715" spans="1:4" x14ac:dyDescent="0.3">
      <c r="A715">
        <v>713</v>
      </c>
      <c r="B715">
        <v>27</v>
      </c>
      <c r="C715">
        <f t="shared" si="11"/>
        <v>3</v>
      </c>
      <c r="D715">
        <v>0</v>
      </c>
    </row>
    <row r="716" spans="1:4" x14ac:dyDescent="0.3">
      <c r="A716">
        <v>714</v>
      </c>
      <c r="B716">
        <v>27</v>
      </c>
      <c r="C716">
        <f t="shared" si="11"/>
        <v>3</v>
      </c>
      <c r="D716">
        <v>0</v>
      </c>
    </row>
    <row r="717" spans="1:4" x14ac:dyDescent="0.3">
      <c r="A717">
        <v>715</v>
      </c>
      <c r="B717">
        <v>27</v>
      </c>
      <c r="C717">
        <f t="shared" si="11"/>
        <v>3</v>
      </c>
      <c r="D717">
        <v>0</v>
      </c>
    </row>
    <row r="718" spans="1:4" x14ac:dyDescent="0.3">
      <c r="A718">
        <v>716</v>
      </c>
      <c r="B718">
        <v>27</v>
      </c>
      <c r="C718">
        <f t="shared" si="11"/>
        <v>3</v>
      </c>
      <c r="D718">
        <v>0</v>
      </c>
    </row>
    <row r="719" spans="1:4" x14ac:dyDescent="0.3">
      <c r="A719">
        <v>717</v>
      </c>
      <c r="B719">
        <v>27</v>
      </c>
      <c r="C719">
        <f t="shared" si="11"/>
        <v>3</v>
      </c>
      <c r="D719">
        <v>0</v>
      </c>
    </row>
    <row r="720" spans="1:4" x14ac:dyDescent="0.3">
      <c r="A720">
        <v>718</v>
      </c>
      <c r="B720">
        <v>126.5</v>
      </c>
      <c r="C720">
        <f t="shared" si="11"/>
        <v>102.5</v>
      </c>
      <c r="D720">
        <v>-0.40270618556700899</v>
      </c>
    </row>
    <row r="721" spans="1:4" x14ac:dyDescent="0.3">
      <c r="A721">
        <v>719</v>
      </c>
      <c r="B721">
        <v>124.5</v>
      </c>
      <c r="C721">
        <f t="shared" si="11"/>
        <v>100.5</v>
      </c>
      <c r="D721">
        <v>-0.34901202749140797</v>
      </c>
    </row>
    <row r="722" spans="1:4" x14ac:dyDescent="0.3">
      <c r="A722">
        <v>720</v>
      </c>
      <c r="B722">
        <v>122.5</v>
      </c>
      <c r="C722">
        <f t="shared" si="11"/>
        <v>98.5</v>
      </c>
      <c r="D722">
        <v>-0.34900265778947198</v>
      </c>
    </row>
    <row r="723" spans="1:4" x14ac:dyDescent="0.3">
      <c r="A723">
        <v>721</v>
      </c>
      <c r="B723">
        <v>120.5</v>
      </c>
      <c r="C723">
        <f t="shared" si="11"/>
        <v>96.5</v>
      </c>
      <c r="D723">
        <v>-0.34904013961605601</v>
      </c>
    </row>
    <row r="724" spans="1:4" x14ac:dyDescent="0.3">
      <c r="A724">
        <v>722</v>
      </c>
      <c r="B724">
        <v>118</v>
      </c>
      <c r="C724">
        <f t="shared" si="11"/>
        <v>94</v>
      </c>
      <c r="D724">
        <v>-0.32218224775814702</v>
      </c>
    </row>
    <row r="725" spans="1:4" x14ac:dyDescent="0.3">
      <c r="A725">
        <v>723</v>
      </c>
      <c r="B725">
        <v>116.5</v>
      </c>
      <c r="C725">
        <f t="shared" si="11"/>
        <v>92.5</v>
      </c>
      <c r="D725">
        <v>-0.295365447612912</v>
      </c>
    </row>
    <row r="726" spans="1:4" x14ac:dyDescent="0.3">
      <c r="A726">
        <v>724</v>
      </c>
      <c r="B726">
        <v>114</v>
      </c>
      <c r="C726">
        <f t="shared" si="11"/>
        <v>90</v>
      </c>
      <c r="D726">
        <v>-0.26854288629894302</v>
      </c>
    </row>
    <row r="727" spans="1:4" x14ac:dyDescent="0.3">
      <c r="A727">
        <v>725</v>
      </c>
      <c r="B727">
        <v>112.5</v>
      </c>
      <c r="C727">
        <f t="shared" si="11"/>
        <v>88.5</v>
      </c>
      <c r="D727">
        <v>-0.29538924246086001</v>
      </c>
    </row>
    <row r="728" spans="1:4" x14ac:dyDescent="0.3">
      <c r="A728">
        <v>726</v>
      </c>
      <c r="B728">
        <v>110.5</v>
      </c>
      <c r="C728">
        <f t="shared" si="11"/>
        <v>86.5</v>
      </c>
      <c r="D728">
        <v>-0.29539717492883699</v>
      </c>
    </row>
    <row r="729" spans="1:4" x14ac:dyDescent="0.3">
      <c r="A729">
        <v>727</v>
      </c>
      <c r="B729">
        <v>109</v>
      </c>
      <c r="C729">
        <f t="shared" si="11"/>
        <v>85</v>
      </c>
      <c r="D729">
        <v>-0.268528464017187</v>
      </c>
    </row>
    <row r="730" spans="1:4" x14ac:dyDescent="0.3">
      <c r="A730">
        <v>728</v>
      </c>
      <c r="B730">
        <v>107</v>
      </c>
      <c r="C730">
        <f t="shared" si="11"/>
        <v>83</v>
      </c>
      <c r="D730">
        <v>-0.26852125345721101</v>
      </c>
    </row>
    <row r="731" spans="1:4" x14ac:dyDescent="0.3">
      <c r="A731">
        <v>729</v>
      </c>
      <c r="B731">
        <v>106</v>
      </c>
      <c r="C731">
        <f t="shared" si="11"/>
        <v>82</v>
      </c>
      <c r="D731">
        <v>-0.26851404328446199</v>
      </c>
    </row>
    <row r="732" spans="1:4" x14ac:dyDescent="0.3">
      <c r="A732">
        <v>730</v>
      </c>
      <c r="B732">
        <v>104</v>
      </c>
      <c r="C732">
        <f t="shared" si="11"/>
        <v>80</v>
      </c>
      <c r="D732">
        <v>-0.26849962410052503</v>
      </c>
    </row>
    <row r="733" spans="1:4" x14ac:dyDescent="0.3">
      <c r="A733">
        <v>731</v>
      </c>
      <c r="B733">
        <v>102.5</v>
      </c>
      <c r="C733">
        <f t="shared" si="11"/>
        <v>78.5</v>
      </c>
      <c r="D733">
        <v>-0.24163668581861</v>
      </c>
    </row>
    <row r="734" spans="1:4" x14ac:dyDescent="0.3">
      <c r="A734">
        <v>732</v>
      </c>
      <c r="B734">
        <v>101</v>
      </c>
      <c r="C734">
        <f t="shared" si="11"/>
        <v>77</v>
      </c>
      <c r="D734">
        <v>-0.21478816517209801</v>
      </c>
    </row>
    <row r="735" spans="1:4" x14ac:dyDescent="0.3">
      <c r="A735">
        <v>733</v>
      </c>
      <c r="B735">
        <v>100</v>
      </c>
      <c r="C735">
        <f t="shared" si="11"/>
        <v>76</v>
      </c>
      <c r="D735">
        <v>-0.21481123462756899</v>
      </c>
    </row>
    <row r="736" spans="1:4" x14ac:dyDescent="0.3">
      <c r="A736">
        <v>734</v>
      </c>
      <c r="B736">
        <v>98</v>
      </c>
      <c r="C736">
        <f t="shared" si="11"/>
        <v>74</v>
      </c>
      <c r="D736">
        <v>-0.21480546679913001</v>
      </c>
    </row>
    <row r="737" spans="1:4" x14ac:dyDescent="0.3">
      <c r="A737">
        <v>735</v>
      </c>
      <c r="B737">
        <v>97</v>
      </c>
      <c r="C737">
        <f t="shared" si="11"/>
        <v>73</v>
      </c>
      <c r="D737">
        <v>-0.21479969928042</v>
      </c>
    </row>
    <row r="738" spans="1:4" x14ac:dyDescent="0.3">
      <c r="A738">
        <v>736</v>
      </c>
      <c r="B738">
        <v>95.5</v>
      </c>
      <c r="C738">
        <f t="shared" si="11"/>
        <v>71.5</v>
      </c>
      <c r="D738">
        <v>-0.18795478344923899</v>
      </c>
    </row>
    <row r="739" spans="1:4" x14ac:dyDescent="0.3">
      <c r="A739">
        <v>737</v>
      </c>
      <c r="B739">
        <v>94.5</v>
      </c>
      <c r="C739">
        <f t="shared" si="11"/>
        <v>70.5</v>
      </c>
      <c r="D739">
        <v>-0.187959830299123</v>
      </c>
    </row>
    <row r="740" spans="1:4" x14ac:dyDescent="0.3">
      <c r="A740">
        <v>738</v>
      </c>
      <c r="B740">
        <v>93.5</v>
      </c>
      <c r="C740">
        <f t="shared" si="11"/>
        <v>69.5</v>
      </c>
      <c r="D740">
        <v>-0.18795478344923899</v>
      </c>
    </row>
    <row r="741" spans="1:4" x14ac:dyDescent="0.3">
      <c r="A741">
        <v>739</v>
      </c>
      <c r="B741">
        <v>92.5</v>
      </c>
      <c r="C741">
        <f t="shared" si="11"/>
        <v>68.5</v>
      </c>
      <c r="D741">
        <v>-0.187944690562492</v>
      </c>
    </row>
    <row r="742" spans="1:4" x14ac:dyDescent="0.3">
      <c r="A742">
        <v>740</v>
      </c>
      <c r="B742">
        <v>91</v>
      </c>
      <c r="C742">
        <f t="shared" si="11"/>
        <v>67</v>
      </c>
      <c r="D742">
        <v>-0.161104100099347</v>
      </c>
    </row>
    <row r="743" spans="1:4" x14ac:dyDescent="0.3">
      <c r="A743">
        <v>741</v>
      </c>
      <c r="B743">
        <v>90</v>
      </c>
      <c r="C743">
        <f t="shared" si="11"/>
        <v>66</v>
      </c>
      <c r="D743">
        <v>-0.16109977446031701</v>
      </c>
    </row>
    <row r="744" spans="1:4" x14ac:dyDescent="0.3">
      <c r="A744">
        <v>742</v>
      </c>
      <c r="B744">
        <v>89</v>
      </c>
      <c r="C744">
        <f t="shared" si="11"/>
        <v>65</v>
      </c>
      <c r="D744">
        <v>-0.16109544905356399</v>
      </c>
    </row>
    <row r="745" spans="1:4" x14ac:dyDescent="0.3">
      <c r="A745">
        <v>743</v>
      </c>
      <c r="B745">
        <v>88</v>
      </c>
      <c r="C745">
        <f t="shared" si="11"/>
        <v>64</v>
      </c>
      <c r="D745">
        <v>-0.16111275207432599</v>
      </c>
    </row>
    <row r="746" spans="1:4" x14ac:dyDescent="0.3">
      <c r="A746">
        <v>744</v>
      </c>
      <c r="B746">
        <v>87</v>
      </c>
      <c r="C746">
        <f t="shared" si="11"/>
        <v>63</v>
      </c>
      <c r="D746">
        <v>-0.16111707841031001</v>
      </c>
    </row>
    <row r="747" spans="1:4" x14ac:dyDescent="0.3">
      <c r="A747">
        <v>745</v>
      </c>
      <c r="B747">
        <v>86</v>
      </c>
      <c r="C747">
        <f t="shared" si="11"/>
        <v>62</v>
      </c>
      <c r="D747">
        <v>-0.16112573177936501</v>
      </c>
    </row>
    <row r="748" spans="1:4" x14ac:dyDescent="0.3">
      <c r="A748">
        <v>746</v>
      </c>
      <c r="B748">
        <v>85</v>
      </c>
      <c r="C748">
        <f t="shared" si="11"/>
        <v>61</v>
      </c>
      <c r="D748">
        <v>-0.161134386077987</v>
      </c>
    </row>
    <row r="749" spans="1:4" x14ac:dyDescent="0.3">
      <c r="A749">
        <v>747</v>
      </c>
      <c r="B749">
        <v>84.5</v>
      </c>
      <c r="C749">
        <f t="shared" si="11"/>
        <v>60.5</v>
      </c>
      <c r="D749">
        <v>-0.13428226131328</v>
      </c>
    </row>
    <row r="750" spans="1:4" x14ac:dyDescent="0.3">
      <c r="A750">
        <v>748</v>
      </c>
      <c r="B750">
        <v>83.5</v>
      </c>
      <c r="C750">
        <f t="shared" si="11"/>
        <v>59.5</v>
      </c>
      <c r="D750">
        <v>-0.134293081220455</v>
      </c>
    </row>
    <row r="751" spans="1:4" x14ac:dyDescent="0.3">
      <c r="A751">
        <v>749</v>
      </c>
      <c r="B751">
        <v>82.5</v>
      </c>
      <c r="C751">
        <f t="shared" si="11"/>
        <v>58.5</v>
      </c>
      <c r="D751">
        <v>-0.13427144314947101</v>
      </c>
    </row>
    <row r="752" spans="1:4" x14ac:dyDescent="0.3">
      <c r="A752">
        <v>750</v>
      </c>
      <c r="B752">
        <v>81.5</v>
      </c>
      <c r="C752">
        <f t="shared" si="11"/>
        <v>57.5</v>
      </c>
      <c r="D752">
        <v>-0.134264232008593</v>
      </c>
    </row>
    <row r="753" spans="1:4" x14ac:dyDescent="0.3">
      <c r="A753">
        <v>751</v>
      </c>
      <c r="B753">
        <v>80.5</v>
      </c>
      <c r="C753">
        <f t="shared" si="11"/>
        <v>56.5</v>
      </c>
      <c r="D753">
        <v>-0.134264232008592</v>
      </c>
    </row>
    <row r="754" spans="1:4" x14ac:dyDescent="0.3">
      <c r="A754">
        <v>752</v>
      </c>
      <c r="B754">
        <v>80</v>
      </c>
      <c r="C754">
        <f t="shared" si="11"/>
        <v>56</v>
      </c>
      <c r="D754">
        <v>-0.10740850138288401</v>
      </c>
    </row>
    <row r="755" spans="1:4" x14ac:dyDescent="0.3">
      <c r="A755">
        <v>753</v>
      </c>
      <c r="B755">
        <v>79.5</v>
      </c>
      <c r="C755">
        <f t="shared" si="11"/>
        <v>55.5</v>
      </c>
      <c r="D755">
        <v>-0.13425341674945601</v>
      </c>
    </row>
    <row r="756" spans="1:4" x14ac:dyDescent="0.3">
      <c r="A756">
        <v>754</v>
      </c>
      <c r="B756">
        <v>78.5</v>
      </c>
      <c r="C756">
        <f t="shared" si="11"/>
        <v>54.5</v>
      </c>
      <c r="D756">
        <v>-0.13424260323256099</v>
      </c>
    </row>
    <row r="757" spans="1:4" x14ac:dyDescent="0.3">
      <c r="A757">
        <v>755</v>
      </c>
      <c r="B757">
        <v>78</v>
      </c>
      <c r="C757">
        <f t="shared" si="11"/>
        <v>54</v>
      </c>
      <c r="D757">
        <v>-0.10739984964021</v>
      </c>
    </row>
    <row r="758" spans="1:4" x14ac:dyDescent="0.3">
      <c r="A758">
        <v>756</v>
      </c>
      <c r="B758">
        <v>76.5</v>
      </c>
      <c r="C758">
        <f t="shared" si="11"/>
        <v>52.5</v>
      </c>
      <c r="D758">
        <v>-0.13425702164223099</v>
      </c>
    </row>
    <row r="759" spans="1:4" x14ac:dyDescent="0.3">
      <c r="A759">
        <v>757</v>
      </c>
      <c r="B759">
        <v>76</v>
      </c>
      <c r="C759">
        <f t="shared" si="11"/>
        <v>52</v>
      </c>
      <c r="D759">
        <v>-0.10738831615120301</v>
      </c>
    </row>
    <row r="760" spans="1:4" x14ac:dyDescent="0.3">
      <c r="A760">
        <v>758</v>
      </c>
      <c r="B760">
        <v>75.5</v>
      </c>
      <c r="C760">
        <f t="shared" si="11"/>
        <v>51.5</v>
      </c>
      <c r="D760">
        <v>-0.13423539518900399</v>
      </c>
    </row>
    <row r="761" spans="1:4" x14ac:dyDescent="0.3">
      <c r="A761">
        <v>759</v>
      </c>
      <c r="B761">
        <v>75</v>
      </c>
      <c r="C761">
        <f t="shared" si="11"/>
        <v>51</v>
      </c>
      <c r="D761">
        <v>-0.107385433165991</v>
      </c>
    </row>
    <row r="762" spans="1:4" x14ac:dyDescent="0.3">
      <c r="A762">
        <v>760</v>
      </c>
      <c r="B762">
        <v>74</v>
      </c>
      <c r="C762">
        <f t="shared" si="11"/>
        <v>50</v>
      </c>
      <c r="D762">
        <v>-0.10738831615120201</v>
      </c>
    </row>
    <row r="763" spans="1:4" x14ac:dyDescent="0.3">
      <c r="A763">
        <v>761</v>
      </c>
      <c r="B763">
        <v>73.5</v>
      </c>
      <c r="C763">
        <f t="shared" si="11"/>
        <v>49.5</v>
      </c>
      <c r="D763">
        <v>-0.13424260323256099</v>
      </c>
    </row>
    <row r="764" spans="1:4" x14ac:dyDescent="0.3">
      <c r="A764">
        <v>762</v>
      </c>
      <c r="B764">
        <v>72.5</v>
      </c>
      <c r="C764">
        <f t="shared" si="11"/>
        <v>48.5</v>
      </c>
      <c r="D764">
        <v>-8.0545561939537894E-2</v>
      </c>
    </row>
    <row r="765" spans="1:4" x14ac:dyDescent="0.3">
      <c r="A765">
        <v>763</v>
      </c>
      <c r="B765">
        <v>72</v>
      </c>
      <c r="C765">
        <f t="shared" si="11"/>
        <v>48</v>
      </c>
      <c r="D765">
        <v>-0.10740561731378399</v>
      </c>
    </row>
    <row r="766" spans="1:4" x14ac:dyDescent="0.3">
      <c r="A766">
        <v>764</v>
      </c>
      <c r="B766">
        <v>71</v>
      </c>
      <c r="C766">
        <f t="shared" si="11"/>
        <v>47</v>
      </c>
      <c r="D766">
        <v>-0.10740561731378399</v>
      </c>
    </row>
    <row r="767" spans="1:4" x14ac:dyDescent="0.3">
      <c r="A767">
        <v>765</v>
      </c>
      <c r="B767">
        <v>71</v>
      </c>
      <c r="C767">
        <f t="shared" si="11"/>
        <v>47</v>
      </c>
      <c r="D767">
        <v>-0.107414269985766</v>
      </c>
    </row>
    <row r="768" spans="1:4" x14ac:dyDescent="0.3">
      <c r="A768">
        <v>766</v>
      </c>
      <c r="B768">
        <v>70</v>
      </c>
      <c r="C768">
        <f t="shared" si="11"/>
        <v>46</v>
      </c>
      <c r="D768">
        <v>-0.10740850138288401</v>
      </c>
    </row>
    <row r="769" spans="1:4" x14ac:dyDescent="0.3">
      <c r="A769">
        <v>767</v>
      </c>
      <c r="B769">
        <v>69.5</v>
      </c>
      <c r="C769">
        <f t="shared" si="11"/>
        <v>45.5</v>
      </c>
      <c r="D769">
        <v>-8.0558539205156196E-2</v>
      </c>
    </row>
    <row r="770" spans="1:4" x14ac:dyDescent="0.3">
      <c r="A770">
        <v>768</v>
      </c>
      <c r="B770">
        <v>69</v>
      </c>
      <c r="C770">
        <f t="shared" si="11"/>
        <v>45</v>
      </c>
      <c r="D770">
        <v>-0.107414269985766</v>
      </c>
    </row>
    <row r="771" spans="1:4" x14ac:dyDescent="0.3">
      <c r="A771">
        <v>769</v>
      </c>
      <c r="B771">
        <v>68.5</v>
      </c>
      <c r="C771">
        <f t="shared" ref="C771:C834" si="12">B771-24</f>
        <v>44.5</v>
      </c>
      <c r="D771">
        <v>-8.0560702489324607E-2</v>
      </c>
    </row>
    <row r="772" spans="1:4" x14ac:dyDescent="0.3">
      <c r="A772">
        <v>770</v>
      </c>
      <c r="B772">
        <v>67.5</v>
      </c>
      <c r="C772">
        <f t="shared" si="12"/>
        <v>43.5</v>
      </c>
      <c r="D772">
        <v>-8.0569356787969004E-2</v>
      </c>
    </row>
    <row r="773" spans="1:4" x14ac:dyDescent="0.3">
      <c r="A773">
        <v>771</v>
      </c>
      <c r="B773">
        <v>67.5</v>
      </c>
      <c r="C773">
        <f t="shared" si="12"/>
        <v>43.5</v>
      </c>
      <c r="D773">
        <v>-8.0573684634597895E-2</v>
      </c>
    </row>
    <row r="774" spans="1:4" x14ac:dyDescent="0.3">
      <c r="A774">
        <v>772</v>
      </c>
      <c r="B774">
        <v>66.5</v>
      </c>
      <c r="C774">
        <f t="shared" si="12"/>
        <v>42.5</v>
      </c>
      <c r="D774">
        <v>-8.0575848732273303E-2</v>
      </c>
    </row>
    <row r="775" spans="1:4" x14ac:dyDescent="0.3">
      <c r="A775">
        <v>773</v>
      </c>
      <c r="B775">
        <v>66</v>
      </c>
      <c r="C775">
        <f t="shared" si="12"/>
        <v>42</v>
      </c>
      <c r="D775">
        <v>-0.107434464976364</v>
      </c>
    </row>
    <row r="776" spans="1:4" x14ac:dyDescent="0.3">
      <c r="A776">
        <v>774</v>
      </c>
      <c r="B776">
        <v>65.5</v>
      </c>
      <c r="C776">
        <f t="shared" si="12"/>
        <v>41.5</v>
      </c>
      <c r="D776">
        <v>-8.0578012946201205E-2</v>
      </c>
    </row>
    <row r="777" spans="1:4" x14ac:dyDescent="0.3">
      <c r="A777">
        <v>775</v>
      </c>
      <c r="B777">
        <v>65</v>
      </c>
      <c r="C777">
        <f t="shared" si="12"/>
        <v>41</v>
      </c>
      <c r="D777">
        <v>-0.107437350594935</v>
      </c>
    </row>
    <row r="778" spans="1:4" x14ac:dyDescent="0.3">
      <c r="A778">
        <v>776</v>
      </c>
      <c r="B778">
        <v>64.5</v>
      </c>
      <c r="C778">
        <f t="shared" si="12"/>
        <v>40.5</v>
      </c>
      <c r="D778">
        <v>-8.0569356787967006E-2</v>
      </c>
    </row>
    <row r="779" spans="1:4" x14ac:dyDescent="0.3">
      <c r="A779">
        <v>777</v>
      </c>
      <c r="B779">
        <v>64</v>
      </c>
      <c r="C779">
        <f t="shared" si="12"/>
        <v>40</v>
      </c>
      <c r="D779">
        <v>-0.107420039208316</v>
      </c>
    </row>
    <row r="780" spans="1:4" x14ac:dyDescent="0.3">
      <c r="A780">
        <v>778</v>
      </c>
      <c r="B780">
        <v>63.5</v>
      </c>
      <c r="C780">
        <f t="shared" si="12"/>
        <v>39.5</v>
      </c>
      <c r="D780">
        <v>-8.05650294062355E-2</v>
      </c>
    </row>
    <row r="781" spans="1:4" x14ac:dyDescent="0.3">
      <c r="A781">
        <v>779</v>
      </c>
      <c r="B781">
        <v>63</v>
      </c>
      <c r="C781">
        <f t="shared" si="12"/>
        <v>39</v>
      </c>
      <c r="D781">
        <v>-5.3704250691442197E-2</v>
      </c>
    </row>
    <row r="782" spans="1:4" x14ac:dyDescent="0.3">
      <c r="A782">
        <v>780</v>
      </c>
      <c r="B782">
        <v>62.5</v>
      </c>
      <c r="C782">
        <f t="shared" si="12"/>
        <v>38.5</v>
      </c>
      <c r="D782">
        <v>-8.0547724526782299E-2</v>
      </c>
    </row>
    <row r="783" spans="1:4" x14ac:dyDescent="0.3">
      <c r="A783">
        <v>781</v>
      </c>
      <c r="B783">
        <v>62</v>
      </c>
      <c r="C783">
        <f t="shared" si="12"/>
        <v>38</v>
      </c>
      <c r="D783">
        <v>-5.3699924820105702E-2</v>
      </c>
    </row>
    <row r="784" spans="1:4" x14ac:dyDescent="0.3">
      <c r="A784">
        <v>782</v>
      </c>
      <c r="B784">
        <v>61.5</v>
      </c>
      <c r="C784">
        <f t="shared" si="12"/>
        <v>37.5</v>
      </c>
      <c r="D784">
        <v>-8.0547724526782299E-2</v>
      </c>
    </row>
    <row r="785" spans="1:4" x14ac:dyDescent="0.3">
      <c r="A785">
        <v>783</v>
      </c>
      <c r="B785">
        <v>60.5</v>
      </c>
      <c r="C785">
        <f t="shared" si="12"/>
        <v>36.5</v>
      </c>
      <c r="D785">
        <v>-8.0547724526780301E-2</v>
      </c>
    </row>
    <row r="786" spans="1:4" x14ac:dyDescent="0.3">
      <c r="A786">
        <v>784</v>
      </c>
      <c r="B786">
        <v>60.5</v>
      </c>
      <c r="C786">
        <f t="shared" si="12"/>
        <v>36.5</v>
      </c>
      <c r="D786">
        <v>-8.0547724526782299E-2</v>
      </c>
    </row>
    <row r="787" spans="1:4" x14ac:dyDescent="0.3">
      <c r="A787">
        <v>785</v>
      </c>
      <c r="B787">
        <v>60.5</v>
      </c>
      <c r="C787">
        <f t="shared" si="12"/>
        <v>36.5</v>
      </c>
      <c r="D787">
        <v>-8.0549887230158504E-2</v>
      </c>
    </row>
    <row r="788" spans="1:4" x14ac:dyDescent="0.3">
      <c r="A788">
        <v>786</v>
      </c>
      <c r="B788">
        <v>59.5</v>
      </c>
      <c r="C788">
        <f t="shared" si="12"/>
        <v>35.5</v>
      </c>
      <c r="D788">
        <v>-8.0558539205156196E-2</v>
      </c>
    </row>
    <row r="789" spans="1:4" x14ac:dyDescent="0.3">
      <c r="A789">
        <v>787</v>
      </c>
      <c r="B789">
        <v>59.5</v>
      </c>
      <c r="C789">
        <f t="shared" si="12"/>
        <v>35.5</v>
      </c>
      <c r="D789">
        <v>-8.0556376037163299E-2</v>
      </c>
    </row>
    <row r="790" spans="1:4" x14ac:dyDescent="0.3">
      <c r="A790">
        <v>788</v>
      </c>
      <c r="B790">
        <v>58.5</v>
      </c>
      <c r="C790">
        <f t="shared" si="12"/>
        <v>34.5</v>
      </c>
      <c r="D790">
        <v>-8.0560702489326605E-2</v>
      </c>
    </row>
    <row r="791" spans="1:4" x14ac:dyDescent="0.3">
      <c r="A791">
        <v>789</v>
      </c>
      <c r="B791">
        <v>58</v>
      </c>
      <c r="C791">
        <f t="shared" si="12"/>
        <v>34</v>
      </c>
      <c r="D791">
        <v>-5.3710019604158298E-2</v>
      </c>
    </row>
    <row r="792" spans="1:4" x14ac:dyDescent="0.3">
      <c r="A792">
        <v>790</v>
      </c>
      <c r="B792">
        <v>58</v>
      </c>
      <c r="C792">
        <f t="shared" si="12"/>
        <v>34</v>
      </c>
      <c r="D792">
        <v>-5.3712904525312598E-2</v>
      </c>
    </row>
    <row r="793" spans="1:4" x14ac:dyDescent="0.3">
      <c r="A793">
        <v>791</v>
      </c>
      <c r="B793">
        <v>57.5</v>
      </c>
      <c r="C793">
        <f t="shared" si="12"/>
        <v>33.5</v>
      </c>
      <c r="D793">
        <v>-8.0573684634597895E-2</v>
      </c>
    </row>
    <row r="794" spans="1:4" x14ac:dyDescent="0.3">
      <c r="A794">
        <v>792</v>
      </c>
      <c r="B794">
        <v>57</v>
      </c>
      <c r="C794">
        <f t="shared" si="12"/>
        <v>33</v>
      </c>
      <c r="D794">
        <v>-5.3707134992883099E-2</v>
      </c>
    </row>
    <row r="795" spans="1:4" x14ac:dyDescent="0.3">
      <c r="A795">
        <v>793</v>
      </c>
      <c r="B795">
        <v>57</v>
      </c>
      <c r="C795">
        <f t="shared" si="12"/>
        <v>33</v>
      </c>
      <c r="D795">
        <v>-5.37085772597879E-2</v>
      </c>
    </row>
    <row r="796" spans="1:4" x14ac:dyDescent="0.3">
      <c r="A796">
        <v>794</v>
      </c>
      <c r="B796">
        <v>56</v>
      </c>
      <c r="C796">
        <f t="shared" si="12"/>
        <v>32</v>
      </c>
      <c r="D796">
        <v>-5.3705692803436102E-2</v>
      </c>
    </row>
    <row r="797" spans="1:4" x14ac:dyDescent="0.3">
      <c r="A797">
        <v>795</v>
      </c>
      <c r="B797">
        <v>55.5</v>
      </c>
      <c r="C797">
        <f t="shared" si="12"/>
        <v>31.5</v>
      </c>
      <c r="D797">
        <v>-8.0552050049672905E-2</v>
      </c>
    </row>
    <row r="798" spans="1:4" x14ac:dyDescent="0.3">
      <c r="A798">
        <v>796</v>
      </c>
      <c r="B798">
        <v>55.5</v>
      </c>
      <c r="C798">
        <f t="shared" si="12"/>
        <v>31.5</v>
      </c>
      <c r="D798">
        <v>-8.0547724526782299E-2</v>
      </c>
    </row>
    <row r="799" spans="1:4" x14ac:dyDescent="0.3">
      <c r="A799">
        <v>797</v>
      </c>
      <c r="B799">
        <v>55</v>
      </c>
      <c r="C799">
        <f t="shared" si="12"/>
        <v>31</v>
      </c>
      <c r="D799">
        <v>-5.3698483017854903E-2</v>
      </c>
    </row>
    <row r="800" spans="1:4" x14ac:dyDescent="0.3">
      <c r="A800">
        <v>798</v>
      </c>
      <c r="B800">
        <v>54.5</v>
      </c>
      <c r="C800">
        <f t="shared" si="12"/>
        <v>30.5</v>
      </c>
      <c r="D800">
        <v>-8.0558539205156196E-2</v>
      </c>
    </row>
    <row r="801" spans="1:4" x14ac:dyDescent="0.3">
      <c r="A801">
        <v>799</v>
      </c>
      <c r="B801">
        <v>54.5</v>
      </c>
      <c r="C801">
        <f t="shared" si="12"/>
        <v>30.5</v>
      </c>
      <c r="D801">
        <v>-8.05542129853387E-2</v>
      </c>
    </row>
    <row r="802" spans="1:4" x14ac:dyDescent="0.3">
      <c r="A802">
        <v>800</v>
      </c>
      <c r="B802">
        <v>54</v>
      </c>
      <c r="C802">
        <f t="shared" si="12"/>
        <v>30</v>
      </c>
      <c r="D802">
        <v>-5.3702808656893697E-2</v>
      </c>
    </row>
    <row r="803" spans="1:4" x14ac:dyDescent="0.3">
      <c r="A803">
        <v>801</v>
      </c>
      <c r="B803">
        <v>53</v>
      </c>
      <c r="C803">
        <f t="shared" si="12"/>
        <v>29</v>
      </c>
      <c r="D803">
        <v>-5.3699924820105702E-2</v>
      </c>
    </row>
    <row r="804" spans="1:4" x14ac:dyDescent="0.3">
      <c r="A804">
        <v>802</v>
      </c>
      <c r="B804">
        <v>53</v>
      </c>
      <c r="C804">
        <f t="shared" si="12"/>
        <v>29</v>
      </c>
      <c r="D804">
        <v>-5.3701366699781899E-2</v>
      </c>
    </row>
    <row r="805" spans="1:4" x14ac:dyDescent="0.3">
      <c r="A805">
        <v>803</v>
      </c>
      <c r="B805">
        <v>53</v>
      </c>
      <c r="C805">
        <f t="shared" si="12"/>
        <v>29</v>
      </c>
      <c r="D805">
        <v>-5.3697041293024599E-2</v>
      </c>
    </row>
    <row r="806" spans="1:4" x14ac:dyDescent="0.3">
      <c r="A806">
        <v>804</v>
      </c>
      <c r="B806">
        <v>52.5</v>
      </c>
      <c r="C806">
        <f t="shared" si="12"/>
        <v>28.5</v>
      </c>
      <c r="D806">
        <v>-2.6847799822804299E-2</v>
      </c>
    </row>
    <row r="807" spans="1:4" x14ac:dyDescent="0.3">
      <c r="A807">
        <v>805</v>
      </c>
      <c r="B807">
        <v>52</v>
      </c>
      <c r="C807">
        <f t="shared" si="12"/>
        <v>28</v>
      </c>
      <c r="D807">
        <v>-5.3695599645609902E-2</v>
      </c>
    </row>
    <row r="808" spans="1:4" x14ac:dyDescent="0.3">
      <c r="A808">
        <v>806</v>
      </c>
      <c r="B808">
        <v>52</v>
      </c>
      <c r="C808">
        <f t="shared" si="12"/>
        <v>28</v>
      </c>
      <c r="D808">
        <v>-5.3697041293024599E-2</v>
      </c>
    </row>
    <row r="809" spans="1:4" x14ac:dyDescent="0.3">
      <c r="A809">
        <v>807</v>
      </c>
      <c r="B809">
        <v>51.5</v>
      </c>
      <c r="C809">
        <f t="shared" si="12"/>
        <v>27.5</v>
      </c>
      <c r="D809">
        <v>-2.6852846401717999E-2</v>
      </c>
    </row>
    <row r="810" spans="1:4" x14ac:dyDescent="0.3">
      <c r="A810">
        <v>808</v>
      </c>
      <c r="B810">
        <v>51</v>
      </c>
      <c r="C810">
        <f t="shared" si="12"/>
        <v>27</v>
      </c>
      <c r="D810">
        <v>-5.3704250691442197E-2</v>
      </c>
    </row>
    <row r="811" spans="1:4" x14ac:dyDescent="0.3">
      <c r="A811">
        <v>809</v>
      </c>
      <c r="B811">
        <v>51</v>
      </c>
      <c r="C811">
        <f t="shared" si="12"/>
        <v>27</v>
      </c>
      <c r="D811">
        <v>-5.3710019604157E-2</v>
      </c>
    </row>
    <row r="812" spans="1:4" x14ac:dyDescent="0.3">
      <c r="A812">
        <v>810</v>
      </c>
      <c r="B812">
        <v>50.5</v>
      </c>
      <c r="C812">
        <f t="shared" si="12"/>
        <v>26.5</v>
      </c>
      <c r="D812">
        <v>-8.0562865889681895E-2</v>
      </c>
    </row>
    <row r="813" spans="1:4" x14ac:dyDescent="0.3">
      <c r="A813">
        <v>811</v>
      </c>
      <c r="B813">
        <v>50</v>
      </c>
      <c r="C813">
        <f t="shared" si="12"/>
        <v>26</v>
      </c>
      <c r="D813">
        <v>-5.3714347102110399E-2</v>
      </c>
    </row>
    <row r="814" spans="1:4" x14ac:dyDescent="0.3">
      <c r="A814">
        <v>812</v>
      </c>
      <c r="B814">
        <v>50</v>
      </c>
      <c r="C814">
        <f t="shared" si="12"/>
        <v>26</v>
      </c>
      <c r="D814">
        <v>-5.3714347102110399E-2</v>
      </c>
    </row>
    <row r="815" spans="1:4" x14ac:dyDescent="0.3">
      <c r="A815">
        <v>813</v>
      </c>
      <c r="B815">
        <v>49.5</v>
      </c>
      <c r="C815">
        <f t="shared" si="12"/>
        <v>25.5</v>
      </c>
      <c r="D815">
        <v>-8.0567193038994706E-2</v>
      </c>
    </row>
    <row r="816" spans="1:4" x14ac:dyDescent="0.3">
      <c r="A816">
        <v>814</v>
      </c>
      <c r="B816">
        <v>49</v>
      </c>
      <c r="C816">
        <f t="shared" si="12"/>
        <v>25</v>
      </c>
      <c r="D816">
        <v>-5.37172324881822E-2</v>
      </c>
    </row>
    <row r="817" spans="1:4" x14ac:dyDescent="0.3">
      <c r="A817">
        <v>815</v>
      </c>
      <c r="B817">
        <v>49</v>
      </c>
      <c r="C817">
        <f t="shared" si="12"/>
        <v>25</v>
      </c>
      <c r="D817">
        <v>-5.3714347102110399E-2</v>
      </c>
    </row>
    <row r="818" spans="1:4" x14ac:dyDescent="0.3">
      <c r="A818">
        <v>816</v>
      </c>
      <c r="B818">
        <v>48.5</v>
      </c>
      <c r="C818">
        <f t="shared" si="12"/>
        <v>24.5</v>
      </c>
      <c r="D818">
        <v>-2.68586162440911E-2</v>
      </c>
    </row>
    <row r="819" spans="1:4" x14ac:dyDescent="0.3">
      <c r="A819">
        <v>817</v>
      </c>
      <c r="B819">
        <v>48</v>
      </c>
      <c r="C819">
        <f t="shared" si="12"/>
        <v>24</v>
      </c>
      <c r="D819">
        <v>-5.3712904525312598E-2</v>
      </c>
    </row>
    <row r="820" spans="1:4" x14ac:dyDescent="0.3">
      <c r="A820">
        <v>818</v>
      </c>
      <c r="B820">
        <v>48</v>
      </c>
      <c r="C820">
        <f t="shared" si="12"/>
        <v>24</v>
      </c>
      <c r="D820">
        <v>-5.3707134992884403E-2</v>
      </c>
    </row>
    <row r="821" spans="1:4" x14ac:dyDescent="0.3">
      <c r="A821">
        <v>819</v>
      </c>
      <c r="B821">
        <v>47.5</v>
      </c>
      <c r="C821">
        <f t="shared" si="12"/>
        <v>23.5</v>
      </c>
      <c r="D821">
        <v>-2.68514043284462E-2</v>
      </c>
    </row>
    <row r="822" spans="1:4" x14ac:dyDescent="0.3">
      <c r="A822">
        <v>820</v>
      </c>
      <c r="B822">
        <v>47.5</v>
      </c>
      <c r="C822">
        <f t="shared" si="12"/>
        <v>23.5</v>
      </c>
      <c r="D822">
        <v>-2.6848520646512299E-2</v>
      </c>
    </row>
    <row r="823" spans="1:4" x14ac:dyDescent="0.3">
      <c r="A823">
        <v>821</v>
      </c>
      <c r="B823">
        <v>47</v>
      </c>
      <c r="C823">
        <f t="shared" si="12"/>
        <v>23</v>
      </c>
      <c r="D823">
        <v>-5.3699924820105702E-2</v>
      </c>
    </row>
    <row r="824" spans="1:4" x14ac:dyDescent="0.3">
      <c r="A824">
        <v>822</v>
      </c>
      <c r="B824">
        <v>47</v>
      </c>
      <c r="C824">
        <f t="shared" si="12"/>
        <v>23</v>
      </c>
      <c r="D824">
        <v>-5.3695599645609902E-2</v>
      </c>
    </row>
    <row r="825" spans="1:4" x14ac:dyDescent="0.3">
      <c r="A825">
        <v>823</v>
      </c>
      <c r="B825">
        <v>46.5</v>
      </c>
      <c r="C825">
        <f t="shared" si="12"/>
        <v>22.5</v>
      </c>
      <c r="D825">
        <v>-2.6844916914982E-2</v>
      </c>
    </row>
    <row r="826" spans="1:4" x14ac:dyDescent="0.3">
      <c r="A826">
        <v>824</v>
      </c>
      <c r="B826">
        <v>46.5</v>
      </c>
      <c r="C826">
        <f t="shared" si="12"/>
        <v>22.5</v>
      </c>
      <c r="D826">
        <v>-2.68470790378003E-2</v>
      </c>
    </row>
    <row r="827" spans="1:4" x14ac:dyDescent="0.3">
      <c r="A827">
        <v>825</v>
      </c>
      <c r="B827">
        <v>46</v>
      </c>
      <c r="C827">
        <f t="shared" si="12"/>
        <v>22</v>
      </c>
      <c r="D827">
        <v>-5.3695599645609902E-2</v>
      </c>
    </row>
    <row r="828" spans="1:4" x14ac:dyDescent="0.3">
      <c r="A828">
        <v>826</v>
      </c>
      <c r="B828">
        <v>46</v>
      </c>
      <c r="C828">
        <f t="shared" si="12"/>
        <v>22</v>
      </c>
      <c r="D828">
        <v>-5.3689833829964E-2</v>
      </c>
    </row>
    <row r="829" spans="1:4" x14ac:dyDescent="0.3">
      <c r="A829">
        <v>827</v>
      </c>
      <c r="B829">
        <v>45.5</v>
      </c>
      <c r="C829">
        <f t="shared" si="12"/>
        <v>21.5</v>
      </c>
      <c r="D829">
        <v>-2.6841314150740501E-2</v>
      </c>
    </row>
    <row r="830" spans="1:4" x14ac:dyDescent="0.3">
      <c r="A830">
        <v>828</v>
      </c>
      <c r="B830">
        <v>45</v>
      </c>
      <c r="C830">
        <f t="shared" si="12"/>
        <v>21</v>
      </c>
      <c r="D830">
        <v>-5.3688392569525803E-2</v>
      </c>
    </row>
    <row r="831" spans="1:4" x14ac:dyDescent="0.3">
      <c r="A831">
        <v>829</v>
      </c>
      <c r="B831">
        <v>45</v>
      </c>
      <c r="C831">
        <f t="shared" si="12"/>
        <v>21</v>
      </c>
      <c r="D831">
        <v>-5.3694158075600601E-2</v>
      </c>
    </row>
    <row r="832" spans="1:4" x14ac:dyDescent="0.3">
      <c r="A832">
        <v>830</v>
      </c>
      <c r="B832">
        <v>45</v>
      </c>
      <c r="C832">
        <f t="shared" si="12"/>
        <v>21</v>
      </c>
      <c r="D832">
        <v>-5.3695599645609902E-2</v>
      </c>
    </row>
    <row r="833" spans="1:4" x14ac:dyDescent="0.3">
      <c r="A833">
        <v>831</v>
      </c>
      <c r="B833">
        <v>44.5</v>
      </c>
      <c r="C833">
        <f t="shared" si="12"/>
        <v>20.5</v>
      </c>
      <c r="D833">
        <v>-2.6848520646512299E-2</v>
      </c>
    </row>
    <row r="834" spans="1:4" x14ac:dyDescent="0.3">
      <c r="A834">
        <v>832</v>
      </c>
      <c r="B834">
        <v>44</v>
      </c>
      <c r="C834">
        <f t="shared" si="12"/>
        <v>20</v>
      </c>
      <c r="D834">
        <v>-5.3705692803437399E-2</v>
      </c>
    </row>
    <row r="835" spans="1:4" x14ac:dyDescent="0.3">
      <c r="A835">
        <v>833</v>
      </c>
      <c r="B835">
        <v>44</v>
      </c>
      <c r="C835">
        <f t="shared" ref="C835:C898" si="13">B835-24</f>
        <v>20</v>
      </c>
      <c r="D835">
        <v>-5.3710019604157E-2</v>
      </c>
    </row>
    <row r="836" spans="1:4" x14ac:dyDescent="0.3">
      <c r="A836">
        <v>834</v>
      </c>
      <c r="B836">
        <v>43.5</v>
      </c>
      <c r="C836">
        <f t="shared" si="13"/>
        <v>19.5</v>
      </c>
      <c r="D836">
        <v>-2.68528464017187E-2</v>
      </c>
    </row>
    <row r="837" spans="1:4" x14ac:dyDescent="0.3">
      <c r="A837">
        <v>835</v>
      </c>
      <c r="B837">
        <v>43.5</v>
      </c>
      <c r="C837">
        <f t="shared" si="13"/>
        <v>19.5</v>
      </c>
      <c r="D837">
        <v>-2.6854288629894599E-2</v>
      </c>
    </row>
    <row r="838" spans="1:4" x14ac:dyDescent="0.3">
      <c r="A838">
        <v>836</v>
      </c>
      <c r="B838">
        <v>43.5</v>
      </c>
      <c r="C838">
        <f t="shared" si="13"/>
        <v>19.5</v>
      </c>
      <c r="D838">
        <v>-2.6854288629893901E-2</v>
      </c>
    </row>
    <row r="839" spans="1:4" x14ac:dyDescent="0.3">
      <c r="A839">
        <v>837</v>
      </c>
      <c r="B839">
        <v>43</v>
      </c>
      <c r="C839">
        <f t="shared" si="13"/>
        <v>19</v>
      </c>
      <c r="D839">
        <v>-5.3705692803437399E-2</v>
      </c>
    </row>
    <row r="840" spans="1:4" x14ac:dyDescent="0.3">
      <c r="A840">
        <v>838</v>
      </c>
      <c r="B840">
        <v>42.5</v>
      </c>
      <c r="C840">
        <f t="shared" si="13"/>
        <v>18.5</v>
      </c>
      <c r="D840">
        <v>-2.6850683349890901E-2</v>
      </c>
    </row>
    <row r="841" spans="1:4" x14ac:dyDescent="0.3">
      <c r="A841">
        <v>839</v>
      </c>
      <c r="B841">
        <v>42.5</v>
      </c>
      <c r="C841">
        <f t="shared" si="13"/>
        <v>18.5</v>
      </c>
      <c r="D841">
        <v>-2.6243963888306101E-2</v>
      </c>
    </row>
    <row r="842" spans="1:4" x14ac:dyDescent="0.3">
      <c r="A842">
        <v>840</v>
      </c>
      <c r="B842">
        <v>42.5</v>
      </c>
      <c r="C842">
        <f t="shared" si="13"/>
        <v>18.5</v>
      </c>
      <c r="D842">
        <v>-2.6243963888305501E-2</v>
      </c>
    </row>
    <row r="843" spans="1:4" x14ac:dyDescent="0.3">
      <c r="A843">
        <v>841</v>
      </c>
      <c r="B843">
        <v>42.5</v>
      </c>
      <c r="C843">
        <f t="shared" si="13"/>
        <v>18.5</v>
      </c>
      <c r="D843">
        <v>-2.6242586469321899E-2</v>
      </c>
    </row>
    <row r="844" spans="1:4" x14ac:dyDescent="0.3">
      <c r="A844">
        <v>842</v>
      </c>
      <c r="B844">
        <v>42</v>
      </c>
      <c r="C844">
        <f t="shared" si="13"/>
        <v>18</v>
      </c>
      <c r="D844">
        <v>-5.2482418389839101E-2</v>
      </c>
    </row>
    <row r="845" spans="1:4" x14ac:dyDescent="0.3">
      <c r="A845">
        <v>843</v>
      </c>
      <c r="B845">
        <v>41.5</v>
      </c>
      <c r="C845">
        <f t="shared" si="13"/>
        <v>17.5</v>
      </c>
      <c r="D845">
        <v>-2.6241209194919499E-2</v>
      </c>
    </row>
    <row r="846" spans="1:4" x14ac:dyDescent="0.3">
      <c r="A846">
        <v>844</v>
      </c>
      <c r="B846">
        <v>41.5</v>
      </c>
      <c r="C846">
        <f t="shared" si="13"/>
        <v>17.5</v>
      </c>
      <c r="D846">
        <v>-2.6243275160740299E-2</v>
      </c>
    </row>
    <row r="847" spans="1:4" x14ac:dyDescent="0.3">
      <c r="A847">
        <v>845</v>
      </c>
      <c r="B847">
        <v>41.5</v>
      </c>
      <c r="C847">
        <f t="shared" si="13"/>
        <v>17.5</v>
      </c>
      <c r="D847">
        <v>-2.6850683349890901E-2</v>
      </c>
    </row>
    <row r="848" spans="1:4" x14ac:dyDescent="0.3">
      <c r="A848">
        <v>846</v>
      </c>
      <c r="B848">
        <v>41.5</v>
      </c>
      <c r="C848">
        <f t="shared" si="13"/>
        <v>17.5</v>
      </c>
      <c r="D848">
        <v>-2.68514043284462E-2</v>
      </c>
    </row>
    <row r="849" spans="1:4" x14ac:dyDescent="0.3">
      <c r="A849">
        <v>847</v>
      </c>
      <c r="B849">
        <v>41.5</v>
      </c>
      <c r="C849">
        <f t="shared" si="13"/>
        <v>17.5</v>
      </c>
      <c r="D849">
        <v>-2.6850683349891599E-2</v>
      </c>
    </row>
    <row r="850" spans="1:4" x14ac:dyDescent="0.3">
      <c r="A850">
        <v>848</v>
      </c>
      <c r="B850">
        <v>40.5</v>
      </c>
      <c r="C850">
        <f t="shared" si="13"/>
        <v>16.5</v>
      </c>
      <c r="D850">
        <v>-2.68528464017187E-2</v>
      </c>
    </row>
    <row r="851" spans="1:4" x14ac:dyDescent="0.3">
      <c r="A851">
        <v>849</v>
      </c>
      <c r="B851">
        <v>40.5</v>
      </c>
      <c r="C851">
        <f t="shared" si="13"/>
        <v>16.5</v>
      </c>
      <c r="D851">
        <v>-2.68557310129982E-2</v>
      </c>
    </row>
    <row r="852" spans="1:4" x14ac:dyDescent="0.3">
      <c r="A852">
        <v>850</v>
      </c>
      <c r="B852">
        <v>40.5</v>
      </c>
      <c r="C852">
        <f t="shared" si="13"/>
        <v>16.5</v>
      </c>
      <c r="D852">
        <v>-2.68557310129982E-2</v>
      </c>
    </row>
    <row r="853" spans="1:4" x14ac:dyDescent="0.3">
      <c r="A853">
        <v>851</v>
      </c>
      <c r="B853">
        <v>40</v>
      </c>
      <c r="C853">
        <f t="shared" si="13"/>
        <v>16</v>
      </c>
      <c r="D853">
        <v>-5.3710019604157E-2</v>
      </c>
    </row>
    <row r="854" spans="1:4" x14ac:dyDescent="0.3">
      <c r="A854">
        <v>852</v>
      </c>
      <c r="B854">
        <v>40</v>
      </c>
      <c r="C854">
        <f t="shared" si="13"/>
        <v>16</v>
      </c>
      <c r="D854">
        <v>-5.3711462025996498E-2</v>
      </c>
    </row>
    <row r="855" spans="1:4" x14ac:dyDescent="0.3">
      <c r="A855">
        <v>853</v>
      </c>
      <c r="B855">
        <v>40</v>
      </c>
      <c r="C855">
        <f t="shared" si="13"/>
        <v>16</v>
      </c>
      <c r="D855">
        <v>-5.3711462025996498E-2</v>
      </c>
    </row>
    <row r="856" spans="1:4" x14ac:dyDescent="0.3">
      <c r="A856">
        <v>854</v>
      </c>
      <c r="B856">
        <v>39.5</v>
      </c>
      <c r="C856">
        <f t="shared" si="13"/>
        <v>15.5</v>
      </c>
      <c r="D856">
        <v>-2.68550098020785E-2</v>
      </c>
    </row>
    <row r="857" spans="1:4" x14ac:dyDescent="0.3">
      <c r="A857">
        <v>855</v>
      </c>
      <c r="B857">
        <v>39.5</v>
      </c>
      <c r="C857">
        <f t="shared" si="13"/>
        <v>15.5</v>
      </c>
      <c r="D857">
        <v>-2.68557310129982E-2</v>
      </c>
    </row>
    <row r="858" spans="1:4" x14ac:dyDescent="0.3">
      <c r="A858">
        <v>856</v>
      </c>
      <c r="B858">
        <v>39.5</v>
      </c>
      <c r="C858">
        <f t="shared" si="13"/>
        <v>15.5</v>
      </c>
      <c r="D858">
        <v>-2.6854288629893901E-2</v>
      </c>
    </row>
    <row r="859" spans="1:4" x14ac:dyDescent="0.3">
      <c r="A859">
        <v>857</v>
      </c>
      <c r="B859">
        <v>38.5</v>
      </c>
      <c r="C859">
        <f t="shared" si="13"/>
        <v>14.5</v>
      </c>
      <c r="D859">
        <v>-2.68528464017187E-2</v>
      </c>
    </row>
    <row r="860" spans="1:4" x14ac:dyDescent="0.3">
      <c r="A860">
        <v>858</v>
      </c>
      <c r="B860">
        <v>38.5</v>
      </c>
      <c r="C860">
        <f t="shared" si="13"/>
        <v>14.5</v>
      </c>
      <c r="D860">
        <v>-2.68528464017187E-2</v>
      </c>
    </row>
    <row r="861" spans="1:4" x14ac:dyDescent="0.3">
      <c r="A861">
        <v>859</v>
      </c>
      <c r="B861">
        <v>38.5</v>
      </c>
      <c r="C861">
        <f t="shared" si="13"/>
        <v>14.5</v>
      </c>
      <c r="D861">
        <v>-2.6852846401717999E-2</v>
      </c>
    </row>
    <row r="862" spans="1:4" x14ac:dyDescent="0.3">
      <c r="A862">
        <v>860</v>
      </c>
      <c r="B862">
        <v>38.5</v>
      </c>
      <c r="C862">
        <f t="shared" si="13"/>
        <v>14.5</v>
      </c>
      <c r="D862">
        <v>-2.6852125345721099E-2</v>
      </c>
    </row>
    <row r="863" spans="1:4" x14ac:dyDescent="0.3">
      <c r="A863">
        <v>861</v>
      </c>
      <c r="B863">
        <v>38.5</v>
      </c>
      <c r="C863">
        <f t="shared" si="13"/>
        <v>14.5</v>
      </c>
      <c r="D863">
        <v>-2.6849962410052101E-2</v>
      </c>
    </row>
    <row r="864" spans="1:4" x14ac:dyDescent="0.3">
      <c r="A864">
        <v>862</v>
      </c>
      <c r="B864">
        <v>38.5</v>
      </c>
      <c r="C864">
        <f t="shared" si="13"/>
        <v>14.5</v>
      </c>
      <c r="D864">
        <v>-2.6850683349891599E-2</v>
      </c>
    </row>
    <row r="865" spans="1:4" x14ac:dyDescent="0.3">
      <c r="A865">
        <v>863</v>
      </c>
      <c r="B865">
        <v>37.5</v>
      </c>
      <c r="C865">
        <f t="shared" si="13"/>
        <v>13.5</v>
      </c>
      <c r="D865">
        <v>-2.6852125345721099E-2</v>
      </c>
    </row>
    <row r="866" spans="1:4" x14ac:dyDescent="0.3">
      <c r="A866">
        <v>864</v>
      </c>
      <c r="B866">
        <v>37.5</v>
      </c>
      <c r="C866">
        <f t="shared" si="13"/>
        <v>13.5</v>
      </c>
      <c r="D866">
        <v>-2.68514043284462E-2</v>
      </c>
    </row>
    <row r="867" spans="1:4" x14ac:dyDescent="0.3">
      <c r="A867">
        <v>865</v>
      </c>
      <c r="B867">
        <v>37.5</v>
      </c>
      <c r="C867">
        <f t="shared" si="13"/>
        <v>13.5</v>
      </c>
      <c r="D867">
        <v>-2.6850683349891599E-2</v>
      </c>
    </row>
    <row r="868" spans="1:4" x14ac:dyDescent="0.3">
      <c r="A868">
        <v>866</v>
      </c>
      <c r="B868">
        <v>37.5</v>
      </c>
      <c r="C868">
        <f t="shared" si="13"/>
        <v>13.5</v>
      </c>
      <c r="D868">
        <v>-2.6850683349890901E-2</v>
      </c>
    </row>
    <row r="869" spans="1:4" x14ac:dyDescent="0.3">
      <c r="A869">
        <v>867</v>
      </c>
      <c r="B869">
        <v>37.5</v>
      </c>
      <c r="C869">
        <f t="shared" si="13"/>
        <v>13.5</v>
      </c>
      <c r="D869">
        <v>-2.68528464017187E-2</v>
      </c>
    </row>
    <row r="870" spans="1:4" x14ac:dyDescent="0.3">
      <c r="A870">
        <v>868</v>
      </c>
      <c r="B870">
        <v>37.5</v>
      </c>
      <c r="C870">
        <f t="shared" si="13"/>
        <v>13.5</v>
      </c>
      <c r="D870">
        <v>-2.6853567496441501E-2</v>
      </c>
    </row>
    <row r="871" spans="1:4" x14ac:dyDescent="0.3">
      <c r="A871">
        <v>869</v>
      </c>
      <c r="B871">
        <v>37</v>
      </c>
      <c r="C871">
        <f t="shared" si="13"/>
        <v>13</v>
      </c>
      <c r="D871">
        <v>0</v>
      </c>
    </row>
    <row r="872" spans="1:4" x14ac:dyDescent="0.3">
      <c r="A872">
        <v>870</v>
      </c>
      <c r="B872">
        <v>36.5</v>
      </c>
      <c r="C872">
        <f t="shared" si="13"/>
        <v>12.5</v>
      </c>
      <c r="D872">
        <v>-2.68528464017187E-2</v>
      </c>
    </row>
    <row r="873" spans="1:4" x14ac:dyDescent="0.3">
      <c r="A873">
        <v>871</v>
      </c>
      <c r="B873">
        <v>36.5</v>
      </c>
      <c r="C873">
        <f t="shared" si="13"/>
        <v>12.5</v>
      </c>
      <c r="D873">
        <v>-2.6852125345721099E-2</v>
      </c>
    </row>
    <row r="874" spans="1:4" x14ac:dyDescent="0.3">
      <c r="A874">
        <v>872</v>
      </c>
      <c r="B874">
        <v>36.5</v>
      </c>
      <c r="C874">
        <f t="shared" si="13"/>
        <v>12.5</v>
      </c>
      <c r="D874">
        <v>-2.6849962410052799E-2</v>
      </c>
    </row>
    <row r="875" spans="1:4" x14ac:dyDescent="0.3">
      <c r="A875">
        <v>873</v>
      </c>
      <c r="B875">
        <v>36.5</v>
      </c>
      <c r="C875">
        <f t="shared" si="13"/>
        <v>12.5</v>
      </c>
      <c r="D875">
        <v>-2.6846358291497899E-2</v>
      </c>
    </row>
    <row r="876" spans="1:4" x14ac:dyDescent="0.3">
      <c r="A876">
        <v>874</v>
      </c>
      <c r="B876">
        <v>36.5</v>
      </c>
      <c r="C876">
        <f t="shared" si="13"/>
        <v>12.5</v>
      </c>
      <c r="D876">
        <v>-2.6844916914982E-2</v>
      </c>
    </row>
    <row r="877" spans="1:4" x14ac:dyDescent="0.3">
      <c r="A877">
        <v>875</v>
      </c>
      <c r="B877">
        <v>36.5</v>
      </c>
      <c r="C877">
        <f t="shared" si="13"/>
        <v>12.5</v>
      </c>
      <c r="D877">
        <v>-2.6846358291497899E-2</v>
      </c>
    </row>
    <row r="878" spans="1:4" x14ac:dyDescent="0.3">
      <c r="A878">
        <v>876</v>
      </c>
      <c r="B878">
        <v>36</v>
      </c>
      <c r="C878">
        <f t="shared" si="13"/>
        <v>12</v>
      </c>
      <c r="D878">
        <v>0</v>
      </c>
    </row>
    <row r="879" spans="1:4" x14ac:dyDescent="0.3">
      <c r="A879">
        <v>877</v>
      </c>
      <c r="B879">
        <v>35.5</v>
      </c>
      <c r="C879">
        <f t="shared" si="13"/>
        <v>11.5</v>
      </c>
      <c r="D879">
        <v>-2.6847799822804299E-2</v>
      </c>
    </row>
    <row r="880" spans="1:4" x14ac:dyDescent="0.3">
      <c r="A880">
        <v>878</v>
      </c>
      <c r="B880">
        <v>35.5</v>
      </c>
      <c r="C880">
        <f t="shared" si="13"/>
        <v>11.5</v>
      </c>
      <c r="D880">
        <v>-2.6852125345721099E-2</v>
      </c>
    </row>
    <row r="881" spans="1:4" x14ac:dyDescent="0.3">
      <c r="A881">
        <v>879</v>
      </c>
      <c r="B881">
        <v>35.5</v>
      </c>
      <c r="C881">
        <f t="shared" si="13"/>
        <v>11.5</v>
      </c>
      <c r="D881">
        <v>-2.6850683349890901E-2</v>
      </c>
    </row>
    <row r="882" spans="1:4" x14ac:dyDescent="0.3">
      <c r="A882">
        <v>880</v>
      </c>
      <c r="B882">
        <v>35.5</v>
      </c>
      <c r="C882">
        <f t="shared" si="13"/>
        <v>11.5</v>
      </c>
      <c r="D882">
        <v>-2.6852125345721099E-2</v>
      </c>
    </row>
    <row r="883" spans="1:4" x14ac:dyDescent="0.3">
      <c r="A883">
        <v>881</v>
      </c>
      <c r="B883">
        <v>35.5</v>
      </c>
      <c r="C883">
        <f t="shared" si="13"/>
        <v>11.5</v>
      </c>
      <c r="D883">
        <v>-2.68492415089274E-2</v>
      </c>
    </row>
    <row r="884" spans="1:4" x14ac:dyDescent="0.3">
      <c r="A884">
        <v>882</v>
      </c>
      <c r="B884">
        <v>35</v>
      </c>
      <c r="C884">
        <f t="shared" si="13"/>
        <v>11</v>
      </c>
      <c r="D884">
        <v>-5.3702808656892399E-2</v>
      </c>
    </row>
    <row r="885" spans="1:4" x14ac:dyDescent="0.3">
      <c r="A885">
        <v>883</v>
      </c>
      <c r="B885">
        <v>34.5</v>
      </c>
      <c r="C885">
        <f t="shared" si="13"/>
        <v>10.5</v>
      </c>
      <c r="D885">
        <v>-2.6852125345721099E-2</v>
      </c>
    </row>
    <row r="886" spans="1:4" x14ac:dyDescent="0.3">
      <c r="A886">
        <v>884</v>
      </c>
      <c r="B886">
        <v>34.5</v>
      </c>
      <c r="C886">
        <f t="shared" si="13"/>
        <v>10.5</v>
      </c>
      <c r="D886">
        <v>-2.6850683349890901E-2</v>
      </c>
    </row>
    <row r="887" spans="1:4" x14ac:dyDescent="0.3">
      <c r="A887">
        <v>885</v>
      </c>
      <c r="B887">
        <v>34.5</v>
      </c>
      <c r="C887">
        <f t="shared" si="13"/>
        <v>10.5</v>
      </c>
      <c r="D887">
        <v>-2.68550098020785E-2</v>
      </c>
    </row>
    <row r="888" spans="1:4" x14ac:dyDescent="0.3">
      <c r="A888">
        <v>886</v>
      </c>
      <c r="B888">
        <v>34.5</v>
      </c>
      <c r="C888">
        <f t="shared" si="13"/>
        <v>10.5</v>
      </c>
      <c r="D888">
        <v>-2.68550098020785E-2</v>
      </c>
    </row>
    <row r="889" spans="1:4" x14ac:dyDescent="0.3">
      <c r="A889">
        <v>887</v>
      </c>
      <c r="B889">
        <v>34.5</v>
      </c>
      <c r="C889">
        <f t="shared" si="13"/>
        <v>10.5</v>
      </c>
      <c r="D889">
        <v>-2.68571735510558E-2</v>
      </c>
    </row>
    <row r="890" spans="1:4" x14ac:dyDescent="0.3">
      <c r="A890">
        <v>888</v>
      </c>
      <c r="B890">
        <v>34</v>
      </c>
      <c r="C890">
        <f t="shared" si="13"/>
        <v>10</v>
      </c>
      <c r="D890">
        <v>0</v>
      </c>
    </row>
    <row r="891" spans="1:4" x14ac:dyDescent="0.3">
      <c r="A891">
        <v>889</v>
      </c>
      <c r="B891">
        <v>34</v>
      </c>
      <c r="C891">
        <f t="shared" si="13"/>
        <v>10</v>
      </c>
      <c r="D891">
        <v>0</v>
      </c>
    </row>
    <row r="892" spans="1:4" x14ac:dyDescent="0.3">
      <c r="A892">
        <v>890</v>
      </c>
      <c r="B892">
        <v>34</v>
      </c>
      <c r="C892">
        <f t="shared" si="13"/>
        <v>10</v>
      </c>
      <c r="D892">
        <v>0</v>
      </c>
    </row>
    <row r="893" spans="1:4" x14ac:dyDescent="0.3">
      <c r="A893">
        <v>891</v>
      </c>
      <c r="B893">
        <v>33.5</v>
      </c>
      <c r="C893">
        <f t="shared" si="13"/>
        <v>9.5</v>
      </c>
      <c r="D893">
        <v>-2.6852125345721099E-2</v>
      </c>
    </row>
    <row r="894" spans="1:4" x14ac:dyDescent="0.3">
      <c r="A894">
        <v>892</v>
      </c>
      <c r="B894">
        <v>33.5</v>
      </c>
      <c r="C894">
        <f t="shared" si="13"/>
        <v>9.5</v>
      </c>
      <c r="D894">
        <v>-2.68492415089274E-2</v>
      </c>
    </row>
    <row r="895" spans="1:4" x14ac:dyDescent="0.3">
      <c r="A895">
        <v>893</v>
      </c>
      <c r="B895">
        <v>33.5</v>
      </c>
      <c r="C895">
        <f t="shared" si="13"/>
        <v>9.5</v>
      </c>
      <c r="D895">
        <v>-2.6852125345721099E-2</v>
      </c>
    </row>
    <row r="896" spans="1:4" x14ac:dyDescent="0.3">
      <c r="A896">
        <v>894</v>
      </c>
      <c r="B896">
        <v>33.5</v>
      </c>
      <c r="C896">
        <f t="shared" si="13"/>
        <v>9.5</v>
      </c>
      <c r="D896">
        <v>-2.6852125345721099E-2</v>
      </c>
    </row>
    <row r="897" spans="1:4" x14ac:dyDescent="0.3">
      <c r="A897">
        <v>895</v>
      </c>
      <c r="B897">
        <v>33.5</v>
      </c>
      <c r="C897">
        <f t="shared" si="13"/>
        <v>9.5</v>
      </c>
      <c r="D897">
        <v>-2.68514043284462E-2</v>
      </c>
    </row>
    <row r="898" spans="1:4" x14ac:dyDescent="0.3">
      <c r="A898">
        <v>896</v>
      </c>
      <c r="B898">
        <v>33.5</v>
      </c>
      <c r="C898">
        <f t="shared" si="13"/>
        <v>9.5</v>
      </c>
      <c r="D898">
        <v>-2.6850683349890901E-2</v>
      </c>
    </row>
    <row r="899" spans="1:4" x14ac:dyDescent="0.3">
      <c r="A899">
        <v>897</v>
      </c>
      <c r="B899">
        <v>33</v>
      </c>
      <c r="C899">
        <f t="shared" ref="C899:C957" si="14">B899-24</f>
        <v>9</v>
      </c>
      <c r="D899">
        <v>0</v>
      </c>
    </row>
    <row r="900" spans="1:4" x14ac:dyDescent="0.3">
      <c r="A900">
        <v>898</v>
      </c>
      <c r="B900">
        <v>33</v>
      </c>
      <c r="C900">
        <f t="shared" si="14"/>
        <v>9</v>
      </c>
      <c r="D900">
        <v>0</v>
      </c>
    </row>
    <row r="901" spans="1:4" x14ac:dyDescent="0.3">
      <c r="A901">
        <v>899</v>
      </c>
      <c r="B901">
        <v>33</v>
      </c>
      <c r="C901">
        <f t="shared" si="14"/>
        <v>9</v>
      </c>
      <c r="D901">
        <v>0</v>
      </c>
    </row>
    <row r="902" spans="1:4" x14ac:dyDescent="0.3">
      <c r="A902">
        <v>900</v>
      </c>
      <c r="B902">
        <v>32.5</v>
      </c>
      <c r="C902">
        <f t="shared" si="14"/>
        <v>8.5</v>
      </c>
      <c r="D902">
        <v>-2.6853567496442202E-2</v>
      </c>
    </row>
    <row r="903" spans="1:4" x14ac:dyDescent="0.3">
      <c r="A903">
        <v>901</v>
      </c>
      <c r="B903">
        <v>32.5</v>
      </c>
      <c r="C903">
        <f t="shared" si="14"/>
        <v>8.5</v>
      </c>
      <c r="D903">
        <v>-2.6852846401717999E-2</v>
      </c>
    </row>
    <row r="904" spans="1:4" x14ac:dyDescent="0.3">
      <c r="A904">
        <v>902</v>
      </c>
      <c r="B904">
        <v>32.5</v>
      </c>
      <c r="C904">
        <f t="shared" si="14"/>
        <v>8.5</v>
      </c>
      <c r="D904">
        <v>-2.6852125345721099E-2</v>
      </c>
    </row>
    <row r="905" spans="1:4" x14ac:dyDescent="0.3">
      <c r="A905">
        <v>903</v>
      </c>
      <c r="B905">
        <v>32.5</v>
      </c>
      <c r="C905">
        <f t="shared" si="14"/>
        <v>8.5</v>
      </c>
      <c r="D905">
        <v>-2.6852125345721099E-2</v>
      </c>
    </row>
    <row r="906" spans="1:4" x14ac:dyDescent="0.3">
      <c r="A906">
        <v>904</v>
      </c>
      <c r="B906">
        <v>32.5</v>
      </c>
      <c r="C906">
        <f t="shared" si="14"/>
        <v>8.5</v>
      </c>
      <c r="D906">
        <v>-2.6852125345721099E-2</v>
      </c>
    </row>
    <row r="907" spans="1:4" x14ac:dyDescent="0.3">
      <c r="A907">
        <v>905</v>
      </c>
      <c r="B907">
        <v>32.5</v>
      </c>
      <c r="C907">
        <f t="shared" si="14"/>
        <v>8.5</v>
      </c>
      <c r="D907">
        <v>-2.6849962410052101E-2</v>
      </c>
    </row>
    <row r="908" spans="1:4" x14ac:dyDescent="0.3">
      <c r="A908">
        <v>906</v>
      </c>
      <c r="B908">
        <v>32</v>
      </c>
      <c r="C908">
        <f t="shared" si="14"/>
        <v>8</v>
      </c>
      <c r="D908">
        <v>0</v>
      </c>
    </row>
    <row r="909" spans="1:4" x14ac:dyDescent="0.3">
      <c r="A909">
        <v>907</v>
      </c>
      <c r="B909">
        <v>32</v>
      </c>
      <c r="C909">
        <f t="shared" si="14"/>
        <v>8</v>
      </c>
      <c r="D909">
        <v>0</v>
      </c>
    </row>
    <row r="910" spans="1:4" x14ac:dyDescent="0.3">
      <c r="A910">
        <v>908</v>
      </c>
      <c r="B910">
        <v>32</v>
      </c>
      <c r="C910">
        <f t="shared" si="14"/>
        <v>8</v>
      </c>
      <c r="D910">
        <v>0</v>
      </c>
    </row>
    <row r="911" spans="1:4" x14ac:dyDescent="0.3">
      <c r="A911">
        <v>909</v>
      </c>
      <c r="B911">
        <v>32</v>
      </c>
      <c r="C911">
        <f t="shared" si="14"/>
        <v>8</v>
      </c>
      <c r="D911">
        <v>0</v>
      </c>
    </row>
    <row r="912" spans="1:4" x14ac:dyDescent="0.3">
      <c r="A912">
        <v>910</v>
      </c>
      <c r="B912">
        <v>31.5</v>
      </c>
      <c r="C912">
        <f t="shared" si="14"/>
        <v>7.5</v>
      </c>
      <c r="D912">
        <v>-2.6850683349890901E-2</v>
      </c>
    </row>
    <row r="913" spans="1:4" x14ac:dyDescent="0.3">
      <c r="A913">
        <v>911</v>
      </c>
      <c r="B913">
        <v>31.5</v>
      </c>
      <c r="C913">
        <f t="shared" si="14"/>
        <v>7.5</v>
      </c>
      <c r="D913">
        <v>-2.68514043284462E-2</v>
      </c>
    </row>
    <row r="914" spans="1:4" x14ac:dyDescent="0.3">
      <c r="A914">
        <v>912</v>
      </c>
      <c r="B914">
        <v>31.5</v>
      </c>
      <c r="C914">
        <f t="shared" si="14"/>
        <v>7.5</v>
      </c>
      <c r="D914">
        <v>-2.6853567496441501E-2</v>
      </c>
    </row>
    <row r="915" spans="1:4" x14ac:dyDescent="0.3">
      <c r="A915">
        <v>913</v>
      </c>
      <c r="B915">
        <v>31.5</v>
      </c>
      <c r="C915">
        <f t="shared" si="14"/>
        <v>7.5</v>
      </c>
      <c r="D915">
        <v>-2.6853567496442202E-2</v>
      </c>
    </row>
    <row r="916" spans="1:4" x14ac:dyDescent="0.3">
      <c r="A916">
        <v>914</v>
      </c>
      <c r="B916">
        <v>31.5</v>
      </c>
      <c r="C916">
        <f t="shared" si="14"/>
        <v>7.5</v>
      </c>
      <c r="D916">
        <v>-2.6852846401717999E-2</v>
      </c>
    </row>
    <row r="917" spans="1:4" x14ac:dyDescent="0.3">
      <c r="A917">
        <v>915</v>
      </c>
      <c r="B917">
        <v>31.5</v>
      </c>
      <c r="C917">
        <f t="shared" si="14"/>
        <v>7.5</v>
      </c>
      <c r="D917">
        <v>-2.68514043284462E-2</v>
      </c>
    </row>
    <row r="918" spans="1:4" x14ac:dyDescent="0.3">
      <c r="A918">
        <v>916</v>
      </c>
      <c r="B918">
        <v>31</v>
      </c>
      <c r="C918">
        <f t="shared" si="14"/>
        <v>7</v>
      </c>
      <c r="D918">
        <v>0</v>
      </c>
    </row>
    <row r="919" spans="1:4" x14ac:dyDescent="0.3">
      <c r="A919">
        <v>917</v>
      </c>
      <c r="B919">
        <v>31</v>
      </c>
      <c r="C919">
        <f t="shared" si="14"/>
        <v>7</v>
      </c>
      <c r="D919">
        <v>0</v>
      </c>
    </row>
    <row r="920" spans="1:4" x14ac:dyDescent="0.3">
      <c r="A920">
        <v>918</v>
      </c>
      <c r="B920">
        <v>31</v>
      </c>
      <c r="C920">
        <f t="shared" si="14"/>
        <v>7</v>
      </c>
      <c r="D920">
        <v>0</v>
      </c>
    </row>
    <row r="921" spans="1:4" x14ac:dyDescent="0.3">
      <c r="A921">
        <v>919</v>
      </c>
      <c r="B921">
        <v>31</v>
      </c>
      <c r="C921">
        <f t="shared" si="14"/>
        <v>7</v>
      </c>
      <c r="D921">
        <v>0</v>
      </c>
    </row>
    <row r="922" spans="1:4" x14ac:dyDescent="0.3">
      <c r="A922">
        <v>920</v>
      </c>
      <c r="B922">
        <v>31</v>
      </c>
      <c r="C922">
        <f t="shared" si="14"/>
        <v>7</v>
      </c>
      <c r="D922">
        <v>0</v>
      </c>
    </row>
    <row r="923" spans="1:4" x14ac:dyDescent="0.3">
      <c r="A923">
        <v>921</v>
      </c>
      <c r="B923">
        <v>30.5</v>
      </c>
      <c r="C923">
        <f t="shared" si="14"/>
        <v>6.5</v>
      </c>
      <c r="D923">
        <v>-2.6850683349890901E-2</v>
      </c>
    </row>
    <row r="924" spans="1:4" x14ac:dyDescent="0.3">
      <c r="A924">
        <v>922</v>
      </c>
      <c r="B924">
        <v>30.5</v>
      </c>
      <c r="C924">
        <f t="shared" si="14"/>
        <v>6.5</v>
      </c>
      <c r="D924">
        <v>-2.68492415089274E-2</v>
      </c>
    </row>
    <row r="925" spans="1:4" x14ac:dyDescent="0.3">
      <c r="A925">
        <v>923</v>
      </c>
      <c r="B925">
        <v>30.5</v>
      </c>
      <c r="C925">
        <f t="shared" si="14"/>
        <v>6.5</v>
      </c>
      <c r="D925">
        <v>-2.6850683349890901E-2</v>
      </c>
    </row>
    <row r="926" spans="1:4" x14ac:dyDescent="0.3">
      <c r="A926">
        <v>924</v>
      </c>
      <c r="B926">
        <v>30.5</v>
      </c>
      <c r="C926">
        <f t="shared" si="14"/>
        <v>6.5</v>
      </c>
      <c r="D926">
        <v>-2.6849962410052799E-2</v>
      </c>
    </row>
    <row r="927" spans="1:4" x14ac:dyDescent="0.3">
      <c r="A927">
        <v>925</v>
      </c>
      <c r="B927">
        <v>30.5</v>
      </c>
      <c r="C927">
        <f t="shared" si="14"/>
        <v>6.5</v>
      </c>
      <c r="D927">
        <v>-2.68470790378003E-2</v>
      </c>
    </row>
    <row r="928" spans="1:4" x14ac:dyDescent="0.3">
      <c r="A928">
        <v>926</v>
      </c>
      <c r="B928">
        <v>30.5</v>
      </c>
      <c r="C928">
        <f t="shared" si="14"/>
        <v>6.5</v>
      </c>
      <c r="D928">
        <v>-2.68492415089274E-2</v>
      </c>
    </row>
    <row r="929" spans="1:4" x14ac:dyDescent="0.3">
      <c r="A929">
        <v>927</v>
      </c>
      <c r="B929">
        <v>29.5</v>
      </c>
      <c r="C929">
        <f t="shared" si="14"/>
        <v>5.5</v>
      </c>
      <c r="D929">
        <v>-2.6850683349891599E-2</v>
      </c>
    </row>
    <row r="930" spans="1:4" x14ac:dyDescent="0.3">
      <c r="A930">
        <v>928</v>
      </c>
      <c r="B930">
        <v>29.5</v>
      </c>
      <c r="C930">
        <f t="shared" si="14"/>
        <v>5.5</v>
      </c>
      <c r="D930">
        <v>-2.68557310129982E-2</v>
      </c>
    </row>
    <row r="931" spans="1:4" x14ac:dyDescent="0.3">
      <c r="A931">
        <v>929</v>
      </c>
      <c r="B931">
        <v>29.5</v>
      </c>
      <c r="C931">
        <f t="shared" si="14"/>
        <v>5.5</v>
      </c>
      <c r="D931">
        <v>-2.68550098020785E-2</v>
      </c>
    </row>
    <row r="932" spans="1:4" x14ac:dyDescent="0.3">
      <c r="A932">
        <v>930</v>
      </c>
      <c r="B932">
        <v>29.5</v>
      </c>
      <c r="C932">
        <f t="shared" si="14"/>
        <v>5.5</v>
      </c>
      <c r="D932">
        <v>-2.6854288629893901E-2</v>
      </c>
    </row>
    <row r="933" spans="1:4" x14ac:dyDescent="0.3">
      <c r="A933">
        <v>931</v>
      </c>
      <c r="B933">
        <v>29.5</v>
      </c>
      <c r="C933">
        <f t="shared" si="14"/>
        <v>5.5</v>
      </c>
      <c r="D933">
        <v>-2.68550098020785E-2</v>
      </c>
    </row>
    <row r="934" spans="1:4" x14ac:dyDescent="0.3">
      <c r="A934">
        <v>932</v>
      </c>
      <c r="B934">
        <v>29.5</v>
      </c>
      <c r="C934">
        <f t="shared" si="14"/>
        <v>5.5</v>
      </c>
      <c r="D934">
        <v>-2.68550098020785E-2</v>
      </c>
    </row>
    <row r="935" spans="1:4" x14ac:dyDescent="0.3">
      <c r="A935">
        <v>933</v>
      </c>
      <c r="B935">
        <v>29</v>
      </c>
      <c r="C935">
        <f t="shared" si="14"/>
        <v>5</v>
      </c>
      <c r="D935">
        <v>0</v>
      </c>
    </row>
    <row r="936" spans="1:4" x14ac:dyDescent="0.3">
      <c r="A936">
        <v>934</v>
      </c>
      <c r="B936">
        <v>29</v>
      </c>
      <c r="C936">
        <f t="shared" si="14"/>
        <v>5</v>
      </c>
      <c r="D936">
        <v>0</v>
      </c>
    </row>
    <row r="937" spans="1:4" x14ac:dyDescent="0.3">
      <c r="A937">
        <v>935</v>
      </c>
      <c r="B937">
        <v>29</v>
      </c>
      <c r="C937">
        <f t="shared" si="14"/>
        <v>5</v>
      </c>
      <c r="D937">
        <v>0</v>
      </c>
    </row>
    <row r="938" spans="1:4" x14ac:dyDescent="0.3">
      <c r="A938">
        <v>936</v>
      </c>
      <c r="B938">
        <v>29</v>
      </c>
      <c r="C938">
        <f t="shared" si="14"/>
        <v>5</v>
      </c>
      <c r="D938">
        <v>0</v>
      </c>
    </row>
    <row r="939" spans="1:4" x14ac:dyDescent="0.3">
      <c r="A939">
        <v>937</v>
      </c>
      <c r="B939">
        <v>29</v>
      </c>
      <c r="C939">
        <f t="shared" si="14"/>
        <v>5</v>
      </c>
      <c r="D939">
        <v>0</v>
      </c>
    </row>
    <row r="940" spans="1:4" x14ac:dyDescent="0.3">
      <c r="A940">
        <v>938</v>
      </c>
      <c r="B940">
        <v>29</v>
      </c>
      <c r="C940">
        <f t="shared" si="14"/>
        <v>5</v>
      </c>
      <c r="D940">
        <v>0</v>
      </c>
    </row>
    <row r="941" spans="1:4" x14ac:dyDescent="0.3">
      <c r="A941">
        <v>939</v>
      </c>
      <c r="B941">
        <v>29</v>
      </c>
      <c r="C941">
        <f t="shared" si="14"/>
        <v>5</v>
      </c>
      <c r="D941">
        <v>0</v>
      </c>
    </row>
    <row r="942" spans="1:4" x14ac:dyDescent="0.3">
      <c r="A942">
        <v>940</v>
      </c>
      <c r="B942">
        <v>29</v>
      </c>
      <c r="C942">
        <f t="shared" si="14"/>
        <v>5</v>
      </c>
      <c r="D942">
        <v>0</v>
      </c>
    </row>
    <row r="943" spans="1:4" x14ac:dyDescent="0.3">
      <c r="A943">
        <v>941</v>
      </c>
      <c r="B943">
        <v>28.5</v>
      </c>
      <c r="C943">
        <f t="shared" si="14"/>
        <v>4.5</v>
      </c>
      <c r="D943">
        <v>-2.6852125345721099E-2</v>
      </c>
    </row>
    <row r="944" spans="1:4" x14ac:dyDescent="0.3">
      <c r="A944">
        <v>942</v>
      </c>
      <c r="B944">
        <v>28.5</v>
      </c>
      <c r="C944">
        <f t="shared" si="14"/>
        <v>4.5</v>
      </c>
      <c r="D944">
        <v>-2.6853567496441501E-2</v>
      </c>
    </row>
    <row r="945" spans="1:4" x14ac:dyDescent="0.3">
      <c r="A945">
        <v>943</v>
      </c>
      <c r="B945">
        <v>28.5</v>
      </c>
      <c r="C945">
        <f t="shared" si="14"/>
        <v>4.5</v>
      </c>
      <c r="D945">
        <v>-2.6852846401717999E-2</v>
      </c>
    </row>
    <row r="946" spans="1:4" x14ac:dyDescent="0.3">
      <c r="A946">
        <v>944</v>
      </c>
      <c r="B946">
        <v>28.5</v>
      </c>
      <c r="C946">
        <f t="shared" si="14"/>
        <v>4.5</v>
      </c>
      <c r="D946">
        <v>-2.6852125345721099E-2</v>
      </c>
    </row>
    <row r="947" spans="1:4" x14ac:dyDescent="0.3">
      <c r="A947">
        <v>945</v>
      </c>
      <c r="B947">
        <v>28.5</v>
      </c>
      <c r="C947">
        <f t="shared" si="14"/>
        <v>4.5</v>
      </c>
      <c r="D947">
        <v>-2.68557310129982E-2</v>
      </c>
    </row>
    <row r="948" spans="1:4" x14ac:dyDescent="0.3">
      <c r="A948">
        <v>946</v>
      </c>
      <c r="B948">
        <v>28.5</v>
      </c>
      <c r="C948">
        <f t="shared" si="14"/>
        <v>4.5</v>
      </c>
      <c r="D948">
        <v>-2.68557310129976E-2</v>
      </c>
    </row>
    <row r="949" spans="1:4" x14ac:dyDescent="0.3">
      <c r="A949">
        <v>947</v>
      </c>
      <c r="B949">
        <v>28</v>
      </c>
      <c r="C949">
        <f t="shared" si="14"/>
        <v>4</v>
      </c>
      <c r="D949">
        <v>0</v>
      </c>
    </row>
    <row r="950" spans="1:4" x14ac:dyDescent="0.3">
      <c r="A950">
        <v>948</v>
      </c>
      <c r="B950">
        <v>28</v>
      </c>
      <c r="C950">
        <f t="shared" si="14"/>
        <v>4</v>
      </c>
      <c r="D950">
        <v>0</v>
      </c>
    </row>
    <row r="951" spans="1:4" x14ac:dyDescent="0.3">
      <c r="A951">
        <v>949</v>
      </c>
      <c r="B951">
        <v>28</v>
      </c>
      <c r="C951">
        <f t="shared" si="14"/>
        <v>4</v>
      </c>
      <c r="D951">
        <v>0</v>
      </c>
    </row>
    <row r="952" spans="1:4" x14ac:dyDescent="0.3">
      <c r="A952">
        <v>950</v>
      </c>
      <c r="B952">
        <v>28</v>
      </c>
      <c r="C952">
        <f t="shared" si="14"/>
        <v>4</v>
      </c>
      <c r="D952">
        <v>0</v>
      </c>
    </row>
    <row r="953" spans="1:4" x14ac:dyDescent="0.3">
      <c r="A953">
        <v>951</v>
      </c>
      <c r="B953">
        <v>28</v>
      </c>
      <c r="C953">
        <f t="shared" si="14"/>
        <v>4</v>
      </c>
      <c r="D953">
        <v>0</v>
      </c>
    </row>
    <row r="954" spans="1:4" x14ac:dyDescent="0.3">
      <c r="A954">
        <v>952</v>
      </c>
      <c r="B954">
        <v>28</v>
      </c>
      <c r="C954">
        <f t="shared" si="14"/>
        <v>4</v>
      </c>
      <c r="D954">
        <v>0</v>
      </c>
    </row>
    <row r="955" spans="1:4" x14ac:dyDescent="0.3">
      <c r="A955">
        <v>953</v>
      </c>
      <c r="B955">
        <v>28</v>
      </c>
      <c r="C955">
        <f t="shared" si="14"/>
        <v>4</v>
      </c>
      <c r="D955">
        <v>0</v>
      </c>
    </row>
    <row r="956" spans="1:4" x14ac:dyDescent="0.3">
      <c r="A956">
        <v>954</v>
      </c>
      <c r="B956">
        <v>28</v>
      </c>
      <c r="C956">
        <f t="shared" si="14"/>
        <v>4</v>
      </c>
      <c r="D956">
        <v>0</v>
      </c>
    </row>
    <row r="957" spans="1:4" x14ac:dyDescent="0.3">
      <c r="A957">
        <v>955</v>
      </c>
      <c r="B957">
        <v>28</v>
      </c>
      <c r="C957">
        <f t="shared" si="14"/>
        <v>4</v>
      </c>
      <c r="D957">
        <v>0</v>
      </c>
    </row>
    <row r="958" spans="1:4" x14ac:dyDescent="0.3">
      <c r="C958">
        <v>0</v>
      </c>
      <c r="D958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F313-909B-4C5D-8593-8795FA9C7175}">
  <dimension ref="A1:S20"/>
  <sheetViews>
    <sheetView workbookViewId="0">
      <selection activeCell="V7" sqref="V7"/>
    </sheetView>
  </sheetViews>
  <sheetFormatPr defaultRowHeight="14.4" x14ac:dyDescent="0.3"/>
  <sheetData>
    <row r="1" spans="1:19" x14ac:dyDescent="0.3">
      <c r="A1" t="s">
        <v>128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264</v>
      </c>
      <c r="K1" t="s">
        <v>129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264</v>
      </c>
    </row>
    <row r="2" spans="1:19" x14ac:dyDescent="0.3">
      <c r="A2">
        <v>0</v>
      </c>
      <c r="B2" t="s">
        <v>118</v>
      </c>
      <c r="C2">
        <v>24</v>
      </c>
      <c r="D2">
        <v>0</v>
      </c>
      <c r="E2">
        <v>0</v>
      </c>
      <c r="F2">
        <v>30755.3271720829</v>
      </c>
      <c r="G2">
        <v>30755.3271720829</v>
      </c>
      <c r="H2">
        <v>0</v>
      </c>
      <c r="K2">
        <v>0</v>
      </c>
      <c r="L2" t="s">
        <v>118</v>
      </c>
      <c r="M2">
        <v>24</v>
      </c>
      <c r="N2">
        <v>0</v>
      </c>
      <c r="O2">
        <v>0</v>
      </c>
      <c r="P2">
        <v>6.0165964027986396</v>
      </c>
      <c r="Q2">
        <v>6.0165964027986396</v>
      </c>
      <c r="R2">
        <v>0</v>
      </c>
    </row>
    <row r="3" spans="1:19" x14ac:dyDescent="0.3">
      <c r="A3">
        <v>1</v>
      </c>
      <c r="B3" t="s">
        <v>119</v>
      </c>
      <c r="C3">
        <v>99.98</v>
      </c>
      <c r="D3">
        <v>29.999999999999901</v>
      </c>
      <c r="E3">
        <v>730.30583462502898</v>
      </c>
      <c r="F3">
        <v>30755.3271720829</v>
      </c>
      <c r="G3">
        <v>30025.021337457802</v>
      </c>
      <c r="H3">
        <v>80641053855.483795</v>
      </c>
      <c r="I3">
        <f t="shared" ref="I3:I20" si="0">G3/F3</f>
        <v>0.97625433049244204</v>
      </c>
      <c r="K3">
        <v>1</v>
      </c>
      <c r="L3" t="s">
        <v>119</v>
      </c>
      <c r="M3">
        <v>99.98</v>
      </c>
      <c r="N3">
        <v>30</v>
      </c>
      <c r="O3">
        <v>0.15462928226653599</v>
      </c>
      <c r="P3">
        <v>6.0165964027986396</v>
      </c>
      <c r="Q3">
        <v>5.8619671205320998</v>
      </c>
      <c r="R3">
        <v>87366725268.082108</v>
      </c>
      <c r="S3">
        <f t="shared" ref="S3:S20" si="1">Q3/P3</f>
        <v>0.97429954214734871</v>
      </c>
    </row>
    <row r="4" spans="1:19" x14ac:dyDescent="0.3">
      <c r="A4">
        <v>2</v>
      </c>
      <c r="B4" t="s">
        <v>120</v>
      </c>
      <c r="C4">
        <v>24.968119930244999</v>
      </c>
      <c r="D4">
        <v>53</v>
      </c>
      <c r="E4">
        <v>302.00156991553098</v>
      </c>
      <c r="F4">
        <v>30755.3271720829</v>
      </c>
      <c r="G4">
        <v>29723.019767542301</v>
      </c>
      <c r="H4">
        <v>81171982170.3853</v>
      </c>
      <c r="I4">
        <f t="shared" si="0"/>
        <v>0.96643484236845834</v>
      </c>
      <c r="K4">
        <v>2</v>
      </c>
      <c r="L4" t="s">
        <v>120</v>
      </c>
      <c r="M4">
        <v>24.9684439842597</v>
      </c>
      <c r="N4">
        <v>53</v>
      </c>
      <c r="O4">
        <v>6.3105123750469394E-2</v>
      </c>
      <c r="P4">
        <v>6.0165964027986396</v>
      </c>
      <c r="Q4">
        <v>5.7988619967816399</v>
      </c>
      <c r="R4">
        <v>87635489918.915894</v>
      </c>
      <c r="S4">
        <f t="shared" si="1"/>
        <v>0.96381103344147867</v>
      </c>
    </row>
    <row r="5" spans="1:19" x14ac:dyDescent="0.3">
      <c r="A5">
        <v>3</v>
      </c>
      <c r="B5" t="s">
        <v>121</v>
      </c>
      <c r="C5">
        <v>99.98</v>
      </c>
      <c r="D5">
        <v>30</v>
      </c>
      <c r="E5">
        <v>1067.1313547873999</v>
      </c>
      <c r="F5">
        <v>30755.3271720829</v>
      </c>
      <c r="G5">
        <v>29723.019767542301</v>
      </c>
      <c r="H5">
        <v>114563170024.399</v>
      </c>
      <c r="I5">
        <f t="shared" si="0"/>
        <v>0.96643484236845834</v>
      </c>
      <c r="K5">
        <v>3</v>
      </c>
      <c r="L5" t="s">
        <v>121</v>
      </c>
      <c r="M5">
        <v>99.98</v>
      </c>
      <c r="N5">
        <v>30</v>
      </c>
      <c r="O5">
        <v>0.21851666530751501</v>
      </c>
      <c r="P5">
        <v>6.0165964027986396</v>
      </c>
      <c r="Q5">
        <v>5.7988619967816399</v>
      </c>
      <c r="R5">
        <v>123685663230.709</v>
      </c>
      <c r="S5">
        <f t="shared" si="1"/>
        <v>0.96381103344147867</v>
      </c>
    </row>
    <row r="6" spans="1:19" x14ac:dyDescent="0.3">
      <c r="A6">
        <v>4</v>
      </c>
      <c r="B6" t="s">
        <v>119</v>
      </c>
      <c r="C6">
        <v>26</v>
      </c>
      <c r="D6">
        <v>1</v>
      </c>
      <c r="E6">
        <v>3.7157000508632301</v>
      </c>
      <c r="F6">
        <v>29723.019767542301</v>
      </c>
      <c r="G6">
        <v>29719.304067491401</v>
      </c>
      <c r="H6">
        <v>15699079531.883499</v>
      </c>
      <c r="I6">
        <f t="shared" si="0"/>
        <v>0.9998749891471338</v>
      </c>
      <c r="K6">
        <v>4</v>
      </c>
      <c r="L6" t="s">
        <v>119</v>
      </c>
      <c r="M6">
        <v>26</v>
      </c>
      <c r="N6">
        <v>1</v>
      </c>
      <c r="O6">
        <v>7.7046676019953898E-4</v>
      </c>
      <c r="P6">
        <v>5.7988619967816399</v>
      </c>
      <c r="Q6">
        <v>5.7980915300214404</v>
      </c>
      <c r="R6">
        <v>16685503284.517</v>
      </c>
      <c r="S6">
        <f t="shared" si="1"/>
        <v>0.99986713483427836</v>
      </c>
    </row>
    <row r="7" spans="1:19" x14ac:dyDescent="0.3">
      <c r="A7">
        <v>5</v>
      </c>
      <c r="B7" t="s">
        <v>120</v>
      </c>
      <c r="C7">
        <v>24</v>
      </c>
      <c r="D7">
        <v>72</v>
      </c>
      <c r="E7">
        <v>252.21254964730599</v>
      </c>
      <c r="F7">
        <v>29723.019767542301</v>
      </c>
      <c r="G7">
        <v>29467.091517844099</v>
      </c>
      <c r="H7">
        <v>15183900147.9508</v>
      </c>
      <c r="I7">
        <f t="shared" si="0"/>
        <v>0.99138956096319408</v>
      </c>
      <c r="K7">
        <v>5</v>
      </c>
      <c r="L7" t="s">
        <v>120</v>
      </c>
      <c r="M7">
        <v>24</v>
      </c>
      <c r="N7">
        <v>72</v>
      </c>
      <c r="O7">
        <v>5.2311668719048798E-2</v>
      </c>
      <c r="P7">
        <v>5.7988619967816399</v>
      </c>
      <c r="Q7">
        <v>5.74577986130239</v>
      </c>
      <c r="R7">
        <v>16146654206.903</v>
      </c>
      <c r="S7">
        <f t="shared" si="1"/>
        <v>0.99084611161488056</v>
      </c>
    </row>
    <row r="8" spans="1:19" x14ac:dyDescent="0.3">
      <c r="A8">
        <v>6</v>
      </c>
      <c r="B8" t="s">
        <v>121</v>
      </c>
      <c r="C8">
        <v>26</v>
      </c>
      <c r="D8">
        <v>1</v>
      </c>
      <c r="E8">
        <v>263.98869756003802</v>
      </c>
      <c r="F8">
        <v>29723.019767542301</v>
      </c>
      <c r="G8">
        <v>29467.091517844099</v>
      </c>
      <c r="H8">
        <v>1085928163089.5601</v>
      </c>
      <c r="I8">
        <f t="shared" si="0"/>
        <v>0.99138956096319408</v>
      </c>
      <c r="K8">
        <v>6</v>
      </c>
      <c r="L8" t="s">
        <v>121</v>
      </c>
      <c r="M8">
        <v>26</v>
      </c>
      <c r="N8">
        <v>1</v>
      </c>
      <c r="O8">
        <v>5.1582578066125699E-2</v>
      </c>
      <c r="P8">
        <v>5.7988619967816399</v>
      </c>
      <c r="Q8">
        <v>5.74577986130239</v>
      </c>
      <c r="R8">
        <v>1154782787827.47</v>
      </c>
      <c r="S8">
        <f t="shared" si="1"/>
        <v>0.99084611161488056</v>
      </c>
    </row>
    <row r="9" spans="1:19" x14ac:dyDescent="0.3">
      <c r="A9">
        <v>7</v>
      </c>
      <c r="B9" t="s">
        <v>119</v>
      </c>
      <c r="C9">
        <v>110</v>
      </c>
      <c r="D9">
        <v>30</v>
      </c>
      <c r="E9">
        <v>852.02461324631804</v>
      </c>
      <c r="F9">
        <v>29467.091517844099</v>
      </c>
      <c r="G9">
        <v>28615.066904597799</v>
      </c>
      <c r="H9">
        <v>95878455201.357101</v>
      </c>
      <c r="I9">
        <f t="shared" si="0"/>
        <v>0.97108555444875355</v>
      </c>
      <c r="K9">
        <v>7</v>
      </c>
      <c r="L9" t="s">
        <v>119</v>
      </c>
      <c r="M9">
        <v>110</v>
      </c>
      <c r="N9">
        <v>30</v>
      </c>
      <c r="O9">
        <v>0.180129191170252</v>
      </c>
      <c r="P9">
        <v>5.74577986130239</v>
      </c>
      <c r="Q9">
        <v>5.56565067013213</v>
      </c>
      <c r="R9">
        <v>104083948932.595</v>
      </c>
      <c r="S9">
        <f t="shared" si="1"/>
        <v>0.96865017534287667</v>
      </c>
    </row>
    <row r="10" spans="1:19" x14ac:dyDescent="0.3">
      <c r="A10">
        <v>8</v>
      </c>
      <c r="B10" t="s">
        <v>120</v>
      </c>
      <c r="C10">
        <v>24</v>
      </c>
      <c r="D10">
        <v>83.000000000000398</v>
      </c>
      <c r="E10">
        <v>403.75132291902298</v>
      </c>
      <c r="F10">
        <v>29467.091517844099</v>
      </c>
      <c r="G10">
        <v>28211.315581678798</v>
      </c>
      <c r="H10">
        <v>66333589824.290497</v>
      </c>
      <c r="I10">
        <f t="shared" si="0"/>
        <v>0.95738378402887669</v>
      </c>
      <c r="K10">
        <v>8</v>
      </c>
      <c r="L10" t="s">
        <v>120</v>
      </c>
      <c r="M10">
        <v>24</v>
      </c>
      <c r="N10">
        <v>82.999999999999304</v>
      </c>
      <c r="O10">
        <v>8.3955524129207301E-2</v>
      </c>
      <c r="P10">
        <v>5.74577986130239</v>
      </c>
      <c r="Q10">
        <v>5.48169514600293</v>
      </c>
      <c r="R10">
        <v>71665023234.058395</v>
      </c>
      <c r="S10">
        <f t="shared" si="1"/>
        <v>0.954038490566257</v>
      </c>
    </row>
    <row r="11" spans="1:19" x14ac:dyDescent="0.3">
      <c r="A11">
        <v>9</v>
      </c>
      <c r="B11" t="s">
        <v>121</v>
      </c>
      <c r="C11">
        <v>110</v>
      </c>
      <c r="D11">
        <v>30</v>
      </c>
      <c r="E11">
        <v>1282.3207863996799</v>
      </c>
      <c r="F11">
        <v>29467.091517844099</v>
      </c>
      <c r="G11">
        <v>28211.315581678798</v>
      </c>
      <c r="H11">
        <v>142314127307.10101</v>
      </c>
      <c r="I11">
        <f t="shared" si="0"/>
        <v>0.95738378402887669</v>
      </c>
      <c r="K11">
        <v>9</v>
      </c>
      <c r="L11" t="s">
        <v>121</v>
      </c>
      <c r="M11">
        <v>110</v>
      </c>
      <c r="N11">
        <v>30</v>
      </c>
      <c r="O11">
        <v>0.26916248531966303</v>
      </c>
      <c r="P11">
        <v>5.74577986130239</v>
      </c>
      <c r="Q11">
        <v>5.48169514600293</v>
      </c>
      <c r="R11">
        <v>153752348802.677</v>
      </c>
      <c r="S11">
        <f t="shared" si="1"/>
        <v>0.954038490566257</v>
      </c>
    </row>
    <row r="12" spans="1:19" x14ac:dyDescent="0.3">
      <c r="A12">
        <v>10</v>
      </c>
      <c r="B12" t="s">
        <v>119</v>
      </c>
      <c r="C12">
        <v>26</v>
      </c>
      <c r="D12">
        <v>1</v>
      </c>
      <c r="E12">
        <v>3.53724074861747</v>
      </c>
      <c r="F12">
        <v>28211.315581678798</v>
      </c>
      <c r="G12">
        <v>28207.778340930199</v>
      </c>
      <c r="H12">
        <v>15745912464.825001</v>
      </c>
      <c r="I12">
        <f t="shared" si="0"/>
        <v>0.99987461624260809</v>
      </c>
      <c r="K12">
        <v>10</v>
      </c>
      <c r="L12" t="s">
        <v>119</v>
      </c>
      <c r="M12">
        <v>26</v>
      </c>
      <c r="N12">
        <v>1</v>
      </c>
      <c r="O12">
        <v>7.3020018485081496E-4</v>
      </c>
      <c r="P12">
        <v>5.48169514600293</v>
      </c>
      <c r="Q12">
        <v>5.48096494581808</v>
      </c>
      <c r="R12">
        <v>16728434901.2686</v>
      </c>
      <c r="S12">
        <f t="shared" si="1"/>
        <v>0.9998667929964361</v>
      </c>
    </row>
    <row r="13" spans="1:19" x14ac:dyDescent="0.3">
      <c r="A13">
        <v>11</v>
      </c>
      <c r="B13" t="s">
        <v>120</v>
      </c>
      <c r="C13">
        <v>24</v>
      </c>
      <c r="D13">
        <v>73</v>
      </c>
      <c r="E13">
        <v>242.978553068667</v>
      </c>
      <c r="F13">
        <v>28211.315581678798</v>
      </c>
      <c r="G13">
        <v>27964.799787861499</v>
      </c>
      <c r="H13">
        <v>15199070573.866301</v>
      </c>
      <c r="I13">
        <f t="shared" si="0"/>
        <v>0.99126181148470105</v>
      </c>
      <c r="K13">
        <v>11</v>
      </c>
      <c r="L13" t="s">
        <v>120</v>
      </c>
      <c r="M13">
        <v>24</v>
      </c>
      <c r="N13">
        <v>72.999999999999901</v>
      </c>
      <c r="O13">
        <v>5.0183176808694802E-2</v>
      </c>
      <c r="P13">
        <v>5.48169514600293</v>
      </c>
      <c r="Q13">
        <v>5.4307817690093803</v>
      </c>
      <c r="R13">
        <v>16159685941.8895</v>
      </c>
      <c r="S13">
        <f t="shared" si="1"/>
        <v>0.99071211082749211</v>
      </c>
    </row>
    <row r="14" spans="1:19" x14ac:dyDescent="0.3">
      <c r="A14">
        <v>12</v>
      </c>
      <c r="B14" t="s">
        <v>121</v>
      </c>
      <c r="C14">
        <v>26</v>
      </c>
      <c r="D14">
        <v>1</v>
      </c>
      <c r="E14">
        <v>246.49164211081299</v>
      </c>
      <c r="F14">
        <v>28211.315581678798</v>
      </c>
      <c r="G14">
        <v>27964.799787861499</v>
      </c>
      <c r="H14">
        <v>1102110532147.1399</v>
      </c>
      <c r="I14">
        <f t="shared" si="0"/>
        <v>0.99126181148470105</v>
      </c>
      <c r="K14">
        <v>12</v>
      </c>
      <c r="L14" t="s">
        <v>121</v>
      </c>
      <c r="M14">
        <v>26</v>
      </c>
      <c r="N14">
        <v>1</v>
      </c>
      <c r="O14">
        <v>4.79870864700764E-2</v>
      </c>
      <c r="P14">
        <v>5.48169514600293</v>
      </c>
      <c r="Q14">
        <v>5.4307817690093803</v>
      </c>
      <c r="R14">
        <v>1171766390990.3201</v>
      </c>
      <c r="S14">
        <f t="shared" si="1"/>
        <v>0.99071211082749211</v>
      </c>
    </row>
    <row r="15" spans="1:19" x14ac:dyDescent="0.3">
      <c r="A15">
        <v>13</v>
      </c>
      <c r="B15" t="s">
        <v>119</v>
      </c>
      <c r="C15">
        <v>26</v>
      </c>
      <c r="D15">
        <v>1</v>
      </c>
      <c r="E15">
        <v>3.51348028745997</v>
      </c>
      <c r="F15">
        <v>27964.799787861499</v>
      </c>
      <c r="G15">
        <v>27961.286307574101</v>
      </c>
      <c r="H15">
        <v>15778016827.304501</v>
      </c>
      <c r="I15">
        <f t="shared" si="0"/>
        <v>0.99987436061355517</v>
      </c>
      <c r="K15">
        <v>13</v>
      </c>
      <c r="L15" t="s">
        <v>119</v>
      </c>
      <c r="M15">
        <v>26</v>
      </c>
      <c r="N15">
        <v>1</v>
      </c>
      <c r="O15">
        <v>7.2459511680289502E-4</v>
      </c>
      <c r="P15">
        <v>5.4307817690093803</v>
      </c>
      <c r="Q15">
        <v>5.43005717389258</v>
      </c>
      <c r="R15">
        <v>16755652701.017599</v>
      </c>
      <c r="S15">
        <f t="shared" si="1"/>
        <v>0.9998665762780351</v>
      </c>
    </row>
    <row r="16" spans="1:19" x14ac:dyDescent="0.3">
      <c r="A16">
        <v>14</v>
      </c>
      <c r="B16" t="s">
        <v>120</v>
      </c>
      <c r="C16">
        <v>24</v>
      </c>
      <c r="D16">
        <v>74</v>
      </c>
      <c r="E16">
        <v>244.28081111025401</v>
      </c>
      <c r="F16">
        <v>27964.799787861499</v>
      </c>
      <c r="G16">
        <v>27717.0054964638</v>
      </c>
      <c r="H16">
        <v>15205237078.089199</v>
      </c>
      <c r="I16">
        <f t="shared" si="0"/>
        <v>0.99113906434955934</v>
      </c>
      <c r="K16">
        <v>14</v>
      </c>
      <c r="L16" t="s">
        <v>120</v>
      </c>
      <c r="M16">
        <v>24</v>
      </c>
      <c r="N16">
        <v>73.999999999999901</v>
      </c>
      <c r="O16">
        <v>5.0417092888711497E-2</v>
      </c>
      <c r="P16">
        <v>5.4307817690093803</v>
      </c>
      <c r="Q16">
        <v>5.3796400810038696</v>
      </c>
      <c r="R16">
        <v>16163968524.4391</v>
      </c>
      <c r="S16">
        <f t="shared" si="1"/>
        <v>0.99058299703785757</v>
      </c>
    </row>
    <row r="17" spans="1:19" x14ac:dyDescent="0.3">
      <c r="A17">
        <v>15</v>
      </c>
      <c r="B17" t="s">
        <v>121</v>
      </c>
      <c r="C17">
        <v>26</v>
      </c>
      <c r="D17">
        <v>1</v>
      </c>
      <c r="E17">
        <v>249.04059702505501</v>
      </c>
      <c r="F17">
        <v>27964.799787861499</v>
      </c>
      <c r="G17">
        <v>27717.0054964638</v>
      </c>
      <c r="H17">
        <v>1117661205693.1201</v>
      </c>
      <c r="I17">
        <f t="shared" si="0"/>
        <v>0.99113906434955934</v>
      </c>
      <c r="K17">
        <v>15</v>
      </c>
      <c r="L17" t="s">
        <v>121</v>
      </c>
      <c r="M17">
        <v>26</v>
      </c>
      <c r="N17">
        <v>1</v>
      </c>
      <c r="O17">
        <v>4.8529933817838697E-2</v>
      </c>
      <c r="P17">
        <v>5.4307817690093803</v>
      </c>
      <c r="Q17">
        <v>5.3796400810038696</v>
      </c>
      <c r="R17">
        <v>1188132776689.3701</v>
      </c>
      <c r="S17">
        <f t="shared" si="1"/>
        <v>0.99058299703785757</v>
      </c>
    </row>
    <row r="18" spans="1:19" x14ac:dyDescent="0.3">
      <c r="A18">
        <v>16</v>
      </c>
      <c r="B18" t="s">
        <v>119</v>
      </c>
      <c r="C18">
        <v>100</v>
      </c>
      <c r="D18">
        <v>44.999999999999602</v>
      </c>
      <c r="E18">
        <v>982.50645884935102</v>
      </c>
      <c r="F18">
        <v>27717.0054964638</v>
      </c>
      <c r="G18">
        <v>26734.499037614401</v>
      </c>
      <c r="H18">
        <v>80733137593.909607</v>
      </c>
      <c r="I18">
        <f t="shared" si="0"/>
        <v>0.96455221474142472</v>
      </c>
      <c r="K18">
        <v>16</v>
      </c>
      <c r="L18" t="s">
        <v>119</v>
      </c>
      <c r="M18">
        <v>100</v>
      </c>
      <c r="N18">
        <v>44.999999999994699</v>
      </c>
      <c r="O18">
        <v>0.20644485289248299</v>
      </c>
      <c r="P18">
        <v>5.3796400810038696</v>
      </c>
      <c r="Q18">
        <v>5.1731952281113802</v>
      </c>
      <c r="R18">
        <v>87532528508.580505</v>
      </c>
      <c r="S18">
        <f t="shared" si="1"/>
        <v>0.96162478348291924</v>
      </c>
    </row>
    <row r="19" spans="1:19" x14ac:dyDescent="0.3">
      <c r="A19">
        <v>17</v>
      </c>
      <c r="B19" t="s">
        <v>120</v>
      </c>
      <c r="C19">
        <v>24</v>
      </c>
      <c r="D19">
        <v>67.999999999999901</v>
      </c>
      <c r="E19">
        <v>315.40593530420603</v>
      </c>
      <c r="F19">
        <v>27717.0054964638</v>
      </c>
      <c r="G19">
        <v>26419.093102310198</v>
      </c>
      <c r="H19">
        <v>89161384395.234207</v>
      </c>
      <c r="I19">
        <f t="shared" si="0"/>
        <v>0.95317270495475448</v>
      </c>
      <c r="K19">
        <v>17</v>
      </c>
      <c r="L19" t="s">
        <v>120</v>
      </c>
      <c r="M19">
        <v>24</v>
      </c>
      <c r="N19">
        <v>68.000000000000099</v>
      </c>
      <c r="O19">
        <v>6.5269155559720807E-2</v>
      </c>
      <c r="P19">
        <v>5.3796400810038696</v>
      </c>
      <c r="Q19">
        <v>5.1079260725516598</v>
      </c>
      <c r="R19">
        <v>96353980800.631195</v>
      </c>
      <c r="S19">
        <f t="shared" si="1"/>
        <v>0.94949215851601976</v>
      </c>
    </row>
    <row r="20" spans="1:19" x14ac:dyDescent="0.3">
      <c r="A20">
        <v>18</v>
      </c>
      <c r="B20" t="s">
        <v>121</v>
      </c>
      <c r="C20">
        <v>100</v>
      </c>
      <c r="D20">
        <v>45</v>
      </c>
      <c r="E20">
        <v>1322.8222502769299</v>
      </c>
      <c r="F20">
        <v>27717.0054964638</v>
      </c>
      <c r="G20">
        <v>26419.093102310198</v>
      </c>
      <c r="H20">
        <v>107280507551.155</v>
      </c>
      <c r="I20">
        <f t="shared" si="0"/>
        <v>0.95317270495475448</v>
      </c>
      <c r="K20">
        <v>18</v>
      </c>
      <c r="L20" t="s">
        <v>121</v>
      </c>
      <c r="M20">
        <v>100</v>
      </c>
      <c r="N20">
        <v>45</v>
      </c>
      <c r="O20">
        <v>0.27071486939557599</v>
      </c>
      <c r="P20">
        <v>5.3796400810038696</v>
      </c>
      <c r="Q20">
        <v>5.1079260725516598</v>
      </c>
      <c r="R20">
        <v>115934762957.97099</v>
      </c>
      <c r="S20">
        <f t="shared" si="1"/>
        <v>0.94949215851601976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3B0F-C1F3-4F52-B9E5-B9F2E6620FA2}">
  <dimension ref="A1:R31"/>
  <sheetViews>
    <sheetView workbookViewId="0">
      <selection activeCell="S11" sqref="S11"/>
    </sheetView>
  </sheetViews>
  <sheetFormatPr defaultRowHeight="14.4" x14ac:dyDescent="0.3"/>
  <cols>
    <col min="2" max="2" width="9.21875" style="46" customWidth="1"/>
    <col min="3" max="3" width="9.21875" style="94" customWidth="1"/>
    <col min="4" max="4" width="9.5546875" style="91" customWidth="1"/>
    <col min="5" max="5" width="8.88671875" style="15"/>
    <col min="6" max="6" width="8.88671875" style="42"/>
    <col min="7" max="7" width="8.88671875" style="81"/>
    <col min="8" max="8" width="9.44140625" style="86" customWidth="1"/>
    <col min="9" max="9" width="8.88671875" style="42"/>
    <col min="10" max="10" width="3.5546875" style="59" customWidth="1"/>
    <col min="11" max="11" width="8.88671875" style="80"/>
    <col min="12" max="12" width="8.88671875" style="81"/>
    <col min="13" max="13" width="8.88671875" style="42"/>
    <col min="14" max="14" width="9.5546875" style="42" customWidth="1"/>
    <col min="15" max="15" width="8.88671875" style="48"/>
    <col min="16" max="17" width="8.88671875" style="42"/>
  </cols>
  <sheetData>
    <row r="1" spans="1:18" s="62" customFormat="1" ht="57.6" x14ac:dyDescent="0.3">
      <c r="A1" s="62" t="s">
        <v>333</v>
      </c>
      <c r="B1" s="63" t="s">
        <v>351</v>
      </c>
      <c r="C1" s="92" t="s">
        <v>352</v>
      </c>
      <c r="D1" s="87" t="s">
        <v>336</v>
      </c>
      <c r="E1" s="64" t="s">
        <v>334</v>
      </c>
      <c r="F1" s="66" t="s">
        <v>340</v>
      </c>
      <c r="G1" s="77" t="s">
        <v>341</v>
      </c>
      <c r="H1" s="83" t="s">
        <v>349</v>
      </c>
      <c r="I1" s="66" t="s">
        <v>339</v>
      </c>
      <c r="J1" s="67"/>
      <c r="K1" s="76" t="s">
        <v>337</v>
      </c>
      <c r="L1" s="77" t="s">
        <v>334</v>
      </c>
      <c r="M1" s="66" t="s">
        <v>343</v>
      </c>
      <c r="N1" s="66" t="s">
        <v>344</v>
      </c>
      <c r="O1" s="65" t="s">
        <v>346</v>
      </c>
      <c r="P1" s="66" t="s">
        <v>345</v>
      </c>
      <c r="Q1" s="66" t="s">
        <v>350</v>
      </c>
    </row>
    <row r="2" spans="1:18" s="68" customFormat="1" x14ac:dyDescent="0.3">
      <c r="A2" s="68">
        <v>100</v>
      </c>
      <c r="B2" s="69">
        <v>60</v>
      </c>
      <c r="C2" s="93">
        <v>26</v>
      </c>
      <c r="D2" s="70">
        <v>0.11578254496575099</v>
      </c>
      <c r="E2" s="75">
        <v>1.22494382671932E-3</v>
      </c>
      <c r="F2" s="72">
        <v>0.6447027845758404</v>
      </c>
      <c r="G2" s="79">
        <v>0.52892023961008938</v>
      </c>
      <c r="H2" s="84" t="s">
        <v>335</v>
      </c>
      <c r="I2" s="72">
        <v>0.82040942317020382</v>
      </c>
      <c r="J2" s="73"/>
      <c r="K2" s="78">
        <v>603.96694214876004</v>
      </c>
      <c r="L2" s="79">
        <v>1.76882951888921</v>
      </c>
      <c r="M2" s="72">
        <v>3870.8352990320882</v>
      </c>
      <c r="N2" s="72">
        <v>3266.868356883328</v>
      </c>
      <c r="O2" s="71" t="s">
        <v>335</v>
      </c>
      <c r="P2" s="72">
        <v>0.84396986813161912</v>
      </c>
      <c r="Q2" s="72">
        <v>0.13791614925651474</v>
      </c>
    </row>
    <row r="3" spans="1:18" s="68" customFormat="1" x14ac:dyDescent="0.3">
      <c r="A3" s="68">
        <v>100</v>
      </c>
      <c r="B3" s="69">
        <v>60</v>
      </c>
      <c r="C3" s="93">
        <v>25.066666669212282</v>
      </c>
      <c r="D3" s="70">
        <v>9.4203249614606605E-2</v>
      </c>
      <c r="E3" s="75">
        <v>9.9993492864259995E-4</v>
      </c>
      <c r="F3" s="72">
        <v>0.52892023961008938</v>
      </c>
      <c r="G3" s="79">
        <v>0.43471698999548281</v>
      </c>
      <c r="H3" s="72">
        <v>0.86774671809058646</v>
      </c>
      <c r="I3" s="72">
        <v>0.82189516951733299</v>
      </c>
      <c r="J3" s="73"/>
      <c r="K3" s="78">
        <v>515.45454545454504</v>
      </c>
      <c r="L3" s="79">
        <v>1.5199358364071101</v>
      </c>
      <c r="M3" s="72">
        <v>3266.868356883328</v>
      </c>
      <c r="N3" s="72">
        <v>2751.413811428783</v>
      </c>
      <c r="O3" s="74">
        <v>0.87716898713302605</v>
      </c>
      <c r="P3" s="72">
        <v>0.84221753399751276</v>
      </c>
      <c r="Q3" s="72">
        <v>0.1314803072793414</v>
      </c>
    </row>
    <row r="4" spans="1:18" s="68" customFormat="1" x14ac:dyDescent="0.3">
      <c r="A4" s="68">
        <v>100</v>
      </c>
      <c r="B4" s="69">
        <v>60</v>
      </c>
      <c r="C4" s="93">
        <v>25.016666668001562</v>
      </c>
      <c r="D4" s="70">
        <v>7.5680391336781699E-2</v>
      </c>
      <c r="E4" s="75">
        <v>8.0640498794010303E-4</v>
      </c>
      <c r="F4" s="72">
        <v>0.43471698999548281</v>
      </c>
      <c r="G4" s="79">
        <v>0.35903659865870108</v>
      </c>
      <c r="H4" s="72">
        <v>0.86775552568198433</v>
      </c>
      <c r="I4" s="72">
        <v>0.82590882556127343</v>
      </c>
      <c r="J4" s="73"/>
      <c r="K4" s="78">
        <v>434.75206611570201</v>
      </c>
      <c r="L4" s="79">
        <v>1.28766324244703</v>
      </c>
      <c r="M4" s="72">
        <v>2751.413811428783</v>
      </c>
      <c r="N4" s="72">
        <v>2316.6617453130812</v>
      </c>
      <c r="O4" s="74">
        <v>0.87718088921960158</v>
      </c>
      <c r="P4" s="72">
        <v>0.84198957484699866</v>
      </c>
      <c r="Q4" s="72">
        <v>0.12523534434044684</v>
      </c>
    </row>
    <row r="5" spans="1:18" s="68" customFormat="1" x14ac:dyDescent="0.3">
      <c r="A5" s="68">
        <v>100</v>
      </c>
      <c r="B5" s="69">
        <v>60</v>
      </c>
      <c r="C5" s="93">
        <v>25.066666658734903</v>
      </c>
      <c r="D5" s="70">
        <v>5.78402169622E-2</v>
      </c>
      <c r="E5" s="75">
        <v>6.1762266466385202E-4</v>
      </c>
      <c r="F5" s="72">
        <v>0.35903659865870108</v>
      </c>
      <c r="G5" s="79">
        <v>0.30119638169650109</v>
      </c>
      <c r="H5" s="72">
        <v>0.8678029728729264</v>
      </c>
      <c r="I5" s="72">
        <v>0.83890161287656728</v>
      </c>
      <c r="J5" s="73"/>
      <c r="K5" s="78">
        <v>361.859504132231</v>
      </c>
      <c r="L5" s="79">
        <v>1.07303779334855</v>
      </c>
      <c r="M5" s="72">
        <v>2316.6617453130812</v>
      </c>
      <c r="N5" s="72">
        <v>1954.8022411808499</v>
      </c>
      <c r="O5" s="74">
        <v>0.87722358870679196</v>
      </c>
      <c r="P5" s="72">
        <v>0.84380132107575834</v>
      </c>
      <c r="Q5" s="72">
        <v>0.11499398635132935</v>
      </c>
    </row>
    <row r="6" spans="1:18" s="68" customFormat="1" x14ac:dyDescent="0.3">
      <c r="A6" s="68">
        <v>100</v>
      </c>
      <c r="B6" s="69">
        <v>60</v>
      </c>
      <c r="C6" s="93">
        <v>53.450000005308539</v>
      </c>
      <c r="D6" s="70">
        <v>5.2984095985150297E-2</v>
      </c>
      <c r="E6" s="75">
        <v>5.72418565195495E-4</v>
      </c>
      <c r="F6" s="72">
        <v>0.30119638169650109</v>
      </c>
      <c r="G6" s="79">
        <v>0.24821228571135079</v>
      </c>
      <c r="H6" s="72">
        <v>0.85890653040605935</v>
      </c>
      <c r="I6" s="72">
        <v>0.82408787354378166</v>
      </c>
      <c r="J6" s="73"/>
      <c r="K6" s="78">
        <v>325.42842577379599</v>
      </c>
      <c r="L6" s="79">
        <v>0.96536820852411098</v>
      </c>
      <c r="M6" s="72">
        <v>1954.8022411808499</v>
      </c>
      <c r="N6" s="72">
        <v>1629.3738154070538</v>
      </c>
      <c r="O6" s="74">
        <v>0.86877902457332901</v>
      </c>
      <c r="P6" s="72">
        <v>0.83352360718738872</v>
      </c>
      <c r="Q6" s="72">
        <v>0.11713191487479788</v>
      </c>
    </row>
    <row r="7" spans="1:18" s="68" customFormat="1" x14ac:dyDescent="0.3">
      <c r="A7" s="68">
        <v>100</v>
      </c>
      <c r="B7" s="69">
        <v>60</v>
      </c>
      <c r="C7" s="93">
        <v>25.23333333292976</v>
      </c>
      <c r="D7" s="70">
        <v>3.8243625896343003E-2</v>
      </c>
      <c r="E7" s="75">
        <v>4.3415956594620102E-4</v>
      </c>
      <c r="F7" s="72">
        <v>0.24821228571135079</v>
      </c>
      <c r="G7" s="79">
        <v>0.20996865981500779</v>
      </c>
      <c r="H7" s="72">
        <v>0.86778726686638319</v>
      </c>
      <c r="I7" s="72">
        <v>0.84592371893784102</v>
      </c>
      <c r="J7" s="73"/>
      <c r="K7" s="78">
        <v>251.31347520560601</v>
      </c>
      <c r="L7" s="79">
        <v>0.74526425698061405</v>
      </c>
      <c r="M7" s="72">
        <v>1629.3738154070538</v>
      </c>
      <c r="N7" s="72">
        <v>1378.0603402014476</v>
      </c>
      <c r="O7" s="74">
        <v>0.87720572303403388</v>
      </c>
      <c r="P7" s="72">
        <v>0.84576070093355316</v>
      </c>
      <c r="Q7" s="72">
        <v>0.10947841098817801</v>
      </c>
    </row>
    <row r="8" spans="1:18" s="68" customFormat="1" x14ac:dyDescent="0.3">
      <c r="A8" s="68">
        <v>100</v>
      </c>
      <c r="B8" s="69">
        <v>60</v>
      </c>
      <c r="C8" s="93">
        <v>25.083333329297602</v>
      </c>
      <c r="D8" s="70">
        <v>3.3678778872149602E-2</v>
      </c>
      <c r="E8" s="75">
        <v>4.0637250844002099E-4</v>
      </c>
      <c r="F8" s="72">
        <v>0.20996865981500779</v>
      </c>
      <c r="G8" s="79">
        <v>0.17628988094285819</v>
      </c>
      <c r="H8" s="72">
        <v>0.86777925701719605</v>
      </c>
      <c r="I8" s="72">
        <v>0.83960092471980263</v>
      </c>
      <c r="J8" s="73"/>
      <c r="K8" s="78">
        <v>212.61857667505399</v>
      </c>
      <c r="L8" s="79">
        <v>0.63019236652454003</v>
      </c>
      <c r="M8" s="72">
        <v>1378.0603402014476</v>
      </c>
      <c r="N8" s="72">
        <v>1165.4417635263935</v>
      </c>
      <c r="O8" s="74">
        <v>0.87720293227643065</v>
      </c>
      <c r="P8" s="72">
        <v>0.84571170762814851</v>
      </c>
      <c r="Q8" s="72">
        <v>0.11395682210366338</v>
      </c>
      <c r="R8" s="70"/>
    </row>
    <row r="9" spans="1:18" s="68" customFormat="1" x14ac:dyDescent="0.3">
      <c r="A9" s="68">
        <v>100</v>
      </c>
      <c r="B9" s="69">
        <v>60</v>
      </c>
      <c r="C9" s="93">
        <v>795.60000000731088</v>
      </c>
      <c r="D9" s="70">
        <v>4.93373837667389E-2</v>
      </c>
      <c r="E9" s="75">
        <v>2.5172161333380399E-4</v>
      </c>
      <c r="F9" s="72">
        <v>0.17628988094285819</v>
      </c>
      <c r="G9" s="79">
        <v>0.12695249717611934</v>
      </c>
      <c r="H9" s="72">
        <v>0.77406875017694166</v>
      </c>
      <c r="I9" s="72">
        <v>0.72013490789791357</v>
      </c>
      <c r="J9" s="73"/>
      <c r="K9" s="78">
        <v>344.77611940298499</v>
      </c>
      <c r="L9" s="79">
        <v>0.80157760509842801</v>
      </c>
      <c r="M9" s="72">
        <v>1165.4417635263935</v>
      </c>
      <c r="N9" s="72">
        <v>820.66564412340858</v>
      </c>
      <c r="O9" s="74">
        <v>0.78580771690059481</v>
      </c>
      <c r="P9" s="72">
        <v>0.70416701186358599</v>
      </c>
      <c r="Q9" s="72">
        <v>0.10294947561031197</v>
      </c>
      <c r="R9" s="70"/>
    </row>
    <row r="10" spans="1:18" s="68" customFormat="1" x14ac:dyDescent="0.3">
      <c r="A10" s="68">
        <v>100</v>
      </c>
      <c r="B10" s="69">
        <v>60</v>
      </c>
      <c r="C10" s="93">
        <v>28.11666665924713</v>
      </c>
      <c r="D10" s="70">
        <v>1.9725152246272502E-2</v>
      </c>
      <c r="E10" s="75">
        <v>9.4163000999953104E-5</v>
      </c>
      <c r="F10" s="72">
        <v>0.12695249717611934</v>
      </c>
      <c r="G10" s="79">
        <v>0.10722734492984687</v>
      </c>
      <c r="H10" s="72">
        <v>0.86658058020217055</v>
      </c>
      <c r="I10" s="72">
        <v>0.84462572469993991</v>
      </c>
      <c r="J10" s="73"/>
      <c r="K10" s="78">
        <v>127.201492537313</v>
      </c>
      <c r="L10" s="79">
        <v>0.27612616606774198</v>
      </c>
      <c r="M10" s="72">
        <v>820.66564412340858</v>
      </c>
      <c r="N10" s="72">
        <v>693.4641515860958</v>
      </c>
      <c r="O10" s="74">
        <v>0.87605811419547142</v>
      </c>
      <c r="P10" s="72">
        <v>0.84500204992353167</v>
      </c>
      <c r="Q10" s="72">
        <v>0.1115612460879274</v>
      </c>
      <c r="R10" s="70"/>
    </row>
    <row r="11" spans="1:18" s="68" customFormat="1" x14ac:dyDescent="0.3">
      <c r="A11" s="68">
        <v>100</v>
      </c>
      <c r="B11" s="69">
        <v>60</v>
      </c>
      <c r="C11" s="93">
        <v>43.650000008987263</v>
      </c>
      <c r="D11" s="70">
        <v>1.7348947368420999E-2</v>
      </c>
      <c r="E11" s="75">
        <v>8.3896101903530696E-5</v>
      </c>
      <c r="F11" s="72">
        <v>0.10722734492984687</v>
      </c>
      <c r="G11" s="79">
        <v>8.9878397561425905E-2</v>
      </c>
      <c r="H11" s="72">
        <v>0.86223565110418932</v>
      </c>
      <c r="I11" s="72">
        <v>0.83820407583745127</v>
      </c>
      <c r="J11" s="73"/>
      <c r="K11" s="78">
        <v>111.268656716417</v>
      </c>
      <c r="L11" s="79">
        <v>0.22183602402167399</v>
      </c>
      <c r="M11" s="72">
        <v>693.4641515860958</v>
      </c>
      <c r="N11" s="72">
        <v>582.1954948696789</v>
      </c>
      <c r="O11" s="74">
        <v>0.87193842275977007</v>
      </c>
      <c r="P11" s="72">
        <v>0.8395466348737386</v>
      </c>
      <c r="Q11" s="72">
        <v>0.11217226367164294</v>
      </c>
    </row>
    <row r="12" spans="1:18" s="68" customFormat="1" x14ac:dyDescent="0.3">
      <c r="A12" s="68">
        <v>100</v>
      </c>
      <c r="B12" s="69">
        <v>60</v>
      </c>
      <c r="C12" s="93">
        <v>24.899999995017424</v>
      </c>
      <c r="D12" s="70">
        <v>1.3778947368421E-2</v>
      </c>
      <c r="E12" s="75">
        <v>6.9936386102598802E-5</v>
      </c>
      <c r="F12" s="72">
        <v>8.9878397561425905E-2</v>
      </c>
      <c r="G12" s="79">
        <v>7.6099450193004903E-2</v>
      </c>
      <c r="H12" s="72">
        <v>0.86732317430419081</v>
      </c>
      <c r="I12" s="72">
        <v>0.84669344645353728</v>
      </c>
      <c r="J12" s="73"/>
      <c r="K12" s="78">
        <v>88.544776119402897</v>
      </c>
      <c r="L12" s="79">
        <v>0.16609723715001001</v>
      </c>
      <c r="M12" s="72">
        <v>582.1954948696789</v>
      </c>
      <c r="N12" s="72">
        <v>493.65071875027616</v>
      </c>
      <c r="O12" s="74">
        <v>0.87677881514138711</v>
      </c>
      <c r="P12" s="72">
        <v>0.84791229595614959</v>
      </c>
      <c r="Q12" s="72">
        <v>0.11195366017386338</v>
      </c>
    </row>
    <row r="13" spans="1:18" s="68" customFormat="1" x14ac:dyDescent="0.3">
      <c r="A13" s="68">
        <v>100</v>
      </c>
      <c r="B13" s="69">
        <v>60</v>
      </c>
      <c r="C13" s="93">
        <v>24.933333336142823</v>
      </c>
      <c r="D13" s="70">
        <v>1.31526315789473E-2</v>
      </c>
      <c r="E13" s="75">
        <v>7.6016361298574201E-5</v>
      </c>
      <c r="F13" s="72">
        <v>7.6099450193004903E-2</v>
      </c>
      <c r="G13" s="79">
        <v>6.2946818614057598E-2</v>
      </c>
      <c r="H13" s="72">
        <v>0.86784907487328722</v>
      </c>
      <c r="I13" s="72">
        <v>0.82716522201422815</v>
      </c>
      <c r="J13" s="73"/>
      <c r="K13" s="78">
        <v>74.962686567164099</v>
      </c>
      <c r="L13" s="79">
        <v>0.121474520102581</v>
      </c>
      <c r="M13" s="72">
        <v>493.65071875027616</v>
      </c>
      <c r="N13" s="72">
        <v>418.68803218311223</v>
      </c>
      <c r="O13" s="74">
        <v>0.87726768746341333</v>
      </c>
      <c r="P13" s="72">
        <v>0.84814630320616347</v>
      </c>
      <c r="Q13" s="72">
        <v>0.12622713126033139</v>
      </c>
    </row>
    <row r="14" spans="1:18" s="68" customFormat="1" x14ac:dyDescent="0.3">
      <c r="A14" s="68">
        <v>100</v>
      </c>
      <c r="B14" s="69">
        <v>60</v>
      </c>
      <c r="C14" s="93">
        <v>25.016666668001562</v>
      </c>
      <c r="D14" s="70">
        <v>9.7705263157894708E-3</v>
      </c>
      <c r="E14" s="75">
        <v>6.3154775244268194E-5</v>
      </c>
      <c r="F14" s="72">
        <v>6.2946818614057598E-2</v>
      </c>
      <c r="G14" s="79">
        <v>5.3176292298268146E-2</v>
      </c>
      <c r="H14" s="72">
        <v>0.8678029712715879</v>
      </c>
      <c r="I14" s="72">
        <v>0.84478125295426054</v>
      </c>
      <c r="J14" s="73"/>
      <c r="K14" s="78">
        <v>62.686567164179102</v>
      </c>
      <c r="L14" s="79">
        <v>8.8379070536394003E-2</v>
      </c>
      <c r="M14" s="72">
        <v>418.68803218311223</v>
      </c>
      <c r="N14" s="72">
        <v>356.00146501893323</v>
      </c>
      <c r="O14" s="74">
        <v>0.8772235879555359</v>
      </c>
      <c r="P14" s="72">
        <v>0.85027857892827663</v>
      </c>
      <c r="Q14" s="72">
        <v>0.11213176826959481</v>
      </c>
    </row>
    <row r="15" spans="1:18" s="68" customFormat="1" x14ac:dyDescent="0.3">
      <c r="A15" s="68">
        <v>100</v>
      </c>
      <c r="B15" s="69">
        <v>60</v>
      </c>
      <c r="C15" s="93">
        <v>25.083333329297602</v>
      </c>
      <c r="D15" s="70">
        <v>9.5200000000000007E-3</v>
      </c>
      <c r="E15" s="75">
        <v>6.3583724871959404E-5</v>
      </c>
      <c r="F15" s="72">
        <v>5.3176292298268146E-2</v>
      </c>
      <c r="G15" s="79">
        <v>4.3656292298268173E-2</v>
      </c>
      <c r="H15" s="72">
        <v>0.8678727970016139</v>
      </c>
      <c r="I15" s="72">
        <v>0.82097285108555751</v>
      </c>
      <c r="J15" s="73"/>
      <c r="K15" s="78">
        <v>53.283582089552198</v>
      </c>
      <c r="L15" s="79">
        <v>7.1825710802405296E-2</v>
      </c>
      <c r="M15" s="72">
        <v>356.00146501893323</v>
      </c>
      <c r="N15" s="72">
        <v>302.71788292938118</v>
      </c>
      <c r="O15" s="74">
        <v>0.87728833367588432</v>
      </c>
      <c r="P15" s="72">
        <v>0.85032763253735977</v>
      </c>
      <c r="Q15" s="72">
        <v>0.12853717026378908</v>
      </c>
    </row>
    <row r="16" spans="1:18" s="68" customFormat="1" x14ac:dyDescent="0.3">
      <c r="A16" s="68">
        <v>100</v>
      </c>
      <c r="B16" s="69">
        <v>60</v>
      </c>
      <c r="C16" s="93">
        <v>25.083333329297602</v>
      </c>
      <c r="D16" s="70">
        <v>7.6406956619804603E-3</v>
      </c>
      <c r="E16" s="75">
        <v>5.1554577884603602E-5</v>
      </c>
      <c r="F16" s="72">
        <v>4.3656292298268173E-2</v>
      </c>
      <c r="G16" s="79">
        <v>3.6015596636287728E-2</v>
      </c>
      <c r="H16" s="72">
        <v>0.86777925500825293</v>
      </c>
      <c r="I16" s="72">
        <v>0.82498065548540533</v>
      </c>
      <c r="J16" s="73"/>
      <c r="K16" s="78">
        <v>45.451828205171402</v>
      </c>
      <c r="L16" s="79">
        <v>6.1126927855677499E-2</v>
      </c>
      <c r="M16" s="72">
        <v>302.71788292938118</v>
      </c>
      <c r="N16" s="72">
        <v>257.26605472420988</v>
      </c>
      <c r="O16" s="74">
        <v>0.87720293072034705</v>
      </c>
      <c r="P16" s="72">
        <v>0.84985416862282159</v>
      </c>
      <c r="Q16" s="72">
        <v>0.12093910346421119</v>
      </c>
    </row>
    <row r="17" spans="1:17" s="68" customFormat="1" x14ac:dyDescent="0.3">
      <c r="A17" s="68">
        <v>100</v>
      </c>
      <c r="B17" s="69">
        <v>60</v>
      </c>
      <c r="C17" s="93">
        <v>25.000000007916242</v>
      </c>
      <c r="D17" s="70">
        <v>5.7173428230808702E-3</v>
      </c>
      <c r="E17" s="75">
        <v>3.8580525559165401E-5</v>
      </c>
      <c r="F17" s="72">
        <v>3.6015596636287728E-2</v>
      </c>
      <c r="G17" s="79">
        <v>3.0298253813206832E-2</v>
      </c>
      <c r="H17" s="72">
        <v>0.86784906648039506</v>
      </c>
      <c r="I17" s="72">
        <v>0.84125369681310924</v>
      </c>
      <c r="J17" s="73"/>
      <c r="K17" s="78">
        <v>38.4066854483426</v>
      </c>
      <c r="L17" s="79">
        <v>5.3031022455458397E-2</v>
      </c>
      <c r="M17" s="72">
        <v>257.26605472420988</v>
      </c>
      <c r="N17" s="72">
        <v>218.85936927586727</v>
      </c>
      <c r="O17" s="74">
        <v>0.87726767895972602</v>
      </c>
      <c r="P17" s="72">
        <v>0.85071219174439971</v>
      </c>
      <c r="Q17" s="72">
        <v>0.10709584093451754</v>
      </c>
    </row>
    <row r="18" spans="1:17" s="68" customFormat="1" x14ac:dyDescent="0.3">
      <c r="A18" s="68">
        <v>100</v>
      </c>
      <c r="B18" s="69">
        <v>60</v>
      </c>
      <c r="C18" s="93">
        <v>24.999999997438863</v>
      </c>
      <c r="D18" s="70">
        <v>5.7839164054001198E-3</v>
      </c>
      <c r="E18" s="75">
        <v>3.9041894889600798E-5</v>
      </c>
      <c r="F18" s="72">
        <v>3.0298253813206832E-2</v>
      </c>
      <c r="G18" s="79">
        <v>2.451433740780673E-2</v>
      </c>
      <c r="H18" s="72">
        <v>0.867779254601314</v>
      </c>
      <c r="I18" s="72">
        <v>0.80910066827419191</v>
      </c>
      <c r="J18" s="73"/>
      <c r="K18" s="78">
        <v>32.416369794205004</v>
      </c>
      <c r="L18" s="79">
        <v>4.8130649415605999E-2</v>
      </c>
      <c r="M18" s="72">
        <v>218.85936927586727</v>
      </c>
      <c r="N18" s="72">
        <v>186.44299948166235</v>
      </c>
      <c r="O18" s="74">
        <v>0.87720293388461479</v>
      </c>
      <c r="P18" s="72">
        <v>0.85188493459768311</v>
      </c>
      <c r="Q18" s="72">
        <v>0.12836387805153449</v>
      </c>
    </row>
    <row r="19" spans="1:17" s="68" customFormat="1" x14ac:dyDescent="0.3">
      <c r="A19" s="68">
        <v>100</v>
      </c>
      <c r="B19" s="69">
        <v>60</v>
      </c>
      <c r="C19" s="93">
        <v>25.083333329297602</v>
      </c>
      <c r="D19" s="70">
        <v>3.6285229289175899E-3</v>
      </c>
      <c r="E19" s="75">
        <v>2.4503283881019998E-5</v>
      </c>
      <c r="F19" s="72">
        <v>2.451433740780673E-2</v>
      </c>
      <c r="G19" s="79">
        <v>2.0885814478889153E-2</v>
      </c>
      <c r="H19" s="72">
        <v>0.86787279659431515</v>
      </c>
      <c r="I19" s="72">
        <v>0.85198364252904291</v>
      </c>
      <c r="J19" s="73"/>
      <c r="K19" s="78">
        <v>27.4647415007753</v>
      </c>
      <c r="L19" s="79">
        <v>4.3523949347043303E-2</v>
      </c>
      <c r="M19" s="72">
        <v>186.44299948166235</v>
      </c>
      <c r="N19" s="72">
        <v>158.97825798088707</v>
      </c>
      <c r="O19" s="74">
        <v>0.87728833684001106</v>
      </c>
      <c r="P19" s="72">
        <v>0.85269094802630763</v>
      </c>
      <c r="Q19" s="72">
        <v>9.5047249952333754E-2</v>
      </c>
    </row>
    <row r="20" spans="1:17" s="68" customFormat="1" x14ac:dyDescent="0.3">
      <c r="A20" s="68" t="s">
        <v>146</v>
      </c>
      <c r="B20" s="69"/>
      <c r="C20" s="93"/>
      <c r="D20" s="70">
        <v>2.0885814478889101E-2</v>
      </c>
      <c r="E20" s="75">
        <v>1.3935221855695401E-4</v>
      </c>
      <c r="F20" s="72">
        <v>2.0885814478889153E-2</v>
      </c>
      <c r="G20" s="79">
        <v>0</v>
      </c>
      <c r="H20" s="85"/>
      <c r="I20" s="72"/>
      <c r="J20" s="73"/>
      <c r="K20" s="78">
        <v>158.97825798088701</v>
      </c>
      <c r="L20" s="79">
        <v>0.25846750496567999</v>
      </c>
      <c r="M20" s="72">
        <v>158.97825798088707</v>
      </c>
      <c r="N20" s="72">
        <v>0</v>
      </c>
      <c r="O20" s="74"/>
      <c r="P20" s="72"/>
      <c r="Q20" s="72">
        <v>9.4514595913844313E-2</v>
      </c>
    </row>
    <row r="21" spans="1:17" s="68" customFormat="1" x14ac:dyDescent="0.3">
      <c r="B21" s="69"/>
      <c r="C21" s="93"/>
      <c r="D21" s="88"/>
      <c r="E21" s="75"/>
      <c r="F21" s="72"/>
      <c r="G21" s="79"/>
      <c r="H21" s="85"/>
      <c r="I21" s="72"/>
      <c r="J21" s="73"/>
      <c r="K21" s="78"/>
      <c r="L21" s="79"/>
      <c r="M21" s="72"/>
      <c r="N21" s="72"/>
      <c r="O21" s="74"/>
      <c r="P21" s="72"/>
      <c r="Q21" s="72"/>
    </row>
    <row r="22" spans="1:17" s="68" customFormat="1" x14ac:dyDescent="0.3">
      <c r="B22" s="69"/>
      <c r="C22" s="93"/>
      <c r="D22" s="88"/>
      <c r="E22" s="75"/>
      <c r="F22" s="72"/>
      <c r="G22" s="79"/>
      <c r="H22" s="85"/>
      <c r="I22" s="72"/>
      <c r="J22" s="73"/>
      <c r="K22" s="78"/>
      <c r="L22" s="79"/>
      <c r="M22" s="72"/>
      <c r="N22" s="72"/>
      <c r="O22" s="74"/>
      <c r="P22" s="72"/>
      <c r="Q22" s="72"/>
    </row>
    <row r="23" spans="1:17" s="68" customFormat="1" x14ac:dyDescent="0.3">
      <c r="B23" s="69"/>
      <c r="C23" s="93"/>
      <c r="D23" s="88"/>
      <c r="E23" s="75"/>
      <c r="F23" s="72"/>
      <c r="G23" s="79"/>
      <c r="H23" s="85"/>
      <c r="I23" s="72"/>
      <c r="J23" s="73"/>
      <c r="K23" s="78"/>
      <c r="L23" s="79"/>
      <c r="M23" s="72"/>
      <c r="N23" s="72"/>
      <c r="O23" s="74"/>
      <c r="P23" s="72"/>
      <c r="Q23" s="72"/>
    </row>
    <row r="24" spans="1:17" s="68" customFormat="1" x14ac:dyDescent="0.3">
      <c r="B24" s="69"/>
      <c r="C24" s="93"/>
      <c r="D24" s="88"/>
      <c r="E24" s="75"/>
      <c r="F24" s="72"/>
      <c r="G24" s="79"/>
      <c r="H24" s="85"/>
      <c r="I24" s="72"/>
      <c r="J24" s="73"/>
      <c r="K24" s="78"/>
      <c r="L24" s="79"/>
      <c r="M24" s="72"/>
      <c r="N24" s="72"/>
      <c r="O24" s="74"/>
      <c r="P24" s="72"/>
      <c r="Q24" s="72"/>
    </row>
    <row r="25" spans="1:17" x14ac:dyDescent="0.3">
      <c r="D25" s="89"/>
    </row>
    <row r="26" spans="1:17" x14ac:dyDescent="0.3">
      <c r="D26" s="89"/>
    </row>
    <row r="27" spans="1:17" x14ac:dyDescent="0.3">
      <c r="D27" s="89"/>
    </row>
    <row r="28" spans="1:17" x14ac:dyDescent="0.3">
      <c r="D28" s="89"/>
    </row>
    <row r="29" spans="1:17" x14ac:dyDescent="0.3">
      <c r="D29" s="89"/>
    </row>
    <row r="30" spans="1:17" x14ac:dyDescent="0.3">
      <c r="D30" s="89"/>
    </row>
    <row r="31" spans="1:17" x14ac:dyDescent="0.3">
      <c r="D31" s="90"/>
      <c r="K31" s="82"/>
      <c r="Q31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"/>
  <sheetViews>
    <sheetView topLeftCell="C1" zoomScale="65" zoomScaleNormal="85" workbookViewId="0">
      <selection activeCell="AF3" sqref="AF3"/>
    </sheetView>
  </sheetViews>
  <sheetFormatPr defaultRowHeight="14.4" x14ac:dyDescent="0.3"/>
  <cols>
    <col min="1" max="1" width="9" bestFit="1" customWidth="1"/>
    <col min="4" max="4" width="14.88671875" bestFit="1" customWidth="1"/>
    <col min="5" max="5" width="9" bestFit="1" customWidth="1"/>
    <col min="6" max="8" width="9.44140625" bestFit="1" customWidth="1"/>
    <col min="9" max="9" width="9" bestFit="1" customWidth="1"/>
    <col min="10" max="15" width="9" customWidth="1"/>
    <col min="16" max="16" width="9.44140625" bestFit="1" customWidth="1"/>
    <col min="17" max="17" width="13.44140625" bestFit="1" customWidth="1"/>
    <col min="18" max="18" width="13.44140625" customWidth="1"/>
    <col min="19" max="19" width="9.44140625" bestFit="1" customWidth="1"/>
    <col min="20" max="20" width="12" customWidth="1"/>
    <col min="21" max="21" width="9" bestFit="1" customWidth="1"/>
    <col min="22" max="26" width="9.44140625" bestFit="1" customWidth="1"/>
    <col min="27" max="27" width="10.109375" bestFit="1" customWidth="1"/>
    <col min="28" max="28" width="12" bestFit="1" customWidth="1"/>
    <col min="29" max="36" width="12" customWidth="1"/>
    <col min="37" max="37" width="12" bestFit="1" customWidth="1"/>
    <col min="39" max="39" width="9.6640625" customWidth="1"/>
    <col min="40" max="40" width="9.5546875" customWidth="1"/>
    <col min="45" max="45" width="9.6640625" customWidth="1"/>
  </cols>
  <sheetData>
    <row r="1" spans="1:47" x14ac:dyDescent="0.3">
      <c r="A1" t="s">
        <v>134</v>
      </c>
      <c r="B1" t="s">
        <v>167</v>
      </c>
      <c r="Y1" s="10"/>
      <c r="AA1" s="10" t="s">
        <v>154</v>
      </c>
      <c r="AE1" s="10" t="s">
        <v>256</v>
      </c>
      <c r="AG1" s="10" t="s">
        <v>171</v>
      </c>
      <c r="AI1" t="s">
        <v>266</v>
      </c>
      <c r="AJ1" t="s">
        <v>284</v>
      </c>
      <c r="AK1" t="s">
        <v>175</v>
      </c>
      <c r="AM1" s="10" t="s">
        <v>260</v>
      </c>
      <c r="AQ1" s="10"/>
      <c r="AU1" s="10"/>
    </row>
    <row r="2" spans="1:47" x14ac:dyDescent="0.3">
      <c r="D2" s="1"/>
      <c r="E2" t="s">
        <v>48</v>
      </c>
      <c r="F2" s="2" t="s">
        <v>47</v>
      </c>
      <c r="G2" s="2"/>
      <c r="H2" s="2" t="s">
        <v>46</v>
      </c>
      <c r="I2" s="4" t="s">
        <v>172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168</v>
      </c>
      <c r="Q2" s="2" t="s">
        <v>169</v>
      </c>
      <c r="R2" s="2" t="s">
        <v>170</v>
      </c>
      <c r="S2" t="s">
        <v>44</v>
      </c>
      <c r="T2" t="s">
        <v>285</v>
      </c>
      <c r="U2" t="s">
        <v>39</v>
      </c>
      <c r="V2" t="s">
        <v>38</v>
      </c>
      <c r="W2" t="s">
        <v>164</v>
      </c>
      <c r="X2" t="s">
        <v>165</v>
      </c>
      <c r="Y2" t="s">
        <v>41</v>
      </c>
      <c r="Z2" t="s">
        <v>43</v>
      </c>
      <c r="AA2" s="10" t="s">
        <v>162</v>
      </c>
      <c r="AB2" t="s">
        <v>163</v>
      </c>
      <c r="AC2" t="s">
        <v>157</v>
      </c>
      <c r="AD2" t="s">
        <v>158</v>
      </c>
      <c r="AE2" s="10" t="s">
        <v>159</v>
      </c>
      <c r="AF2" t="s">
        <v>160</v>
      </c>
      <c r="AG2" s="10" t="s">
        <v>98</v>
      </c>
      <c r="AH2" t="s">
        <v>99</v>
      </c>
      <c r="AK2" s="10" t="s">
        <v>100</v>
      </c>
      <c r="AL2" s="14" t="s">
        <v>101</v>
      </c>
      <c r="AM2" t="s">
        <v>173</v>
      </c>
      <c r="AN2" t="s">
        <v>174</v>
      </c>
    </row>
    <row r="3" spans="1:47" x14ac:dyDescent="0.3">
      <c r="A3">
        <v>1</v>
      </c>
      <c r="B3" t="s">
        <v>0</v>
      </c>
      <c r="C3" t="s">
        <v>1</v>
      </c>
      <c r="D3" s="1">
        <v>45332.90792824074</v>
      </c>
      <c r="E3">
        <v>100</v>
      </c>
      <c r="F3" s="2">
        <v>18.653490000000001</v>
      </c>
      <c r="G3" s="2">
        <v>0</v>
      </c>
      <c r="H3" s="2">
        <v>23183.02</v>
      </c>
      <c r="I3" s="13">
        <f>(L3/(N3*1000))/0.00000139</f>
        <v>0.13791614925651474</v>
      </c>
      <c r="J3">
        <v>6.1915799446926002E-3</v>
      </c>
      <c r="K3">
        <v>2.6033057851239601E-2</v>
      </c>
      <c r="L3">
        <v>0.11578254496575099</v>
      </c>
      <c r="M3">
        <v>1.22494382671932E-3</v>
      </c>
      <c r="N3">
        <v>603.96694214876004</v>
      </c>
      <c r="O3">
        <v>1.76882951888921</v>
      </c>
      <c r="P3" s="2">
        <v>3600</v>
      </c>
      <c r="Q3" t="s">
        <v>166</v>
      </c>
      <c r="R3" s="2">
        <v>0</v>
      </c>
      <c r="S3" s="2">
        <v>1560</v>
      </c>
      <c r="T3" s="2">
        <f>P3</f>
        <v>3600</v>
      </c>
      <c r="U3" s="2">
        <f>L3</f>
        <v>0.11578254496575099</v>
      </c>
      <c r="V3" s="2">
        <f>N3</f>
        <v>603.96694214876004</v>
      </c>
      <c r="W3" s="2">
        <f t="shared" ref="W3:W21" si="0">$U$21-U3</f>
        <v>0.52892023961008938</v>
      </c>
      <c r="X3" s="2">
        <f t="shared" ref="X3:X21" si="1">$V$21-V3</f>
        <v>3266.868356883328</v>
      </c>
      <c r="Y3" s="2">
        <f>U21</f>
        <v>0.6447027845758404</v>
      </c>
      <c r="Z3" s="2">
        <f>V21</f>
        <v>3870.8352990320882</v>
      </c>
      <c r="AA3" s="11">
        <f>EXP(-P3*(E3+273)*$AA$36*$AA$30*AK3)</f>
        <v>0.88214002168015437</v>
      </c>
      <c r="AB3" s="2">
        <f>EXP(-P3*(E3+273)*$AA$36*$AA$30*AL3)</f>
        <v>0.89069629015106688</v>
      </c>
      <c r="AC3" s="2"/>
      <c r="AD3" s="2"/>
      <c r="AE3" s="11">
        <f>W3/Y3</f>
        <v>0.82040942317020382</v>
      </c>
      <c r="AF3" s="2">
        <f t="shared" ref="AF3:AF20" si="2">X3/Z3</f>
        <v>0.84396986813161912</v>
      </c>
      <c r="AG3" s="11">
        <f>-LN(AE3)/((E3+273)*P3*$AA$30*$AA$36)</f>
        <v>139152380996.34613</v>
      </c>
      <c r="AH3" s="11">
        <f>-LN(AF3)/((E3+273)*P3*$AA$30*$AA$36)</f>
        <v>119249247731.09578</v>
      </c>
      <c r="AI3" s="2">
        <f>AG3/AH3</f>
        <v>1.1669036379175444</v>
      </c>
      <c r="AJ3" s="2">
        <f>1/AI3</f>
        <v>0.85696879117165103</v>
      </c>
      <c r="AK3" s="11">
        <f>1.17*EXP(-57/(1.987*(273+E3)))*AL3</f>
        <v>88154464997.476807</v>
      </c>
      <c r="AL3" s="15">
        <f t="shared" ref="AL3:AL20" si="3">(0.000304*EXP(-5580/(1.987*(E3+273))))*(199000000000000000*EXP(680/(1.987*(E3+273))))</f>
        <v>81368987856.687637</v>
      </c>
    </row>
    <row r="4" spans="1:47" s="21" customFormat="1" x14ac:dyDescent="0.3">
      <c r="A4" s="21">
        <f>A3+1</f>
        <v>2</v>
      </c>
      <c r="B4" s="21" t="s">
        <v>2</v>
      </c>
      <c r="C4" s="21" t="s">
        <v>3</v>
      </c>
      <c r="D4" s="22">
        <v>45332.96769675926</v>
      </c>
      <c r="E4" s="21">
        <v>100</v>
      </c>
      <c r="F4" s="23">
        <v>15.15771</v>
      </c>
      <c r="G4" s="23">
        <v>0</v>
      </c>
      <c r="H4" s="23">
        <v>19766.07</v>
      </c>
      <c r="I4" s="24">
        <f t="shared" ref="I4:I20" si="4">(L4/(N4*1000))/0.00000139</f>
        <v>0.1314803072793414</v>
      </c>
      <c r="J4" s="21">
        <v>6.1975822114872696E-3</v>
      </c>
      <c r="K4" s="21">
        <v>2.6033057851239601E-2</v>
      </c>
      <c r="L4" s="21">
        <v>9.4203249614606605E-2</v>
      </c>
      <c r="M4" s="21">
        <v>9.9993492864259995E-4</v>
      </c>
      <c r="N4" s="21">
        <v>515.45454545454504</v>
      </c>
      <c r="O4" s="21">
        <v>1.5199358364071101</v>
      </c>
      <c r="P4" s="23">
        <v>3600</v>
      </c>
      <c r="Q4" s="21">
        <f>(D4-D3)*24*3600-(1*60)</f>
        <v>5104.0000001527369</v>
      </c>
      <c r="R4" s="23">
        <f>R3+Q4</f>
        <v>5104.0000001527369</v>
      </c>
      <c r="S4" s="23">
        <f t="shared" ref="S4:S21" si="5">Q4-P4</f>
        <v>1504.0000001527369</v>
      </c>
      <c r="T4" s="23">
        <f>P4+T3</f>
        <v>7200</v>
      </c>
      <c r="U4" s="23">
        <f t="shared" ref="U4:U21" si="6">U3+L4</f>
        <v>0.2099857945803576</v>
      </c>
      <c r="V4" s="23">
        <f t="shared" ref="V4:V21" si="7">N4+V3</f>
        <v>1119.4214876033052</v>
      </c>
      <c r="W4" s="23">
        <f t="shared" si="0"/>
        <v>0.43471698999548281</v>
      </c>
      <c r="X4" s="23">
        <f t="shared" si="1"/>
        <v>2751.413811428783</v>
      </c>
      <c r="Y4" s="23">
        <f>$U$21-U3</f>
        <v>0.52892023961008938</v>
      </c>
      <c r="Z4" s="23">
        <f>$V$21-V3</f>
        <v>3266.868356883328</v>
      </c>
      <c r="AA4" s="25">
        <f t="shared" ref="AA4:AA20" si="8">EXP(-P4*(E4+273)*$AA$36*$AA$30*AK4)</f>
        <v>0.88214002168015437</v>
      </c>
      <c r="AB4" s="23">
        <f t="shared" ref="AB4:AB20" si="9">EXP(-P4*(E4+273)*$AA$36*$AA$30*AL4)</f>
        <v>0.89069629015106688</v>
      </c>
      <c r="AC4" s="23">
        <v>0.86774671809058646</v>
      </c>
      <c r="AD4" s="23">
        <v>0.87716898713302605</v>
      </c>
      <c r="AE4" s="25">
        <f t="shared" ref="AE4:AE20" si="10">W4/Y4</f>
        <v>0.82189516951733299</v>
      </c>
      <c r="AF4" s="23">
        <f t="shared" si="2"/>
        <v>0.84221753399751276</v>
      </c>
      <c r="AG4" s="11">
        <f t="shared" ref="AG4:AG20" si="11">-LN(AE4)/((E4+273)*P4*$AA$30*$AA$36)</f>
        <v>137880482841.08124</v>
      </c>
      <c r="AH4" s="11">
        <f>-LN(AF4)/((E4+273)*P4*$AA$30*$AA$36)</f>
        <v>120710322671.41899</v>
      </c>
      <c r="AI4" s="2">
        <f t="shared" ref="AI4:AI20" si="12">AG4/AH4</f>
        <v>1.1422426830586849</v>
      </c>
      <c r="AJ4" s="2">
        <f t="shared" ref="AJ4:AJ20" si="13">1/AI4</f>
        <v>0.87547069885552775</v>
      </c>
      <c r="AK4" s="25">
        <f t="shared" ref="AK4:AK20" si="14">1.17*EXP(-57/(1.987*(273+E4)))*AL4</f>
        <v>88154464997.476807</v>
      </c>
      <c r="AL4" s="26">
        <f t="shared" si="3"/>
        <v>81368987856.687637</v>
      </c>
      <c r="AM4" s="23">
        <v>99950097104.571701</v>
      </c>
      <c r="AN4" s="23">
        <v>92340658902.170593</v>
      </c>
      <c r="AP4" s="23"/>
      <c r="AQ4" s="23"/>
      <c r="AR4" s="23"/>
      <c r="AS4" s="23"/>
      <c r="AT4" s="23"/>
      <c r="AU4" s="27"/>
    </row>
    <row r="5" spans="1:47" s="21" customFormat="1" x14ac:dyDescent="0.3">
      <c r="A5" s="21">
        <f t="shared" ref="A5:A21" si="15">A4+1</f>
        <v>3</v>
      </c>
      <c r="B5" s="21" t="s">
        <v>4</v>
      </c>
      <c r="C5" s="21" t="s">
        <v>5</v>
      </c>
      <c r="D5" s="22">
        <v>45333.027430555558</v>
      </c>
      <c r="E5" s="21">
        <v>100</v>
      </c>
      <c r="F5" s="23">
        <v>12.19581</v>
      </c>
      <c r="G5" s="23">
        <v>0</v>
      </c>
      <c r="H5" s="23">
        <v>16650.490000000002</v>
      </c>
      <c r="I5" s="24">
        <f t="shared" si="4"/>
        <v>0.12523534434044684</v>
      </c>
      <c r="J5" s="21">
        <v>6.20331076530997E-3</v>
      </c>
      <c r="K5" s="21">
        <v>2.6033057851239601E-2</v>
      </c>
      <c r="L5" s="21">
        <v>7.5680391336781699E-2</v>
      </c>
      <c r="M5" s="21">
        <v>8.0640498794010303E-4</v>
      </c>
      <c r="N5" s="21">
        <v>434.75206611570201</v>
      </c>
      <c r="O5" s="21">
        <v>1.28766324244703</v>
      </c>
      <c r="P5" s="23">
        <v>3600</v>
      </c>
      <c r="Q5" s="21">
        <f t="shared" ref="Q5:Q21" si="16">(D5-D4)*24*3600-(1*60)</f>
        <v>5101.0000000800937</v>
      </c>
      <c r="R5" s="23">
        <f>R4+Q5</f>
        <v>10205.000000232831</v>
      </c>
      <c r="S5" s="23">
        <f t="shared" si="5"/>
        <v>1501.0000000800937</v>
      </c>
      <c r="T5" s="23">
        <f t="shared" ref="T5:T20" si="17">P5+T4</f>
        <v>10800</v>
      </c>
      <c r="U5" s="23">
        <f t="shared" si="6"/>
        <v>0.28566618591713933</v>
      </c>
      <c r="V5" s="23">
        <f t="shared" si="7"/>
        <v>1554.1735537190073</v>
      </c>
      <c r="W5" s="23">
        <f t="shared" si="0"/>
        <v>0.35903659865870108</v>
      </c>
      <c r="X5" s="23">
        <f t="shared" si="1"/>
        <v>2316.6617453130812</v>
      </c>
      <c r="Y5" s="23">
        <f t="shared" ref="Y5:Y21" si="18">$U$21-U4</f>
        <v>0.43471698999548281</v>
      </c>
      <c r="Z5" s="23">
        <f t="shared" ref="Z5:Z21" si="19">$V$21-V4</f>
        <v>2751.413811428783</v>
      </c>
      <c r="AA5" s="25">
        <f t="shared" si="8"/>
        <v>0.88214002168015437</v>
      </c>
      <c r="AB5" s="23">
        <f t="shared" si="9"/>
        <v>0.89069629015106688</v>
      </c>
      <c r="AC5" s="23">
        <v>0.86775552568198433</v>
      </c>
      <c r="AD5" s="23">
        <v>0.87718088921960158</v>
      </c>
      <c r="AE5" s="25">
        <f t="shared" si="10"/>
        <v>0.82590882556127343</v>
      </c>
      <c r="AF5" s="23">
        <f t="shared" si="2"/>
        <v>0.84198957484699866</v>
      </c>
      <c r="AG5" s="11">
        <f t="shared" si="11"/>
        <v>134455986434.45227</v>
      </c>
      <c r="AH5" s="11">
        <f t="shared" ref="AH5:AH20" si="20">-LN(AF5)/((E5+273)*P5*$AA$30*$AA$36)</f>
        <v>120900615662.08949</v>
      </c>
      <c r="AI5" s="2">
        <f t="shared" si="12"/>
        <v>1.1121199482577433</v>
      </c>
      <c r="AJ5" s="2">
        <f t="shared" si="13"/>
        <v>0.89918358317968183</v>
      </c>
      <c r="AK5" s="25">
        <f t="shared" si="14"/>
        <v>88154464997.476807</v>
      </c>
      <c r="AL5" s="26">
        <f t="shared" si="3"/>
        <v>81368987856.687637</v>
      </c>
      <c r="AM5" s="23">
        <v>99942945568.999207</v>
      </c>
      <c r="AN5" s="23">
        <v>92331098542.783905</v>
      </c>
      <c r="AQ5" s="23"/>
      <c r="AR5" s="23"/>
      <c r="AS5" s="23"/>
    </row>
    <row r="6" spans="1:47" s="21" customFormat="1" x14ac:dyDescent="0.3">
      <c r="A6" s="21">
        <f t="shared" si="15"/>
        <v>4</v>
      </c>
      <c r="B6" s="21" t="s">
        <v>6</v>
      </c>
      <c r="C6" s="21" t="s">
        <v>7</v>
      </c>
      <c r="D6" s="22">
        <v>45333.087199074071</v>
      </c>
      <c r="E6" s="21">
        <v>100</v>
      </c>
      <c r="F6" s="23">
        <v>9.3223109999999991</v>
      </c>
      <c r="G6" s="23">
        <v>0</v>
      </c>
      <c r="H6" s="23">
        <v>13878.47</v>
      </c>
      <c r="I6" s="24">
        <f t="shared" si="4"/>
        <v>0.11499398635132935</v>
      </c>
      <c r="J6" s="21">
        <v>6.2060318628970003E-3</v>
      </c>
      <c r="K6" s="21">
        <v>2.6033057851239601E-2</v>
      </c>
      <c r="L6" s="21">
        <v>5.78402169622E-2</v>
      </c>
      <c r="M6" s="21">
        <v>6.1762266466385202E-4</v>
      </c>
      <c r="N6" s="21">
        <v>361.859504132231</v>
      </c>
      <c r="O6" s="21">
        <v>1.07303779334855</v>
      </c>
      <c r="P6" s="23">
        <v>3600</v>
      </c>
      <c r="Q6" s="21">
        <f t="shared" si="16"/>
        <v>5103.9999995240942</v>
      </c>
      <c r="R6" s="23">
        <f>R5+Q6</f>
        <v>15308.999999756925</v>
      </c>
      <c r="S6" s="23">
        <f t="shared" si="5"/>
        <v>1503.9999995240942</v>
      </c>
      <c r="T6" s="23">
        <f t="shared" si="17"/>
        <v>14400</v>
      </c>
      <c r="U6" s="23">
        <f t="shared" si="6"/>
        <v>0.34350640287933931</v>
      </c>
      <c r="V6" s="23">
        <f t="shared" si="7"/>
        <v>1916.0330578512383</v>
      </c>
      <c r="W6" s="23">
        <f t="shared" si="0"/>
        <v>0.30119638169650109</v>
      </c>
      <c r="X6" s="23">
        <f t="shared" si="1"/>
        <v>1954.8022411808499</v>
      </c>
      <c r="Y6" s="23">
        <f t="shared" si="18"/>
        <v>0.35903659865870108</v>
      </c>
      <c r="Z6" s="23">
        <f t="shared" si="19"/>
        <v>2316.6617453130812</v>
      </c>
      <c r="AA6" s="25">
        <f t="shared" si="8"/>
        <v>0.88214002168015437</v>
      </c>
      <c r="AB6" s="23">
        <f t="shared" si="9"/>
        <v>0.89069629015106688</v>
      </c>
      <c r="AC6" s="23">
        <v>0.8678029728729264</v>
      </c>
      <c r="AD6" s="23">
        <v>0.87722358870679196</v>
      </c>
      <c r="AE6" s="25">
        <f t="shared" si="10"/>
        <v>0.83890161287656728</v>
      </c>
      <c r="AF6" s="23">
        <f t="shared" si="2"/>
        <v>0.84380132107575834</v>
      </c>
      <c r="AG6" s="11">
        <f t="shared" si="11"/>
        <v>123483435340.14059</v>
      </c>
      <c r="AH6" s="11">
        <f t="shared" si="20"/>
        <v>119389648297.01031</v>
      </c>
      <c r="AI6" s="2">
        <f t="shared" si="12"/>
        <v>1.0342892964467574</v>
      </c>
      <c r="AJ6" s="2">
        <f t="shared" si="13"/>
        <v>0.96684748013485555</v>
      </c>
      <c r="AK6" s="25">
        <f t="shared" si="14"/>
        <v>88154464997.476807</v>
      </c>
      <c r="AL6" s="26">
        <f t="shared" si="3"/>
        <v>81368987856.687637</v>
      </c>
      <c r="AM6" s="23">
        <v>99909778023.071701</v>
      </c>
      <c r="AN6" s="23">
        <v>92301750372.721497</v>
      </c>
      <c r="AQ6" s="23"/>
      <c r="AR6" s="23"/>
      <c r="AS6" s="23"/>
    </row>
    <row r="7" spans="1:47" x14ac:dyDescent="0.3">
      <c r="A7">
        <f t="shared" si="15"/>
        <v>5</v>
      </c>
      <c r="B7" t="s">
        <v>8</v>
      </c>
      <c r="C7" t="s">
        <v>9</v>
      </c>
      <c r="D7" s="1">
        <v>45333.166678240741</v>
      </c>
      <c r="E7">
        <v>100</v>
      </c>
      <c r="F7" s="2">
        <v>8.5330329999999996</v>
      </c>
      <c r="G7" s="2">
        <v>7.1135349999999998E-3</v>
      </c>
      <c r="H7" s="2">
        <v>12529.69</v>
      </c>
      <c r="I7" s="13">
        <f t="shared" si="4"/>
        <v>0.11713191487479788</v>
      </c>
      <c r="J7">
        <v>6.2115001154924203E-3</v>
      </c>
      <c r="K7">
        <v>2.60342740619036E-2</v>
      </c>
      <c r="L7">
        <v>5.2984095985150297E-2</v>
      </c>
      <c r="M7">
        <v>5.72418565195495E-4</v>
      </c>
      <c r="N7">
        <v>325.42842577379599</v>
      </c>
      <c r="O7">
        <v>0.96536820852411098</v>
      </c>
      <c r="P7" s="2">
        <v>3600</v>
      </c>
      <c r="Q7">
        <f t="shared" si="16"/>
        <v>6807.0000003185123</v>
      </c>
      <c r="R7" s="2">
        <f t="shared" ref="R7:R21" si="21">R6+Q7</f>
        <v>22116.000000075437</v>
      </c>
      <c r="S7" s="2">
        <f t="shared" si="5"/>
        <v>3207.0000003185123</v>
      </c>
      <c r="T7" s="23">
        <f t="shared" si="17"/>
        <v>18000</v>
      </c>
      <c r="U7" s="2">
        <f t="shared" si="6"/>
        <v>0.39649049886448962</v>
      </c>
      <c r="V7" s="2">
        <f t="shared" si="7"/>
        <v>2241.4614836250344</v>
      </c>
      <c r="W7" s="2">
        <f t="shared" si="0"/>
        <v>0.24821228571135079</v>
      </c>
      <c r="X7" s="2">
        <f t="shared" si="1"/>
        <v>1629.3738154070538</v>
      </c>
      <c r="Y7" s="2">
        <f t="shared" si="18"/>
        <v>0.30119638169650109</v>
      </c>
      <c r="Z7" s="2">
        <f t="shared" si="19"/>
        <v>1954.8022411808499</v>
      </c>
      <c r="AA7" s="11">
        <f t="shared" si="8"/>
        <v>0.88214002168015437</v>
      </c>
      <c r="AB7" s="2">
        <f t="shared" si="9"/>
        <v>0.89069629015106688</v>
      </c>
      <c r="AC7" s="2">
        <v>0.85890653040605935</v>
      </c>
      <c r="AD7" s="2">
        <v>0.86877902457332901</v>
      </c>
      <c r="AE7" s="11">
        <f t="shared" si="10"/>
        <v>0.82408787354378166</v>
      </c>
      <c r="AF7" s="2">
        <f t="shared" si="2"/>
        <v>0.83352360718738872</v>
      </c>
      <c r="AG7" s="11">
        <f t="shared" si="11"/>
        <v>136007576028.49127</v>
      </c>
      <c r="AH7" s="11">
        <f t="shared" si="20"/>
        <v>128004464429.42513</v>
      </c>
      <c r="AI7" s="2">
        <f t="shared" si="12"/>
        <v>1.0625221286987114</v>
      </c>
      <c r="AJ7" s="2">
        <f t="shared" si="13"/>
        <v>0.94115686910419138</v>
      </c>
      <c r="AK7" s="11">
        <f t="shared" si="14"/>
        <v>88154464997.476807</v>
      </c>
      <c r="AL7" s="15">
        <f t="shared" si="3"/>
        <v>81368987856.687637</v>
      </c>
      <c r="AM7" s="2">
        <v>107167823024.46899</v>
      </c>
      <c r="AN7" s="2">
        <v>99115042214.418503</v>
      </c>
      <c r="AS7" s="2"/>
    </row>
    <row r="8" spans="1:47" s="21" customFormat="1" x14ac:dyDescent="0.3">
      <c r="A8" s="21">
        <f t="shared" si="15"/>
        <v>6</v>
      </c>
      <c r="B8" s="21" t="s">
        <v>10</v>
      </c>
      <c r="C8" s="21" t="s">
        <v>11</v>
      </c>
      <c r="D8" s="22">
        <v>45333.2265625</v>
      </c>
      <c r="E8" s="21">
        <v>100</v>
      </c>
      <c r="F8" s="23">
        <v>6.1461740000000002</v>
      </c>
      <c r="G8" s="23">
        <v>0</v>
      </c>
      <c r="H8" s="23">
        <v>9654.402</v>
      </c>
      <c r="I8" s="24">
        <f t="shared" si="4"/>
        <v>0.10947841098817801</v>
      </c>
      <c r="J8" s="21">
        <v>6.2184757555029304E-3</v>
      </c>
      <c r="K8" s="21">
        <v>2.6042847171565402E-2</v>
      </c>
      <c r="L8" s="21">
        <v>3.8243625896343003E-2</v>
      </c>
      <c r="M8" s="21">
        <v>4.3415956594620102E-4</v>
      </c>
      <c r="N8" s="21">
        <v>251.31347520560601</v>
      </c>
      <c r="O8" s="21">
        <v>0.74526425698061405</v>
      </c>
      <c r="P8" s="23">
        <v>3600</v>
      </c>
      <c r="Q8" s="21">
        <f t="shared" si="16"/>
        <v>5113.9999999757856</v>
      </c>
      <c r="R8" s="23">
        <f t="shared" si="21"/>
        <v>27230.000000051223</v>
      </c>
      <c r="S8" s="23">
        <f t="shared" si="5"/>
        <v>1513.9999999757856</v>
      </c>
      <c r="T8" s="23">
        <f t="shared" si="17"/>
        <v>21600</v>
      </c>
      <c r="U8" s="23">
        <f t="shared" si="6"/>
        <v>0.43473412476083262</v>
      </c>
      <c r="V8" s="23">
        <f t="shared" si="7"/>
        <v>2492.7749588306406</v>
      </c>
      <c r="W8" s="23">
        <f t="shared" si="0"/>
        <v>0.20996865981500779</v>
      </c>
      <c r="X8" s="23">
        <f t="shared" si="1"/>
        <v>1378.0603402014476</v>
      </c>
      <c r="Y8" s="23">
        <f t="shared" si="18"/>
        <v>0.24821228571135079</v>
      </c>
      <c r="Z8" s="23">
        <f t="shared" si="19"/>
        <v>1629.3738154070538</v>
      </c>
      <c r="AA8" s="25">
        <f t="shared" si="8"/>
        <v>0.88214002168015437</v>
      </c>
      <c r="AB8" s="23">
        <f t="shared" si="9"/>
        <v>0.89069629015106688</v>
      </c>
      <c r="AC8" s="23">
        <v>0.86778726686638319</v>
      </c>
      <c r="AD8" s="23">
        <v>0.87720572303403388</v>
      </c>
      <c r="AE8" s="25">
        <f t="shared" si="10"/>
        <v>0.84592371893784102</v>
      </c>
      <c r="AF8" s="23">
        <f t="shared" si="2"/>
        <v>0.84576070093355316</v>
      </c>
      <c r="AG8" s="11">
        <f t="shared" si="11"/>
        <v>117623723344.68158</v>
      </c>
      <c r="AH8" s="11">
        <f t="shared" si="20"/>
        <v>117759204059.39197</v>
      </c>
      <c r="AI8" s="2">
        <f t="shared" si="12"/>
        <v>0.99884951061114458</v>
      </c>
      <c r="AJ8" s="2">
        <f t="shared" si="13"/>
        <v>1.0011518145392608</v>
      </c>
      <c r="AK8" s="25">
        <f t="shared" si="14"/>
        <v>88154464997.476807</v>
      </c>
      <c r="AL8" s="26">
        <f t="shared" si="3"/>
        <v>81368987856.687637</v>
      </c>
      <c r="AM8" s="23">
        <v>99922530929.876297</v>
      </c>
      <c r="AN8" s="23">
        <v>92316101106.612793</v>
      </c>
    </row>
    <row r="9" spans="1:47" s="21" customFormat="1" x14ac:dyDescent="0.3">
      <c r="A9" s="21">
        <f t="shared" si="15"/>
        <v>7</v>
      </c>
      <c r="B9" s="21" t="s">
        <v>12</v>
      </c>
      <c r="C9" s="21" t="s">
        <v>13</v>
      </c>
      <c r="D9" s="22">
        <v>45333.28634259259</v>
      </c>
      <c r="E9" s="21">
        <v>100</v>
      </c>
      <c r="F9" s="23">
        <v>5.4138849999999996</v>
      </c>
      <c r="G9" s="23">
        <v>0</v>
      </c>
      <c r="H9" s="23">
        <v>8158.6940000000004</v>
      </c>
      <c r="I9" s="24">
        <f t="shared" si="4"/>
        <v>0.11395682210366338</v>
      </c>
      <c r="J9" s="21">
        <v>6.2252826011367102E-3</v>
      </c>
      <c r="K9" s="21">
        <v>2.6056198121942899E-2</v>
      </c>
      <c r="L9" s="21">
        <v>3.3678778872149602E-2</v>
      </c>
      <c r="M9" s="21">
        <v>4.0637250844002099E-4</v>
      </c>
      <c r="N9" s="21">
        <v>212.61857667505399</v>
      </c>
      <c r="O9" s="21">
        <v>0.63019236652454003</v>
      </c>
      <c r="P9" s="23">
        <v>3600</v>
      </c>
      <c r="Q9" s="21">
        <f t="shared" si="16"/>
        <v>5104.9999997578561</v>
      </c>
      <c r="R9" s="23">
        <f t="shared" si="21"/>
        <v>32334.999999809079</v>
      </c>
      <c r="S9" s="23">
        <f t="shared" si="5"/>
        <v>1504.9999997578561</v>
      </c>
      <c r="T9" s="23">
        <f t="shared" si="17"/>
        <v>25200</v>
      </c>
      <c r="U9" s="23">
        <f t="shared" si="6"/>
        <v>0.46841290363298221</v>
      </c>
      <c r="V9" s="23">
        <f t="shared" si="7"/>
        <v>2705.3935355056947</v>
      </c>
      <c r="W9" s="23">
        <f t="shared" si="0"/>
        <v>0.17628988094285819</v>
      </c>
      <c r="X9" s="23">
        <f t="shared" si="1"/>
        <v>1165.4417635263935</v>
      </c>
      <c r="Y9" s="23">
        <f t="shared" si="18"/>
        <v>0.20996865981500779</v>
      </c>
      <c r="Z9" s="23">
        <f t="shared" si="19"/>
        <v>1378.0603402014476</v>
      </c>
      <c r="AA9" s="25">
        <f t="shared" si="8"/>
        <v>0.88214002168015437</v>
      </c>
      <c r="AB9" s="23">
        <f t="shared" si="9"/>
        <v>0.89069629015106688</v>
      </c>
      <c r="AC9" s="23">
        <v>0.86777925701719605</v>
      </c>
      <c r="AD9" s="23">
        <v>0.87720293227643065</v>
      </c>
      <c r="AE9" s="25">
        <f t="shared" si="10"/>
        <v>0.83960092471980263</v>
      </c>
      <c r="AF9" s="23">
        <f t="shared" si="2"/>
        <v>0.84571170762814851</v>
      </c>
      <c r="AG9" s="11">
        <f t="shared" si="11"/>
        <v>122897688220.79073</v>
      </c>
      <c r="AH9" s="11">
        <f t="shared" si="20"/>
        <v>117799926432.44411</v>
      </c>
      <c r="AI9" s="2">
        <f t="shared" si="12"/>
        <v>1.0432747450930717</v>
      </c>
      <c r="AJ9" s="2">
        <f t="shared" si="13"/>
        <v>0.95852027924896133</v>
      </c>
      <c r="AK9" s="25">
        <f t="shared" si="14"/>
        <v>88154464997.476807</v>
      </c>
      <c r="AL9" s="26">
        <f t="shared" si="3"/>
        <v>81368987856.687637</v>
      </c>
      <c r="AM9" s="23">
        <v>99926355692.912003</v>
      </c>
      <c r="AN9" s="23">
        <v>92315867740.758698</v>
      </c>
    </row>
    <row r="10" spans="1:47" x14ac:dyDescent="0.3">
      <c r="A10">
        <f t="shared" si="15"/>
        <v>8</v>
      </c>
      <c r="B10" t="s">
        <v>14</v>
      </c>
      <c r="C10" t="s">
        <v>15</v>
      </c>
      <c r="D10" s="1">
        <v>45333.881203703706</v>
      </c>
      <c r="E10">
        <v>100</v>
      </c>
      <c r="F10" s="2">
        <v>7.8907400000000001</v>
      </c>
      <c r="G10" s="2">
        <v>0</v>
      </c>
      <c r="H10" s="2">
        <v>13218.71</v>
      </c>
      <c r="I10" s="13">
        <f t="shared" si="4"/>
        <v>0.10294947561031197</v>
      </c>
      <c r="J10">
        <v>6.2531538360885803E-3</v>
      </c>
      <c r="K10">
        <v>2.6119402985074602E-2</v>
      </c>
      <c r="L10">
        <v>4.93373837667389E-2</v>
      </c>
      <c r="M10">
        <v>2.5172161333380399E-4</v>
      </c>
      <c r="N10">
        <v>344.77611940298499</v>
      </c>
      <c r="O10">
        <v>0.80157760509842801</v>
      </c>
      <c r="P10" s="2">
        <v>3600</v>
      </c>
      <c r="Q10">
        <f t="shared" si="16"/>
        <v>51336.000000438653</v>
      </c>
      <c r="R10" s="2">
        <f t="shared" si="21"/>
        <v>83671.000000247732</v>
      </c>
      <c r="S10" s="2">
        <f t="shared" si="5"/>
        <v>47736.000000438653</v>
      </c>
      <c r="T10" s="23">
        <f t="shared" si="17"/>
        <v>28800</v>
      </c>
      <c r="U10" s="2">
        <f t="shared" si="6"/>
        <v>0.51775028739972107</v>
      </c>
      <c r="V10" s="2">
        <f t="shared" si="7"/>
        <v>3050.1696549086796</v>
      </c>
      <c r="W10" s="2">
        <f t="shared" si="0"/>
        <v>0.12695249717611934</v>
      </c>
      <c r="X10" s="2">
        <f t="shared" si="1"/>
        <v>820.66564412340858</v>
      </c>
      <c r="Y10" s="2">
        <f t="shared" si="18"/>
        <v>0.17628988094285819</v>
      </c>
      <c r="Z10" s="2">
        <f t="shared" si="19"/>
        <v>1165.4417635263935</v>
      </c>
      <c r="AA10" s="11">
        <f t="shared" si="8"/>
        <v>0.88214002168015437</v>
      </c>
      <c r="AB10" s="2">
        <f t="shared" si="9"/>
        <v>0.89069629015106688</v>
      </c>
      <c r="AC10" s="2">
        <v>0.77406875017694166</v>
      </c>
      <c r="AD10" s="2">
        <v>0.78580771690059481</v>
      </c>
      <c r="AE10" s="11">
        <f t="shared" si="10"/>
        <v>0.72013490789791357</v>
      </c>
      <c r="AF10" s="2">
        <f t="shared" si="2"/>
        <v>0.70416701186358599</v>
      </c>
      <c r="AG10" s="11">
        <f t="shared" si="11"/>
        <v>230793859535.28748</v>
      </c>
      <c r="AH10" s="11">
        <f t="shared" si="20"/>
        <v>246556359110.96515</v>
      </c>
      <c r="AI10" s="2">
        <f t="shared" si="12"/>
        <v>0.93606938538306528</v>
      </c>
      <c r="AJ10" s="2">
        <f t="shared" si="13"/>
        <v>1.0682968758675646</v>
      </c>
      <c r="AK10" s="11">
        <f t="shared" si="14"/>
        <v>88154464997.476807</v>
      </c>
      <c r="AL10" s="15">
        <f t="shared" si="3"/>
        <v>81368987856.687637</v>
      </c>
      <c r="AM10" s="2">
        <v>13596945489491.6</v>
      </c>
      <c r="AN10" s="2">
        <v>12797812938661.301</v>
      </c>
    </row>
    <row r="11" spans="1:47" x14ac:dyDescent="0.3">
      <c r="A11">
        <f t="shared" si="15"/>
        <v>9</v>
      </c>
      <c r="B11" t="s">
        <v>16</v>
      </c>
      <c r="C11" t="s">
        <v>17</v>
      </c>
      <c r="D11" s="1">
        <v>45333.943090277775</v>
      </c>
      <c r="E11">
        <v>100</v>
      </c>
      <c r="F11" s="2">
        <v>3.1477089999999999</v>
      </c>
      <c r="G11" s="2">
        <v>2.4276559999999998E-3</v>
      </c>
      <c r="H11" s="2">
        <v>4873.3810000000003</v>
      </c>
      <c r="I11" s="13">
        <f t="shared" si="4"/>
        <v>0.1115612460879274</v>
      </c>
      <c r="J11">
        <v>6.2619530940547698E-3</v>
      </c>
      <c r="K11">
        <v>2.6119402985074602E-2</v>
      </c>
      <c r="L11">
        <v>1.9725152246272502E-2</v>
      </c>
      <c r="M11" s="2">
        <v>9.4163000999953104E-5</v>
      </c>
      <c r="N11">
        <v>127.201492537313</v>
      </c>
      <c r="O11">
        <v>0.27612616606774198</v>
      </c>
      <c r="P11" s="2">
        <v>3600</v>
      </c>
      <c r="Q11">
        <f t="shared" si="16"/>
        <v>5286.9999995548278</v>
      </c>
      <c r="R11" s="2">
        <f t="shared" si="21"/>
        <v>88957.99999980256</v>
      </c>
      <c r="S11" s="2">
        <f t="shared" si="5"/>
        <v>1686.9999995548278</v>
      </c>
      <c r="T11" s="23">
        <f t="shared" si="17"/>
        <v>32400</v>
      </c>
      <c r="U11" s="2">
        <f t="shared" si="6"/>
        <v>0.53747543964599354</v>
      </c>
      <c r="V11" s="2">
        <f t="shared" si="7"/>
        <v>3177.3711474459924</v>
      </c>
      <c r="W11" s="2">
        <f t="shared" si="0"/>
        <v>0.10722734492984687</v>
      </c>
      <c r="X11" s="2">
        <f t="shared" si="1"/>
        <v>693.4641515860958</v>
      </c>
      <c r="Y11" s="2">
        <f t="shared" si="18"/>
        <v>0.12695249717611934</v>
      </c>
      <c r="Z11" s="2">
        <f t="shared" si="19"/>
        <v>820.66564412340858</v>
      </c>
      <c r="AA11" s="11">
        <f t="shared" si="8"/>
        <v>0.88214002168015437</v>
      </c>
      <c r="AB11" s="2">
        <f t="shared" si="9"/>
        <v>0.89069629015106688</v>
      </c>
      <c r="AC11" s="2">
        <v>0.86658058020217055</v>
      </c>
      <c r="AD11" s="2">
        <v>0.87605811419547142</v>
      </c>
      <c r="AE11" s="11">
        <f t="shared" si="10"/>
        <v>0.84462572469993991</v>
      </c>
      <c r="AF11" s="2">
        <f t="shared" si="2"/>
        <v>0.84500204992353167</v>
      </c>
      <c r="AG11" s="11">
        <f t="shared" si="11"/>
        <v>118703182534.30464</v>
      </c>
      <c r="AH11" s="11">
        <f t="shared" si="20"/>
        <v>118390046136.94278</v>
      </c>
      <c r="AI11" s="2">
        <f t="shared" si="12"/>
        <v>1.0026449554466736</v>
      </c>
      <c r="AJ11" s="2">
        <f t="shared" si="13"/>
        <v>0.99736202188790213</v>
      </c>
      <c r="AK11" s="11">
        <f t="shared" si="14"/>
        <v>88154464997.476807</v>
      </c>
      <c r="AL11" s="15">
        <f t="shared" si="3"/>
        <v>81368987856.687637</v>
      </c>
      <c r="AM11" s="2">
        <v>100919257294.241</v>
      </c>
      <c r="AN11" s="2">
        <v>93253540686.355103</v>
      </c>
    </row>
    <row r="12" spans="1:47" x14ac:dyDescent="0.3">
      <c r="A12">
        <f t="shared" si="15"/>
        <v>10</v>
      </c>
      <c r="B12" t="s">
        <v>18</v>
      </c>
      <c r="C12" t="s">
        <v>19</v>
      </c>
      <c r="D12" s="1">
        <v>45334.015763888892</v>
      </c>
      <c r="E12">
        <v>100</v>
      </c>
      <c r="F12" s="2">
        <v>2.7669030000000001</v>
      </c>
      <c r="G12" s="2">
        <v>0</v>
      </c>
      <c r="H12" s="2">
        <v>4261.33</v>
      </c>
      <c r="I12" s="13">
        <f t="shared" si="4"/>
        <v>0.11217226367164294</v>
      </c>
      <c r="J12">
        <v>6.2631578947368403E-3</v>
      </c>
      <c r="K12">
        <v>2.6119402985074602E-2</v>
      </c>
      <c r="L12">
        <v>1.7348947368420999E-2</v>
      </c>
      <c r="M12" s="2">
        <v>8.3896101903530696E-5</v>
      </c>
      <c r="N12">
        <v>111.268656716417</v>
      </c>
      <c r="O12">
        <v>0.22183602402167399</v>
      </c>
      <c r="P12" s="2">
        <v>3600</v>
      </c>
      <c r="Q12">
        <f t="shared" si="16"/>
        <v>6219.0000005392358</v>
      </c>
      <c r="R12" s="2">
        <f t="shared" si="21"/>
        <v>95177.000000341795</v>
      </c>
      <c r="S12" s="2">
        <f t="shared" si="5"/>
        <v>2619.0000005392358</v>
      </c>
      <c r="T12" s="23">
        <f t="shared" si="17"/>
        <v>36000</v>
      </c>
      <c r="U12" s="2">
        <f t="shared" si="6"/>
        <v>0.5548243870144145</v>
      </c>
      <c r="V12" s="2">
        <f t="shared" si="7"/>
        <v>3288.6398041624093</v>
      </c>
      <c r="W12" s="2">
        <f t="shared" si="0"/>
        <v>8.9878397561425905E-2</v>
      </c>
      <c r="X12" s="2">
        <f t="shared" si="1"/>
        <v>582.1954948696789</v>
      </c>
      <c r="Y12" s="2">
        <f t="shared" si="18"/>
        <v>0.10722734492984687</v>
      </c>
      <c r="Z12" s="2">
        <f t="shared" si="19"/>
        <v>693.4641515860958</v>
      </c>
      <c r="AA12" s="11">
        <f t="shared" si="8"/>
        <v>0.88214002168015437</v>
      </c>
      <c r="AB12" s="2">
        <f t="shared" si="9"/>
        <v>0.89069629015106688</v>
      </c>
      <c r="AC12" s="2">
        <v>0.86223565110418932</v>
      </c>
      <c r="AD12" s="2">
        <v>0.87193842275977007</v>
      </c>
      <c r="AE12" s="11">
        <f t="shared" si="10"/>
        <v>0.83820407583745127</v>
      </c>
      <c r="AF12" s="2">
        <f t="shared" si="2"/>
        <v>0.8395466348737386</v>
      </c>
      <c r="AG12" s="11">
        <f t="shared" si="11"/>
        <v>124068182500.77596</v>
      </c>
      <c r="AH12" s="11">
        <f t="shared" si="20"/>
        <v>122943144198.45171</v>
      </c>
      <c r="AI12" s="2">
        <f t="shared" si="12"/>
        <v>1.0091508827894318</v>
      </c>
      <c r="AJ12" s="2">
        <f t="shared" si="13"/>
        <v>0.9909320965323466</v>
      </c>
      <c r="AK12" s="11">
        <f t="shared" si="14"/>
        <v>88154464997.476807</v>
      </c>
      <c r="AL12" s="15">
        <f t="shared" si="3"/>
        <v>81368987856.687637</v>
      </c>
      <c r="AM12" s="2">
        <v>104461638190.72701</v>
      </c>
      <c r="AN12" s="2">
        <v>96575431893.336807</v>
      </c>
      <c r="AS12" s="2"/>
    </row>
    <row r="13" spans="1:47" s="21" customFormat="1" x14ac:dyDescent="0.3">
      <c r="A13" s="21">
        <f t="shared" si="15"/>
        <v>11</v>
      </c>
      <c r="B13" s="21" t="s">
        <v>20</v>
      </c>
      <c r="C13" s="21" t="s">
        <v>21</v>
      </c>
      <c r="D13" s="22">
        <v>45334.075416666667</v>
      </c>
      <c r="E13" s="21">
        <v>100</v>
      </c>
      <c r="F13" s="23">
        <v>2.1991710000000002</v>
      </c>
      <c r="G13" s="23">
        <v>0</v>
      </c>
      <c r="H13" s="23">
        <v>3388.6680000000001</v>
      </c>
      <c r="I13" s="24">
        <f t="shared" si="4"/>
        <v>0.11195366017386338</v>
      </c>
      <c r="J13" s="21">
        <v>6.2631578947368403E-3</v>
      </c>
      <c r="K13" s="21">
        <v>2.6119402985074602E-2</v>
      </c>
      <c r="L13" s="21">
        <v>1.3778947368421E-2</v>
      </c>
      <c r="M13" s="23">
        <v>6.9936386102598802E-5</v>
      </c>
      <c r="N13" s="21">
        <v>88.544776119402897</v>
      </c>
      <c r="O13" s="21">
        <v>0.16609723715001001</v>
      </c>
      <c r="P13" s="23">
        <v>3600</v>
      </c>
      <c r="Q13" s="21">
        <f t="shared" si="16"/>
        <v>5093.9999997010455</v>
      </c>
      <c r="R13" s="23">
        <f t="shared" si="21"/>
        <v>100271.00000004284</v>
      </c>
      <c r="S13" s="23">
        <f t="shared" si="5"/>
        <v>1493.9999997010455</v>
      </c>
      <c r="T13" s="23">
        <f t="shared" si="17"/>
        <v>39600</v>
      </c>
      <c r="U13" s="23">
        <f t="shared" si="6"/>
        <v>0.5686033343828355</v>
      </c>
      <c r="V13" s="23">
        <f t="shared" si="7"/>
        <v>3377.184580281812</v>
      </c>
      <c r="W13" s="23">
        <f t="shared" si="0"/>
        <v>7.6099450193004903E-2</v>
      </c>
      <c r="X13" s="23">
        <f t="shared" si="1"/>
        <v>493.65071875027616</v>
      </c>
      <c r="Y13" s="23">
        <f t="shared" si="18"/>
        <v>8.9878397561425905E-2</v>
      </c>
      <c r="Z13" s="23">
        <f t="shared" si="19"/>
        <v>582.1954948696789</v>
      </c>
      <c r="AA13" s="25">
        <f t="shared" si="8"/>
        <v>0.88214002168015437</v>
      </c>
      <c r="AB13" s="23">
        <f t="shared" si="9"/>
        <v>0.89069629015106688</v>
      </c>
      <c r="AC13" s="23">
        <v>0.86732317430419081</v>
      </c>
      <c r="AD13" s="23">
        <v>0.87677881514138711</v>
      </c>
      <c r="AE13" s="25">
        <f t="shared" si="10"/>
        <v>0.84669344645353728</v>
      </c>
      <c r="AF13" s="23">
        <f t="shared" si="2"/>
        <v>0.84791229595614959</v>
      </c>
      <c r="AG13" s="11">
        <f t="shared" si="11"/>
        <v>116984372039.75159</v>
      </c>
      <c r="AH13" s="11">
        <f t="shared" si="20"/>
        <v>115973158814.93623</v>
      </c>
      <c r="AI13" s="2">
        <f t="shared" si="12"/>
        <v>1.0087193729579187</v>
      </c>
      <c r="AJ13" s="2">
        <f t="shared" si="13"/>
        <v>0.9913559973252517</v>
      </c>
      <c r="AK13" s="25">
        <f t="shared" si="14"/>
        <v>88154464997.476807</v>
      </c>
      <c r="AL13" s="26">
        <f t="shared" si="3"/>
        <v>81368987856.687637</v>
      </c>
      <c r="AM13" s="23">
        <v>100245713419.233</v>
      </c>
      <c r="AN13" s="23">
        <v>92609445792.860794</v>
      </c>
      <c r="AP13" s="23"/>
      <c r="AQ13" s="23"/>
      <c r="AR13" s="23"/>
      <c r="AS13" s="23"/>
      <c r="AT13" s="23"/>
      <c r="AU13" s="27"/>
    </row>
    <row r="14" spans="1:47" s="21" customFormat="1" x14ac:dyDescent="0.3">
      <c r="A14" s="21">
        <f t="shared" si="15"/>
        <v>12</v>
      </c>
      <c r="B14" s="21" t="s">
        <v>22</v>
      </c>
      <c r="C14" s="21" t="s">
        <v>23</v>
      </c>
      <c r="D14" s="22">
        <v>45334.135092592594</v>
      </c>
      <c r="E14" s="21">
        <v>100</v>
      </c>
      <c r="F14" s="23">
        <v>2.102954</v>
      </c>
      <c r="G14" s="23">
        <v>0</v>
      </c>
      <c r="H14" s="23">
        <v>2870.5149999999999</v>
      </c>
      <c r="I14" s="24">
        <f t="shared" si="4"/>
        <v>0.12622713126033139</v>
      </c>
      <c r="J14" s="21">
        <v>6.2631578947368403E-3</v>
      </c>
      <c r="K14" s="21">
        <v>2.6119402985074602E-2</v>
      </c>
      <c r="L14" s="21">
        <v>1.31526315789473E-2</v>
      </c>
      <c r="M14" s="23">
        <v>7.6016361298574201E-5</v>
      </c>
      <c r="N14" s="21">
        <v>74.962686567164099</v>
      </c>
      <c r="O14" s="21">
        <v>0.121474520102581</v>
      </c>
      <c r="P14" s="23">
        <v>3600</v>
      </c>
      <c r="Q14" s="21">
        <f t="shared" si="16"/>
        <v>5096.0000001685694</v>
      </c>
      <c r="R14" s="23">
        <f t="shared" si="21"/>
        <v>105367.00000021141</v>
      </c>
      <c r="S14" s="23">
        <f t="shared" si="5"/>
        <v>1496.0000001685694</v>
      </c>
      <c r="T14" s="23">
        <f t="shared" si="17"/>
        <v>43200</v>
      </c>
      <c r="U14" s="23">
        <f t="shared" si="6"/>
        <v>0.58175596596178281</v>
      </c>
      <c r="V14" s="23">
        <f t="shared" si="7"/>
        <v>3452.147266848976</v>
      </c>
      <c r="W14" s="23">
        <f t="shared" si="0"/>
        <v>6.2946818614057598E-2</v>
      </c>
      <c r="X14" s="23">
        <f t="shared" si="1"/>
        <v>418.68803218311223</v>
      </c>
      <c r="Y14" s="23">
        <f t="shared" si="18"/>
        <v>7.6099450193004903E-2</v>
      </c>
      <c r="Z14" s="23">
        <f t="shared" si="19"/>
        <v>493.65071875027616</v>
      </c>
      <c r="AA14" s="25">
        <f t="shared" si="8"/>
        <v>0.88214002168015437</v>
      </c>
      <c r="AB14" s="23">
        <f t="shared" si="9"/>
        <v>0.89069629015106688</v>
      </c>
      <c r="AC14" s="23">
        <v>0.86784907487328722</v>
      </c>
      <c r="AD14" s="23">
        <v>0.87726768746341333</v>
      </c>
      <c r="AE14" s="25">
        <f t="shared" si="10"/>
        <v>0.82716522201422815</v>
      </c>
      <c r="AF14" s="23">
        <f t="shared" si="2"/>
        <v>0.84814630320616347</v>
      </c>
      <c r="AG14" s="11">
        <f t="shared" si="11"/>
        <v>133387434259.34053</v>
      </c>
      <c r="AH14" s="11">
        <f t="shared" si="20"/>
        <v>115779182047.48108</v>
      </c>
      <c r="AI14" s="2">
        <f t="shared" si="12"/>
        <v>1.1520847867506812</v>
      </c>
      <c r="AJ14" s="2">
        <f t="shared" si="13"/>
        <v>0.86799167170706393</v>
      </c>
      <c r="AK14" s="25">
        <f t="shared" si="14"/>
        <v>88154464997.476807</v>
      </c>
      <c r="AL14" s="26">
        <f t="shared" si="3"/>
        <v>81368987856.687637</v>
      </c>
      <c r="AM14" s="23">
        <v>99877701279.259705</v>
      </c>
      <c r="AN14" s="23">
        <v>92271276757.899399</v>
      </c>
      <c r="AQ14" s="23"/>
      <c r="AR14" s="23"/>
      <c r="AS14" s="23"/>
    </row>
    <row r="15" spans="1:47" s="21" customFormat="1" x14ac:dyDescent="0.3">
      <c r="A15" s="21">
        <f t="shared" si="15"/>
        <v>13</v>
      </c>
      <c r="B15" s="21" t="s">
        <v>24</v>
      </c>
      <c r="C15" s="21" t="s">
        <v>25</v>
      </c>
      <c r="D15" s="22">
        <v>45334.194826388892</v>
      </c>
      <c r="E15" s="21">
        <v>100</v>
      </c>
      <c r="F15" s="23">
        <v>1.560314</v>
      </c>
      <c r="G15" s="23">
        <v>0</v>
      </c>
      <c r="H15" s="23">
        <v>2404.819</v>
      </c>
      <c r="I15" s="24">
        <f t="shared" si="4"/>
        <v>0.11213176826959481</v>
      </c>
      <c r="J15" s="21">
        <v>6.2631578947368403E-3</v>
      </c>
      <c r="K15" s="21">
        <v>2.6119402985074602E-2</v>
      </c>
      <c r="L15" s="21">
        <v>9.7705263157894708E-3</v>
      </c>
      <c r="M15" s="23">
        <v>6.3154775244268194E-5</v>
      </c>
      <c r="N15" s="21">
        <v>62.686567164179102</v>
      </c>
      <c r="O15" s="21">
        <v>8.8379070536394003E-2</v>
      </c>
      <c r="P15" s="23">
        <v>3600</v>
      </c>
      <c r="Q15" s="21">
        <f t="shared" si="16"/>
        <v>5101.0000000800937</v>
      </c>
      <c r="R15" s="23">
        <f t="shared" si="21"/>
        <v>110468.0000002915</v>
      </c>
      <c r="S15" s="23">
        <f t="shared" si="5"/>
        <v>1501.0000000800937</v>
      </c>
      <c r="T15" s="23">
        <f t="shared" si="17"/>
        <v>46800</v>
      </c>
      <c r="U15" s="23">
        <f t="shared" si="6"/>
        <v>0.59152649227757226</v>
      </c>
      <c r="V15" s="23">
        <f t="shared" si="7"/>
        <v>3514.833834013155</v>
      </c>
      <c r="W15" s="23">
        <f t="shared" si="0"/>
        <v>5.3176292298268146E-2</v>
      </c>
      <c r="X15" s="23">
        <f t="shared" si="1"/>
        <v>356.00146501893323</v>
      </c>
      <c r="Y15" s="23">
        <f t="shared" si="18"/>
        <v>6.2946818614057598E-2</v>
      </c>
      <c r="Z15" s="23">
        <f t="shared" si="19"/>
        <v>418.68803218311223</v>
      </c>
      <c r="AA15" s="25">
        <f t="shared" si="8"/>
        <v>0.88214002168015437</v>
      </c>
      <c r="AB15" s="23">
        <f t="shared" si="9"/>
        <v>0.89069629015106688</v>
      </c>
      <c r="AC15" s="23">
        <v>0.8678029712715879</v>
      </c>
      <c r="AD15" s="23">
        <v>0.8772235879555359</v>
      </c>
      <c r="AE15" s="25">
        <f t="shared" si="10"/>
        <v>0.84478125295426054</v>
      </c>
      <c r="AF15" s="23">
        <f t="shared" si="2"/>
        <v>0.85027857892827663</v>
      </c>
      <c r="AG15" s="11">
        <f t="shared" si="11"/>
        <v>118573752141.19656</v>
      </c>
      <c r="AH15" s="11">
        <f t="shared" si="20"/>
        <v>114014125994.86699</v>
      </c>
      <c r="AI15" s="2">
        <f t="shared" si="12"/>
        <v>1.0399917651128145</v>
      </c>
      <c r="AJ15" s="2">
        <f t="shared" si="13"/>
        <v>0.96154607521485869</v>
      </c>
      <c r="AK15" s="25">
        <f t="shared" si="14"/>
        <v>88154464997.476807</v>
      </c>
      <c r="AL15" s="26">
        <f t="shared" si="3"/>
        <v>81368987856.687637</v>
      </c>
      <c r="AM15" s="23">
        <v>99909779323.309006</v>
      </c>
      <c r="AN15" s="23">
        <v>92301750976.166397</v>
      </c>
      <c r="AQ15" s="23"/>
      <c r="AR15" s="23"/>
      <c r="AS15" s="23"/>
    </row>
    <row r="16" spans="1:47" s="21" customFormat="1" x14ac:dyDescent="0.3">
      <c r="A16" s="21">
        <f t="shared" si="15"/>
        <v>14</v>
      </c>
      <c r="B16" s="21" t="s">
        <v>26</v>
      </c>
      <c r="C16" s="21" t="s">
        <v>27</v>
      </c>
      <c r="D16" s="22">
        <v>45334.254606481481</v>
      </c>
      <c r="E16" s="21">
        <v>100</v>
      </c>
      <c r="F16" s="23">
        <v>1.518537</v>
      </c>
      <c r="G16" s="23">
        <v>0</v>
      </c>
      <c r="H16" s="23">
        <v>2038.463</v>
      </c>
      <c r="I16" s="24">
        <f t="shared" si="4"/>
        <v>0.12853717026378908</v>
      </c>
      <c r="J16" s="21">
        <v>6.2631578947368403E-3</v>
      </c>
      <c r="K16" s="21">
        <v>2.6119402985074602E-2</v>
      </c>
      <c r="L16" s="21">
        <v>9.5200000000000007E-3</v>
      </c>
      <c r="M16" s="23">
        <v>6.3583724871959404E-5</v>
      </c>
      <c r="N16" s="21">
        <v>53.283582089552198</v>
      </c>
      <c r="O16" s="21">
        <v>7.1825710802405296E-2</v>
      </c>
      <c r="P16" s="23">
        <v>3600</v>
      </c>
      <c r="Q16" s="21">
        <f t="shared" si="16"/>
        <v>5104.9999997578561</v>
      </c>
      <c r="R16" s="23">
        <f t="shared" si="21"/>
        <v>115573.00000004936</v>
      </c>
      <c r="S16" s="23">
        <f t="shared" si="5"/>
        <v>1504.9999997578561</v>
      </c>
      <c r="T16" s="23">
        <f t="shared" si="17"/>
        <v>50400</v>
      </c>
      <c r="U16" s="23">
        <f t="shared" si="6"/>
        <v>0.60104649227757223</v>
      </c>
      <c r="V16" s="23">
        <f t="shared" si="7"/>
        <v>3568.117416102707</v>
      </c>
      <c r="W16" s="23">
        <f t="shared" si="0"/>
        <v>4.3656292298268173E-2</v>
      </c>
      <c r="X16" s="23">
        <f t="shared" si="1"/>
        <v>302.71788292938118</v>
      </c>
      <c r="Y16" s="23">
        <f t="shared" si="18"/>
        <v>5.3176292298268146E-2</v>
      </c>
      <c r="Z16" s="23">
        <f t="shared" si="19"/>
        <v>356.00146501893323</v>
      </c>
      <c r="AA16" s="25">
        <f t="shared" si="8"/>
        <v>0.88214002168015437</v>
      </c>
      <c r="AB16" s="23">
        <f t="shared" si="9"/>
        <v>0.89069629015106688</v>
      </c>
      <c r="AC16" s="23">
        <v>0.8678727970016139</v>
      </c>
      <c r="AD16" s="23">
        <v>0.87728833367588432</v>
      </c>
      <c r="AE16" s="25">
        <f t="shared" si="10"/>
        <v>0.82097285108555751</v>
      </c>
      <c r="AF16" s="23">
        <f t="shared" si="2"/>
        <v>0.85032763253735977</v>
      </c>
      <c r="AG16" s="11">
        <f t="shared" si="11"/>
        <v>138669778133.64636</v>
      </c>
      <c r="AH16" s="11">
        <f t="shared" si="20"/>
        <v>113973572483.86746</v>
      </c>
      <c r="AI16" s="2">
        <f t="shared" si="12"/>
        <v>1.2166836145570024</v>
      </c>
      <c r="AJ16" s="2">
        <f t="shared" si="13"/>
        <v>0.82190635925026623</v>
      </c>
      <c r="AK16" s="25">
        <f t="shared" si="14"/>
        <v>88154464997.476807</v>
      </c>
      <c r="AL16" s="26">
        <f t="shared" si="3"/>
        <v>81368987856.687637</v>
      </c>
      <c r="AM16" s="23">
        <v>99861117427.478394</v>
      </c>
      <c r="AN16" s="23">
        <v>92257166491.049301</v>
      </c>
      <c r="AO16"/>
      <c r="AP16"/>
      <c r="AQ16"/>
      <c r="AR16"/>
      <c r="AS16" s="2"/>
      <c r="AT16"/>
      <c r="AU16"/>
    </row>
    <row r="17" spans="1:46" s="21" customFormat="1" x14ac:dyDescent="0.3">
      <c r="A17" s="21">
        <f t="shared" si="15"/>
        <v>15</v>
      </c>
      <c r="B17" s="21" t="s">
        <v>28</v>
      </c>
      <c r="C17" s="21" t="s">
        <v>29</v>
      </c>
      <c r="D17" s="22">
        <v>45334.314386574071</v>
      </c>
      <c r="E17" s="21">
        <v>100</v>
      </c>
      <c r="F17" s="23">
        <v>1.2176370000000001</v>
      </c>
      <c r="G17" s="23">
        <v>0</v>
      </c>
      <c r="H17" s="23">
        <v>1738.124</v>
      </c>
      <c r="I17" s="24">
        <f t="shared" si="4"/>
        <v>0.12093910346421119</v>
      </c>
      <c r="J17" s="21">
        <v>6.2628652967053004E-3</v>
      </c>
      <c r="K17" s="21">
        <v>2.6121740347799599E-2</v>
      </c>
      <c r="L17" s="21">
        <v>7.6406956619804603E-3</v>
      </c>
      <c r="M17" s="23">
        <v>5.1554577884603602E-5</v>
      </c>
      <c r="N17" s="21">
        <v>45.451828205171402</v>
      </c>
      <c r="O17" s="21">
        <v>6.1126927855677499E-2</v>
      </c>
      <c r="P17" s="23">
        <v>3600</v>
      </c>
      <c r="Q17" s="21">
        <f t="shared" si="16"/>
        <v>5104.9999997578561</v>
      </c>
      <c r="R17" s="23">
        <f t="shared" si="21"/>
        <v>120677.99999980722</v>
      </c>
      <c r="S17" s="23">
        <f t="shared" si="5"/>
        <v>1504.9999997578561</v>
      </c>
      <c r="T17" s="23">
        <f t="shared" si="17"/>
        <v>54000</v>
      </c>
      <c r="U17" s="23">
        <f t="shared" si="6"/>
        <v>0.60868718793955268</v>
      </c>
      <c r="V17" s="23">
        <f t="shared" si="7"/>
        <v>3613.5692443078783</v>
      </c>
      <c r="W17" s="23">
        <f t="shared" si="0"/>
        <v>3.6015596636287728E-2</v>
      </c>
      <c r="X17" s="23">
        <f t="shared" si="1"/>
        <v>257.26605472420988</v>
      </c>
      <c r="Y17" s="23">
        <f t="shared" si="18"/>
        <v>4.3656292298268173E-2</v>
      </c>
      <c r="Z17" s="23">
        <f t="shared" si="19"/>
        <v>302.71788292938118</v>
      </c>
      <c r="AA17" s="25">
        <f t="shared" si="8"/>
        <v>0.88214002168015437</v>
      </c>
      <c r="AB17" s="23">
        <f t="shared" si="9"/>
        <v>0.89069629015106688</v>
      </c>
      <c r="AC17" s="23">
        <v>0.86777925500825293</v>
      </c>
      <c r="AD17" s="23">
        <v>0.87720293072034705</v>
      </c>
      <c r="AE17" s="25">
        <f t="shared" si="10"/>
        <v>0.82498065548540533</v>
      </c>
      <c r="AF17" s="23">
        <f t="shared" si="2"/>
        <v>0.84985416862282159</v>
      </c>
      <c r="AG17" s="11">
        <f t="shared" si="11"/>
        <v>135246429990.43513</v>
      </c>
      <c r="AH17" s="11">
        <f t="shared" si="20"/>
        <v>114365091434.24347</v>
      </c>
      <c r="AI17" s="2">
        <f t="shared" si="12"/>
        <v>1.1825848980166977</v>
      </c>
      <c r="AJ17" s="2">
        <f t="shared" si="13"/>
        <v>0.84560525140908771</v>
      </c>
      <c r="AK17" s="25">
        <f t="shared" si="14"/>
        <v>88154464997.476807</v>
      </c>
      <c r="AL17" s="26">
        <f t="shared" si="3"/>
        <v>81368987856.687637</v>
      </c>
      <c r="AM17" s="23">
        <v>99926357324.114594</v>
      </c>
      <c r="AN17" s="23">
        <v>92315868990.677795</v>
      </c>
      <c r="AP17" s="23"/>
      <c r="AQ17" s="23"/>
      <c r="AR17" s="23"/>
      <c r="AS17" s="23"/>
      <c r="AT17" s="23"/>
    </row>
    <row r="18" spans="1:46" s="21" customFormat="1" x14ac:dyDescent="0.3">
      <c r="A18" s="21">
        <f t="shared" si="15"/>
        <v>16</v>
      </c>
      <c r="B18" s="21" t="s">
        <v>30</v>
      </c>
      <c r="C18" s="21" t="s">
        <v>31</v>
      </c>
      <c r="D18" s="22">
        <v>45334.374108796299</v>
      </c>
      <c r="E18" s="21">
        <v>100</v>
      </c>
      <c r="F18" s="23">
        <v>0.91265490000000005</v>
      </c>
      <c r="G18" s="23">
        <v>0</v>
      </c>
      <c r="H18" s="23">
        <v>1465.77</v>
      </c>
      <c r="I18" s="24">
        <f t="shared" si="4"/>
        <v>0.10709584093451754</v>
      </c>
      <c r="J18" s="21">
        <v>6.2621498609867201E-3</v>
      </c>
      <c r="K18" s="21">
        <v>2.6126996903634399E-2</v>
      </c>
      <c r="L18" s="21">
        <v>5.7173428230808702E-3</v>
      </c>
      <c r="M18" s="23">
        <v>3.8580525559165401E-5</v>
      </c>
      <c r="N18" s="21">
        <v>38.4066854483426</v>
      </c>
      <c r="O18" s="21">
        <v>5.3031022455458397E-2</v>
      </c>
      <c r="P18" s="23">
        <v>3600</v>
      </c>
      <c r="Q18" s="21">
        <f t="shared" si="16"/>
        <v>5100.0000004749745</v>
      </c>
      <c r="R18" s="23">
        <f t="shared" si="21"/>
        <v>125778.00000028219</v>
      </c>
      <c r="S18" s="23">
        <f t="shared" si="5"/>
        <v>1500.0000004749745</v>
      </c>
      <c r="T18" s="23">
        <f t="shared" si="17"/>
        <v>57600</v>
      </c>
      <c r="U18" s="23">
        <f t="shared" si="6"/>
        <v>0.61440453076263357</v>
      </c>
      <c r="V18" s="23">
        <f t="shared" si="7"/>
        <v>3651.9759297562209</v>
      </c>
      <c r="W18" s="23">
        <f t="shared" si="0"/>
        <v>3.0298253813206832E-2</v>
      </c>
      <c r="X18" s="23">
        <f t="shared" si="1"/>
        <v>218.85936927586727</v>
      </c>
      <c r="Y18" s="23">
        <f t="shared" si="18"/>
        <v>3.6015596636287728E-2</v>
      </c>
      <c r="Z18" s="23">
        <f t="shared" si="19"/>
        <v>257.26605472420988</v>
      </c>
      <c r="AA18" s="25">
        <f t="shared" si="8"/>
        <v>0.88214002168015437</v>
      </c>
      <c r="AB18" s="23">
        <f t="shared" si="9"/>
        <v>0.89069629015106688</v>
      </c>
      <c r="AC18" s="23">
        <v>0.86784906648039506</v>
      </c>
      <c r="AD18" s="23">
        <v>0.87726767895972602</v>
      </c>
      <c r="AE18" s="25">
        <f t="shared" si="10"/>
        <v>0.84125369681310924</v>
      </c>
      <c r="AF18" s="23">
        <f t="shared" si="2"/>
        <v>0.85071219174439971</v>
      </c>
      <c r="AG18" s="11">
        <f t="shared" si="11"/>
        <v>121515254833.9249</v>
      </c>
      <c r="AH18" s="11">
        <f t="shared" si="20"/>
        <v>113655731427.94141</v>
      </c>
      <c r="AI18" s="2">
        <f t="shared" si="12"/>
        <v>1.0691520199398521</v>
      </c>
      <c r="AJ18" s="2">
        <f t="shared" si="13"/>
        <v>0.93532068531868606</v>
      </c>
      <c r="AK18" s="25">
        <f t="shared" si="14"/>
        <v>88154464997.476807</v>
      </c>
      <c r="AL18" s="26">
        <f t="shared" si="3"/>
        <v>81368987856.687637</v>
      </c>
      <c r="AM18" s="23">
        <v>99877708094.032593</v>
      </c>
      <c r="AN18" s="23">
        <v>92271283588.502197</v>
      </c>
      <c r="AQ18" s="23"/>
      <c r="AR18" s="23"/>
      <c r="AS18" s="23"/>
    </row>
    <row r="19" spans="1:46" s="21" customFormat="1" x14ac:dyDescent="0.3">
      <c r="A19" s="21">
        <f t="shared" si="15"/>
        <v>17</v>
      </c>
      <c r="B19" s="21" t="s">
        <v>32</v>
      </c>
      <c r="C19" s="21" t="s">
        <v>33</v>
      </c>
      <c r="D19" s="22">
        <v>45334.433831018519</v>
      </c>
      <c r="E19" s="21">
        <v>100</v>
      </c>
      <c r="F19" s="23">
        <v>0.92404929999999996</v>
      </c>
      <c r="G19" s="23">
        <v>0</v>
      </c>
      <c r="H19" s="23">
        <v>1237.4549999999999</v>
      </c>
      <c r="I19" s="24">
        <f t="shared" si="4"/>
        <v>0.12836387805153449</v>
      </c>
      <c r="J19" s="21">
        <v>6.2596497893940596E-3</v>
      </c>
      <c r="K19" s="21">
        <v>2.6142233705004E-2</v>
      </c>
      <c r="L19" s="21">
        <v>5.7839164054001198E-3</v>
      </c>
      <c r="M19" s="23">
        <v>3.9041894889600798E-5</v>
      </c>
      <c r="N19" s="21">
        <v>32.416369794205004</v>
      </c>
      <c r="O19" s="21">
        <v>4.8130649415605999E-2</v>
      </c>
      <c r="P19" s="23">
        <v>3600</v>
      </c>
      <c r="Q19" s="21">
        <f t="shared" si="16"/>
        <v>5099.9999998463318</v>
      </c>
      <c r="R19" s="23">
        <f t="shared" si="21"/>
        <v>130878.00000012852</v>
      </c>
      <c r="S19" s="23">
        <f t="shared" si="5"/>
        <v>1499.9999998463318</v>
      </c>
      <c r="T19" s="23">
        <f t="shared" si="17"/>
        <v>61200</v>
      </c>
      <c r="U19" s="23">
        <f t="shared" si="6"/>
        <v>0.62018844716803367</v>
      </c>
      <c r="V19" s="23">
        <f t="shared" si="7"/>
        <v>3684.3922995504258</v>
      </c>
      <c r="W19" s="23">
        <f t="shared" si="0"/>
        <v>2.451433740780673E-2</v>
      </c>
      <c r="X19" s="23">
        <f t="shared" si="1"/>
        <v>186.44299948166235</v>
      </c>
      <c r="Y19" s="23">
        <f t="shared" si="18"/>
        <v>3.0298253813206832E-2</v>
      </c>
      <c r="Z19" s="23">
        <f t="shared" si="19"/>
        <v>218.85936927586727</v>
      </c>
      <c r="AA19" s="25">
        <f t="shared" si="8"/>
        <v>0.88214002168015437</v>
      </c>
      <c r="AB19" s="23">
        <f t="shared" si="9"/>
        <v>0.89069629015106688</v>
      </c>
      <c r="AC19" s="23">
        <v>0.867779254601314</v>
      </c>
      <c r="AD19" s="23">
        <v>0.87720293388461479</v>
      </c>
      <c r="AE19" s="25">
        <f t="shared" si="10"/>
        <v>0.80910066827419191</v>
      </c>
      <c r="AF19" s="23">
        <f t="shared" si="2"/>
        <v>0.85188493459768311</v>
      </c>
      <c r="AG19" s="11">
        <f t="shared" si="11"/>
        <v>148909598015.41434</v>
      </c>
      <c r="AH19" s="11">
        <f t="shared" si="20"/>
        <v>112687337131.68974</v>
      </c>
      <c r="AI19" s="2">
        <f t="shared" si="12"/>
        <v>1.3214403836821007</v>
      </c>
      <c r="AJ19" s="2">
        <f t="shared" si="13"/>
        <v>0.7567499921665557</v>
      </c>
      <c r="AK19" s="25">
        <f t="shared" si="14"/>
        <v>88154464997.476807</v>
      </c>
      <c r="AL19" s="26">
        <f t="shared" si="3"/>
        <v>81368987856.687637</v>
      </c>
      <c r="AM19" s="23">
        <v>99926357654.536102</v>
      </c>
      <c r="AN19" s="23">
        <v>92315866448.991806</v>
      </c>
      <c r="AQ19" s="23"/>
      <c r="AR19" s="23"/>
      <c r="AS19" s="23"/>
    </row>
    <row r="20" spans="1:46" s="21" customFormat="1" x14ac:dyDescent="0.3">
      <c r="A20" s="21">
        <f t="shared" si="15"/>
        <v>18</v>
      </c>
      <c r="B20" s="21" t="s">
        <v>34</v>
      </c>
      <c r="C20" s="21" t="s">
        <v>35</v>
      </c>
      <c r="D20" s="22">
        <v>45334.493611111109</v>
      </c>
      <c r="E20" s="21">
        <v>100</v>
      </c>
      <c r="F20" s="23">
        <v>0.57953160000000004</v>
      </c>
      <c r="G20" s="23">
        <v>0</v>
      </c>
      <c r="H20" s="23">
        <v>1049.059</v>
      </c>
      <c r="I20" s="24">
        <f t="shared" si="4"/>
        <v>9.5047249952333754E-2</v>
      </c>
      <c r="J20" s="21">
        <v>6.2560740153751598E-3</v>
      </c>
      <c r="K20" s="21">
        <v>2.6156896667405002E-2</v>
      </c>
      <c r="L20" s="21">
        <v>3.6285229289175899E-3</v>
      </c>
      <c r="M20" s="23">
        <v>2.4503283881019998E-5</v>
      </c>
      <c r="N20" s="21">
        <v>27.4647415007753</v>
      </c>
      <c r="O20" s="21">
        <v>4.3523949347043303E-2</v>
      </c>
      <c r="P20" s="23">
        <v>3600</v>
      </c>
      <c r="Q20" s="21">
        <f t="shared" si="16"/>
        <v>5104.9999997578561</v>
      </c>
      <c r="R20" s="23">
        <f t="shared" si="21"/>
        <v>135982.99999988638</v>
      </c>
      <c r="S20" s="23">
        <f t="shared" si="5"/>
        <v>1504.9999997578561</v>
      </c>
      <c r="T20" s="23">
        <f t="shared" si="17"/>
        <v>64800</v>
      </c>
      <c r="U20" s="23">
        <f t="shared" si="6"/>
        <v>0.62381697009695125</v>
      </c>
      <c r="V20" s="23">
        <f t="shared" si="7"/>
        <v>3711.8570410512011</v>
      </c>
      <c r="W20" s="23">
        <f t="shared" si="0"/>
        <v>2.0885814478889153E-2</v>
      </c>
      <c r="X20" s="23">
        <f t="shared" si="1"/>
        <v>158.97825798088707</v>
      </c>
      <c r="Y20" s="23">
        <f t="shared" si="18"/>
        <v>2.451433740780673E-2</v>
      </c>
      <c r="Z20" s="23">
        <f t="shared" si="19"/>
        <v>186.44299948166235</v>
      </c>
      <c r="AA20" s="25">
        <f t="shared" si="8"/>
        <v>0.88214002168015437</v>
      </c>
      <c r="AB20" s="23">
        <f t="shared" si="9"/>
        <v>0.89069629015106688</v>
      </c>
      <c r="AC20" s="23">
        <v>0.86787279659431515</v>
      </c>
      <c r="AD20" s="23">
        <v>0.87728833684001106</v>
      </c>
      <c r="AE20" s="25">
        <f t="shared" si="10"/>
        <v>0.85198364252904291</v>
      </c>
      <c r="AF20" s="23">
        <f t="shared" si="2"/>
        <v>0.85269094802630763</v>
      </c>
      <c r="AG20" s="11">
        <f t="shared" si="11"/>
        <v>112605889734.08261</v>
      </c>
      <c r="AH20" s="11">
        <f t="shared" si="20"/>
        <v>112022542926.01714</v>
      </c>
      <c r="AI20" s="2">
        <f t="shared" si="12"/>
        <v>1.0052074055170372</v>
      </c>
      <c r="AJ20" s="2">
        <f t="shared" si="13"/>
        <v>0.99481957107711638</v>
      </c>
      <c r="AK20" s="25">
        <f t="shared" si="14"/>
        <v>88154464997.476807</v>
      </c>
      <c r="AL20" s="26">
        <f t="shared" si="3"/>
        <v>81368987856.687637</v>
      </c>
      <c r="AM20" s="23">
        <v>99861117758.190308</v>
      </c>
      <c r="AN20" s="23">
        <v>92257163949.449493</v>
      </c>
    </row>
    <row r="21" spans="1:46" x14ac:dyDescent="0.3">
      <c r="A21">
        <f t="shared" si="15"/>
        <v>19</v>
      </c>
      <c r="B21" t="s">
        <v>36</v>
      </c>
      <c r="C21" t="s">
        <v>37</v>
      </c>
      <c r="D21" s="1">
        <v>45334.678344907406</v>
      </c>
      <c r="E21" t="s">
        <v>146</v>
      </c>
      <c r="F21" s="2">
        <v>3.3452350000000002</v>
      </c>
      <c r="G21" s="2">
        <v>3.8880920000000001E-3</v>
      </c>
      <c r="H21" s="2">
        <v>6075.4780000000001</v>
      </c>
      <c r="I21" s="13">
        <f>(L21/(N21*1000))/0.00000139</f>
        <v>9.4514595913844313E-2</v>
      </c>
      <c r="J21">
        <v>6.23457148623556E-3</v>
      </c>
      <c r="K21">
        <v>2.6147739799487899E-2</v>
      </c>
      <c r="L21">
        <v>2.0885814478889101E-2</v>
      </c>
      <c r="M21">
        <v>1.3935221855695401E-4</v>
      </c>
      <c r="N21">
        <v>158.97825798088701</v>
      </c>
      <c r="O21">
        <v>0.25846750496567999</v>
      </c>
      <c r="P21" s="2">
        <v>3600</v>
      </c>
      <c r="Q21" s="21">
        <f t="shared" si="16"/>
        <v>15901.000000080094</v>
      </c>
      <c r="R21" s="2">
        <f t="shared" si="21"/>
        <v>151883.99999996647</v>
      </c>
      <c r="S21" s="2">
        <f t="shared" si="5"/>
        <v>12301.000000080094</v>
      </c>
      <c r="T21" s="2"/>
      <c r="U21" s="2">
        <f t="shared" si="6"/>
        <v>0.6447027845758404</v>
      </c>
      <c r="V21" s="2">
        <f t="shared" si="7"/>
        <v>3870.8352990320882</v>
      </c>
      <c r="W21" s="2">
        <f t="shared" si="0"/>
        <v>0</v>
      </c>
      <c r="X21" s="2">
        <f t="shared" si="1"/>
        <v>0</v>
      </c>
      <c r="Y21" s="2">
        <f t="shared" si="18"/>
        <v>2.0885814478889153E-2</v>
      </c>
      <c r="Z21" s="2">
        <f t="shared" si="19"/>
        <v>158.97825798088707</v>
      </c>
      <c r="AA21" s="11"/>
      <c r="AB21" s="2"/>
      <c r="AC21" s="2"/>
      <c r="AD21" s="2"/>
      <c r="AE21" s="2"/>
      <c r="AF21" s="2" t="s">
        <v>278</v>
      </c>
      <c r="AG21" s="2">
        <f>AVERAGE(AG4:AG6,AG8:AG9,AG13:AG20)</f>
        <v>127864140409.91832</v>
      </c>
      <c r="AH21" s="2">
        <v>1.10204926384627</v>
      </c>
      <c r="AI21" s="2">
        <f>AVERAGE(AI4:AI6,AI8:AI9,AI13:AI20)</f>
        <v>1.1020492638462698</v>
      </c>
      <c r="AJ21" s="2">
        <f>AVERAGE(AJ4:AJ6,AJ8:AJ9,AJ13:AJ20)</f>
        <v>0.91357457380209039</v>
      </c>
      <c r="AK21" s="2">
        <v>0.91357457380208995</v>
      </c>
      <c r="AL21" s="2"/>
      <c r="AS21" s="2"/>
    </row>
    <row r="22" spans="1:46" x14ac:dyDescent="0.3">
      <c r="F22" s="2"/>
      <c r="H22" s="31" t="s">
        <v>282</v>
      </c>
      <c r="I22" s="32">
        <f>(U21/(V21*1000))/0.00000139</f>
        <v>0.11982296251360457</v>
      </c>
      <c r="J22" s="30" t="s">
        <v>281</v>
      </c>
      <c r="AA22" s="3"/>
      <c r="AB22" s="3"/>
      <c r="AC22" s="3"/>
      <c r="AD22" s="3"/>
      <c r="AF22" s="3" t="s">
        <v>279</v>
      </c>
      <c r="AG22" s="3">
        <f>2*_xlfn.STDEV.P(AG4:AG6,AG8:AG9,AG13:AG20)</f>
        <v>20865748291.172718</v>
      </c>
      <c r="AH22" s="3">
        <v>0.18704026020723399</v>
      </c>
      <c r="AI22" s="3">
        <f>2*_xlfn.STDEV.P(AI4:AI6,AI8:AI9,AI13:AI20)</f>
        <v>0.18704026020723497</v>
      </c>
      <c r="AJ22" s="3">
        <f>2*_xlfn.STDEV.P(AJ4:AJ6,AJ8:AJ9,AJ13:AJ20)</f>
        <v>0.14603097293706574</v>
      </c>
      <c r="AK22">
        <v>0.14603097293706496</v>
      </c>
    </row>
    <row r="24" spans="1:46" x14ac:dyDescent="0.3">
      <c r="V24" s="2">
        <f>S3/60</f>
        <v>26</v>
      </c>
      <c r="X24" s="2"/>
      <c r="Y24" s="2"/>
      <c r="Z24" s="2"/>
      <c r="AA24" s="2"/>
      <c r="AB24" s="2"/>
      <c r="AC24" s="2"/>
    </row>
    <row r="25" spans="1:46" x14ac:dyDescent="0.3">
      <c r="V25" s="2">
        <f t="shared" ref="V25:V49" si="22">S4/60</f>
        <v>25.066666669212282</v>
      </c>
      <c r="X25" s="3"/>
      <c r="Y25" s="3"/>
      <c r="Z25" s="3"/>
      <c r="AA25" s="3"/>
      <c r="AB25" s="3"/>
      <c r="AC25" s="3"/>
    </row>
    <row r="26" spans="1:46" x14ac:dyDescent="0.3">
      <c r="V26" s="2">
        <f t="shared" si="22"/>
        <v>25.016666668001562</v>
      </c>
      <c r="X26" s="2"/>
      <c r="Y26" s="2"/>
      <c r="Z26" s="2"/>
      <c r="AA26" s="2"/>
      <c r="AB26" s="2"/>
      <c r="AC26" s="2"/>
    </row>
    <row r="27" spans="1:46" x14ac:dyDescent="0.3">
      <c r="V27" s="2">
        <f t="shared" si="22"/>
        <v>25.066666658734903</v>
      </c>
    </row>
    <row r="28" spans="1:46" x14ac:dyDescent="0.3">
      <c r="V28" s="2">
        <f t="shared" si="22"/>
        <v>53.450000005308539</v>
      </c>
      <c r="Y28" t="s">
        <v>110</v>
      </c>
    </row>
    <row r="29" spans="1:46" x14ac:dyDescent="0.3">
      <c r="V29" s="2">
        <f t="shared" si="22"/>
        <v>25.23333333292976</v>
      </c>
      <c r="X29" t="s">
        <v>107</v>
      </c>
      <c r="Y29">
        <v>7.3400000000000007E-2</v>
      </c>
      <c r="Z29" t="s">
        <v>95</v>
      </c>
      <c r="AA29" s="2">
        <f>2/(LN(Y29/Y30)*((Y30/2)^2))</f>
        <v>8222.2157403669153</v>
      </c>
    </row>
    <row r="30" spans="1:46" x14ac:dyDescent="0.3">
      <c r="V30" s="2">
        <f t="shared" si="22"/>
        <v>25.083333329297602</v>
      </c>
      <c r="X30" t="s">
        <v>108</v>
      </c>
      <c r="Y30">
        <v>4.87E-2</v>
      </c>
      <c r="Z30" t="s">
        <v>97</v>
      </c>
      <c r="AA30" s="3">
        <v>1.36E-22</v>
      </c>
    </row>
    <row r="31" spans="1:46" x14ac:dyDescent="0.3">
      <c r="V31" s="2">
        <f t="shared" si="22"/>
        <v>795.60000000731088</v>
      </c>
    </row>
    <row r="32" spans="1:46" x14ac:dyDescent="0.3">
      <c r="V32" s="2">
        <f t="shared" si="22"/>
        <v>28.11666665924713</v>
      </c>
      <c r="X32" t="s">
        <v>107</v>
      </c>
      <c r="Y32">
        <v>7.7600000000000002E-2</v>
      </c>
      <c r="Z32" t="s">
        <v>96</v>
      </c>
      <c r="AA32" s="2">
        <f>2/(LN(Y32/Y33)*((Y33/2)^2))</f>
        <v>7357.1041656612997</v>
      </c>
    </row>
    <row r="33" spans="22:27" x14ac:dyDescent="0.3">
      <c r="V33" s="2">
        <f t="shared" si="22"/>
        <v>43.650000008987263</v>
      </c>
      <c r="X33" t="s">
        <v>108</v>
      </c>
      <c r="Y33">
        <v>5.1499999999999997E-2</v>
      </c>
    </row>
    <row r="34" spans="22:27" x14ac:dyDescent="0.3">
      <c r="V34" s="2">
        <f t="shared" si="22"/>
        <v>24.899999995017424</v>
      </c>
      <c r="Y34">
        <f>AVERAGE(Y29,Y32)</f>
        <v>7.5500000000000012E-2</v>
      </c>
    </row>
    <row r="35" spans="22:27" x14ac:dyDescent="0.3">
      <c r="V35" s="2">
        <f t="shared" si="22"/>
        <v>24.933333336142823</v>
      </c>
      <c r="Y35">
        <f>AVERAGE(Y30,Y33)</f>
        <v>5.0099999999999999E-2</v>
      </c>
    </row>
    <row r="36" spans="22:27" x14ac:dyDescent="0.3">
      <c r="V36" s="2">
        <f t="shared" si="22"/>
        <v>25.016666668001562</v>
      </c>
      <c r="Y36" t="s">
        <v>109</v>
      </c>
      <c r="Z36" t="s">
        <v>96</v>
      </c>
      <c r="AA36" s="13">
        <f>AVERAGE(AA32,AA29)</f>
        <v>7789.6599530141075</v>
      </c>
    </row>
    <row r="37" spans="22:27" x14ac:dyDescent="0.3">
      <c r="V37" s="2">
        <f t="shared" si="22"/>
        <v>25.083333329297602</v>
      </c>
    </row>
    <row r="38" spans="22:27" x14ac:dyDescent="0.3">
      <c r="V38" s="2">
        <f t="shared" si="22"/>
        <v>25.083333329297602</v>
      </c>
      <c r="X38">
        <v>0.7</v>
      </c>
      <c r="Y38">
        <v>0.7</v>
      </c>
    </row>
    <row r="39" spans="22:27" x14ac:dyDescent="0.3">
      <c r="V39" s="2">
        <f t="shared" si="22"/>
        <v>25.000000007916242</v>
      </c>
      <c r="X39">
        <v>0.9</v>
      </c>
      <c r="Y39">
        <v>0.9</v>
      </c>
    </row>
    <row r="40" spans="22:27" x14ac:dyDescent="0.3">
      <c r="V40" s="2">
        <f t="shared" si="22"/>
        <v>24.999999997438863</v>
      </c>
    </row>
    <row r="41" spans="22:27" x14ac:dyDescent="0.3">
      <c r="V41" s="2">
        <f t="shared" si="22"/>
        <v>25.083333329297602</v>
      </c>
    </row>
    <row r="42" spans="22:27" x14ac:dyDescent="0.3">
      <c r="V42" s="2">
        <f t="shared" si="22"/>
        <v>205.01666666800156</v>
      </c>
    </row>
    <row r="43" spans="22:27" x14ac:dyDescent="0.3">
      <c r="V43" s="2">
        <f t="shared" si="22"/>
        <v>0</v>
      </c>
    </row>
    <row r="44" spans="22:27" x14ac:dyDescent="0.3">
      <c r="V44" s="2">
        <f t="shared" si="22"/>
        <v>0</v>
      </c>
    </row>
    <row r="45" spans="22:27" x14ac:dyDescent="0.3">
      <c r="V45" s="2">
        <f t="shared" si="22"/>
        <v>0</v>
      </c>
    </row>
    <row r="46" spans="22:27" x14ac:dyDescent="0.3">
      <c r="V46" s="2">
        <f t="shared" si="22"/>
        <v>0</v>
      </c>
    </row>
    <row r="47" spans="22:27" x14ac:dyDescent="0.3">
      <c r="V47" s="2">
        <f t="shared" si="22"/>
        <v>0</v>
      </c>
    </row>
    <row r="48" spans="22:27" x14ac:dyDescent="0.3">
      <c r="V48" s="2">
        <f t="shared" si="22"/>
        <v>0</v>
      </c>
    </row>
    <row r="49" spans="22:22" x14ac:dyDescent="0.3">
      <c r="V49" s="2">
        <f t="shared" si="22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5A0D-CCFB-49D2-8740-0CBED1D8033F}">
  <dimension ref="A1:S55"/>
  <sheetViews>
    <sheetView zoomScale="85" zoomScaleNormal="85" workbookViewId="0">
      <selection activeCell="W11" sqref="W11:W12"/>
    </sheetView>
  </sheetViews>
  <sheetFormatPr defaultRowHeight="14.4" x14ac:dyDescent="0.3"/>
  <sheetData>
    <row r="1" spans="1:19" x14ac:dyDescent="0.3">
      <c r="A1" t="s">
        <v>128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153</v>
      </c>
      <c r="K1" t="s">
        <v>129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153</v>
      </c>
    </row>
    <row r="2" spans="1:19" x14ac:dyDescent="0.3">
      <c r="A2">
        <v>0</v>
      </c>
      <c r="B2" t="s">
        <v>119</v>
      </c>
      <c r="C2">
        <v>100</v>
      </c>
      <c r="D2">
        <v>60.000000000000497</v>
      </c>
      <c r="E2">
        <v>256.298880078026</v>
      </c>
      <c r="F2">
        <v>2354.8356873606799</v>
      </c>
      <c r="G2">
        <v>2098.53680728265</v>
      </c>
      <c r="H2">
        <v>81190494836.6091</v>
      </c>
      <c r="I2">
        <f t="shared" ref="I2:I55" si="0">G2/F2</f>
        <v>0.89116060986603618</v>
      </c>
      <c r="K2">
        <v>0</v>
      </c>
      <c r="L2" t="s">
        <v>119</v>
      </c>
      <c r="M2">
        <v>100</v>
      </c>
      <c r="N2">
        <v>60.000000000008498</v>
      </c>
      <c r="O2">
        <v>4.4514885244878198E-2</v>
      </c>
      <c r="P2">
        <v>0.37922033124827997</v>
      </c>
      <c r="Q2">
        <v>0.33470544600340202</v>
      </c>
      <c r="R2">
        <v>87979864103.592407</v>
      </c>
      <c r="S2">
        <f t="shared" ref="S2:S52" si="1">Q2/P2</f>
        <v>0.88261471873528441</v>
      </c>
    </row>
    <row r="3" spans="1:19" x14ac:dyDescent="0.3">
      <c r="A3">
        <v>1</v>
      </c>
      <c r="B3" t="s">
        <v>120</v>
      </c>
      <c r="C3">
        <v>33.745195016839702</v>
      </c>
      <c r="D3">
        <v>25</v>
      </c>
      <c r="E3">
        <v>32.947972535777502</v>
      </c>
      <c r="F3">
        <v>2354.8356873606799</v>
      </c>
      <c r="G3">
        <v>2065.5888347468699</v>
      </c>
      <c r="H3">
        <v>269485420447.04199</v>
      </c>
      <c r="I3">
        <f t="shared" si="0"/>
        <v>0.87716898713302571</v>
      </c>
      <c r="K3">
        <v>1</v>
      </c>
      <c r="L3" t="s">
        <v>120</v>
      </c>
      <c r="M3">
        <v>33.745333569897198</v>
      </c>
      <c r="N3">
        <v>24.999999999999901</v>
      </c>
      <c r="O3">
        <v>5.63824812948181E-3</v>
      </c>
      <c r="P3">
        <v>0.37922033124827997</v>
      </c>
      <c r="Q3">
        <v>0.32906719787392003</v>
      </c>
      <c r="R3">
        <v>291692544713.55798</v>
      </c>
      <c r="S3">
        <f t="shared" si="1"/>
        <v>0.86774671809058646</v>
      </c>
    </row>
    <row r="4" spans="1:19" x14ac:dyDescent="0.3">
      <c r="A4">
        <v>2</v>
      </c>
      <c r="B4" t="s">
        <v>121</v>
      </c>
      <c r="C4">
        <v>100</v>
      </c>
      <c r="D4">
        <v>60</v>
      </c>
      <c r="E4">
        <v>515.45454545454504</v>
      </c>
      <c r="F4">
        <v>2354.8356873606799</v>
      </c>
      <c r="G4">
        <v>2065.5888347468699</v>
      </c>
      <c r="H4">
        <v>92340658902.170593</v>
      </c>
      <c r="I4">
        <f t="shared" si="0"/>
        <v>0.87716898713302571</v>
      </c>
      <c r="K4">
        <v>2</v>
      </c>
      <c r="L4" t="s">
        <v>121</v>
      </c>
      <c r="M4">
        <v>100</v>
      </c>
      <c r="N4">
        <v>60</v>
      </c>
      <c r="O4">
        <v>9.4203249614606605E-2</v>
      </c>
      <c r="P4">
        <v>0.37922033124827997</v>
      </c>
      <c r="Q4">
        <v>0.32906719787392003</v>
      </c>
      <c r="R4">
        <v>99950097104.571701</v>
      </c>
      <c r="S4">
        <f t="shared" si="1"/>
        <v>0.86774671809058646</v>
      </c>
    </row>
    <row r="5" spans="1:19" x14ac:dyDescent="0.3">
      <c r="A5">
        <v>3</v>
      </c>
      <c r="B5" t="s">
        <v>119</v>
      </c>
      <c r="C5">
        <v>100</v>
      </c>
      <c r="D5">
        <v>60.000000000000497</v>
      </c>
      <c r="E5">
        <v>224.79245207461301</v>
      </c>
      <c r="F5">
        <v>2065.5888347468699</v>
      </c>
      <c r="G5">
        <v>1840.7963826722601</v>
      </c>
      <c r="H5">
        <v>81180934477.222794</v>
      </c>
      <c r="I5">
        <f t="shared" si="0"/>
        <v>0.89117270180144181</v>
      </c>
      <c r="K5">
        <v>3</v>
      </c>
      <c r="L5" t="s">
        <v>119</v>
      </c>
      <c r="M5">
        <v>100</v>
      </c>
      <c r="N5">
        <v>60.000000000008498</v>
      </c>
      <c r="O5">
        <v>3.8624697628614299E-2</v>
      </c>
      <c r="P5">
        <v>0.32906719787392003</v>
      </c>
      <c r="Q5">
        <v>0.29044250024530499</v>
      </c>
      <c r="R5">
        <v>87972712568.020294</v>
      </c>
      <c r="S5">
        <f t="shared" si="1"/>
        <v>0.8826236772362408</v>
      </c>
    </row>
    <row r="6" spans="1:19" x14ac:dyDescent="0.3">
      <c r="A6">
        <v>4</v>
      </c>
      <c r="B6" t="s">
        <v>120</v>
      </c>
      <c r="C6">
        <v>33.745195016839702</v>
      </c>
      <c r="D6">
        <v>25</v>
      </c>
      <c r="E6">
        <v>28.901331846916101</v>
      </c>
      <c r="F6">
        <v>2065.5888347468699</v>
      </c>
      <c r="G6">
        <v>1811.8950508253399</v>
      </c>
      <c r="H6">
        <v>269457519655.564</v>
      </c>
      <c r="I6">
        <f t="shared" si="0"/>
        <v>0.87718088921960158</v>
      </c>
      <c r="K6">
        <v>4</v>
      </c>
      <c r="L6" t="s">
        <v>120</v>
      </c>
      <c r="M6">
        <v>33.745333569897198</v>
      </c>
      <c r="N6">
        <v>24.999999999999901</v>
      </c>
      <c r="O6">
        <v>4.8926209695239501E-3</v>
      </c>
      <c r="P6">
        <v>0.32906719787392003</v>
      </c>
      <c r="Q6">
        <v>0.28554987927578102</v>
      </c>
      <c r="R6">
        <v>291671673802.27197</v>
      </c>
      <c r="S6">
        <f t="shared" si="1"/>
        <v>0.86775552568198433</v>
      </c>
    </row>
    <row r="7" spans="1:19" x14ac:dyDescent="0.3">
      <c r="A7">
        <v>5</v>
      </c>
      <c r="B7" t="s">
        <v>121</v>
      </c>
      <c r="C7">
        <v>100</v>
      </c>
      <c r="D7">
        <v>60</v>
      </c>
      <c r="E7">
        <v>434.75206611570201</v>
      </c>
      <c r="F7">
        <v>2065.5888347468699</v>
      </c>
      <c r="G7">
        <v>1811.8950508253399</v>
      </c>
      <c r="H7">
        <v>92331098542.783905</v>
      </c>
      <c r="I7">
        <f t="shared" si="0"/>
        <v>0.87718088921960158</v>
      </c>
      <c r="K7">
        <v>5</v>
      </c>
      <c r="L7" t="s">
        <v>121</v>
      </c>
      <c r="M7">
        <v>100</v>
      </c>
      <c r="N7">
        <v>60</v>
      </c>
      <c r="O7">
        <v>7.5680391336781699E-2</v>
      </c>
      <c r="P7">
        <v>0.32906719787392003</v>
      </c>
      <c r="Q7">
        <v>0.28554987927578102</v>
      </c>
      <c r="R7">
        <v>99942945568.999207</v>
      </c>
      <c r="S7">
        <f t="shared" si="1"/>
        <v>0.86775552568198433</v>
      </c>
    </row>
    <row r="8" spans="1:19" x14ac:dyDescent="0.3">
      <c r="A8">
        <v>6</v>
      </c>
      <c r="B8" t="s">
        <v>119</v>
      </c>
      <c r="C8">
        <v>99.98</v>
      </c>
      <c r="D8">
        <v>60.000000000028599</v>
      </c>
      <c r="E8">
        <v>197.10761326602099</v>
      </c>
      <c r="F8">
        <v>1811.8950508253399</v>
      </c>
      <c r="G8">
        <v>1614.7874375593201</v>
      </c>
      <c r="H8">
        <v>81152110435.186005</v>
      </c>
      <c r="I8">
        <f t="shared" si="0"/>
        <v>0.89121466324650811</v>
      </c>
      <c r="K8">
        <v>6</v>
      </c>
      <c r="L8" t="s">
        <v>119</v>
      </c>
      <c r="M8">
        <v>99.98</v>
      </c>
      <c r="N8">
        <v>59.999999999991402</v>
      </c>
      <c r="O8">
        <v>3.3503807568344701E-2</v>
      </c>
      <c r="P8">
        <v>0.28554987927578102</v>
      </c>
      <c r="Q8">
        <v>0.25204607170743698</v>
      </c>
      <c r="R8">
        <v>87941121357.760895</v>
      </c>
      <c r="S8">
        <f t="shared" si="1"/>
        <v>0.88266915870068918</v>
      </c>
    </row>
    <row r="9" spans="1:19" x14ac:dyDescent="0.3">
      <c r="A9">
        <v>7</v>
      </c>
      <c r="B9" t="s">
        <v>120</v>
      </c>
      <c r="C9">
        <v>33.743879051016101</v>
      </c>
      <c r="D9">
        <v>24.999999999999901</v>
      </c>
      <c r="E9">
        <v>25.350358714243299</v>
      </c>
      <c r="F9">
        <v>1811.8950508253399</v>
      </c>
      <c r="G9">
        <v>1589.4370788450799</v>
      </c>
      <c r="H9">
        <v>269358582493.18399</v>
      </c>
      <c r="I9">
        <f t="shared" si="0"/>
        <v>0.87722358870679196</v>
      </c>
      <c r="K9">
        <v>7</v>
      </c>
      <c r="L9" t="s">
        <v>120</v>
      </c>
      <c r="M9">
        <v>33.745652018778799</v>
      </c>
      <c r="N9">
        <v>25.000000000000099</v>
      </c>
      <c r="O9">
        <v>4.2450375684081297E-3</v>
      </c>
      <c r="P9">
        <v>0.28554987927578102</v>
      </c>
      <c r="Q9">
        <v>0.24780103413902799</v>
      </c>
      <c r="R9">
        <v>291558941514.94897</v>
      </c>
      <c r="S9">
        <f t="shared" si="1"/>
        <v>0.8678029728729264</v>
      </c>
    </row>
    <row r="10" spans="1:19" x14ac:dyDescent="0.3">
      <c r="A10">
        <v>8</v>
      </c>
      <c r="B10" t="s">
        <v>121</v>
      </c>
      <c r="C10">
        <v>99.98</v>
      </c>
      <c r="D10">
        <v>60</v>
      </c>
      <c r="E10">
        <v>361.859504132231</v>
      </c>
      <c r="F10">
        <v>1811.8950508253399</v>
      </c>
      <c r="G10">
        <v>1589.4370788450799</v>
      </c>
      <c r="H10">
        <v>92301750372.721497</v>
      </c>
      <c r="I10">
        <f t="shared" si="0"/>
        <v>0.87722358870679196</v>
      </c>
      <c r="K10">
        <v>8</v>
      </c>
      <c r="L10" t="s">
        <v>121</v>
      </c>
      <c r="M10">
        <v>99.98</v>
      </c>
      <c r="N10">
        <v>60</v>
      </c>
      <c r="O10">
        <v>5.78402169622E-2</v>
      </c>
      <c r="P10">
        <v>0.28554987927578102</v>
      </c>
      <c r="Q10">
        <v>0.24780103413902799</v>
      </c>
      <c r="R10">
        <v>99909778023.071701</v>
      </c>
      <c r="S10">
        <f t="shared" si="1"/>
        <v>0.8678029728729264</v>
      </c>
    </row>
    <row r="11" spans="1:19" x14ac:dyDescent="0.3">
      <c r="A11">
        <v>9</v>
      </c>
      <c r="B11" t="s">
        <v>119</v>
      </c>
      <c r="C11">
        <v>99.99</v>
      </c>
      <c r="D11">
        <v>60.000000000047699</v>
      </c>
      <c r="E11">
        <v>172.94078748761601</v>
      </c>
      <c r="F11">
        <v>1589.4370788450799</v>
      </c>
      <c r="G11">
        <v>1416.49629135746</v>
      </c>
      <c r="H11">
        <v>81166518706.949707</v>
      </c>
      <c r="I11">
        <f t="shared" si="0"/>
        <v>0.8911936875077292</v>
      </c>
      <c r="K11">
        <v>9</v>
      </c>
      <c r="L11" t="s">
        <v>119</v>
      </c>
      <c r="M11">
        <v>99.99</v>
      </c>
      <c r="N11">
        <v>60.000000000040501</v>
      </c>
      <c r="O11">
        <v>2.9080337028125399E-2</v>
      </c>
      <c r="P11">
        <v>0.24780103413902799</v>
      </c>
      <c r="Q11">
        <v>0.218720697110903</v>
      </c>
      <c r="R11">
        <v>87956910840.854706</v>
      </c>
      <c r="S11">
        <f t="shared" si="1"/>
        <v>0.88264642587484299</v>
      </c>
    </row>
    <row r="12" spans="1:19" x14ac:dyDescent="0.3">
      <c r="A12">
        <v>10</v>
      </c>
      <c r="B12" t="s">
        <v>120</v>
      </c>
      <c r="C12">
        <v>27.1466008792002</v>
      </c>
      <c r="D12">
        <v>54.000000000000099</v>
      </c>
      <c r="E12">
        <v>35.626696377754101</v>
      </c>
      <c r="F12">
        <v>1589.4370788450799</v>
      </c>
      <c r="G12">
        <v>1380.86959497971</v>
      </c>
      <c r="H12">
        <v>136855047527.01601</v>
      </c>
      <c r="I12">
        <f t="shared" si="0"/>
        <v>0.86877902457332901</v>
      </c>
      <c r="K12">
        <v>10</v>
      </c>
      <c r="L12" t="s">
        <v>120</v>
      </c>
      <c r="M12">
        <v>27.1468344061979</v>
      </c>
      <c r="N12">
        <v>53.999999999999602</v>
      </c>
      <c r="O12">
        <v>5.8827706475170901E-3</v>
      </c>
      <c r="P12">
        <v>0.24780103413902799</v>
      </c>
      <c r="Q12">
        <v>0.21283792646338601</v>
      </c>
      <c r="R12">
        <v>147973968174.52701</v>
      </c>
      <c r="S12">
        <f t="shared" si="1"/>
        <v>0.85890653040605935</v>
      </c>
    </row>
    <row r="13" spans="1:19" x14ac:dyDescent="0.3">
      <c r="A13">
        <v>11</v>
      </c>
      <c r="B13" t="s">
        <v>121</v>
      </c>
      <c r="C13">
        <v>99.99</v>
      </c>
      <c r="D13">
        <v>60</v>
      </c>
      <c r="E13">
        <v>325.42842577379599</v>
      </c>
      <c r="F13">
        <v>1589.4370788450799</v>
      </c>
      <c r="G13">
        <v>1380.86959497971</v>
      </c>
      <c r="H13">
        <v>99115042214.418503</v>
      </c>
      <c r="I13">
        <f t="shared" si="0"/>
        <v>0.86877902457332901</v>
      </c>
      <c r="K13">
        <v>11</v>
      </c>
      <c r="L13" t="s">
        <v>121</v>
      </c>
      <c r="M13">
        <v>99.99</v>
      </c>
      <c r="N13">
        <v>60</v>
      </c>
      <c r="O13">
        <v>5.2984095985150297E-2</v>
      </c>
      <c r="P13">
        <v>0.24780103413902799</v>
      </c>
      <c r="Q13">
        <v>0.21283792646338601</v>
      </c>
      <c r="R13">
        <v>107167823024.46899</v>
      </c>
      <c r="S13">
        <f t="shared" si="1"/>
        <v>0.85890653040605935</v>
      </c>
    </row>
    <row r="14" spans="1:19" x14ac:dyDescent="0.3">
      <c r="A14">
        <v>12</v>
      </c>
      <c r="B14" t="s">
        <v>119</v>
      </c>
      <c r="C14">
        <v>99.98</v>
      </c>
      <c r="D14">
        <v>60.000000000028599</v>
      </c>
      <c r="E14">
        <v>150.2434275379</v>
      </c>
      <c r="F14">
        <v>1380.86959497971</v>
      </c>
      <c r="G14">
        <v>1230.6261674418099</v>
      </c>
      <c r="H14">
        <v>81166461169.076294</v>
      </c>
      <c r="I14">
        <f t="shared" si="0"/>
        <v>0.8911965126293423</v>
      </c>
      <c r="K14">
        <v>12</v>
      </c>
      <c r="L14" t="s">
        <v>119</v>
      </c>
      <c r="M14">
        <v>99.98</v>
      </c>
      <c r="N14">
        <v>59.999999999991402</v>
      </c>
      <c r="O14">
        <v>2.49758530717368E-2</v>
      </c>
      <c r="P14">
        <v>0.21283792646338601</v>
      </c>
      <c r="Q14">
        <v>0.18786207339164901</v>
      </c>
      <c r="R14">
        <v>87953874264.565796</v>
      </c>
      <c r="S14">
        <f t="shared" si="1"/>
        <v>0.88265318363720513</v>
      </c>
    </row>
    <row r="15" spans="1:19" x14ac:dyDescent="0.3">
      <c r="A15">
        <v>13</v>
      </c>
      <c r="B15" t="s">
        <v>120</v>
      </c>
      <c r="C15">
        <v>33.743879051016101</v>
      </c>
      <c r="D15">
        <v>24.999999999999901</v>
      </c>
      <c r="E15">
        <v>19.3194559619171</v>
      </c>
      <c r="F15">
        <v>1380.86959497971</v>
      </c>
      <c r="G15">
        <v>1211.3067114798901</v>
      </c>
      <c r="H15">
        <v>269400461366.80301</v>
      </c>
      <c r="I15">
        <f t="shared" si="0"/>
        <v>0.87720572303403388</v>
      </c>
      <c r="K15">
        <v>13</v>
      </c>
      <c r="L15" t="s">
        <v>120</v>
      </c>
      <c r="M15">
        <v>33.745652018778799</v>
      </c>
      <c r="N15">
        <v>25.000000000000099</v>
      </c>
      <c r="O15">
        <v>3.1640309004786799E-3</v>
      </c>
      <c r="P15">
        <v>0.21283792646338601</v>
      </c>
      <c r="Q15">
        <v>0.18469804249117</v>
      </c>
      <c r="R15">
        <v>291596157331.88702</v>
      </c>
      <c r="S15">
        <f t="shared" si="1"/>
        <v>0.86778726686638319</v>
      </c>
    </row>
    <row r="16" spans="1:19" x14ac:dyDescent="0.3">
      <c r="A16">
        <v>14</v>
      </c>
      <c r="B16" t="s">
        <v>121</v>
      </c>
      <c r="C16">
        <v>99.98</v>
      </c>
      <c r="D16">
        <v>60</v>
      </c>
      <c r="E16">
        <v>251.31347520560601</v>
      </c>
      <c r="F16">
        <v>1380.86959497971</v>
      </c>
      <c r="G16">
        <v>1211.3067114798901</v>
      </c>
      <c r="H16">
        <v>92316101106.612793</v>
      </c>
      <c r="I16">
        <f t="shared" si="0"/>
        <v>0.87720572303403388</v>
      </c>
      <c r="K16">
        <v>14</v>
      </c>
      <c r="L16" t="s">
        <v>121</v>
      </c>
      <c r="M16">
        <v>99.98</v>
      </c>
      <c r="N16">
        <v>60</v>
      </c>
      <c r="O16">
        <v>3.8243625896343003E-2</v>
      </c>
      <c r="P16">
        <v>0.21283792646338601</v>
      </c>
      <c r="Q16">
        <v>0.18469804249117</v>
      </c>
      <c r="R16">
        <v>99922530929.876297</v>
      </c>
      <c r="S16">
        <f t="shared" si="1"/>
        <v>0.86778726686638319</v>
      </c>
    </row>
    <row r="17" spans="1:19" x14ac:dyDescent="0.3">
      <c r="A17">
        <v>15</v>
      </c>
      <c r="B17" t="s">
        <v>119</v>
      </c>
      <c r="C17">
        <v>99.99</v>
      </c>
      <c r="D17">
        <v>60.000000000047699</v>
      </c>
      <c r="E17">
        <v>131.79781657326399</v>
      </c>
      <c r="F17">
        <v>1211.3067114798901</v>
      </c>
      <c r="G17">
        <v>1079.5088949066301</v>
      </c>
      <c r="H17">
        <v>81166518706.949997</v>
      </c>
      <c r="I17">
        <f t="shared" si="0"/>
        <v>0.89119368750773398</v>
      </c>
      <c r="K17">
        <v>15</v>
      </c>
      <c r="L17" t="s">
        <v>119</v>
      </c>
      <c r="M17">
        <v>99.99</v>
      </c>
      <c r="N17">
        <v>60.000000000040501</v>
      </c>
      <c r="O17">
        <v>2.1674975420259202E-2</v>
      </c>
      <c r="P17">
        <v>0.18469804249117</v>
      </c>
      <c r="Q17">
        <v>0.16302306707091099</v>
      </c>
      <c r="R17">
        <v>87956910840.854599</v>
      </c>
      <c r="S17">
        <f t="shared" si="1"/>
        <v>0.88264642587484254</v>
      </c>
    </row>
    <row r="18" spans="1:19" x14ac:dyDescent="0.3">
      <c r="A18">
        <v>16</v>
      </c>
      <c r="B18" t="s">
        <v>120</v>
      </c>
      <c r="C18">
        <v>33.745511935742499</v>
      </c>
      <c r="D18">
        <v>24.999999999999901</v>
      </c>
      <c r="E18">
        <v>16.947095710347501</v>
      </c>
      <c r="F18">
        <v>1211.3067114798901</v>
      </c>
      <c r="G18">
        <v>1062.5617991962799</v>
      </c>
      <c r="H18">
        <v>269405569128.63</v>
      </c>
      <c r="I18">
        <f t="shared" si="0"/>
        <v>0.87720293227643065</v>
      </c>
      <c r="K18">
        <v>16</v>
      </c>
      <c r="L18" t="s">
        <v>120</v>
      </c>
      <c r="M18">
        <v>33.745492826849599</v>
      </c>
      <c r="N18">
        <v>24.999999999999901</v>
      </c>
      <c r="O18">
        <v>2.7459369853925302E-3</v>
      </c>
      <c r="P18">
        <v>0.18469804249117</v>
      </c>
      <c r="Q18">
        <v>0.160277130085518</v>
      </c>
      <c r="R18">
        <v>291615288490.15997</v>
      </c>
      <c r="S18">
        <f t="shared" si="1"/>
        <v>0.86777925701719605</v>
      </c>
    </row>
    <row r="19" spans="1:19" x14ac:dyDescent="0.3">
      <c r="A19">
        <v>17</v>
      </c>
      <c r="B19" t="s">
        <v>121</v>
      </c>
      <c r="C19">
        <v>99.99</v>
      </c>
      <c r="D19">
        <v>60</v>
      </c>
      <c r="E19">
        <v>212.61857667505399</v>
      </c>
      <c r="F19">
        <v>1211.3067114798901</v>
      </c>
      <c r="G19">
        <v>1062.5617991962799</v>
      </c>
      <c r="H19">
        <v>92315867740.758698</v>
      </c>
      <c r="I19">
        <f t="shared" si="0"/>
        <v>0.87720293227643065</v>
      </c>
      <c r="K19">
        <v>17</v>
      </c>
      <c r="L19" t="s">
        <v>121</v>
      </c>
      <c r="M19">
        <v>99.99</v>
      </c>
      <c r="N19">
        <v>60</v>
      </c>
      <c r="O19">
        <v>3.3678778872149602E-2</v>
      </c>
      <c r="P19">
        <v>0.18469804249117</v>
      </c>
      <c r="Q19">
        <v>0.160277130085518</v>
      </c>
      <c r="R19">
        <v>99926355692.912003</v>
      </c>
      <c r="S19">
        <f t="shared" si="1"/>
        <v>0.86777925701719605</v>
      </c>
    </row>
    <row r="20" spans="1:19" x14ac:dyDescent="0.3">
      <c r="A20">
        <v>18</v>
      </c>
      <c r="B20" t="s">
        <v>119</v>
      </c>
      <c r="C20">
        <v>24</v>
      </c>
      <c r="D20">
        <v>1</v>
      </c>
      <c r="E20">
        <v>0.296864014693483</v>
      </c>
      <c r="F20">
        <v>1062.5617991962799</v>
      </c>
      <c r="G20">
        <v>1062.2649351815901</v>
      </c>
      <c r="H20">
        <v>14835595859.2374</v>
      </c>
      <c r="I20">
        <f t="shared" si="0"/>
        <v>0.99972061482455477</v>
      </c>
      <c r="K20">
        <v>18</v>
      </c>
      <c r="L20" t="s">
        <v>119</v>
      </c>
      <c r="M20">
        <v>24</v>
      </c>
      <c r="N20">
        <v>1</v>
      </c>
      <c r="O20" s="2">
        <v>4.7497052269362899E-5</v>
      </c>
      <c r="P20">
        <v>0.160277130085518</v>
      </c>
      <c r="Q20">
        <v>0.160229633033249</v>
      </c>
      <c r="R20">
        <v>15736220029.455799</v>
      </c>
      <c r="S20">
        <f t="shared" si="1"/>
        <v>0.9997036567085793</v>
      </c>
    </row>
    <row r="21" spans="1:19" x14ac:dyDescent="0.3">
      <c r="A21">
        <v>19</v>
      </c>
      <c r="B21" t="s">
        <v>120</v>
      </c>
      <c r="C21">
        <v>24</v>
      </c>
      <c r="D21">
        <v>853.99999999939803</v>
      </c>
      <c r="E21">
        <v>227.29567368937501</v>
      </c>
      <c r="F21">
        <v>1062.5617991962799</v>
      </c>
      <c r="G21">
        <v>834.96926149221702</v>
      </c>
      <c r="H21">
        <v>14985729436.382099</v>
      </c>
      <c r="I21">
        <f t="shared" si="0"/>
        <v>0.78580771690059481</v>
      </c>
      <c r="K21">
        <v>19</v>
      </c>
      <c r="L21" t="s">
        <v>120</v>
      </c>
      <c r="M21">
        <v>24</v>
      </c>
      <c r="N21">
        <v>853.99999999901195</v>
      </c>
      <c r="O21">
        <v>3.6164115266005298E-2</v>
      </c>
      <c r="P21">
        <v>0.160277130085518</v>
      </c>
      <c r="Q21">
        <v>0.124065517767244</v>
      </c>
      <c r="R21">
        <v>15921481837.8305</v>
      </c>
      <c r="S21">
        <f t="shared" si="1"/>
        <v>0.77406875017694166</v>
      </c>
    </row>
    <row r="22" spans="1:19" x14ac:dyDescent="0.3">
      <c r="A22">
        <v>20</v>
      </c>
      <c r="B22" t="s">
        <v>121</v>
      </c>
      <c r="C22">
        <v>24</v>
      </c>
      <c r="D22">
        <v>1</v>
      </c>
      <c r="E22">
        <v>344.77611940298499</v>
      </c>
      <c r="F22">
        <v>1062.5617991962799</v>
      </c>
      <c r="G22">
        <v>834.96926149221702</v>
      </c>
      <c r="H22">
        <v>12797812938661.301</v>
      </c>
      <c r="I22">
        <f t="shared" si="0"/>
        <v>0.78580771690059481</v>
      </c>
      <c r="K22">
        <v>20</v>
      </c>
      <c r="L22" t="s">
        <v>121</v>
      </c>
      <c r="M22">
        <v>24</v>
      </c>
      <c r="N22">
        <v>1</v>
      </c>
      <c r="O22">
        <v>4.93373837667389E-2</v>
      </c>
      <c r="P22">
        <v>0.160277130085518</v>
      </c>
      <c r="Q22">
        <v>0.124065517767244</v>
      </c>
      <c r="R22">
        <v>13596945489491.6</v>
      </c>
      <c r="S22">
        <f t="shared" si="1"/>
        <v>0.77406875017694166</v>
      </c>
    </row>
    <row r="23" spans="1:19" x14ac:dyDescent="0.3">
      <c r="A23">
        <v>21</v>
      </c>
      <c r="B23" t="s">
        <v>119</v>
      </c>
      <c r="C23">
        <v>99.92</v>
      </c>
      <c r="D23">
        <v>60.000000000037303</v>
      </c>
      <c r="E23">
        <v>90.737425733946495</v>
      </c>
      <c r="F23">
        <v>834.96926149221702</v>
      </c>
      <c r="G23">
        <v>744.23183575827102</v>
      </c>
      <c r="H23">
        <v>81075214930.112305</v>
      </c>
      <c r="I23">
        <f t="shared" si="0"/>
        <v>0.89132842378917709</v>
      </c>
      <c r="K23">
        <v>21</v>
      </c>
      <c r="L23" t="s">
        <v>119</v>
      </c>
      <c r="M23">
        <v>99.92</v>
      </c>
      <c r="N23">
        <v>60.000000000008001</v>
      </c>
      <c r="O23">
        <v>1.45408984625523E-2</v>
      </c>
      <c r="P23">
        <v>0.124065517767244</v>
      </c>
      <c r="Q23">
        <v>0.109524619304691</v>
      </c>
      <c r="R23">
        <v>87853512673.5578</v>
      </c>
      <c r="S23">
        <f t="shared" si="1"/>
        <v>0.88279661646330454</v>
      </c>
    </row>
    <row r="24" spans="1:19" x14ac:dyDescent="0.3">
      <c r="A24">
        <v>22</v>
      </c>
      <c r="B24" t="s">
        <v>120</v>
      </c>
      <c r="C24">
        <v>32.105443720544201</v>
      </c>
      <c r="D24">
        <v>29.000000000000199</v>
      </c>
      <c r="E24">
        <v>12.7502391242147</v>
      </c>
      <c r="F24">
        <v>834.96926149221702</v>
      </c>
      <c r="G24">
        <v>731.48159663405704</v>
      </c>
      <c r="H24">
        <v>235821991076.27802</v>
      </c>
      <c r="I24">
        <f t="shared" si="0"/>
        <v>0.87605811419547142</v>
      </c>
      <c r="K24">
        <v>22</v>
      </c>
      <c r="L24" t="s">
        <v>120</v>
      </c>
      <c r="M24">
        <v>32.106496880234602</v>
      </c>
      <c r="N24">
        <v>28.999999999999901</v>
      </c>
      <c r="O24">
        <v>2.0118509348700498E-3</v>
      </c>
      <c r="P24">
        <v>0.124065517767244</v>
      </c>
      <c r="Q24">
        <v>0.107512768369821</v>
      </c>
      <c r="R24">
        <v>255206374676.23099</v>
      </c>
      <c r="S24">
        <f t="shared" si="1"/>
        <v>0.86658058020217055</v>
      </c>
    </row>
    <row r="25" spans="1:19" x14ac:dyDescent="0.3">
      <c r="A25">
        <v>23</v>
      </c>
      <c r="B25" t="s">
        <v>121</v>
      </c>
      <c r="C25">
        <v>99.92</v>
      </c>
      <c r="D25">
        <v>60</v>
      </c>
      <c r="E25">
        <v>127.201492537313</v>
      </c>
      <c r="F25">
        <v>834.96926149221702</v>
      </c>
      <c r="G25">
        <v>731.48159663405704</v>
      </c>
      <c r="H25">
        <v>93253540686.355103</v>
      </c>
      <c r="I25">
        <f t="shared" si="0"/>
        <v>0.87605811419547142</v>
      </c>
      <c r="K25">
        <v>23</v>
      </c>
      <c r="L25" t="s">
        <v>121</v>
      </c>
      <c r="M25">
        <v>99.92</v>
      </c>
      <c r="N25">
        <v>60</v>
      </c>
      <c r="O25">
        <v>1.9725152246272502E-2</v>
      </c>
      <c r="P25">
        <v>0.124065517767244</v>
      </c>
      <c r="Q25">
        <v>0.107512768369821</v>
      </c>
      <c r="R25">
        <v>100919257294.241</v>
      </c>
      <c r="S25">
        <f t="shared" si="1"/>
        <v>0.86658058020217055</v>
      </c>
    </row>
    <row r="26" spans="1:19" x14ac:dyDescent="0.3">
      <c r="A26">
        <v>24</v>
      </c>
      <c r="B26" t="s">
        <v>119</v>
      </c>
      <c r="C26">
        <v>99.92</v>
      </c>
      <c r="D26">
        <v>60.000000000037303</v>
      </c>
      <c r="E26">
        <v>79.485081666594496</v>
      </c>
      <c r="F26">
        <v>731.48159663405704</v>
      </c>
      <c r="G26">
        <v>651.99651496746196</v>
      </c>
      <c r="H26">
        <v>81068538822.891495</v>
      </c>
      <c r="I26">
        <f t="shared" si="0"/>
        <v>0.89133686748600516</v>
      </c>
      <c r="K26">
        <v>24</v>
      </c>
      <c r="L26" t="s">
        <v>119</v>
      </c>
      <c r="M26">
        <v>99.92</v>
      </c>
      <c r="N26">
        <v>60.000000000008001</v>
      </c>
      <c r="O26">
        <v>1.2600240849773001E-2</v>
      </c>
      <c r="P26">
        <v>0.107512768369821</v>
      </c>
      <c r="Q26">
        <v>9.4912527520048806E-2</v>
      </c>
      <c r="R26">
        <v>87848913676.485992</v>
      </c>
      <c r="S26">
        <f t="shared" si="1"/>
        <v>0.88280237742153511</v>
      </c>
    </row>
    <row r="27" spans="1:19" x14ac:dyDescent="0.3">
      <c r="A27">
        <v>25</v>
      </c>
      <c r="B27" t="s">
        <v>120</v>
      </c>
      <c r="C27">
        <v>28.626314930478799</v>
      </c>
      <c r="D27">
        <v>43</v>
      </c>
      <c r="E27">
        <v>14.1896053205655</v>
      </c>
      <c r="F27">
        <v>731.48159663405704</v>
      </c>
      <c r="G27">
        <v>637.80690964689802</v>
      </c>
      <c r="H27">
        <v>166608019225.12</v>
      </c>
      <c r="I27">
        <f t="shared" si="0"/>
        <v>0.87193842275977007</v>
      </c>
      <c r="K27">
        <v>25</v>
      </c>
      <c r="L27" t="s">
        <v>120</v>
      </c>
      <c r="M27">
        <v>28.626131851245301</v>
      </c>
      <c r="N27">
        <v>42.999999999999801</v>
      </c>
      <c r="O27">
        <v>2.21118568268234E-3</v>
      </c>
      <c r="P27">
        <v>0.107512768369821</v>
      </c>
      <c r="Q27">
        <v>9.2701341837366502E-2</v>
      </c>
      <c r="R27">
        <v>180213091949.26199</v>
      </c>
      <c r="S27">
        <f t="shared" si="1"/>
        <v>0.86223565110418932</v>
      </c>
    </row>
    <row r="28" spans="1:19" x14ac:dyDescent="0.3">
      <c r="A28">
        <v>26</v>
      </c>
      <c r="B28" t="s">
        <v>121</v>
      </c>
      <c r="C28">
        <v>99.92</v>
      </c>
      <c r="D28">
        <v>60</v>
      </c>
      <c r="E28">
        <v>111.268656716417</v>
      </c>
      <c r="F28">
        <v>731.48159663405704</v>
      </c>
      <c r="G28">
        <v>637.80690964689802</v>
      </c>
      <c r="H28">
        <v>96575431893.336807</v>
      </c>
      <c r="I28">
        <f t="shared" si="0"/>
        <v>0.87193842275977007</v>
      </c>
      <c r="K28">
        <v>26</v>
      </c>
      <c r="L28" t="s">
        <v>121</v>
      </c>
      <c r="M28">
        <v>99.92</v>
      </c>
      <c r="N28">
        <v>60</v>
      </c>
      <c r="O28">
        <v>1.7348947368420999E-2</v>
      </c>
      <c r="P28">
        <v>0.107512768369821</v>
      </c>
      <c r="Q28">
        <v>9.2701341837366502E-2</v>
      </c>
      <c r="R28">
        <v>104461638190.72701</v>
      </c>
      <c r="S28">
        <f t="shared" si="1"/>
        <v>0.86223565110418932</v>
      </c>
    </row>
    <row r="29" spans="1:19" x14ac:dyDescent="0.3">
      <c r="A29">
        <v>27</v>
      </c>
      <c r="B29" t="s">
        <v>119</v>
      </c>
      <c r="C29">
        <v>100.18</v>
      </c>
      <c r="D29">
        <v>60.0000000000678</v>
      </c>
      <c r="E29">
        <v>69.660520882441404</v>
      </c>
      <c r="F29">
        <v>637.80690964689802</v>
      </c>
      <c r="G29">
        <v>568.14638876445701</v>
      </c>
      <c r="H29">
        <v>81451250186.884399</v>
      </c>
      <c r="I29">
        <f t="shared" si="0"/>
        <v>0.89078117557395797</v>
      </c>
      <c r="K29">
        <v>27</v>
      </c>
      <c r="L29" t="s">
        <v>119</v>
      </c>
      <c r="M29">
        <v>100.18</v>
      </c>
      <c r="N29">
        <v>60.000000000035797</v>
      </c>
      <c r="O29">
        <v>1.0920029544748199E-2</v>
      </c>
      <c r="P29">
        <v>9.2701341837366502E-2</v>
      </c>
      <c r="Q29">
        <v>8.1781312292618202E-2</v>
      </c>
      <c r="R29">
        <v>88266792427.505707</v>
      </c>
      <c r="S29">
        <f t="shared" si="1"/>
        <v>0.88220203366736383</v>
      </c>
    </row>
    <row r="30" spans="1:19" x14ac:dyDescent="0.3">
      <c r="A30">
        <v>28</v>
      </c>
      <c r="B30" t="s">
        <v>120</v>
      </c>
      <c r="C30">
        <v>33.751179704742697</v>
      </c>
      <c r="D30">
        <v>25</v>
      </c>
      <c r="E30">
        <v>8.9308022352595202</v>
      </c>
      <c r="F30">
        <v>637.80690964689802</v>
      </c>
      <c r="G30">
        <v>559.21558652919703</v>
      </c>
      <c r="H30">
        <v>270394993213.02499</v>
      </c>
      <c r="I30">
        <f t="shared" si="0"/>
        <v>0.87677881514138711</v>
      </c>
      <c r="K30">
        <v>28</v>
      </c>
      <c r="L30" t="s">
        <v>120</v>
      </c>
      <c r="M30">
        <v>33.751540820850401</v>
      </c>
      <c r="N30">
        <v>24.999999999999801</v>
      </c>
      <c r="O30">
        <v>1.3792902279756299E-3</v>
      </c>
      <c r="P30">
        <v>9.2701341837366502E-2</v>
      </c>
      <c r="Q30">
        <v>8.04020220646426E-2</v>
      </c>
      <c r="R30">
        <v>292690522632.22699</v>
      </c>
      <c r="S30">
        <f t="shared" si="1"/>
        <v>0.86732317430419081</v>
      </c>
    </row>
    <row r="31" spans="1:19" x14ac:dyDescent="0.3">
      <c r="A31">
        <v>29</v>
      </c>
      <c r="B31" t="s">
        <v>121</v>
      </c>
      <c r="C31">
        <v>100.18</v>
      </c>
      <c r="D31">
        <v>60</v>
      </c>
      <c r="E31">
        <v>88.544776119402897</v>
      </c>
      <c r="F31">
        <v>637.80690964689802</v>
      </c>
      <c r="G31">
        <v>559.21558652919703</v>
      </c>
      <c r="H31">
        <v>92609445792.860794</v>
      </c>
      <c r="I31">
        <f t="shared" si="0"/>
        <v>0.87677881514138711</v>
      </c>
      <c r="K31">
        <v>29</v>
      </c>
      <c r="L31" t="s">
        <v>121</v>
      </c>
      <c r="M31">
        <v>100.18</v>
      </c>
      <c r="N31">
        <v>60</v>
      </c>
      <c r="O31">
        <v>1.3778947368421E-2</v>
      </c>
      <c r="P31">
        <v>9.2701341837366502E-2</v>
      </c>
      <c r="Q31">
        <v>8.04020220646426E-2</v>
      </c>
      <c r="R31">
        <v>100245713419.233</v>
      </c>
      <c r="S31">
        <f t="shared" si="1"/>
        <v>0.86732317430419081</v>
      </c>
    </row>
    <row r="32" spans="1:19" x14ac:dyDescent="0.3">
      <c r="A32">
        <v>30</v>
      </c>
      <c r="B32" t="s">
        <v>119</v>
      </c>
      <c r="C32">
        <v>99.959999999999894</v>
      </c>
      <c r="D32">
        <v>59.999999999969901</v>
      </c>
      <c r="E32">
        <v>60.810977784914002</v>
      </c>
      <c r="F32">
        <v>559.21558652919703</v>
      </c>
      <c r="G32">
        <v>498.404608744283</v>
      </c>
      <c r="H32">
        <v>81123267022.216003</v>
      </c>
      <c r="I32">
        <f t="shared" si="0"/>
        <v>0.89125664725774045</v>
      </c>
      <c r="K32">
        <v>30</v>
      </c>
      <c r="L32" t="s">
        <v>119</v>
      </c>
      <c r="M32">
        <v>99.959999999999894</v>
      </c>
      <c r="N32">
        <v>59.999999999953999</v>
      </c>
      <c r="O32">
        <v>9.4299794218489497E-3</v>
      </c>
      <c r="P32">
        <v>8.04020220646426E-2</v>
      </c>
      <c r="Q32">
        <v>7.0972042642793595E-2</v>
      </c>
      <c r="R32">
        <v>87909522003.285904</v>
      </c>
      <c r="S32">
        <f t="shared" si="1"/>
        <v>0.88271464846658487</v>
      </c>
    </row>
    <row r="33" spans="1:19" x14ac:dyDescent="0.3">
      <c r="A33">
        <v>31</v>
      </c>
      <c r="B33" t="s">
        <v>120</v>
      </c>
      <c r="C33">
        <v>33.744512452109497</v>
      </c>
      <c r="D33">
        <v>24.999999999999901</v>
      </c>
      <c r="E33">
        <v>7.82284435631842</v>
      </c>
      <c r="F33">
        <v>559.21558652919703</v>
      </c>
      <c r="G33">
        <v>490.58176438796499</v>
      </c>
      <c r="H33">
        <v>269254658382.83801</v>
      </c>
      <c r="I33">
        <f t="shared" si="0"/>
        <v>0.87726768746341333</v>
      </c>
      <c r="K33">
        <v>31</v>
      </c>
      <c r="L33" t="s">
        <v>120</v>
      </c>
      <c r="M33">
        <v>33.744153630855202</v>
      </c>
      <c r="N33">
        <v>25</v>
      </c>
      <c r="O33">
        <v>1.1952221760519401E-3</v>
      </c>
      <c r="P33">
        <v>8.04020220646426E-2</v>
      </c>
      <c r="Q33">
        <v>6.9776820466741704E-2</v>
      </c>
      <c r="R33">
        <v>291451129117.388</v>
      </c>
      <c r="S33">
        <f t="shared" si="1"/>
        <v>0.86784907487328722</v>
      </c>
    </row>
    <row r="34" spans="1:19" x14ac:dyDescent="0.3">
      <c r="A34">
        <v>32</v>
      </c>
      <c r="B34" t="s">
        <v>121</v>
      </c>
      <c r="C34">
        <v>99.959999999999894</v>
      </c>
      <c r="D34">
        <v>60</v>
      </c>
      <c r="E34">
        <v>74.962686567164099</v>
      </c>
      <c r="F34">
        <v>559.21558652919703</v>
      </c>
      <c r="G34">
        <v>490.58176438796499</v>
      </c>
      <c r="H34">
        <v>92271276757.899399</v>
      </c>
      <c r="I34">
        <f t="shared" si="0"/>
        <v>0.87726768746341333</v>
      </c>
      <c r="K34">
        <v>32</v>
      </c>
      <c r="L34" t="s">
        <v>121</v>
      </c>
      <c r="M34">
        <v>99.959999999999894</v>
      </c>
      <c r="N34">
        <v>60</v>
      </c>
      <c r="O34">
        <v>1.31526315789473E-2</v>
      </c>
      <c r="P34">
        <v>8.04020220646426E-2</v>
      </c>
      <c r="Q34">
        <v>6.9776820466741704E-2</v>
      </c>
      <c r="R34">
        <v>99877701279.259705</v>
      </c>
      <c r="S34">
        <f t="shared" si="1"/>
        <v>0.86784907487328722</v>
      </c>
    </row>
    <row r="35" spans="1:19" x14ac:dyDescent="0.3">
      <c r="A35">
        <v>33</v>
      </c>
      <c r="B35" t="s">
        <v>119</v>
      </c>
      <c r="C35">
        <v>99.98</v>
      </c>
      <c r="D35">
        <v>60.000000000028599</v>
      </c>
      <c r="E35">
        <v>53.368102818496602</v>
      </c>
      <c r="F35">
        <v>490.58176438796499</v>
      </c>
      <c r="G35">
        <v>437.213661569468</v>
      </c>
      <c r="H35">
        <v>81152111038.629898</v>
      </c>
      <c r="I35">
        <f t="shared" si="0"/>
        <v>0.89121466248327141</v>
      </c>
      <c r="K35">
        <v>33</v>
      </c>
      <c r="L35" t="s">
        <v>119</v>
      </c>
      <c r="M35">
        <v>99.98</v>
      </c>
      <c r="N35">
        <v>59.999999999991402</v>
      </c>
      <c r="O35">
        <v>8.18697316220433E-3</v>
      </c>
      <c r="P35">
        <v>6.9776820466741704E-2</v>
      </c>
      <c r="Q35">
        <v>6.1589847304537398E-2</v>
      </c>
      <c r="R35">
        <v>87941122657.997894</v>
      </c>
      <c r="S35">
        <f t="shared" si="1"/>
        <v>0.88266915707191718</v>
      </c>
    </row>
    <row r="36" spans="1:19" x14ac:dyDescent="0.3">
      <c r="A36">
        <v>34</v>
      </c>
      <c r="B36" t="s">
        <v>120</v>
      </c>
      <c r="C36">
        <v>33.743879051016101</v>
      </c>
      <c r="D36">
        <v>24.999999999999901</v>
      </c>
      <c r="E36">
        <v>6.8637660275002199</v>
      </c>
      <c r="F36">
        <v>490.58176438796499</v>
      </c>
      <c r="G36">
        <v>430.34989554196801</v>
      </c>
      <c r="H36">
        <v>269358584254.17999</v>
      </c>
      <c r="I36">
        <f t="shared" si="0"/>
        <v>0.8772235879555359</v>
      </c>
      <c r="K36">
        <v>34</v>
      </c>
      <c r="L36" t="s">
        <v>120</v>
      </c>
      <c r="M36">
        <v>33.745652018778799</v>
      </c>
      <c r="N36">
        <v>25.000000000000099</v>
      </c>
      <c r="O36">
        <v>1.03731517761467E-3</v>
      </c>
      <c r="P36">
        <v>6.9776820466741704E-2</v>
      </c>
      <c r="Q36">
        <v>6.0552532126922597E-2</v>
      </c>
      <c r="R36">
        <v>291558945309.33099</v>
      </c>
      <c r="S36">
        <f t="shared" si="1"/>
        <v>0.8678029712715879</v>
      </c>
    </row>
    <row r="37" spans="1:19" x14ac:dyDescent="0.3">
      <c r="A37">
        <v>35</v>
      </c>
      <c r="B37" t="s">
        <v>121</v>
      </c>
      <c r="C37">
        <v>99.98</v>
      </c>
      <c r="D37">
        <v>60</v>
      </c>
      <c r="E37">
        <v>62.686567164179102</v>
      </c>
      <c r="F37">
        <v>490.58176438796499</v>
      </c>
      <c r="G37">
        <v>430.34989554196801</v>
      </c>
      <c r="H37">
        <v>92301750976.166397</v>
      </c>
      <c r="I37">
        <f t="shared" si="0"/>
        <v>0.8772235879555359</v>
      </c>
      <c r="K37">
        <v>35</v>
      </c>
      <c r="L37" t="s">
        <v>121</v>
      </c>
      <c r="M37">
        <v>99.98</v>
      </c>
      <c r="N37">
        <v>60</v>
      </c>
      <c r="O37">
        <v>9.7705263157894708E-3</v>
      </c>
      <c r="P37">
        <v>6.9776820466741704E-2</v>
      </c>
      <c r="Q37">
        <v>6.0552532126922597E-2</v>
      </c>
      <c r="R37">
        <v>99909779323.309006</v>
      </c>
      <c r="S37">
        <f t="shared" si="1"/>
        <v>0.8678029712715879</v>
      </c>
    </row>
    <row r="38" spans="1:19" x14ac:dyDescent="0.3">
      <c r="A38">
        <v>36</v>
      </c>
      <c r="B38" t="s">
        <v>119</v>
      </c>
      <c r="C38">
        <v>99.949999999999903</v>
      </c>
      <c r="D38">
        <v>60.000000000009699</v>
      </c>
      <c r="E38">
        <v>46.788668075779903</v>
      </c>
      <c r="F38">
        <v>430.34989554196801</v>
      </c>
      <c r="G38">
        <v>383.56122746618797</v>
      </c>
      <c r="H38">
        <v>81108865851.033493</v>
      </c>
      <c r="I38">
        <f t="shared" si="0"/>
        <v>0.89127761256487359</v>
      </c>
      <c r="K38">
        <v>36</v>
      </c>
      <c r="L38" t="s">
        <v>119</v>
      </c>
      <c r="M38">
        <v>99.949999999999903</v>
      </c>
      <c r="N38">
        <v>60.000000000000597</v>
      </c>
      <c r="O38">
        <v>7.1005481103434904E-3</v>
      </c>
      <c r="P38">
        <v>6.0552532126922597E-2</v>
      </c>
      <c r="Q38">
        <v>5.34519840165791E-2</v>
      </c>
      <c r="R38">
        <v>87893726421.894699</v>
      </c>
      <c r="S38">
        <f t="shared" si="1"/>
        <v>0.88273738750577402</v>
      </c>
    </row>
    <row r="39" spans="1:19" x14ac:dyDescent="0.3">
      <c r="A39">
        <v>37</v>
      </c>
      <c r="B39" t="s">
        <v>120</v>
      </c>
      <c r="C39">
        <v>33.742879549673702</v>
      </c>
      <c r="D39">
        <v>24.999999999999801</v>
      </c>
      <c r="E39">
        <v>6.0202847085833699</v>
      </c>
      <c r="F39">
        <v>430.34989554196801</v>
      </c>
      <c r="G39">
        <v>377.540942757604</v>
      </c>
      <c r="H39">
        <v>269207698330.40701</v>
      </c>
      <c r="I39">
        <f t="shared" si="0"/>
        <v>0.87728833367588432</v>
      </c>
      <c r="K39">
        <v>37</v>
      </c>
      <c r="L39" t="s">
        <v>120</v>
      </c>
      <c r="M39">
        <v>33.7443125934957</v>
      </c>
      <c r="N39">
        <v>24.999999999999801</v>
      </c>
      <c r="O39">
        <v>9.0008859405674201E-4</v>
      </c>
      <c r="P39">
        <v>6.0552532126922597E-2</v>
      </c>
      <c r="Q39">
        <v>5.25518954225224E-2</v>
      </c>
      <c r="R39">
        <v>291394771858.21899</v>
      </c>
      <c r="S39">
        <f t="shared" si="1"/>
        <v>0.8678727970016139</v>
      </c>
    </row>
    <row r="40" spans="1:19" x14ac:dyDescent="0.3">
      <c r="A40">
        <v>38</v>
      </c>
      <c r="B40" t="s">
        <v>121</v>
      </c>
      <c r="C40">
        <v>99.949999999999903</v>
      </c>
      <c r="D40">
        <v>60</v>
      </c>
      <c r="E40">
        <v>53.283582089552198</v>
      </c>
      <c r="F40">
        <v>430.34989554196801</v>
      </c>
      <c r="G40">
        <v>377.540942757604</v>
      </c>
      <c r="H40">
        <v>92257166491.049301</v>
      </c>
      <c r="I40">
        <f t="shared" si="0"/>
        <v>0.87728833367588432</v>
      </c>
      <c r="K40">
        <v>38</v>
      </c>
      <c r="L40" t="s">
        <v>121</v>
      </c>
      <c r="M40">
        <v>99.949999999999903</v>
      </c>
      <c r="N40">
        <v>60</v>
      </c>
      <c r="O40">
        <v>9.5200000000000007E-3</v>
      </c>
      <c r="P40">
        <v>6.0552532126922597E-2</v>
      </c>
      <c r="Q40">
        <v>5.25518954225224E-2</v>
      </c>
      <c r="R40">
        <v>99861117427.478394</v>
      </c>
      <c r="S40">
        <f t="shared" si="1"/>
        <v>0.8678727970016139</v>
      </c>
    </row>
    <row r="41" spans="1:19" x14ac:dyDescent="0.3">
      <c r="A41">
        <v>39</v>
      </c>
      <c r="B41" t="s">
        <v>119</v>
      </c>
      <c r="C41">
        <v>99.99</v>
      </c>
      <c r="D41">
        <v>60.000000000047699</v>
      </c>
      <c r="E41">
        <v>41.078838393163998</v>
      </c>
      <c r="F41">
        <v>377.540942757604</v>
      </c>
      <c r="G41">
        <v>336.46210436443999</v>
      </c>
      <c r="H41">
        <v>81166519956.866898</v>
      </c>
      <c r="I41">
        <f t="shared" si="0"/>
        <v>0.89119368592683146</v>
      </c>
      <c r="K41">
        <v>39</v>
      </c>
      <c r="L41" t="s">
        <v>119</v>
      </c>
      <c r="M41">
        <v>99.99</v>
      </c>
      <c r="N41">
        <v>60.000000000040501</v>
      </c>
      <c r="O41">
        <v>6.1671528622671201E-3</v>
      </c>
      <c r="P41">
        <v>5.25518954225224E-2</v>
      </c>
      <c r="Q41">
        <v>4.63847425602553E-2</v>
      </c>
      <c r="R41">
        <v>87956912472.056198</v>
      </c>
      <c r="S41">
        <f t="shared" si="1"/>
        <v>0.88264642383147962</v>
      </c>
    </row>
    <row r="42" spans="1:19" x14ac:dyDescent="0.3">
      <c r="A42">
        <v>40</v>
      </c>
      <c r="B42" t="s">
        <v>120</v>
      </c>
      <c r="C42">
        <v>33.745511935742499</v>
      </c>
      <c r="D42">
        <v>24.999999999999901</v>
      </c>
      <c r="E42">
        <v>5.2820829105463902</v>
      </c>
      <c r="F42">
        <v>377.540942757604</v>
      </c>
      <c r="G42">
        <v>331.180021453893</v>
      </c>
      <c r="H42">
        <v>269405572776.271</v>
      </c>
      <c r="I42">
        <f t="shared" si="0"/>
        <v>0.87720293072034705</v>
      </c>
      <c r="K42">
        <v>40</v>
      </c>
      <c r="L42" t="s">
        <v>120</v>
      </c>
      <c r="M42">
        <v>33.745492826849599</v>
      </c>
      <c r="N42">
        <v>24.999999999999901</v>
      </c>
      <c r="O42">
        <v>7.8129790122715196E-4</v>
      </c>
      <c r="P42">
        <v>5.25518954225224E-2</v>
      </c>
      <c r="Q42">
        <v>4.5603444659028103E-2</v>
      </c>
      <c r="R42">
        <v>291615293250.50201</v>
      </c>
      <c r="S42">
        <f t="shared" si="1"/>
        <v>0.86777925500825293</v>
      </c>
    </row>
    <row r="43" spans="1:19" x14ac:dyDescent="0.3">
      <c r="A43">
        <v>41</v>
      </c>
      <c r="B43" t="s">
        <v>121</v>
      </c>
      <c r="C43">
        <v>99.99</v>
      </c>
      <c r="D43">
        <v>60</v>
      </c>
      <c r="E43">
        <v>45.451828205171402</v>
      </c>
      <c r="F43">
        <v>377.540942757604</v>
      </c>
      <c r="G43">
        <v>331.180021453893</v>
      </c>
      <c r="H43">
        <v>92315868990.677795</v>
      </c>
      <c r="I43">
        <f t="shared" si="0"/>
        <v>0.87720293072034705</v>
      </c>
      <c r="K43">
        <v>41</v>
      </c>
      <c r="L43" t="s">
        <v>121</v>
      </c>
      <c r="M43">
        <v>99.99</v>
      </c>
      <c r="N43">
        <v>60</v>
      </c>
      <c r="O43">
        <v>7.6406956619804603E-3</v>
      </c>
      <c r="P43">
        <v>5.25518954225224E-2</v>
      </c>
      <c r="Q43">
        <v>4.5603444659028103E-2</v>
      </c>
      <c r="R43">
        <v>99926357324.114594</v>
      </c>
      <c r="S43">
        <f t="shared" si="1"/>
        <v>0.86777925500825293</v>
      </c>
    </row>
    <row r="44" spans="1:19" x14ac:dyDescent="0.3">
      <c r="A44">
        <v>42</v>
      </c>
      <c r="B44" t="s">
        <v>119</v>
      </c>
      <c r="C44">
        <v>99.959999999999894</v>
      </c>
      <c r="D44">
        <v>59.999999999969901</v>
      </c>
      <c r="E44">
        <v>36.013628755309298</v>
      </c>
      <c r="F44">
        <v>331.180021453893</v>
      </c>
      <c r="G44">
        <v>295.16639269858399</v>
      </c>
      <c r="H44">
        <v>81123273852.819305</v>
      </c>
      <c r="I44">
        <f t="shared" si="0"/>
        <v>0.8912566386184535</v>
      </c>
      <c r="K44">
        <v>42</v>
      </c>
      <c r="L44" t="s">
        <v>119</v>
      </c>
      <c r="M44">
        <v>99.959999999999894</v>
      </c>
      <c r="N44">
        <v>59.999999999953999</v>
      </c>
      <c r="O44">
        <v>5.3486164272696099E-3</v>
      </c>
      <c r="P44">
        <v>4.5603444659028103E-2</v>
      </c>
      <c r="Q44">
        <v>4.0254828231758501E-2</v>
      </c>
      <c r="R44">
        <v>87909528818.0578</v>
      </c>
      <c r="S44">
        <f t="shared" si="1"/>
        <v>0.88271463992993038</v>
      </c>
    </row>
    <row r="45" spans="1:19" x14ac:dyDescent="0.3">
      <c r="A45">
        <v>43</v>
      </c>
      <c r="B45" t="s">
        <v>120</v>
      </c>
      <c r="C45">
        <v>33.744512452109497</v>
      </c>
      <c r="D45">
        <v>24.999999999999901</v>
      </c>
      <c r="E45">
        <v>4.6328639598950403</v>
      </c>
      <c r="F45">
        <v>331.180021453893</v>
      </c>
      <c r="G45">
        <v>290.53352873868897</v>
      </c>
      <c r="H45">
        <v>269254678315.06</v>
      </c>
      <c r="I45">
        <f t="shared" si="0"/>
        <v>0.87726767895972602</v>
      </c>
      <c r="K45">
        <v>43</v>
      </c>
      <c r="L45" t="s">
        <v>120</v>
      </c>
      <c r="M45">
        <v>33.744153630855202</v>
      </c>
      <c r="N45">
        <v>25</v>
      </c>
      <c r="O45">
        <v>6.7792135613057799E-4</v>
      </c>
      <c r="P45">
        <v>4.5603444659028103E-2</v>
      </c>
      <c r="Q45">
        <v>3.9576906875627899E-2</v>
      </c>
      <c r="R45">
        <v>291451149003.44098</v>
      </c>
      <c r="S45">
        <f t="shared" si="1"/>
        <v>0.86784906648039506</v>
      </c>
    </row>
    <row r="46" spans="1:19" x14ac:dyDescent="0.3">
      <c r="A46">
        <v>44</v>
      </c>
      <c r="B46" t="s">
        <v>121</v>
      </c>
      <c r="C46">
        <v>99.959999999999894</v>
      </c>
      <c r="D46">
        <v>60</v>
      </c>
      <c r="E46">
        <v>38.4066854483426</v>
      </c>
      <c r="F46">
        <v>331.180021453893</v>
      </c>
      <c r="G46">
        <v>290.53352873868897</v>
      </c>
      <c r="H46">
        <v>92271283588.502197</v>
      </c>
      <c r="I46">
        <f t="shared" si="0"/>
        <v>0.87726767895972602</v>
      </c>
      <c r="K46">
        <v>44</v>
      </c>
      <c r="L46" t="s">
        <v>121</v>
      </c>
      <c r="M46">
        <v>99.959999999999894</v>
      </c>
      <c r="N46">
        <v>60</v>
      </c>
      <c r="O46">
        <v>5.7173428230808702E-3</v>
      </c>
      <c r="P46">
        <v>4.5603444659028103E-2</v>
      </c>
      <c r="Q46">
        <v>3.9576906875627899E-2</v>
      </c>
      <c r="R46">
        <v>99877708094.032593</v>
      </c>
      <c r="S46">
        <f t="shared" si="1"/>
        <v>0.86784906648039506</v>
      </c>
    </row>
    <row r="47" spans="1:19" x14ac:dyDescent="0.3">
      <c r="A47">
        <v>45</v>
      </c>
      <c r="B47" t="s">
        <v>119</v>
      </c>
      <c r="C47">
        <v>99.99</v>
      </c>
      <c r="D47">
        <v>60.000000000047699</v>
      </c>
      <c r="E47">
        <v>31.611881442740099</v>
      </c>
      <c r="F47">
        <v>290.53352873868897</v>
      </c>
      <c r="G47">
        <v>258.92164729594901</v>
      </c>
      <c r="H47">
        <v>81166517415.1819</v>
      </c>
      <c r="I47">
        <f t="shared" si="0"/>
        <v>0.8911936891415646</v>
      </c>
      <c r="K47">
        <v>45</v>
      </c>
      <c r="L47" t="s">
        <v>119</v>
      </c>
      <c r="M47">
        <v>99.99</v>
      </c>
      <c r="N47">
        <v>60.000000000040501</v>
      </c>
      <c r="O47">
        <v>4.6444915719247399E-3</v>
      </c>
      <c r="P47">
        <v>3.9576906875627899E-2</v>
      </c>
      <c r="Q47">
        <v>3.4932415303703099E-2</v>
      </c>
      <c r="R47">
        <v>87956912802.477905</v>
      </c>
      <c r="S47">
        <f t="shared" si="1"/>
        <v>0.88264642341756749</v>
      </c>
    </row>
    <row r="48" spans="1:19" x14ac:dyDescent="0.3">
      <c r="A48">
        <v>46</v>
      </c>
      <c r="B48" t="s">
        <v>120</v>
      </c>
      <c r="C48">
        <v>33.745511935742499</v>
      </c>
      <c r="D48">
        <v>24.999999999999901</v>
      </c>
      <c r="E48">
        <v>4.0647834945212296</v>
      </c>
      <c r="F48">
        <v>290.53352873868897</v>
      </c>
      <c r="G48">
        <v>254.85686380142801</v>
      </c>
      <c r="H48">
        <v>269405565358.86401</v>
      </c>
      <c r="I48">
        <f t="shared" si="0"/>
        <v>0.87720293388461479</v>
      </c>
      <c r="K48">
        <v>46</v>
      </c>
      <c r="L48" t="s">
        <v>120</v>
      </c>
      <c r="M48">
        <v>33.745492826849599</v>
      </c>
      <c r="N48">
        <v>24.999999999999901</v>
      </c>
      <c r="O48">
        <v>5.8839655574512097E-4</v>
      </c>
      <c r="P48">
        <v>3.9576906875627899E-2</v>
      </c>
      <c r="Q48">
        <v>3.4344018747957998E-2</v>
      </c>
      <c r="R48">
        <v>291615294214.77197</v>
      </c>
      <c r="S48">
        <f t="shared" si="1"/>
        <v>0.867779254601314</v>
      </c>
    </row>
    <row r="49" spans="1:19" x14ac:dyDescent="0.3">
      <c r="A49">
        <v>47</v>
      </c>
      <c r="B49" t="s">
        <v>121</v>
      </c>
      <c r="C49">
        <v>99.99</v>
      </c>
      <c r="D49">
        <v>60</v>
      </c>
      <c r="E49">
        <v>32.416369794205004</v>
      </c>
      <c r="F49">
        <v>290.53352873868897</v>
      </c>
      <c r="G49">
        <v>254.85686380142801</v>
      </c>
      <c r="H49">
        <v>92315866448.991806</v>
      </c>
      <c r="I49">
        <f t="shared" si="0"/>
        <v>0.87720293388461479</v>
      </c>
      <c r="K49">
        <v>47</v>
      </c>
      <c r="L49" t="s">
        <v>121</v>
      </c>
      <c r="M49">
        <v>99.99</v>
      </c>
      <c r="N49">
        <v>60</v>
      </c>
      <c r="O49">
        <v>5.7839164054001198E-3</v>
      </c>
      <c r="P49">
        <v>3.9576906875627899E-2</v>
      </c>
      <c r="Q49">
        <v>3.4344018747957998E-2</v>
      </c>
      <c r="R49">
        <v>99926357654.536102</v>
      </c>
      <c r="S49">
        <f t="shared" si="1"/>
        <v>0.867779254601314</v>
      </c>
    </row>
    <row r="50" spans="1:19" x14ac:dyDescent="0.3">
      <c r="A50">
        <v>48</v>
      </c>
      <c r="B50" t="s">
        <v>119</v>
      </c>
      <c r="C50">
        <v>99.949999999999903</v>
      </c>
      <c r="D50">
        <v>60.000000000009699</v>
      </c>
      <c r="E50">
        <v>27.708645867461598</v>
      </c>
      <c r="F50">
        <v>254.85686380142801</v>
      </c>
      <c r="G50">
        <v>227.14821793396601</v>
      </c>
      <c r="H50">
        <v>81108863309.434097</v>
      </c>
      <c r="I50">
        <f t="shared" si="0"/>
        <v>0.89127761577945486</v>
      </c>
      <c r="K50">
        <v>48</v>
      </c>
      <c r="L50" t="s">
        <v>119</v>
      </c>
      <c r="M50">
        <v>99.949999999999903</v>
      </c>
      <c r="N50">
        <v>60.000000000000597</v>
      </c>
      <c r="O50">
        <v>4.0272693761640201E-3</v>
      </c>
      <c r="P50">
        <v>3.4344018747957998E-2</v>
      </c>
      <c r="Q50">
        <v>3.0316749371793902E-2</v>
      </c>
      <c r="R50">
        <v>87893726752.607101</v>
      </c>
      <c r="S50">
        <f t="shared" si="1"/>
        <v>0.88273738709149907</v>
      </c>
    </row>
    <row r="51" spans="1:19" x14ac:dyDescent="0.3">
      <c r="A51">
        <v>49</v>
      </c>
      <c r="B51" t="s">
        <v>120</v>
      </c>
      <c r="C51">
        <v>33.742879549673702</v>
      </c>
      <c r="D51">
        <v>24.999999999999801</v>
      </c>
      <c r="E51">
        <v>3.5652637573498498</v>
      </c>
      <c r="F51">
        <v>254.85686380142801</v>
      </c>
      <c r="G51">
        <v>223.582954176616</v>
      </c>
      <c r="H51">
        <v>269207690913.983</v>
      </c>
      <c r="I51">
        <f t="shared" si="0"/>
        <v>0.87728833684001106</v>
      </c>
      <c r="K51">
        <v>49</v>
      </c>
      <c r="L51" t="s">
        <v>120</v>
      </c>
      <c r="M51">
        <v>33.7443125934957</v>
      </c>
      <c r="N51">
        <v>24.999999999999801</v>
      </c>
      <c r="O51">
        <v>5.1050977471602801E-4</v>
      </c>
      <c r="P51">
        <v>3.4344018747957998E-2</v>
      </c>
      <c r="Q51">
        <v>2.9806239597077899E-2</v>
      </c>
      <c r="R51">
        <v>291394772823.23602</v>
      </c>
      <c r="S51">
        <f t="shared" si="1"/>
        <v>0.86787279659431515</v>
      </c>
    </row>
    <row r="52" spans="1:19" x14ac:dyDescent="0.3">
      <c r="A52">
        <v>50</v>
      </c>
      <c r="B52" t="s">
        <v>121</v>
      </c>
      <c r="C52">
        <v>99.949999999999903</v>
      </c>
      <c r="D52">
        <v>60</v>
      </c>
      <c r="E52">
        <v>27.4647415007753</v>
      </c>
      <c r="F52">
        <v>254.85686380142801</v>
      </c>
      <c r="G52">
        <v>223.582954176616</v>
      </c>
      <c r="H52">
        <v>92257163949.449493</v>
      </c>
      <c r="I52">
        <f t="shared" si="0"/>
        <v>0.87728833684001106</v>
      </c>
      <c r="K52">
        <v>50</v>
      </c>
      <c r="L52" t="s">
        <v>121</v>
      </c>
      <c r="M52">
        <v>99.949999999999903</v>
      </c>
      <c r="N52">
        <v>60</v>
      </c>
      <c r="O52">
        <v>3.6285229289175899E-3</v>
      </c>
      <c r="P52">
        <v>3.4344018747957998E-2</v>
      </c>
      <c r="Q52">
        <v>2.9806239597077899E-2</v>
      </c>
      <c r="R52">
        <v>99861117758.190308</v>
      </c>
      <c r="S52">
        <f t="shared" si="1"/>
        <v>0.86787279659431515</v>
      </c>
    </row>
    <row r="53" spans="1:19" x14ac:dyDescent="0.3">
      <c r="A53">
        <v>51</v>
      </c>
      <c r="B53" t="s">
        <v>119</v>
      </c>
      <c r="C53">
        <v>299.98</v>
      </c>
      <c r="D53">
        <v>239.99999999989001</v>
      </c>
      <c r="E53">
        <v>223.40389288504201</v>
      </c>
      <c r="F53">
        <v>223.582954176616</v>
      </c>
      <c r="G53">
        <v>0.17906129157383399</v>
      </c>
      <c r="H53">
        <v>817569421051.104</v>
      </c>
      <c r="I53">
        <f t="shared" si="0"/>
        <v>8.0087183852301728E-4</v>
      </c>
      <c r="K53">
        <v>51</v>
      </c>
      <c r="L53" t="s">
        <v>119</v>
      </c>
      <c r="M53">
        <v>299.98</v>
      </c>
      <c r="N53">
        <v>240.00000000017201</v>
      </c>
      <c r="O53">
        <v>2.9795565162669398E-2</v>
      </c>
      <c r="P53">
        <v>2.9806239597077899E-2</v>
      </c>
      <c r="Q53" s="2">
        <v>1.06744344085592E-5</v>
      </c>
      <c r="R53">
        <v>909856533690.57605</v>
      </c>
    </row>
    <row r="54" spans="1:19" x14ac:dyDescent="0.3">
      <c r="A54">
        <v>52</v>
      </c>
      <c r="B54" t="s">
        <v>120</v>
      </c>
      <c r="C54">
        <v>35.906672583462303</v>
      </c>
      <c r="D54">
        <v>25.000000000000099</v>
      </c>
      <c r="E54">
        <v>7.5376317271270898E-3</v>
      </c>
      <c r="F54">
        <v>223.582954176616</v>
      </c>
      <c r="G54">
        <v>0.17152365984713899</v>
      </c>
      <c r="H54">
        <v>14646027223289</v>
      </c>
      <c r="I54">
        <f t="shared" si="0"/>
        <v>7.671589297976913E-4</v>
      </c>
      <c r="K54">
        <v>52</v>
      </c>
      <c r="L54" t="s">
        <v>120</v>
      </c>
      <c r="M54">
        <v>35.906022473983199</v>
      </c>
      <c r="N54">
        <v>24.999999999999901</v>
      </c>
      <c r="O54" s="2">
        <v>4.8944707642869101E-7</v>
      </c>
      <c r="P54">
        <v>2.9806239597077899E-2</v>
      </c>
      <c r="Q54" s="2">
        <v>1.0184987331907E-5</v>
      </c>
      <c r="R54">
        <v>16297414548735.301</v>
      </c>
    </row>
    <row r="55" spans="1:19" x14ac:dyDescent="0.3">
      <c r="A55">
        <v>53</v>
      </c>
      <c r="B55" t="s">
        <v>121</v>
      </c>
      <c r="C55">
        <v>299.98</v>
      </c>
      <c r="D55">
        <v>240</v>
      </c>
      <c r="E55">
        <v>158.97825798088701</v>
      </c>
      <c r="F55">
        <v>223.582954176616</v>
      </c>
      <c r="G55">
        <v>0.17152365984713899</v>
      </c>
      <c r="H55">
        <v>822500991910.90295</v>
      </c>
      <c r="I55">
        <f t="shared" si="0"/>
        <v>7.671589297976913E-4</v>
      </c>
      <c r="K55">
        <v>53</v>
      </c>
      <c r="L55" t="s">
        <v>121</v>
      </c>
      <c r="M55">
        <v>299.98</v>
      </c>
      <c r="N55">
        <v>240</v>
      </c>
      <c r="O55">
        <v>2.0885814478889101E-2</v>
      </c>
      <c r="P55">
        <v>2.9806239597077899E-2</v>
      </c>
      <c r="Q55" s="2">
        <v>1.0184987331907E-5</v>
      </c>
      <c r="R55">
        <v>915238734492.52197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FF38-6E1C-4E46-9CA9-361B3BE299A3}">
  <dimension ref="A1:D205"/>
  <sheetViews>
    <sheetView topLeftCell="F1" workbookViewId="0">
      <selection activeCell="K29" sqref="K29"/>
    </sheetView>
  </sheetViews>
  <sheetFormatPr defaultRowHeight="14.4" x14ac:dyDescent="0.3"/>
  <sheetData>
    <row r="1" spans="1:4" x14ac:dyDescent="0.3">
      <c r="B1" t="s">
        <v>142</v>
      </c>
      <c r="C1" t="s">
        <v>143</v>
      </c>
      <c r="D1" t="s">
        <v>144</v>
      </c>
    </row>
    <row r="2" spans="1:4" x14ac:dyDescent="0.3">
      <c r="A2">
        <v>0</v>
      </c>
      <c r="B2">
        <v>95.5</v>
      </c>
      <c r="C2">
        <f>B2-24</f>
        <v>71.5</v>
      </c>
      <c r="D2">
        <v>-0.26854288629893902</v>
      </c>
    </row>
    <row r="3" spans="1:4" x14ac:dyDescent="0.3">
      <c r="A3">
        <v>1</v>
      </c>
      <c r="B3">
        <v>94</v>
      </c>
      <c r="C3">
        <f t="shared" ref="C3:C66" si="0">B3-24</f>
        <v>70</v>
      </c>
      <c r="D3">
        <v>-0.32228608261267</v>
      </c>
    </row>
    <row r="4" spans="1:4" x14ac:dyDescent="0.3">
      <c r="A4">
        <v>2</v>
      </c>
      <c r="B4">
        <v>91.5</v>
      </c>
      <c r="C4">
        <f t="shared" si="0"/>
        <v>67.5</v>
      </c>
      <c r="D4">
        <v>-0.26857173551055802</v>
      </c>
    </row>
    <row r="5" spans="1:4" x14ac:dyDescent="0.3">
      <c r="A5">
        <v>3</v>
      </c>
      <c r="B5">
        <v>90.5</v>
      </c>
      <c r="C5">
        <f t="shared" si="0"/>
        <v>66.5</v>
      </c>
      <c r="D5">
        <v>-0.26857173551055202</v>
      </c>
    </row>
    <row r="6" spans="1:4" x14ac:dyDescent="0.3">
      <c r="A6">
        <v>4</v>
      </c>
      <c r="B6">
        <v>88.5</v>
      </c>
      <c r="C6">
        <f t="shared" si="0"/>
        <v>64.5</v>
      </c>
      <c r="D6">
        <v>-0.26858616244091099</v>
      </c>
    </row>
    <row r="7" spans="1:4" x14ac:dyDescent="0.3">
      <c r="A7">
        <v>5</v>
      </c>
      <c r="B7">
        <v>86.5</v>
      </c>
      <c r="C7">
        <f t="shared" si="0"/>
        <v>62.5</v>
      </c>
      <c r="D7">
        <v>-0.26854288629893902</v>
      </c>
    </row>
    <row r="8" spans="1:4" x14ac:dyDescent="0.3">
      <c r="A8">
        <v>6</v>
      </c>
      <c r="B8">
        <v>85.5</v>
      </c>
      <c r="C8">
        <f t="shared" si="0"/>
        <v>61.5</v>
      </c>
      <c r="D8">
        <v>-0.26857173551055802</v>
      </c>
    </row>
    <row r="9" spans="1:4" x14ac:dyDescent="0.3">
      <c r="A9">
        <v>7</v>
      </c>
      <c r="B9">
        <v>84</v>
      </c>
      <c r="C9">
        <f t="shared" si="0"/>
        <v>60</v>
      </c>
      <c r="D9">
        <v>-0.21484584810398599</v>
      </c>
    </row>
    <row r="10" spans="1:4" x14ac:dyDescent="0.3">
      <c r="A10">
        <v>8</v>
      </c>
      <c r="B10">
        <v>96</v>
      </c>
      <c r="C10">
        <f t="shared" si="0"/>
        <v>72</v>
      </c>
      <c r="D10">
        <v>-0.21484584810398599</v>
      </c>
    </row>
    <row r="11" spans="1:4" x14ac:dyDescent="0.3">
      <c r="A11">
        <v>9</v>
      </c>
      <c r="B11">
        <v>95</v>
      </c>
      <c r="C11">
        <f t="shared" si="0"/>
        <v>71</v>
      </c>
      <c r="D11">
        <v>-0.214915108532128</v>
      </c>
    </row>
    <row r="12" spans="1:4" x14ac:dyDescent="0.3">
      <c r="A12">
        <v>10</v>
      </c>
      <c r="B12">
        <v>93.5</v>
      </c>
      <c r="C12">
        <f t="shared" si="0"/>
        <v>69.5</v>
      </c>
      <c r="D12">
        <v>-0.26857173551055802</v>
      </c>
    </row>
    <row r="13" spans="1:4" x14ac:dyDescent="0.3">
      <c r="A13">
        <v>11</v>
      </c>
      <c r="B13">
        <v>92</v>
      </c>
      <c r="C13">
        <f t="shared" si="0"/>
        <v>68</v>
      </c>
      <c r="D13">
        <v>-0.21486892995272899</v>
      </c>
    </row>
    <row r="14" spans="1:4" x14ac:dyDescent="0.3">
      <c r="A14">
        <v>12</v>
      </c>
      <c r="B14">
        <v>91</v>
      </c>
      <c r="C14">
        <f t="shared" si="0"/>
        <v>67</v>
      </c>
      <c r="D14">
        <v>-0.21486892995272899</v>
      </c>
    </row>
    <row r="15" spans="1:4" x14ac:dyDescent="0.3">
      <c r="A15">
        <v>13</v>
      </c>
      <c r="B15">
        <v>89.5</v>
      </c>
      <c r="C15">
        <f t="shared" si="0"/>
        <v>65.5</v>
      </c>
      <c r="D15">
        <v>-0.161177671519906</v>
      </c>
    </row>
    <row r="16" spans="1:4" x14ac:dyDescent="0.3">
      <c r="A16">
        <v>14</v>
      </c>
      <c r="B16">
        <v>88.5</v>
      </c>
      <c r="C16">
        <f t="shared" si="0"/>
        <v>64.5</v>
      </c>
      <c r="D16">
        <v>-0.161177671519906</v>
      </c>
    </row>
    <row r="17" spans="1:4" x14ac:dyDescent="0.3">
      <c r="A17">
        <v>15</v>
      </c>
      <c r="B17">
        <v>87</v>
      </c>
      <c r="C17">
        <f t="shared" si="0"/>
        <v>63</v>
      </c>
      <c r="D17">
        <v>-0.214915108532128</v>
      </c>
    </row>
    <row r="18" spans="1:4" x14ac:dyDescent="0.3">
      <c r="A18">
        <v>16</v>
      </c>
      <c r="B18">
        <v>95.5</v>
      </c>
      <c r="C18">
        <f t="shared" si="0"/>
        <v>71.5</v>
      </c>
      <c r="D18">
        <v>-0.28198517563648001</v>
      </c>
    </row>
    <row r="19" spans="1:4" x14ac:dyDescent="0.3">
      <c r="A19">
        <v>17</v>
      </c>
      <c r="B19">
        <v>94</v>
      </c>
      <c r="C19">
        <f t="shared" si="0"/>
        <v>70</v>
      </c>
      <c r="D19">
        <v>-0.24169184290030299</v>
      </c>
    </row>
    <row r="20" spans="1:4" x14ac:dyDescent="0.3">
      <c r="A20">
        <v>18</v>
      </c>
      <c r="B20">
        <v>91.5</v>
      </c>
      <c r="C20">
        <f t="shared" si="0"/>
        <v>67.5</v>
      </c>
      <c r="D20">
        <v>-0.26860059092130301</v>
      </c>
    </row>
    <row r="21" spans="1:4" x14ac:dyDescent="0.3">
      <c r="A21">
        <v>19</v>
      </c>
      <c r="B21">
        <v>90</v>
      </c>
      <c r="C21">
        <f t="shared" si="0"/>
        <v>66</v>
      </c>
      <c r="D21">
        <v>-0.21492665627854601</v>
      </c>
    </row>
    <row r="22" spans="1:4" x14ac:dyDescent="0.3">
      <c r="A22">
        <v>20</v>
      </c>
      <c r="B22">
        <v>88.5</v>
      </c>
      <c r="C22">
        <f t="shared" si="0"/>
        <v>64.5</v>
      </c>
      <c r="D22">
        <v>-0.268629452533171</v>
      </c>
    </row>
    <row r="23" spans="1:4" x14ac:dyDescent="0.3">
      <c r="A23">
        <v>21</v>
      </c>
      <c r="B23">
        <v>87</v>
      </c>
      <c r="C23">
        <f t="shared" si="0"/>
        <v>63</v>
      </c>
      <c r="D23">
        <v>-0.21485738840844101</v>
      </c>
    </row>
    <row r="24" spans="1:4" x14ac:dyDescent="0.3">
      <c r="A24">
        <v>22</v>
      </c>
      <c r="B24">
        <v>86</v>
      </c>
      <c r="C24">
        <f t="shared" si="0"/>
        <v>62</v>
      </c>
      <c r="D24">
        <v>-0.21483430903915099</v>
      </c>
    </row>
    <row r="25" spans="1:4" x14ac:dyDescent="0.3">
      <c r="A25">
        <v>23</v>
      </c>
      <c r="B25">
        <v>97</v>
      </c>
      <c r="C25">
        <f t="shared" si="0"/>
        <v>73</v>
      </c>
      <c r="D25">
        <v>-0.107440236368521</v>
      </c>
    </row>
    <row r="26" spans="1:4" x14ac:dyDescent="0.3">
      <c r="A26">
        <v>24</v>
      </c>
      <c r="B26">
        <v>95.5</v>
      </c>
      <c r="C26">
        <f t="shared" si="0"/>
        <v>71.5</v>
      </c>
      <c r="D26">
        <v>-0.16116901257118199</v>
      </c>
    </row>
    <row r="27" spans="1:4" x14ac:dyDescent="0.3">
      <c r="A27">
        <v>25</v>
      </c>
      <c r="B27">
        <v>94.5</v>
      </c>
      <c r="C27">
        <f t="shared" si="0"/>
        <v>70.5</v>
      </c>
      <c r="D27">
        <v>-0.16116901257118199</v>
      </c>
    </row>
    <row r="28" spans="1:4" x14ac:dyDescent="0.3">
      <c r="A28">
        <v>26</v>
      </c>
      <c r="B28">
        <v>94</v>
      </c>
      <c r="C28">
        <f t="shared" si="0"/>
        <v>70</v>
      </c>
      <c r="D28">
        <v>-0.214915108532128</v>
      </c>
    </row>
    <row r="29" spans="1:4" x14ac:dyDescent="0.3">
      <c r="A29">
        <v>27</v>
      </c>
      <c r="B29">
        <v>93</v>
      </c>
      <c r="C29">
        <f t="shared" si="0"/>
        <v>69</v>
      </c>
      <c r="D29">
        <v>-0.10745178101327101</v>
      </c>
    </row>
    <row r="30" spans="1:4" x14ac:dyDescent="0.3">
      <c r="A30">
        <v>28</v>
      </c>
      <c r="B30">
        <v>92</v>
      </c>
      <c r="C30">
        <f t="shared" si="0"/>
        <v>68</v>
      </c>
      <c r="D30">
        <v>-0.10746332813927301</v>
      </c>
    </row>
    <row r="31" spans="1:4" x14ac:dyDescent="0.3">
      <c r="A31">
        <v>29</v>
      </c>
      <c r="B31">
        <v>90.5</v>
      </c>
      <c r="C31">
        <f t="shared" si="0"/>
        <v>66.5</v>
      </c>
      <c r="D31">
        <v>-0.16116901257118199</v>
      </c>
    </row>
    <row r="32" spans="1:4" x14ac:dyDescent="0.3">
      <c r="A32">
        <v>30</v>
      </c>
      <c r="B32">
        <v>98</v>
      </c>
      <c r="C32">
        <f t="shared" si="0"/>
        <v>74</v>
      </c>
      <c r="D32">
        <v>-0.10745178101327101</v>
      </c>
    </row>
    <row r="33" spans="1:4" x14ac:dyDescent="0.3">
      <c r="A33">
        <v>31</v>
      </c>
      <c r="B33">
        <v>97</v>
      </c>
      <c r="C33">
        <f t="shared" si="0"/>
        <v>73</v>
      </c>
      <c r="D33">
        <v>-0.10746332813927301</v>
      </c>
    </row>
    <row r="34" spans="1:4" x14ac:dyDescent="0.3">
      <c r="A34">
        <v>32</v>
      </c>
      <c r="B34">
        <v>95.5</v>
      </c>
      <c r="C34">
        <f t="shared" si="0"/>
        <v>71.5</v>
      </c>
      <c r="D34">
        <v>-0.16116901257118199</v>
      </c>
    </row>
    <row r="35" spans="1:4" x14ac:dyDescent="0.3">
      <c r="A35">
        <v>33</v>
      </c>
      <c r="B35">
        <v>95.5</v>
      </c>
      <c r="C35">
        <f t="shared" si="0"/>
        <v>71.5</v>
      </c>
      <c r="D35">
        <v>-0.161160354552777</v>
      </c>
    </row>
    <row r="36" spans="1:4" x14ac:dyDescent="0.3">
      <c r="A36">
        <v>34</v>
      </c>
      <c r="B36">
        <v>94.5</v>
      </c>
      <c r="C36">
        <f t="shared" si="0"/>
        <v>70.5</v>
      </c>
      <c r="D36">
        <v>-0.161151697464546</v>
      </c>
    </row>
    <row r="37" spans="1:4" x14ac:dyDescent="0.3">
      <c r="A37">
        <v>35</v>
      </c>
      <c r="B37">
        <v>93</v>
      </c>
      <c r="C37">
        <f t="shared" si="0"/>
        <v>69</v>
      </c>
      <c r="D37">
        <v>-0.10744600838078799</v>
      </c>
    </row>
    <row r="38" spans="1:4" x14ac:dyDescent="0.3">
      <c r="A38">
        <v>36</v>
      </c>
      <c r="B38">
        <v>92.5</v>
      </c>
      <c r="C38">
        <f t="shared" si="0"/>
        <v>68.5</v>
      </c>
      <c r="D38">
        <v>-0.16118633139909999</v>
      </c>
    </row>
    <row r="39" spans="1:4" x14ac:dyDescent="0.3">
      <c r="A39">
        <v>37</v>
      </c>
      <c r="B39">
        <v>92</v>
      </c>
      <c r="C39">
        <f t="shared" si="0"/>
        <v>68</v>
      </c>
      <c r="D39">
        <v>-0.10744600838078799</v>
      </c>
    </row>
    <row r="40" spans="1:4" x14ac:dyDescent="0.3">
      <c r="A40">
        <v>38</v>
      </c>
      <c r="B40">
        <v>97.5</v>
      </c>
      <c r="C40">
        <f t="shared" si="0"/>
        <v>73.5</v>
      </c>
      <c r="D40">
        <v>-0.120831319478008</v>
      </c>
    </row>
    <row r="41" spans="1:4" x14ac:dyDescent="0.3">
      <c r="A41">
        <v>39</v>
      </c>
      <c r="B41">
        <v>96.5</v>
      </c>
      <c r="C41">
        <f t="shared" si="0"/>
        <v>72.5</v>
      </c>
      <c r="D41">
        <v>-0.12087026591458599</v>
      </c>
    </row>
    <row r="42" spans="1:4" x14ac:dyDescent="0.3">
      <c r="A42">
        <v>40</v>
      </c>
      <c r="B42">
        <v>96</v>
      </c>
      <c r="C42">
        <f t="shared" si="0"/>
        <v>72</v>
      </c>
      <c r="D42">
        <v>-0.16116684797937</v>
      </c>
    </row>
    <row r="43" spans="1:4" x14ac:dyDescent="0.3">
      <c r="A43">
        <v>41</v>
      </c>
      <c r="B43">
        <v>94.5</v>
      </c>
      <c r="C43">
        <f t="shared" si="0"/>
        <v>70.5</v>
      </c>
      <c r="D43">
        <v>-0.161177671519906</v>
      </c>
    </row>
    <row r="44" spans="1:4" x14ac:dyDescent="0.3">
      <c r="A44">
        <v>42</v>
      </c>
      <c r="B44">
        <v>93.5</v>
      </c>
      <c r="C44">
        <f t="shared" si="0"/>
        <v>69.5</v>
      </c>
      <c r="D44">
        <v>-0.161177671519902</v>
      </c>
    </row>
    <row r="45" spans="1:4" x14ac:dyDescent="0.3">
      <c r="A45">
        <v>43</v>
      </c>
      <c r="B45">
        <v>92.5</v>
      </c>
      <c r="C45">
        <f t="shared" si="0"/>
        <v>68.5</v>
      </c>
      <c r="D45">
        <v>-0.161160354552777</v>
      </c>
    </row>
    <row r="46" spans="1:4" x14ac:dyDescent="0.3">
      <c r="A46">
        <v>44</v>
      </c>
      <c r="B46">
        <v>92</v>
      </c>
      <c r="C46">
        <f t="shared" si="0"/>
        <v>68</v>
      </c>
      <c r="D46">
        <v>-0.10744600838078799</v>
      </c>
    </row>
    <row r="47" spans="1:4" x14ac:dyDescent="0.3">
      <c r="A47">
        <v>45</v>
      </c>
      <c r="B47">
        <v>91</v>
      </c>
      <c r="C47">
        <f t="shared" si="0"/>
        <v>67</v>
      </c>
      <c r="D47">
        <v>-0.10745178101327101</v>
      </c>
    </row>
    <row r="48" spans="1:4" x14ac:dyDescent="0.3">
      <c r="A48">
        <v>46</v>
      </c>
      <c r="B48">
        <v>90</v>
      </c>
      <c r="C48">
        <f t="shared" si="0"/>
        <v>66</v>
      </c>
      <c r="D48">
        <v>-0.10745178101327101</v>
      </c>
    </row>
    <row r="49" spans="1:4" x14ac:dyDescent="0.3">
      <c r="A49">
        <v>47</v>
      </c>
      <c r="B49">
        <v>98</v>
      </c>
      <c r="C49">
        <f t="shared" si="0"/>
        <v>74</v>
      </c>
      <c r="D49">
        <v>-0.10746332813927</v>
      </c>
    </row>
    <row r="50" spans="1:4" x14ac:dyDescent="0.3">
      <c r="A50">
        <v>48</v>
      </c>
      <c r="B50">
        <v>97</v>
      </c>
      <c r="C50">
        <f t="shared" si="0"/>
        <v>73</v>
      </c>
      <c r="D50">
        <v>-0.10744600838078799</v>
      </c>
    </row>
    <row r="51" spans="1:4" x14ac:dyDescent="0.3">
      <c r="A51">
        <v>49</v>
      </c>
      <c r="B51">
        <v>96</v>
      </c>
      <c r="C51">
        <f t="shared" si="0"/>
        <v>72</v>
      </c>
      <c r="D51">
        <v>-0.10744600838078799</v>
      </c>
    </row>
    <row r="52" spans="1:4" x14ac:dyDescent="0.3">
      <c r="A52">
        <v>50</v>
      </c>
      <c r="B52">
        <v>95.5</v>
      </c>
      <c r="C52">
        <f t="shared" si="0"/>
        <v>71.5</v>
      </c>
      <c r="D52">
        <v>-0.16116901257118199</v>
      </c>
    </row>
    <row r="53" spans="1:4" x14ac:dyDescent="0.3">
      <c r="A53">
        <v>51</v>
      </c>
      <c r="B53">
        <v>94.5</v>
      </c>
      <c r="C53">
        <f t="shared" si="0"/>
        <v>70.5</v>
      </c>
      <c r="D53">
        <v>-0.16118633139909599</v>
      </c>
    </row>
    <row r="54" spans="1:4" x14ac:dyDescent="0.3">
      <c r="A54">
        <v>52</v>
      </c>
      <c r="B54">
        <v>93.5</v>
      </c>
      <c r="C54">
        <f t="shared" si="0"/>
        <v>69.5</v>
      </c>
      <c r="D54">
        <v>-0.161177671519906</v>
      </c>
    </row>
    <row r="55" spans="1:4" x14ac:dyDescent="0.3">
      <c r="A55">
        <v>53</v>
      </c>
      <c r="B55">
        <v>93</v>
      </c>
      <c r="C55">
        <f t="shared" si="0"/>
        <v>69</v>
      </c>
      <c r="D55">
        <v>-0.107434464976364</v>
      </c>
    </row>
    <row r="56" spans="1:4" x14ac:dyDescent="0.3">
      <c r="A56">
        <v>54</v>
      </c>
      <c r="B56">
        <v>92</v>
      </c>
      <c r="C56">
        <f t="shared" si="0"/>
        <v>68</v>
      </c>
      <c r="D56">
        <v>-0.107440236368521</v>
      </c>
    </row>
    <row r="57" spans="1:4" x14ac:dyDescent="0.3">
      <c r="A57">
        <v>55</v>
      </c>
      <c r="B57">
        <v>91</v>
      </c>
      <c r="C57">
        <f t="shared" si="0"/>
        <v>67</v>
      </c>
      <c r="D57">
        <v>-0.10744600838078799</v>
      </c>
    </row>
    <row r="58" spans="1:4" x14ac:dyDescent="0.3">
      <c r="A58">
        <v>56</v>
      </c>
      <c r="B58">
        <v>90.5</v>
      </c>
      <c r="C58">
        <f t="shared" si="0"/>
        <v>66.5</v>
      </c>
      <c r="D58">
        <v>-0.16116901257118599</v>
      </c>
    </row>
    <row r="59" spans="1:4" x14ac:dyDescent="0.3">
      <c r="A59">
        <v>57</v>
      </c>
      <c r="B59">
        <v>98</v>
      </c>
      <c r="C59">
        <f t="shared" si="0"/>
        <v>74</v>
      </c>
      <c r="D59">
        <v>-0.107440236368518</v>
      </c>
    </row>
    <row r="60" spans="1:4" x14ac:dyDescent="0.3">
      <c r="A60">
        <v>58</v>
      </c>
      <c r="B60">
        <v>97</v>
      </c>
      <c r="C60">
        <f t="shared" si="0"/>
        <v>73</v>
      </c>
      <c r="D60">
        <v>-0.107440236368518</v>
      </c>
    </row>
    <row r="61" spans="1:4" x14ac:dyDescent="0.3">
      <c r="A61">
        <v>59</v>
      </c>
      <c r="B61">
        <v>95.5</v>
      </c>
      <c r="C61">
        <f t="shared" si="0"/>
        <v>71.5</v>
      </c>
      <c r="D61">
        <v>-0.161160354552777</v>
      </c>
    </row>
    <row r="62" spans="1:4" x14ac:dyDescent="0.3">
      <c r="A62">
        <v>60</v>
      </c>
      <c r="B62">
        <v>95.5</v>
      </c>
      <c r="C62">
        <f t="shared" si="0"/>
        <v>71.5</v>
      </c>
      <c r="D62">
        <v>-0.161177671519906</v>
      </c>
    </row>
    <row r="63" spans="1:4" x14ac:dyDescent="0.3">
      <c r="A63">
        <v>61</v>
      </c>
      <c r="B63">
        <v>94.5</v>
      </c>
      <c r="C63">
        <f t="shared" si="0"/>
        <v>70.5</v>
      </c>
      <c r="D63">
        <v>-0.161143041306335</v>
      </c>
    </row>
    <row r="64" spans="1:4" x14ac:dyDescent="0.3">
      <c r="A64">
        <v>62</v>
      </c>
      <c r="B64">
        <v>93</v>
      </c>
      <c r="C64">
        <f t="shared" si="0"/>
        <v>69</v>
      </c>
      <c r="D64">
        <v>-0.10741715451957801</v>
      </c>
    </row>
    <row r="65" spans="1:4" x14ac:dyDescent="0.3">
      <c r="A65">
        <v>63</v>
      </c>
      <c r="B65">
        <v>93</v>
      </c>
      <c r="C65">
        <f t="shared" si="0"/>
        <v>69</v>
      </c>
      <c r="D65">
        <v>-0.10738831615120099</v>
      </c>
    </row>
    <row r="66" spans="1:4" x14ac:dyDescent="0.3">
      <c r="A66">
        <v>64</v>
      </c>
      <c r="B66">
        <v>92</v>
      </c>
      <c r="C66">
        <f t="shared" si="0"/>
        <v>68</v>
      </c>
      <c r="D66">
        <v>-0.107376785139051</v>
      </c>
    </row>
    <row r="67" spans="1:4" x14ac:dyDescent="0.3">
      <c r="A67">
        <v>65</v>
      </c>
      <c r="B67">
        <v>91</v>
      </c>
      <c r="C67">
        <f t="shared" ref="C67:C130" si="1">B67-24</f>
        <v>67</v>
      </c>
      <c r="D67">
        <v>-0.10738831615120099</v>
      </c>
    </row>
    <row r="68" spans="1:4" x14ac:dyDescent="0.3">
      <c r="A68">
        <v>66</v>
      </c>
      <c r="B68">
        <v>90.5</v>
      </c>
      <c r="C68">
        <f t="shared" si="1"/>
        <v>66.5</v>
      </c>
      <c r="D68">
        <v>-0.16109977446031701</v>
      </c>
    </row>
    <row r="69" spans="1:4" x14ac:dyDescent="0.3">
      <c r="A69">
        <v>67</v>
      </c>
      <c r="B69">
        <v>90</v>
      </c>
      <c r="C69">
        <f t="shared" si="1"/>
        <v>66</v>
      </c>
      <c r="D69">
        <v>-0.107434464976364</v>
      </c>
    </row>
    <row r="70" spans="1:4" x14ac:dyDescent="0.3">
      <c r="A70">
        <v>68</v>
      </c>
      <c r="B70">
        <v>89</v>
      </c>
      <c r="C70">
        <f t="shared" si="1"/>
        <v>65</v>
      </c>
      <c r="D70">
        <v>-0.107440236368521</v>
      </c>
    </row>
    <row r="71" spans="1:4" x14ac:dyDescent="0.3">
      <c r="A71">
        <v>69</v>
      </c>
      <c r="B71">
        <v>98</v>
      </c>
      <c r="C71">
        <f t="shared" si="1"/>
        <v>74</v>
      </c>
      <c r="D71">
        <v>-0.10746332813927</v>
      </c>
    </row>
    <row r="72" spans="1:4" x14ac:dyDescent="0.3">
      <c r="A72">
        <v>70</v>
      </c>
      <c r="B72">
        <v>97</v>
      </c>
      <c r="C72">
        <f t="shared" si="1"/>
        <v>73</v>
      </c>
      <c r="D72">
        <v>-0.10746332813927301</v>
      </c>
    </row>
    <row r="73" spans="1:4" x14ac:dyDescent="0.3">
      <c r="A73">
        <v>71</v>
      </c>
      <c r="B73">
        <v>96.5</v>
      </c>
      <c r="C73">
        <f t="shared" si="1"/>
        <v>72.5</v>
      </c>
      <c r="D73">
        <v>-0.16116901257118199</v>
      </c>
    </row>
    <row r="74" spans="1:4" x14ac:dyDescent="0.3">
      <c r="A74">
        <v>72</v>
      </c>
      <c r="B74">
        <v>95.5</v>
      </c>
      <c r="C74">
        <f t="shared" si="1"/>
        <v>71.5</v>
      </c>
      <c r="D74">
        <v>-0.16116901257118599</v>
      </c>
    </row>
    <row r="75" spans="1:4" x14ac:dyDescent="0.3">
      <c r="A75">
        <v>73</v>
      </c>
      <c r="B75">
        <v>94.5</v>
      </c>
      <c r="C75">
        <f t="shared" si="1"/>
        <v>70.5</v>
      </c>
      <c r="D75">
        <v>-0.161177671519902</v>
      </c>
    </row>
    <row r="76" spans="1:4" x14ac:dyDescent="0.3">
      <c r="A76">
        <v>74</v>
      </c>
      <c r="B76">
        <v>94</v>
      </c>
      <c r="C76">
        <f t="shared" si="1"/>
        <v>70</v>
      </c>
      <c r="D76">
        <v>-0.107469102632992</v>
      </c>
    </row>
    <row r="77" spans="1:4" x14ac:dyDescent="0.3">
      <c r="A77">
        <v>75</v>
      </c>
      <c r="B77">
        <v>93</v>
      </c>
      <c r="C77">
        <f t="shared" si="1"/>
        <v>69</v>
      </c>
      <c r="D77">
        <v>-0.107440236368518</v>
      </c>
    </row>
    <row r="78" spans="1:4" x14ac:dyDescent="0.3">
      <c r="A78">
        <v>76</v>
      </c>
      <c r="B78">
        <v>92</v>
      </c>
      <c r="C78">
        <f t="shared" si="1"/>
        <v>68</v>
      </c>
      <c r="D78">
        <v>-0.10741715451957801</v>
      </c>
    </row>
    <row r="79" spans="1:4" x14ac:dyDescent="0.3">
      <c r="A79">
        <v>77</v>
      </c>
      <c r="B79">
        <v>92</v>
      </c>
      <c r="C79">
        <f t="shared" si="1"/>
        <v>68</v>
      </c>
      <c r="D79">
        <v>-0.107399849640211</v>
      </c>
    </row>
    <row r="80" spans="1:4" x14ac:dyDescent="0.3">
      <c r="A80">
        <v>78</v>
      </c>
      <c r="B80">
        <v>90.5</v>
      </c>
      <c r="C80">
        <f t="shared" si="1"/>
        <v>66.5</v>
      </c>
      <c r="D80">
        <v>-0.16113438607798899</v>
      </c>
    </row>
    <row r="81" spans="1:4" x14ac:dyDescent="0.3">
      <c r="A81">
        <v>79</v>
      </c>
      <c r="B81">
        <v>98</v>
      </c>
      <c r="C81">
        <f t="shared" si="1"/>
        <v>74</v>
      </c>
      <c r="D81">
        <v>-0.10745178101327101</v>
      </c>
    </row>
    <row r="82" spans="1:4" x14ac:dyDescent="0.3">
      <c r="A82">
        <v>80</v>
      </c>
      <c r="B82">
        <v>97</v>
      </c>
      <c r="C82">
        <f t="shared" si="1"/>
        <v>73</v>
      </c>
      <c r="D82">
        <v>-0.10745178101327101</v>
      </c>
    </row>
    <row r="83" spans="1:4" x14ac:dyDescent="0.3">
      <c r="A83">
        <v>81</v>
      </c>
      <c r="B83">
        <v>96.5</v>
      </c>
      <c r="C83">
        <f t="shared" si="1"/>
        <v>72.5</v>
      </c>
      <c r="D83">
        <v>-0.161143041306331</v>
      </c>
    </row>
    <row r="84" spans="1:4" x14ac:dyDescent="0.3">
      <c r="A84">
        <v>82</v>
      </c>
      <c r="B84">
        <v>95.5</v>
      </c>
      <c r="C84">
        <f t="shared" si="1"/>
        <v>71.5</v>
      </c>
      <c r="D84">
        <v>-0.16112573177936301</v>
      </c>
    </row>
    <row r="85" spans="1:4" x14ac:dyDescent="0.3">
      <c r="A85">
        <v>83</v>
      </c>
      <c r="B85">
        <v>94.5</v>
      </c>
      <c r="C85">
        <f t="shared" si="1"/>
        <v>70.5</v>
      </c>
      <c r="D85">
        <v>-0.16109977446031701</v>
      </c>
    </row>
    <row r="86" spans="1:4" x14ac:dyDescent="0.3">
      <c r="A86">
        <v>84</v>
      </c>
      <c r="B86">
        <v>94</v>
      </c>
      <c r="C86">
        <f t="shared" si="1"/>
        <v>70</v>
      </c>
      <c r="D86">
        <v>-0.10741715451957499</v>
      </c>
    </row>
    <row r="87" spans="1:4" x14ac:dyDescent="0.3">
      <c r="A87">
        <v>85</v>
      </c>
      <c r="B87">
        <v>93</v>
      </c>
      <c r="C87">
        <f t="shared" si="1"/>
        <v>69</v>
      </c>
      <c r="D87">
        <v>-0.107434464976364</v>
      </c>
    </row>
    <row r="88" spans="1:4" x14ac:dyDescent="0.3">
      <c r="A88">
        <v>86</v>
      </c>
      <c r="B88">
        <v>92</v>
      </c>
      <c r="C88">
        <f t="shared" si="1"/>
        <v>68</v>
      </c>
      <c r="D88">
        <v>-0.107457554266064</v>
      </c>
    </row>
    <row r="89" spans="1:4" x14ac:dyDescent="0.3">
      <c r="A89">
        <v>87</v>
      </c>
      <c r="B89">
        <v>91.5</v>
      </c>
      <c r="C89">
        <f t="shared" si="1"/>
        <v>67.5</v>
      </c>
      <c r="D89">
        <v>-0.161177671519906</v>
      </c>
    </row>
    <row r="90" spans="1:4" x14ac:dyDescent="0.3">
      <c r="A90">
        <v>88</v>
      </c>
      <c r="B90">
        <v>90.5</v>
      </c>
      <c r="C90">
        <f t="shared" si="1"/>
        <v>66.5</v>
      </c>
      <c r="D90">
        <v>-0.161177671519906</v>
      </c>
    </row>
    <row r="91" spans="1:4" x14ac:dyDescent="0.3">
      <c r="A91">
        <v>89</v>
      </c>
      <c r="B91">
        <v>89.5</v>
      </c>
      <c r="C91">
        <f t="shared" si="1"/>
        <v>65.5</v>
      </c>
      <c r="D91">
        <v>-0.161160354552777</v>
      </c>
    </row>
    <row r="92" spans="1:4" x14ac:dyDescent="0.3">
      <c r="A92">
        <v>90</v>
      </c>
      <c r="B92">
        <v>89</v>
      </c>
      <c r="C92">
        <f t="shared" si="1"/>
        <v>65</v>
      </c>
      <c r="D92">
        <v>-0.10744600838078799</v>
      </c>
    </row>
    <row r="93" spans="1:4" x14ac:dyDescent="0.3">
      <c r="A93">
        <v>91</v>
      </c>
      <c r="B93">
        <v>88</v>
      </c>
      <c r="C93">
        <f t="shared" si="1"/>
        <v>64</v>
      </c>
      <c r="D93">
        <v>-0.10745178101327101</v>
      </c>
    </row>
    <row r="94" spans="1:4" x14ac:dyDescent="0.3">
      <c r="A94">
        <v>92</v>
      </c>
      <c r="B94">
        <v>98</v>
      </c>
      <c r="C94">
        <f t="shared" si="1"/>
        <v>74</v>
      </c>
      <c r="D94">
        <v>-0.10745178101327101</v>
      </c>
    </row>
    <row r="95" spans="1:4" x14ac:dyDescent="0.3">
      <c r="A95">
        <v>93</v>
      </c>
      <c r="B95">
        <v>97.5</v>
      </c>
      <c r="C95">
        <f t="shared" si="1"/>
        <v>73.5</v>
      </c>
      <c r="D95">
        <v>-0.161160354552777</v>
      </c>
    </row>
    <row r="96" spans="1:4" x14ac:dyDescent="0.3">
      <c r="A96">
        <v>94</v>
      </c>
      <c r="B96">
        <v>96.5</v>
      </c>
      <c r="C96">
        <f t="shared" si="1"/>
        <v>72.5</v>
      </c>
      <c r="D96">
        <v>-0.16116035455278099</v>
      </c>
    </row>
    <row r="97" spans="1:4" x14ac:dyDescent="0.3">
      <c r="A97">
        <v>95</v>
      </c>
      <c r="B97">
        <v>95.5</v>
      </c>
      <c r="C97">
        <f t="shared" si="1"/>
        <v>71.5</v>
      </c>
      <c r="D97">
        <v>-0.161160354552777</v>
      </c>
    </row>
    <row r="98" spans="1:4" x14ac:dyDescent="0.3">
      <c r="A98">
        <v>96</v>
      </c>
      <c r="B98">
        <v>95</v>
      </c>
      <c r="C98">
        <f t="shared" si="1"/>
        <v>71</v>
      </c>
      <c r="D98">
        <v>-0.107422924051993</v>
      </c>
    </row>
    <row r="99" spans="1:4" x14ac:dyDescent="0.3">
      <c r="A99">
        <v>97</v>
      </c>
      <c r="B99">
        <v>94</v>
      </c>
      <c r="C99">
        <f t="shared" si="1"/>
        <v>70</v>
      </c>
      <c r="D99">
        <v>-0.10742869420421999</v>
      </c>
    </row>
    <row r="100" spans="1:4" x14ac:dyDescent="0.3">
      <c r="A100">
        <v>98</v>
      </c>
      <c r="B100">
        <v>93</v>
      </c>
      <c r="C100">
        <f t="shared" si="1"/>
        <v>69</v>
      </c>
      <c r="D100">
        <v>-0.10741138560687399</v>
      </c>
    </row>
    <row r="101" spans="1:4" x14ac:dyDescent="0.3">
      <c r="A101">
        <v>99</v>
      </c>
      <c r="B101">
        <v>92.5</v>
      </c>
      <c r="C101">
        <f t="shared" si="1"/>
        <v>68.5</v>
      </c>
      <c r="D101">
        <v>-0.16113438607798899</v>
      </c>
    </row>
    <row r="102" spans="1:4" x14ac:dyDescent="0.3">
      <c r="A102">
        <v>100</v>
      </c>
      <c r="B102">
        <v>92</v>
      </c>
      <c r="C102">
        <f t="shared" si="1"/>
        <v>68</v>
      </c>
      <c r="D102">
        <v>-0.10741138560687399</v>
      </c>
    </row>
    <row r="103" spans="1:4" x14ac:dyDescent="0.3">
      <c r="A103">
        <v>101</v>
      </c>
      <c r="B103">
        <v>91</v>
      </c>
      <c r="C103">
        <f t="shared" si="1"/>
        <v>67</v>
      </c>
      <c r="D103">
        <v>-0.10741715451957499</v>
      </c>
    </row>
    <row r="104" spans="1:4" x14ac:dyDescent="0.3">
      <c r="A104">
        <v>102</v>
      </c>
      <c r="B104">
        <v>90</v>
      </c>
      <c r="C104">
        <f t="shared" si="1"/>
        <v>66</v>
      </c>
      <c r="D104">
        <v>-0.107428694204223</v>
      </c>
    </row>
    <row r="105" spans="1:4" x14ac:dyDescent="0.3">
      <c r="A105">
        <v>103</v>
      </c>
      <c r="B105">
        <v>89.5</v>
      </c>
      <c r="C105">
        <f t="shared" si="1"/>
        <v>65.5</v>
      </c>
      <c r="D105">
        <v>-0.161177671519902</v>
      </c>
    </row>
    <row r="106" spans="1:4" x14ac:dyDescent="0.3">
      <c r="A106">
        <v>104</v>
      </c>
      <c r="B106">
        <v>98</v>
      </c>
      <c r="C106">
        <f t="shared" si="1"/>
        <v>74</v>
      </c>
      <c r="D106">
        <v>-0.107428694204223</v>
      </c>
    </row>
    <row r="107" spans="1:4" x14ac:dyDescent="0.3">
      <c r="A107">
        <v>105</v>
      </c>
      <c r="B107">
        <v>98</v>
      </c>
      <c r="C107">
        <f t="shared" si="1"/>
        <v>74</v>
      </c>
      <c r="D107">
        <v>-0.107428694204223</v>
      </c>
    </row>
    <row r="108" spans="1:4" x14ac:dyDescent="0.3">
      <c r="A108">
        <v>106</v>
      </c>
      <c r="B108">
        <v>97</v>
      </c>
      <c r="C108">
        <f t="shared" si="1"/>
        <v>73</v>
      </c>
      <c r="D108">
        <v>-0.107434464976364</v>
      </c>
    </row>
    <row r="109" spans="1:4" x14ac:dyDescent="0.3">
      <c r="A109">
        <v>107</v>
      </c>
      <c r="B109">
        <v>96</v>
      </c>
      <c r="C109">
        <f t="shared" si="1"/>
        <v>72</v>
      </c>
      <c r="D109">
        <v>-0.107422924051993</v>
      </c>
    </row>
    <row r="110" spans="1:4" x14ac:dyDescent="0.3">
      <c r="A110">
        <v>108</v>
      </c>
      <c r="B110">
        <v>95.5</v>
      </c>
      <c r="C110">
        <f t="shared" si="1"/>
        <v>71.5</v>
      </c>
      <c r="D110">
        <v>-0.161160354552777</v>
      </c>
    </row>
    <row r="111" spans="1:4" x14ac:dyDescent="0.3">
      <c r="A111">
        <v>109</v>
      </c>
      <c r="B111">
        <v>94.5</v>
      </c>
      <c r="C111">
        <f t="shared" si="1"/>
        <v>70.5</v>
      </c>
      <c r="D111">
        <v>-0.161143041306331</v>
      </c>
    </row>
    <row r="112" spans="1:4" x14ac:dyDescent="0.3">
      <c r="A112">
        <v>110</v>
      </c>
      <c r="B112">
        <v>94</v>
      </c>
      <c r="C112">
        <f t="shared" si="1"/>
        <v>70</v>
      </c>
      <c r="D112">
        <v>-0.107434464976364</v>
      </c>
    </row>
    <row r="113" spans="1:4" x14ac:dyDescent="0.3">
      <c r="A113">
        <v>111</v>
      </c>
      <c r="B113">
        <v>93</v>
      </c>
      <c r="C113">
        <f t="shared" si="1"/>
        <v>69</v>
      </c>
      <c r="D113">
        <v>-0.10741715451957499</v>
      </c>
    </row>
    <row r="114" spans="1:4" x14ac:dyDescent="0.3">
      <c r="A114">
        <v>112</v>
      </c>
      <c r="B114">
        <v>92</v>
      </c>
      <c r="C114">
        <f t="shared" si="1"/>
        <v>68</v>
      </c>
      <c r="D114">
        <v>-0.10745178101327101</v>
      </c>
    </row>
    <row r="115" spans="1:4" x14ac:dyDescent="0.3">
      <c r="A115">
        <v>113</v>
      </c>
      <c r="B115">
        <v>91.5</v>
      </c>
      <c r="C115">
        <f t="shared" si="1"/>
        <v>67.5</v>
      </c>
      <c r="D115">
        <v>-0.16113438607798899</v>
      </c>
    </row>
    <row r="116" spans="1:4" x14ac:dyDescent="0.3">
      <c r="A116">
        <v>114</v>
      </c>
      <c r="B116">
        <v>90.5</v>
      </c>
      <c r="C116">
        <f t="shared" si="1"/>
        <v>66.5</v>
      </c>
      <c r="D116">
        <v>-0.16116035455278099</v>
      </c>
    </row>
    <row r="117" spans="1:4" x14ac:dyDescent="0.3">
      <c r="A117">
        <v>115</v>
      </c>
      <c r="B117">
        <v>90</v>
      </c>
      <c r="C117">
        <f t="shared" si="1"/>
        <v>66</v>
      </c>
      <c r="D117">
        <v>-0.107422924051993</v>
      </c>
    </row>
    <row r="118" spans="1:4" x14ac:dyDescent="0.3">
      <c r="A118">
        <v>116</v>
      </c>
      <c r="B118">
        <v>98</v>
      </c>
      <c r="C118">
        <f t="shared" si="1"/>
        <v>74</v>
      </c>
      <c r="D118">
        <v>-0.10744600838078799</v>
      </c>
    </row>
    <row r="119" spans="1:4" x14ac:dyDescent="0.3">
      <c r="A119">
        <v>117</v>
      </c>
      <c r="B119">
        <v>98</v>
      </c>
      <c r="C119">
        <f t="shared" si="1"/>
        <v>74</v>
      </c>
      <c r="D119">
        <v>-0.107457554266064</v>
      </c>
    </row>
    <row r="120" spans="1:4" x14ac:dyDescent="0.3">
      <c r="A120">
        <v>118</v>
      </c>
      <c r="B120">
        <v>97</v>
      </c>
      <c r="C120">
        <f t="shared" si="1"/>
        <v>73</v>
      </c>
      <c r="D120">
        <v>-0.10745178101327101</v>
      </c>
    </row>
    <row r="121" spans="1:4" x14ac:dyDescent="0.3">
      <c r="A121">
        <v>119</v>
      </c>
      <c r="B121">
        <v>96</v>
      </c>
      <c r="C121">
        <f t="shared" si="1"/>
        <v>72</v>
      </c>
      <c r="D121">
        <v>-0.10744600838078799</v>
      </c>
    </row>
    <row r="122" spans="1:4" x14ac:dyDescent="0.3">
      <c r="A122">
        <v>120</v>
      </c>
      <c r="B122">
        <v>95.5</v>
      </c>
      <c r="C122">
        <f t="shared" si="1"/>
        <v>71.5</v>
      </c>
      <c r="D122">
        <v>-0.161177671519902</v>
      </c>
    </row>
    <row r="123" spans="1:4" x14ac:dyDescent="0.3">
      <c r="A123">
        <v>121</v>
      </c>
      <c r="B123">
        <v>94.5</v>
      </c>
      <c r="C123">
        <f t="shared" si="1"/>
        <v>70.5</v>
      </c>
      <c r="D123">
        <v>-0.161177671519906</v>
      </c>
    </row>
    <row r="124" spans="1:4" x14ac:dyDescent="0.3">
      <c r="A124">
        <v>122</v>
      </c>
      <c r="B124">
        <v>94</v>
      </c>
      <c r="C124">
        <f t="shared" si="1"/>
        <v>70</v>
      </c>
      <c r="D124">
        <v>-0.10745178101327101</v>
      </c>
    </row>
    <row r="125" spans="1:4" x14ac:dyDescent="0.3">
      <c r="A125">
        <v>123</v>
      </c>
      <c r="B125">
        <v>93</v>
      </c>
      <c r="C125">
        <f t="shared" si="1"/>
        <v>69</v>
      </c>
      <c r="D125">
        <v>-0.107440236368521</v>
      </c>
    </row>
    <row r="126" spans="1:4" x14ac:dyDescent="0.3">
      <c r="A126">
        <v>124</v>
      </c>
      <c r="B126">
        <v>92</v>
      </c>
      <c r="C126">
        <f t="shared" si="1"/>
        <v>68</v>
      </c>
      <c r="D126">
        <v>-0.107457554266064</v>
      </c>
    </row>
    <row r="127" spans="1:4" x14ac:dyDescent="0.3">
      <c r="A127">
        <v>125</v>
      </c>
      <c r="B127">
        <v>92</v>
      </c>
      <c r="C127">
        <f t="shared" si="1"/>
        <v>68</v>
      </c>
      <c r="D127">
        <v>-0.107469102632992</v>
      </c>
    </row>
    <row r="128" spans="1:4" x14ac:dyDescent="0.3">
      <c r="A128">
        <v>126</v>
      </c>
      <c r="B128">
        <v>90.5</v>
      </c>
      <c r="C128">
        <f t="shared" si="1"/>
        <v>66.5</v>
      </c>
      <c r="D128">
        <v>-0.16119499220890901</v>
      </c>
    </row>
    <row r="129" spans="1:4" x14ac:dyDescent="0.3">
      <c r="A129">
        <v>127</v>
      </c>
      <c r="B129">
        <v>90</v>
      </c>
      <c r="C129">
        <f t="shared" si="1"/>
        <v>66</v>
      </c>
      <c r="D129">
        <v>-0.107457554266064</v>
      </c>
    </row>
    <row r="130" spans="1:4" x14ac:dyDescent="0.3">
      <c r="A130">
        <v>128</v>
      </c>
      <c r="B130">
        <v>89.5</v>
      </c>
      <c r="C130">
        <f t="shared" si="1"/>
        <v>65.5</v>
      </c>
      <c r="D130">
        <v>-0.161151697464546</v>
      </c>
    </row>
    <row r="131" spans="1:4" x14ac:dyDescent="0.3">
      <c r="A131">
        <v>129</v>
      </c>
      <c r="B131">
        <v>98</v>
      </c>
      <c r="C131">
        <f t="shared" ref="C131:C194" si="2">B131-24</f>
        <v>74</v>
      </c>
      <c r="D131">
        <v>-0.10746332813927301</v>
      </c>
    </row>
    <row r="132" spans="1:4" x14ac:dyDescent="0.3">
      <c r="A132">
        <v>130</v>
      </c>
      <c r="B132">
        <v>98</v>
      </c>
      <c r="C132">
        <f t="shared" si="2"/>
        <v>74</v>
      </c>
      <c r="D132">
        <v>-0.107434464976364</v>
      </c>
    </row>
    <row r="133" spans="1:4" x14ac:dyDescent="0.3">
      <c r="A133">
        <v>131</v>
      </c>
      <c r="B133">
        <v>97</v>
      </c>
      <c r="C133">
        <f t="shared" si="2"/>
        <v>73</v>
      </c>
      <c r="D133">
        <v>-0.107434464976364</v>
      </c>
    </row>
    <row r="134" spans="1:4" x14ac:dyDescent="0.3">
      <c r="A134">
        <v>132</v>
      </c>
      <c r="B134">
        <v>96</v>
      </c>
      <c r="C134">
        <f t="shared" si="2"/>
        <v>72</v>
      </c>
      <c r="D134">
        <v>-0.107394082586049</v>
      </c>
    </row>
    <row r="135" spans="1:4" x14ac:dyDescent="0.3">
      <c r="A135">
        <v>133</v>
      </c>
      <c r="B135">
        <v>95.5</v>
      </c>
      <c r="C135">
        <f t="shared" si="2"/>
        <v>71.5</v>
      </c>
      <c r="D135">
        <v>-0.16110842597067701</v>
      </c>
    </row>
    <row r="136" spans="1:4" x14ac:dyDescent="0.3">
      <c r="A136">
        <v>134</v>
      </c>
      <c r="B136">
        <v>94.5</v>
      </c>
      <c r="C136">
        <f t="shared" si="2"/>
        <v>70.5</v>
      </c>
      <c r="D136">
        <v>-0.16112573177936301</v>
      </c>
    </row>
    <row r="137" spans="1:4" x14ac:dyDescent="0.3">
      <c r="A137">
        <v>135</v>
      </c>
      <c r="B137">
        <v>94</v>
      </c>
      <c r="C137">
        <f t="shared" si="2"/>
        <v>70</v>
      </c>
      <c r="D137">
        <v>-0.10744600838078799</v>
      </c>
    </row>
    <row r="138" spans="1:4" x14ac:dyDescent="0.3">
      <c r="A138">
        <v>136</v>
      </c>
      <c r="B138">
        <v>93</v>
      </c>
      <c r="C138">
        <f t="shared" si="2"/>
        <v>69</v>
      </c>
      <c r="D138">
        <v>-0.107457554266064</v>
      </c>
    </row>
    <row r="139" spans="1:4" x14ac:dyDescent="0.3">
      <c r="A139">
        <v>137</v>
      </c>
      <c r="B139">
        <v>91.5</v>
      </c>
      <c r="C139">
        <f t="shared" si="2"/>
        <v>67.5</v>
      </c>
      <c r="D139">
        <v>-0.120875135984528</v>
      </c>
    </row>
    <row r="140" spans="1:4" x14ac:dyDescent="0.3">
      <c r="A140">
        <v>138</v>
      </c>
      <c r="B140">
        <v>98</v>
      </c>
      <c r="C140">
        <f t="shared" si="2"/>
        <v>74</v>
      </c>
      <c r="D140">
        <v>-0.10740561731378399</v>
      </c>
    </row>
    <row r="141" spans="1:4" x14ac:dyDescent="0.3">
      <c r="A141">
        <v>139</v>
      </c>
      <c r="B141">
        <v>97.5</v>
      </c>
      <c r="C141">
        <f t="shared" si="2"/>
        <v>73.5</v>
      </c>
      <c r="D141">
        <v>-0.120850789558491</v>
      </c>
    </row>
    <row r="142" spans="1:4" x14ac:dyDescent="0.3">
      <c r="A142">
        <v>140</v>
      </c>
      <c r="B142">
        <v>96.5</v>
      </c>
      <c r="C142">
        <f t="shared" si="2"/>
        <v>72.5</v>
      </c>
      <c r="D142">
        <v>-0.120860526951899</v>
      </c>
    </row>
    <row r="143" spans="1:4" x14ac:dyDescent="0.3">
      <c r="A143">
        <v>141</v>
      </c>
      <c r="B143">
        <v>95.5</v>
      </c>
      <c r="C143">
        <f t="shared" si="2"/>
        <v>71.5</v>
      </c>
      <c r="D143">
        <v>-0.120860526951896</v>
      </c>
    </row>
    <row r="144" spans="1:4" x14ac:dyDescent="0.3">
      <c r="A144">
        <v>142</v>
      </c>
      <c r="B144">
        <v>94.5</v>
      </c>
      <c r="C144">
        <f t="shared" si="2"/>
        <v>70.5</v>
      </c>
      <c r="D144">
        <v>-0.161117078410312</v>
      </c>
    </row>
    <row r="145" spans="1:4" x14ac:dyDescent="0.3">
      <c r="A145">
        <v>143</v>
      </c>
      <c r="B145">
        <v>93.5</v>
      </c>
      <c r="C145">
        <f t="shared" si="2"/>
        <v>69.5</v>
      </c>
      <c r="D145">
        <v>-0.16112573177936301</v>
      </c>
    </row>
    <row r="146" spans="1:4" x14ac:dyDescent="0.3">
      <c r="A146">
        <v>144</v>
      </c>
      <c r="B146">
        <v>93</v>
      </c>
      <c r="C146">
        <f t="shared" si="2"/>
        <v>69</v>
      </c>
      <c r="D146">
        <v>-0.107440236368521</v>
      </c>
    </row>
    <row r="147" spans="1:4" x14ac:dyDescent="0.3">
      <c r="A147">
        <v>145</v>
      </c>
      <c r="B147">
        <v>92</v>
      </c>
      <c r="C147">
        <f t="shared" si="2"/>
        <v>68</v>
      </c>
      <c r="D147">
        <v>-0.107457554266064</v>
      </c>
    </row>
    <row r="148" spans="1:4" x14ac:dyDescent="0.3">
      <c r="A148">
        <v>146</v>
      </c>
      <c r="B148">
        <v>91.5</v>
      </c>
      <c r="C148">
        <f t="shared" si="2"/>
        <v>67.5</v>
      </c>
      <c r="D148">
        <v>-5.3711462025996498E-2</v>
      </c>
    </row>
    <row r="149" spans="1:4" x14ac:dyDescent="0.3">
      <c r="A149">
        <v>147</v>
      </c>
      <c r="B149">
        <v>90.5</v>
      </c>
      <c r="C149">
        <f t="shared" si="2"/>
        <v>66.5</v>
      </c>
      <c r="D149">
        <v>-0.16113438607798899</v>
      </c>
    </row>
    <row r="150" spans="1:4" x14ac:dyDescent="0.3">
      <c r="A150">
        <v>148</v>
      </c>
      <c r="B150">
        <v>90</v>
      </c>
      <c r="C150">
        <f t="shared" si="2"/>
        <v>66</v>
      </c>
      <c r="D150">
        <v>-0.10742869420421999</v>
      </c>
    </row>
    <row r="151" spans="1:4" x14ac:dyDescent="0.3">
      <c r="A151">
        <v>149</v>
      </c>
      <c r="B151">
        <v>89.5</v>
      </c>
      <c r="C151">
        <f t="shared" si="2"/>
        <v>65.5</v>
      </c>
      <c r="D151">
        <v>-0.16118633139909599</v>
      </c>
    </row>
    <row r="152" spans="1:4" x14ac:dyDescent="0.3">
      <c r="A152">
        <v>150</v>
      </c>
      <c r="B152">
        <v>98</v>
      </c>
      <c r="C152">
        <f t="shared" si="2"/>
        <v>74</v>
      </c>
      <c r="D152">
        <v>-0.10742869420421999</v>
      </c>
    </row>
    <row r="153" spans="1:4" x14ac:dyDescent="0.3">
      <c r="A153">
        <v>151</v>
      </c>
      <c r="B153">
        <v>98</v>
      </c>
      <c r="C153">
        <f t="shared" si="2"/>
        <v>74</v>
      </c>
      <c r="D153">
        <v>-0.10740561731378701</v>
      </c>
    </row>
    <row r="154" spans="1:4" x14ac:dyDescent="0.3">
      <c r="A154">
        <v>152</v>
      </c>
      <c r="B154">
        <v>97</v>
      </c>
      <c r="C154">
        <f t="shared" si="2"/>
        <v>73</v>
      </c>
      <c r="D154">
        <v>-0.10740561731378399</v>
      </c>
    </row>
    <row r="155" spans="1:4" x14ac:dyDescent="0.3">
      <c r="A155">
        <v>153</v>
      </c>
      <c r="B155">
        <v>96</v>
      </c>
      <c r="C155">
        <f t="shared" si="2"/>
        <v>72</v>
      </c>
      <c r="D155">
        <v>-0.107428694204223</v>
      </c>
    </row>
    <row r="156" spans="1:4" x14ac:dyDescent="0.3">
      <c r="A156">
        <v>154</v>
      </c>
      <c r="B156">
        <v>95.5</v>
      </c>
      <c r="C156">
        <f t="shared" si="2"/>
        <v>71.5</v>
      </c>
      <c r="D156">
        <v>-0.161177671519902</v>
      </c>
    </row>
    <row r="157" spans="1:4" x14ac:dyDescent="0.3">
      <c r="A157">
        <v>155</v>
      </c>
      <c r="B157">
        <v>94.5</v>
      </c>
      <c r="C157">
        <f t="shared" si="2"/>
        <v>70.5</v>
      </c>
      <c r="D157">
        <v>-0.16118633139909999</v>
      </c>
    </row>
    <row r="158" spans="1:4" x14ac:dyDescent="0.3">
      <c r="A158">
        <v>156</v>
      </c>
      <c r="B158">
        <v>94</v>
      </c>
      <c r="C158">
        <f t="shared" si="2"/>
        <v>70</v>
      </c>
      <c r="D158">
        <v>-0.107434464976364</v>
      </c>
    </row>
    <row r="159" spans="1:4" x14ac:dyDescent="0.3">
      <c r="A159">
        <v>157</v>
      </c>
      <c r="B159">
        <v>93</v>
      </c>
      <c r="C159">
        <f t="shared" si="2"/>
        <v>69</v>
      </c>
      <c r="D159">
        <v>-0.107428694204223</v>
      </c>
    </row>
    <row r="160" spans="1:4" x14ac:dyDescent="0.3">
      <c r="A160">
        <v>158</v>
      </c>
      <c r="B160">
        <v>92</v>
      </c>
      <c r="C160">
        <f t="shared" si="2"/>
        <v>68</v>
      </c>
      <c r="D160">
        <v>-0.10742292405199</v>
      </c>
    </row>
    <row r="161" spans="1:4" x14ac:dyDescent="0.3">
      <c r="A161">
        <v>159</v>
      </c>
      <c r="B161">
        <v>98</v>
      </c>
      <c r="C161">
        <f t="shared" si="2"/>
        <v>74</v>
      </c>
      <c r="D161">
        <v>-0.107422924051993</v>
      </c>
    </row>
    <row r="162" spans="1:4" x14ac:dyDescent="0.3">
      <c r="A162">
        <v>160</v>
      </c>
      <c r="B162">
        <v>98</v>
      </c>
      <c r="C162">
        <f t="shared" si="2"/>
        <v>74</v>
      </c>
      <c r="D162">
        <v>-0.107422924051993</v>
      </c>
    </row>
    <row r="163" spans="1:4" x14ac:dyDescent="0.3">
      <c r="A163">
        <v>161</v>
      </c>
      <c r="B163">
        <v>97</v>
      </c>
      <c r="C163">
        <f t="shared" si="2"/>
        <v>73</v>
      </c>
      <c r="D163">
        <v>-0.10744600838078799</v>
      </c>
    </row>
    <row r="164" spans="1:4" x14ac:dyDescent="0.3">
      <c r="A164">
        <v>162</v>
      </c>
      <c r="B164">
        <v>96</v>
      </c>
      <c r="C164">
        <f t="shared" si="2"/>
        <v>72</v>
      </c>
      <c r="D164">
        <v>-0.107469102632992</v>
      </c>
    </row>
    <row r="165" spans="1:4" x14ac:dyDescent="0.3">
      <c r="A165">
        <v>163</v>
      </c>
      <c r="B165">
        <v>95.5</v>
      </c>
      <c r="C165">
        <f t="shared" si="2"/>
        <v>71.5</v>
      </c>
      <c r="D165">
        <v>-0.16121231662099</v>
      </c>
    </row>
    <row r="166" spans="1:4" x14ac:dyDescent="0.3">
      <c r="A166">
        <v>164</v>
      </c>
      <c r="B166">
        <v>94.5</v>
      </c>
      <c r="C166">
        <f t="shared" si="2"/>
        <v>70.5</v>
      </c>
      <c r="D166">
        <v>-0.161151697464546</v>
      </c>
    </row>
    <row r="167" spans="1:4" x14ac:dyDescent="0.3">
      <c r="A167">
        <v>165</v>
      </c>
      <c r="B167">
        <v>94</v>
      </c>
      <c r="C167">
        <f t="shared" si="2"/>
        <v>70</v>
      </c>
      <c r="D167">
        <v>-0.10741138560687399</v>
      </c>
    </row>
    <row r="168" spans="1:4" x14ac:dyDescent="0.3">
      <c r="A168">
        <v>166</v>
      </c>
      <c r="B168">
        <v>93</v>
      </c>
      <c r="C168">
        <f t="shared" si="2"/>
        <v>69</v>
      </c>
      <c r="D168">
        <v>-0.107399849640208</v>
      </c>
    </row>
    <row r="169" spans="1:4" x14ac:dyDescent="0.3">
      <c r="A169">
        <v>167</v>
      </c>
      <c r="B169">
        <v>92</v>
      </c>
      <c r="C169">
        <f t="shared" si="2"/>
        <v>68</v>
      </c>
      <c r="D169">
        <v>-8.0557457606638599E-2</v>
      </c>
    </row>
    <row r="170" spans="1:4" x14ac:dyDescent="0.3">
      <c r="A170">
        <v>168</v>
      </c>
      <c r="B170">
        <v>91</v>
      </c>
      <c r="C170">
        <f t="shared" si="2"/>
        <v>67</v>
      </c>
      <c r="D170">
        <v>-0.161134386077988</v>
      </c>
    </row>
    <row r="171" spans="1:4" x14ac:dyDescent="0.3">
      <c r="A171">
        <v>169</v>
      </c>
      <c r="B171">
        <v>90.5</v>
      </c>
      <c r="C171">
        <f t="shared" si="2"/>
        <v>66.5</v>
      </c>
      <c r="D171">
        <v>-0.120855658059058</v>
      </c>
    </row>
    <row r="172" spans="1:4" x14ac:dyDescent="0.3">
      <c r="A172">
        <v>170</v>
      </c>
      <c r="B172">
        <v>89.5</v>
      </c>
      <c r="C172">
        <f t="shared" si="2"/>
        <v>65.5</v>
      </c>
      <c r="D172">
        <v>-0.161177671519902</v>
      </c>
    </row>
    <row r="173" spans="1:4" x14ac:dyDescent="0.3">
      <c r="A173">
        <v>171</v>
      </c>
      <c r="B173">
        <v>98</v>
      </c>
      <c r="C173">
        <f t="shared" si="2"/>
        <v>74</v>
      </c>
      <c r="D173">
        <v>-0.10745178101326799</v>
      </c>
    </row>
    <row r="174" spans="1:4" x14ac:dyDescent="0.3">
      <c r="A174">
        <v>172</v>
      </c>
      <c r="B174">
        <v>97.5</v>
      </c>
      <c r="C174">
        <f t="shared" si="2"/>
        <v>73.5</v>
      </c>
      <c r="D174">
        <v>-0.161160354552777</v>
      </c>
    </row>
    <row r="175" spans="1:4" x14ac:dyDescent="0.3">
      <c r="A175">
        <v>173</v>
      </c>
      <c r="B175">
        <v>97</v>
      </c>
      <c r="C175">
        <f t="shared" si="2"/>
        <v>73</v>
      </c>
      <c r="D175">
        <v>-0.107428694204223</v>
      </c>
    </row>
    <row r="176" spans="1:4" x14ac:dyDescent="0.3">
      <c r="A176">
        <v>174</v>
      </c>
      <c r="B176">
        <v>96</v>
      </c>
      <c r="C176">
        <f t="shared" si="2"/>
        <v>72</v>
      </c>
      <c r="D176">
        <v>-0.107428694204223</v>
      </c>
    </row>
    <row r="177" spans="1:4" x14ac:dyDescent="0.3">
      <c r="A177">
        <v>175</v>
      </c>
      <c r="B177">
        <v>95</v>
      </c>
      <c r="C177">
        <f t="shared" si="2"/>
        <v>71</v>
      </c>
      <c r="D177">
        <v>-0.10742869420421999</v>
      </c>
    </row>
    <row r="178" spans="1:4" x14ac:dyDescent="0.3">
      <c r="A178">
        <v>176</v>
      </c>
      <c r="B178">
        <v>94.5</v>
      </c>
      <c r="C178">
        <f t="shared" si="2"/>
        <v>70.5</v>
      </c>
      <c r="D178">
        <v>-0.161177671519902</v>
      </c>
    </row>
    <row r="179" spans="1:4" x14ac:dyDescent="0.3">
      <c r="A179">
        <v>177</v>
      </c>
      <c r="B179">
        <v>93.5</v>
      </c>
      <c r="C179">
        <f t="shared" si="2"/>
        <v>69.5</v>
      </c>
      <c r="D179">
        <v>-0.16118633139909599</v>
      </c>
    </row>
    <row r="180" spans="1:4" x14ac:dyDescent="0.3">
      <c r="A180">
        <v>178</v>
      </c>
      <c r="B180">
        <v>93</v>
      </c>
      <c r="C180">
        <f t="shared" si="2"/>
        <v>69</v>
      </c>
      <c r="D180">
        <v>-0.10746332813927301</v>
      </c>
    </row>
    <row r="181" spans="1:4" x14ac:dyDescent="0.3">
      <c r="A181">
        <v>179</v>
      </c>
      <c r="B181">
        <v>92</v>
      </c>
      <c r="C181">
        <f t="shared" si="2"/>
        <v>68</v>
      </c>
      <c r="D181">
        <v>-0.107428694204223</v>
      </c>
    </row>
    <row r="182" spans="1:4" x14ac:dyDescent="0.3">
      <c r="A182">
        <v>180</v>
      </c>
      <c r="B182">
        <v>91</v>
      </c>
      <c r="C182">
        <f t="shared" si="2"/>
        <v>67</v>
      </c>
      <c r="D182">
        <v>-0.10741138560687399</v>
      </c>
    </row>
    <row r="183" spans="1:4" x14ac:dyDescent="0.3">
      <c r="A183">
        <v>181</v>
      </c>
      <c r="B183">
        <v>90.5</v>
      </c>
      <c r="C183">
        <f t="shared" si="2"/>
        <v>66.5</v>
      </c>
      <c r="D183">
        <v>-0.16112573177936701</v>
      </c>
    </row>
    <row r="184" spans="1:4" x14ac:dyDescent="0.3">
      <c r="A184">
        <v>182</v>
      </c>
      <c r="B184">
        <v>89.5</v>
      </c>
      <c r="C184">
        <f t="shared" si="2"/>
        <v>65.5</v>
      </c>
      <c r="D184">
        <v>-0.161151697464546</v>
      </c>
    </row>
    <row r="185" spans="1:4" x14ac:dyDescent="0.3">
      <c r="A185">
        <v>183</v>
      </c>
      <c r="B185">
        <v>98</v>
      </c>
      <c r="C185">
        <f t="shared" si="2"/>
        <v>74</v>
      </c>
      <c r="D185">
        <v>-0.10741138560687399</v>
      </c>
    </row>
    <row r="186" spans="1:4" x14ac:dyDescent="0.3">
      <c r="A186">
        <v>184</v>
      </c>
      <c r="B186">
        <v>97</v>
      </c>
      <c r="C186">
        <f t="shared" si="2"/>
        <v>73</v>
      </c>
      <c r="D186">
        <v>-0.107434464976364</v>
      </c>
    </row>
    <row r="187" spans="1:4" x14ac:dyDescent="0.3">
      <c r="A187">
        <v>185</v>
      </c>
      <c r="B187">
        <v>96</v>
      </c>
      <c r="C187">
        <f t="shared" si="2"/>
        <v>72</v>
      </c>
      <c r="D187">
        <v>-0.10742869420421999</v>
      </c>
    </row>
    <row r="188" spans="1:4" x14ac:dyDescent="0.3">
      <c r="A188">
        <v>186</v>
      </c>
      <c r="B188">
        <v>95.5</v>
      </c>
      <c r="C188">
        <f t="shared" si="2"/>
        <v>71.5</v>
      </c>
      <c r="D188">
        <v>-0.16110842597067701</v>
      </c>
    </row>
    <row r="189" spans="1:4" x14ac:dyDescent="0.3">
      <c r="A189">
        <v>187</v>
      </c>
      <c r="B189">
        <v>94.5</v>
      </c>
      <c r="C189">
        <f t="shared" si="2"/>
        <v>70.5</v>
      </c>
      <c r="D189">
        <v>-0.161143041306335</v>
      </c>
    </row>
    <row r="190" spans="1:4" x14ac:dyDescent="0.3">
      <c r="A190">
        <v>188</v>
      </c>
      <c r="B190">
        <v>94</v>
      </c>
      <c r="C190">
        <f t="shared" si="2"/>
        <v>70</v>
      </c>
      <c r="D190">
        <v>-0.10740561731378399</v>
      </c>
    </row>
    <row r="191" spans="1:4" x14ac:dyDescent="0.3">
      <c r="A191">
        <v>189</v>
      </c>
      <c r="B191">
        <v>93</v>
      </c>
      <c r="C191">
        <f t="shared" si="2"/>
        <v>69</v>
      </c>
      <c r="D191">
        <v>-0.107428694204223</v>
      </c>
    </row>
    <row r="192" spans="1:4" x14ac:dyDescent="0.3">
      <c r="A192">
        <v>190</v>
      </c>
      <c r="B192">
        <v>92</v>
      </c>
      <c r="C192">
        <f t="shared" si="2"/>
        <v>68</v>
      </c>
      <c r="D192">
        <v>-0.10741138560687399</v>
      </c>
    </row>
    <row r="193" spans="1:4" x14ac:dyDescent="0.3">
      <c r="A193">
        <v>191</v>
      </c>
      <c r="B193">
        <v>92</v>
      </c>
      <c r="C193">
        <f t="shared" si="2"/>
        <v>68</v>
      </c>
      <c r="D193">
        <v>-0.107422924051993</v>
      </c>
    </row>
    <row r="194" spans="1:4" x14ac:dyDescent="0.3">
      <c r="A194">
        <v>192</v>
      </c>
      <c r="B194">
        <v>90.5</v>
      </c>
      <c r="C194">
        <f t="shared" si="2"/>
        <v>66.5</v>
      </c>
      <c r="D194">
        <v>-0.16113438607798899</v>
      </c>
    </row>
    <row r="195" spans="1:4" x14ac:dyDescent="0.3">
      <c r="A195">
        <v>193</v>
      </c>
      <c r="B195">
        <v>90</v>
      </c>
      <c r="C195">
        <f t="shared" ref="C195:C204" si="3">B195-24</f>
        <v>66</v>
      </c>
      <c r="D195">
        <v>-0.10742292405199</v>
      </c>
    </row>
    <row r="196" spans="1:4" x14ac:dyDescent="0.3">
      <c r="A196">
        <v>194</v>
      </c>
      <c r="B196">
        <v>89.5</v>
      </c>
      <c r="C196">
        <f t="shared" si="3"/>
        <v>65.5</v>
      </c>
      <c r="D196">
        <v>-0.16116035455278099</v>
      </c>
    </row>
    <row r="197" spans="1:4" x14ac:dyDescent="0.3">
      <c r="A197">
        <v>195</v>
      </c>
      <c r="B197">
        <v>276</v>
      </c>
      <c r="C197">
        <f t="shared" si="3"/>
        <v>252</v>
      </c>
      <c r="D197">
        <v>-1.9340281508542301</v>
      </c>
    </row>
    <row r="198" spans="1:4" x14ac:dyDescent="0.3">
      <c r="A198">
        <v>196</v>
      </c>
      <c r="B198">
        <v>264</v>
      </c>
      <c r="C198">
        <f t="shared" si="3"/>
        <v>240</v>
      </c>
      <c r="D198">
        <v>-1.8264840182648601</v>
      </c>
    </row>
    <row r="199" spans="1:4" x14ac:dyDescent="0.3">
      <c r="A199">
        <v>197</v>
      </c>
      <c r="B199">
        <v>253</v>
      </c>
      <c r="C199">
        <f t="shared" si="3"/>
        <v>229</v>
      </c>
      <c r="D199">
        <v>-1.7189514396218299</v>
      </c>
    </row>
    <row r="200" spans="1:4" x14ac:dyDescent="0.3">
      <c r="A200">
        <v>198</v>
      </c>
      <c r="B200">
        <v>242</v>
      </c>
      <c r="C200">
        <f t="shared" si="3"/>
        <v>218</v>
      </c>
      <c r="D200">
        <v>-1.7186744723131699</v>
      </c>
    </row>
    <row r="201" spans="1:4" x14ac:dyDescent="0.3">
      <c r="A201">
        <v>199</v>
      </c>
      <c r="B201">
        <v>232</v>
      </c>
      <c r="C201">
        <f t="shared" si="3"/>
        <v>208</v>
      </c>
      <c r="D201">
        <v>-1.61134386077985</v>
      </c>
    </row>
    <row r="202" spans="1:4" x14ac:dyDescent="0.3">
      <c r="A202">
        <v>200</v>
      </c>
      <c r="B202">
        <v>222.5</v>
      </c>
      <c r="C202">
        <f t="shared" si="3"/>
        <v>198.5</v>
      </c>
      <c r="D202">
        <v>-1.55813453685801</v>
      </c>
    </row>
    <row r="203" spans="1:4" x14ac:dyDescent="0.3">
      <c r="A203">
        <v>201</v>
      </c>
      <c r="B203">
        <v>213.5</v>
      </c>
      <c r="C203">
        <f t="shared" si="3"/>
        <v>189.5</v>
      </c>
      <c r="D203">
        <v>-1.34314726266592</v>
      </c>
    </row>
    <row r="204" spans="1:4" x14ac:dyDescent="0.3">
      <c r="A204">
        <v>202</v>
      </c>
      <c r="B204">
        <v>205</v>
      </c>
      <c r="C204">
        <f t="shared" si="3"/>
        <v>181</v>
      </c>
      <c r="D204">
        <v>-1.28942137215928</v>
      </c>
    </row>
    <row r="205" spans="1:4" x14ac:dyDescent="0.3">
      <c r="C205">
        <v>0</v>
      </c>
      <c r="D205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02A8-2D1E-4844-8E9E-32F2798889DB}">
  <dimension ref="A1:R31"/>
  <sheetViews>
    <sheetView tabSelected="1" topLeftCell="A9" workbookViewId="0">
      <selection activeCell="Q16" sqref="Q16"/>
    </sheetView>
  </sheetViews>
  <sheetFormatPr defaultRowHeight="14.4" x14ac:dyDescent="0.3"/>
  <cols>
    <col min="2" max="2" width="9.21875" style="46" customWidth="1"/>
    <col min="3" max="3" width="9.21875" style="94" customWidth="1"/>
    <col min="4" max="4" width="9.5546875" style="91" customWidth="1"/>
    <col min="5" max="5" width="8.88671875" style="15"/>
    <col min="6" max="6" width="8.88671875" style="42"/>
    <col min="7" max="7" width="8.88671875" style="81"/>
    <col min="8" max="8" width="9.44140625" style="86" customWidth="1"/>
    <col min="9" max="9" width="8.88671875" style="42"/>
    <col min="10" max="10" width="3.5546875" style="59" customWidth="1"/>
    <col min="11" max="11" width="8.88671875" style="80"/>
    <col min="12" max="12" width="8.88671875" style="81"/>
    <col min="13" max="13" width="10.33203125" style="42" customWidth="1"/>
    <col min="14" max="14" width="9.5546875" style="42" customWidth="1"/>
    <col min="15" max="15" width="8.88671875" style="48"/>
    <col min="16" max="17" width="8.88671875" style="42"/>
  </cols>
  <sheetData>
    <row r="1" spans="1:18" s="62" customFormat="1" ht="57.6" x14ac:dyDescent="0.3">
      <c r="A1" s="62" t="s">
        <v>333</v>
      </c>
      <c r="B1" s="63" t="s">
        <v>351</v>
      </c>
      <c r="C1" s="92" t="s">
        <v>352</v>
      </c>
      <c r="D1" s="87" t="s">
        <v>336</v>
      </c>
      <c r="E1" s="64" t="s">
        <v>334</v>
      </c>
      <c r="F1" s="66" t="s">
        <v>340</v>
      </c>
      <c r="G1" s="77" t="s">
        <v>341</v>
      </c>
      <c r="H1" s="83" t="s">
        <v>349</v>
      </c>
      <c r="I1" s="66" t="s">
        <v>339</v>
      </c>
      <c r="J1" s="67"/>
      <c r="K1" s="76" t="s">
        <v>337</v>
      </c>
      <c r="L1" s="77" t="s">
        <v>334</v>
      </c>
      <c r="M1" s="66" t="s">
        <v>343</v>
      </c>
      <c r="N1" s="66" t="s">
        <v>344</v>
      </c>
      <c r="O1" s="65" t="s">
        <v>346</v>
      </c>
      <c r="P1" s="66" t="s">
        <v>345</v>
      </c>
      <c r="Q1" s="66" t="s">
        <v>350</v>
      </c>
    </row>
    <row r="2" spans="1:18" s="68" customFormat="1" x14ac:dyDescent="0.3">
      <c r="A2">
        <v>80</v>
      </c>
      <c r="B2" s="69">
        <v>60</v>
      </c>
      <c r="C2" s="93">
        <v>25.633333332138136</v>
      </c>
      <c r="D2" s="70">
        <v>0.69870896700533125</v>
      </c>
      <c r="E2" s="75">
        <v>2.7751202420005699E-2</v>
      </c>
      <c r="F2" s="72">
        <v>9.5686042550912038</v>
      </c>
      <c r="G2" s="79">
        <v>8.869895288085873</v>
      </c>
      <c r="H2" s="84">
        <v>0.92989830232092463</v>
      </c>
      <c r="I2" s="72">
        <v>0.92697900881065631</v>
      </c>
      <c r="J2" s="73"/>
      <c r="K2" s="78">
        <v>3354.4730586224537</v>
      </c>
      <c r="L2" s="79">
        <v>10.8189904848727</v>
      </c>
      <c r="M2" s="70">
        <v>52330.458976689792</v>
      </c>
      <c r="N2" s="70">
        <v>48975.985918067337</v>
      </c>
      <c r="O2" s="71">
        <v>0.93480602782517364</v>
      </c>
      <c r="P2" s="72">
        <v>0.93589826796442432</v>
      </c>
      <c r="Q2" s="72">
        <v>0.14985015911649466</v>
      </c>
    </row>
    <row r="3" spans="1:18" s="68" customFormat="1" x14ac:dyDescent="0.3">
      <c r="A3">
        <v>80</v>
      </c>
      <c r="B3" s="69">
        <v>60</v>
      </c>
      <c r="C3" s="93">
        <v>61.266666665673256</v>
      </c>
      <c r="D3" s="70">
        <v>0.73613712763781691</v>
      </c>
      <c r="E3" s="75">
        <v>2.88816060093793E-2</v>
      </c>
      <c r="F3" s="72">
        <v>8.869895288085873</v>
      </c>
      <c r="G3" s="79">
        <v>8.1337581604480551</v>
      </c>
      <c r="H3" s="72">
        <v>0.92223049544155788</v>
      </c>
      <c r="I3" s="72">
        <v>0.91700723585467758</v>
      </c>
      <c r="J3" s="73"/>
      <c r="K3" s="78">
        <v>3616.7001481162956</v>
      </c>
      <c r="L3" s="79">
        <v>12.015492382986601</v>
      </c>
      <c r="M3" s="70">
        <v>48975.985918067337</v>
      </c>
      <c r="N3" s="70">
        <v>45359.285769951042</v>
      </c>
      <c r="O3" s="74">
        <v>0.92756504418409902</v>
      </c>
      <c r="P3" s="72">
        <v>0.92615360200881458</v>
      </c>
      <c r="Q3" s="72">
        <v>0.14643045709232383</v>
      </c>
    </row>
    <row r="4" spans="1:18" s="68" customFormat="1" x14ac:dyDescent="0.3">
      <c r="A4">
        <v>80</v>
      </c>
      <c r="B4" s="69">
        <v>60</v>
      </c>
      <c r="C4" s="93">
        <v>25.083333329297602</v>
      </c>
      <c r="D4" s="70">
        <v>0.59085775032232135</v>
      </c>
      <c r="E4" s="75">
        <v>2.1709008879497699E-2</v>
      </c>
      <c r="F4" s="72">
        <v>8.1337581604480551</v>
      </c>
      <c r="G4" s="79">
        <v>7.5429004101257338</v>
      </c>
      <c r="H4" s="72">
        <v>0.9299907082093587</v>
      </c>
      <c r="I4" s="72">
        <v>0.92735734962031702</v>
      </c>
      <c r="J4" s="73"/>
      <c r="K4" s="78">
        <v>2948.8733530744717</v>
      </c>
      <c r="L4" s="79">
        <v>10.019225725207599</v>
      </c>
      <c r="M4" s="70">
        <v>45359.285769951042</v>
      </c>
      <c r="N4" s="70">
        <v>42410.41241687657</v>
      </c>
      <c r="O4" s="74">
        <v>0.93489485492536517</v>
      </c>
      <c r="P4" s="72">
        <v>0.93498854086833971</v>
      </c>
      <c r="Q4" s="72">
        <v>0.14414912657212459</v>
      </c>
    </row>
    <row r="5" spans="1:18" s="68" customFormat="1" x14ac:dyDescent="0.3">
      <c r="A5">
        <v>80</v>
      </c>
      <c r="B5" s="69">
        <v>60</v>
      </c>
      <c r="C5" s="93">
        <v>25.000000007916242</v>
      </c>
      <c r="D5" s="70">
        <v>0.54418432659151961</v>
      </c>
      <c r="E5" s="75">
        <v>1.83282575882853E-2</v>
      </c>
      <c r="F5" s="72">
        <v>7.5429004101257338</v>
      </c>
      <c r="G5" s="79">
        <v>6.9987160835342141</v>
      </c>
      <c r="H5" s="72">
        <v>0.93005040664975558</v>
      </c>
      <c r="I5" s="72">
        <v>0.92785476448012016</v>
      </c>
      <c r="J5" s="73"/>
      <c r="K5" s="78">
        <v>2759.6097923900029</v>
      </c>
      <c r="L5" s="79">
        <v>9.5979512003795602</v>
      </c>
      <c r="M5" s="70">
        <v>42410.41241687657</v>
      </c>
      <c r="N5" s="70">
        <v>39650.802624486569</v>
      </c>
      <c r="O5" s="74">
        <v>0.93495585106319756</v>
      </c>
      <c r="P5" s="72">
        <v>0.93493084280189986</v>
      </c>
      <c r="Q5" s="72">
        <v>0.14186770775095819</v>
      </c>
    </row>
    <row r="6" spans="1:18" s="68" customFormat="1" x14ac:dyDescent="0.3">
      <c r="A6">
        <v>80</v>
      </c>
      <c r="B6" s="69">
        <v>60</v>
      </c>
      <c r="C6" s="93">
        <v>24.999999997438863</v>
      </c>
      <c r="D6" s="70">
        <v>0.49389042872387895</v>
      </c>
      <c r="E6" s="75">
        <v>1.6025320559481099E-2</v>
      </c>
      <c r="F6" s="72">
        <v>6.9987160835342141</v>
      </c>
      <c r="G6" s="79">
        <v>6.504825654810336</v>
      </c>
      <c r="H6" s="72">
        <v>0.93007876138016266</v>
      </c>
      <c r="I6" s="72">
        <v>0.92943128099083094</v>
      </c>
      <c r="J6" s="73"/>
      <c r="K6" s="78">
        <v>2587.1332552415488</v>
      </c>
      <c r="L6" s="79">
        <v>9.1281518700029096</v>
      </c>
      <c r="M6" s="70">
        <v>39650.802624486569</v>
      </c>
      <c r="N6" s="70">
        <v>37063.669369245021</v>
      </c>
      <c r="O6" s="74">
        <v>0.93498221113201885</v>
      </c>
      <c r="P6" s="72">
        <v>0.93475205836958641</v>
      </c>
      <c r="Q6" s="72">
        <v>0.1373399899201794</v>
      </c>
    </row>
    <row r="7" spans="1:18" s="68" customFormat="1" x14ac:dyDescent="0.3">
      <c r="A7">
        <v>100</v>
      </c>
      <c r="B7" s="69">
        <v>60</v>
      </c>
      <c r="C7" s="93">
        <v>91.80000000144355</v>
      </c>
      <c r="D7" s="70">
        <v>0.75871689979580548</v>
      </c>
      <c r="E7" s="75">
        <v>2.4227003896307199E-2</v>
      </c>
      <c r="F7" s="72">
        <v>6.504825654810336</v>
      </c>
      <c r="G7" s="79">
        <v>5.7461087550145304</v>
      </c>
      <c r="H7" s="72">
        <v>0.88306899105852743</v>
      </c>
      <c r="I7" s="72">
        <v>0.8833609169471387</v>
      </c>
      <c r="J7" s="73"/>
      <c r="K7" s="78">
        <v>3979.989882909369</v>
      </c>
      <c r="L7" s="79">
        <v>15.2895990882772</v>
      </c>
      <c r="M7" s="70">
        <v>37063.669369245021</v>
      </c>
      <c r="N7" s="70">
        <v>33083.679486335648</v>
      </c>
      <c r="O7" s="74">
        <v>0.89126567227156106</v>
      </c>
      <c r="P7" s="72">
        <v>0.89261748902250027</v>
      </c>
      <c r="Q7" s="72">
        <v>0.13714595069698191</v>
      </c>
    </row>
    <row r="8" spans="1:18" s="68" customFormat="1" x14ac:dyDescent="0.3">
      <c r="A8">
        <v>100</v>
      </c>
      <c r="B8" s="69">
        <v>60</v>
      </c>
      <c r="C8" s="93">
        <v>25.933333328925073</v>
      </c>
      <c r="D8" s="70">
        <v>0.60066040598104642</v>
      </c>
      <c r="E8" s="75">
        <v>2.0139997138710699E-2</v>
      </c>
      <c r="F8" s="72">
        <v>5.7461087550145304</v>
      </c>
      <c r="G8" s="79">
        <v>5.1454483490334839</v>
      </c>
      <c r="H8" s="72">
        <v>0.89661172741923945</v>
      </c>
      <c r="I8" s="72">
        <v>0.89546657893363735</v>
      </c>
      <c r="J8" s="73"/>
      <c r="K8" s="78">
        <v>3088.3757625408134</v>
      </c>
      <c r="L8" s="79">
        <v>13.496307779223599</v>
      </c>
      <c r="M8" s="70">
        <v>33083.679486335648</v>
      </c>
      <c r="N8" s="70">
        <v>29995.303723794834</v>
      </c>
      <c r="O8" s="74">
        <v>0.904108170304743</v>
      </c>
      <c r="P8" s="72">
        <v>0.90664956829193111</v>
      </c>
      <c r="Q8" s="72">
        <v>0.13992137670451693</v>
      </c>
      <c r="R8" s="70"/>
    </row>
    <row r="9" spans="1:18" s="68" customFormat="1" x14ac:dyDescent="0.3">
      <c r="A9">
        <v>100</v>
      </c>
      <c r="B9" s="69">
        <v>60</v>
      </c>
      <c r="C9" s="93">
        <v>51.950000000419095</v>
      </c>
      <c r="D9" s="70">
        <v>0.57508761633425209</v>
      </c>
      <c r="E9" s="75">
        <v>2.06299879052405E-2</v>
      </c>
      <c r="F9" s="72">
        <v>5.1454483490334839</v>
      </c>
      <c r="G9" s="79">
        <v>4.5703607326992319</v>
      </c>
      <c r="H9" s="72">
        <v>0.89117647880639372</v>
      </c>
      <c r="I9" s="72">
        <v>0.88823372088803965</v>
      </c>
      <c r="J9" s="73"/>
      <c r="K9" s="78">
        <v>2978.3756471340489</v>
      </c>
      <c r="L9" s="79">
        <v>14.748772294050699</v>
      </c>
      <c r="M9" s="70">
        <v>29995.303723794834</v>
      </c>
      <c r="N9" s="70">
        <v>27016.928076660784</v>
      </c>
      <c r="O9" s="74">
        <v>0.89896167181458198</v>
      </c>
      <c r="P9" s="72">
        <v>0.90070526791261163</v>
      </c>
      <c r="Q9" s="72">
        <v>0.1389119933478877</v>
      </c>
      <c r="R9" s="70"/>
    </row>
    <row r="10" spans="1:18" s="68" customFormat="1" x14ac:dyDescent="0.3">
      <c r="A10">
        <v>100</v>
      </c>
      <c r="B10" s="69">
        <v>60</v>
      </c>
      <c r="C10" s="93">
        <v>26.000000000698492</v>
      </c>
      <c r="D10" s="70">
        <v>0.46262085613272352</v>
      </c>
      <c r="E10" s="75">
        <v>1.7187087505700398E-2</v>
      </c>
      <c r="F10" s="72">
        <v>4.5703607326992319</v>
      </c>
      <c r="G10" s="79">
        <v>4.1077398765665087</v>
      </c>
      <c r="H10" s="72">
        <v>0.89660404234868429</v>
      </c>
      <c r="I10" s="72">
        <v>0.89877804331223943</v>
      </c>
      <c r="J10" s="73"/>
      <c r="K10" s="78">
        <v>2516.6644095517918</v>
      </c>
      <c r="L10" s="79">
        <v>13.0550822176235</v>
      </c>
      <c r="M10" s="70">
        <v>27016.928076660784</v>
      </c>
      <c r="N10" s="70">
        <v>24500.263667108993</v>
      </c>
      <c r="O10" s="74">
        <v>0.90410195992585773</v>
      </c>
      <c r="P10" s="72">
        <v>0.90684860978973136</v>
      </c>
      <c r="Q10" s="72">
        <v>0.13224677813399396</v>
      </c>
      <c r="R10" s="70"/>
    </row>
    <row r="11" spans="1:18" s="68" customFormat="1" x14ac:dyDescent="0.3">
      <c r="A11">
        <v>100</v>
      </c>
      <c r="B11" s="69">
        <v>60</v>
      </c>
      <c r="C11" s="93">
        <v>89.91666666790843</v>
      </c>
      <c r="D11" s="70">
        <v>0.49838598022724429</v>
      </c>
      <c r="E11" s="75">
        <v>2.04150889037037E-2</v>
      </c>
      <c r="F11" s="72">
        <v>4.1077398765665087</v>
      </c>
      <c r="G11" s="79">
        <v>3.6093538963392646</v>
      </c>
      <c r="H11" s="72">
        <v>0.88344880357643929</v>
      </c>
      <c r="I11" s="72">
        <v>0.87867148475725187</v>
      </c>
      <c r="J11" s="73"/>
      <c r="K11" s="78">
        <v>2687.0259983361066</v>
      </c>
      <c r="L11" s="79">
        <v>14.4480893360109</v>
      </c>
      <c r="M11" s="70">
        <v>24500.263667108993</v>
      </c>
      <c r="N11" s="70">
        <v>21813.237668772887</v>
      </c>
      <c r="O11" s="74">
        <v>0.89162679927769406</v>
      </c>
      <c r="P11" s="72">
        <v>0.89032664975179943</v>
      </c>
      <c r="Q11" s="72">
        <v>0.13343788453617977</v>
      </c>
    </row>
    <row r="12" spans="1:18" s="68" customFormat="1" x14ac:dyDescent="0.3">
      <c r="A12">
        <v>120</v>
      </c>
      <c r="B12" s="69">
        <v>60</v>
      </c>
      <c r="C12" s="93">
        <v>24.816666663158685</v>
      </c>
      <c r="D12" s="70">
        <v>0.51049605439411205</v>
      </c>
      <c r="E12" s="75">
        <v>2.2694915270756202E-2</v>
      </c>
      <c r="F12" s="72">
        <v>3.6093538963392646</v>
      </c>
      <c r="G12" s="79">
        <v>3.0988578419451525</v>
      </c>
      <c r="H12" s="72">
        <v>0.85374577124988027</v>
      </c>
      <c r="I12" s="72">
        <v>0.85856303674963119</v>
      </c>
      <c r="J12" s="73"/>
      <c r="K12" s="78">
        <v>2768.5905574043259</v>
      </c>
      <c r="L12" s="79">
        <v>14.5615031740764</v>
      </c>
      <c r="M12" s="70">
        <v>21813.237668772887</v>
      </c>
      <c r="N12" s="70">
        <v>19044.647111368562</v>
      </c>
      <c r="O12" s="74">
        <v>0.86459860313112769</v>
      </c>
      <c r="P12" s="72">
        <v>0.87307750461235989</v>
      </c>
      <c r="Q12" s="72">
        <v>0.13265354369672416</v>
      </c>
    </row>
    <row r="13" spans="1:18" s="68" customFormat="1" x14ac:dyDescent="0.3">
      <c r="A13">
        <v>120</v>
      </c>
      <c r="B13" s="69">
        <v>60</v>
      </c>
      <c r="C13" s="93">
        <v>52.766666669398546</v>
      </c>
      <c r="D13" s="70">
        <v>0.45742244606132715</v>
      </c>
      <c r="E13" s="75">
        <v>2.18472280670436E-2</v>
      </c>
      <c r="F13" s="72">
        <v>3.0988578419451525</v>
      </c>
      <c r="G13" s="79">
        <v>2.6414353958838257</v>
      </c>
      <c r="H13" s="72">
        <v>0.84810362914959037</v>
      </c>
      <c r="I13" s="72">
        <v>0.85238998708820968</v>
      </c>
      <c r="J13" s="73"/>
      <c r="K13" s="78">
        <v>2551.0107279534113</v>
      </c>
      <c r="L13" s="79">
        <v>12.988382905995699</v>
      </c>
      <c r="M13" s="70">
        <v>19044.647111368562</v>
      </c>
      <c r="N13" s="70">
        <v>16493.636383415149</v>
      </c>
      <c r="O13" s="74">
        <v>0.85923291970766935</v>
      </c>
      <c r="P13" s="72">
        <v>0.86605103717408305</v>
      </c>
      <c r="Q13" s="72">
        <v>0.1290002009168375</v>
      </c>
    </row>
    <row r="14" spans="1:18" s="68" customFormat="1" x14ac:dyDescent="0.3">
      <c r="A14">
        <v>120</v>
      </c>
      <c r="B14" s="69">
        <v>60</v>
      </c>
      <c r="C14" s="93">
        <v>24.949999996228144</v>
      </c>
      <c r="D14" s="70">
        <v>0.35583671126190314</v>
      </c>
      <c r="E14" s="75">
        <v>1.76073808967845E-2</v>
      </c>
      <c r="F14" s="72">
        <v>2.6414353958838257</v>
      </c>
      <c r="G14" s="79">
        <v>2.2855986846219229</v>
      </c>
      <c r="H14" s="72">
        <v>0.85369842681679875</v>
      </c>
      <c r="I14" s="72">
        <v>0.86528661203813406</v>
      </c>
      <c r="J14" s="73"/>
      <c r="K14" s="78">
        <v>2097.4778161397671</v>
      </c>
      <c r="L14" s="79">
        <v>10.351776306131301</v>
      </c>
      <c r="M14" s="70">
        <v>16493.636383415149</v>
      </c>
      <c r="N14" s="70">
        <v>14396.158567275379</v>
      </c>
      <c r="O14" s="74">
        <v>0.86455564442551303</v>
      </c>
      <c r="P14" s="72">
        <v>0.87283108664570497</v>
      </c>
      <c r="Q14" s="72">
        <v>0.12205022242977114</v>
      </c>
    </row>
    <row r="15" spans="1:18" s="68" customFormat="1" x14ac:dyDescent="0.3">
      <c r="A15">
        <v>120</v>
      </c>
      <c r="B15" s="69">
        <v>60</v>
      </c>
      <c r="C15" s="93">
        <v>61.300000006798655</v>
      </c>
      <c r="D15" s="70">
        <v>0.31839417472670373</v>
      </c>
      <c r="E15" s="75">
        <v>1.5635121922104301E-2</v>
      </c>
      <c r="F15" s="72">
        <v>2.2855986846219229</v>
      </c>
      <c r="G15" s="79">
        <v>1.9672045098952191</v>
      </c>
      <c r="H15" s="72">
        <v>0.84596989561838698</v>
      </c>
      <c r="I15" s="72">
        <v>0.86069550316556487</v>
      </c>
      <c r="J15" s="73"/>
      <c r="K15" s="78">
        <v>1948.499745070827</v>
      </c>
      <c r="L15" s="79">
        <v>9.3780996451007397</v>
      </c>
      <c r="M15" s="70">
        <v>14396.158567275379</v>
      </c>
      <c r="N15" s="70">
        <v>12447.658822204554</v>
      </c>
      <c r="O15" s="74">
        <v>0.85721401162374866</v>
      </c>
      <c r="P15" s="72">
        <v>0.86465141127994682</v>
      </c>
      <c r="Q15" s="72">
        <v>0.1175573966262</v>
      </c>
    </row>
    <row r="16" spans="1:18" s="68" customFormat="1" x14ac:dyDescent="0.3">
      <c r="A16">
        <v>120</v>
      </c>
      <c r="B16" s="69">
        <v>60</v>
      </c>
      <c r="C16" s="93">
        <v>25.083333329297602</v>
      </c>
      <c r="D16" s="70">
        <v>0.24282704837437252</v>
      </c>
      <c r="E16" s="75">
        <v>1.1687279978195299E-2</v>
      </c>
      <c r="F16" s="72">
        <v>1.9672045098952191</v>
      </c>
      <c r="G16" s="79">
        <v>1.7243774615208469</v>
      </c>
      <c r="H16" s="72">
        <v>0.85369001610243478</v>
      </c>
      <c r="I16" s="72">
        <v>0.87656237714333718</v>
      </c>
      <c r="J16" s="73"/>
      <c r="K16" s="78">
        <v>1573.3395949739054</v>
      </c>
      <c r="L16" s="79">
        <v>7.3648709490732802</v>
      </c>
      <c r="M16" s="70">
        <v>12447.658822204554</v>
      </c>
      <c r="N16" s="70">
        <v>10874.319227230648</v>
      </c>
      <c r="O16" s="74">
        <v>0.86454593621140119</v>
      </c>
      <c r="P16" s="72">
        <v>0.87360357337499239</v>
      </c>
      <c r="Q16" s="72">
        <v>0.11103497224185835</v>
      </c>
    </row>
    <row r="17" spans="1:17" s="68" customFormat="1" x14ac:dyDescent="0.3">
      <c r="A17">
        <v>150</v>
      </c>
      <c r="B17" s="69">
        <v>60</v>
      </c>
      <c r="C17" s="93">
        <v>25.049999998649582</v>
      </c>
      <c r="D17" s="70">
        <v>0.42047286194600542</v>
      </c>
      <c r="E17" s="75">
        <v>1.9995343551789699E-2</v>
      </c>
      <c r="F17" s="72">
        <v>1.7243774615208469</v>
      </c>
      <c r="G17" s="79">
        <v>1.3039045995748406</v>
      </c>
      <c r="H17" s="72">
        <v>0.76952456631118793</v>
      </c>
      <c r="I17" s="72">
        <v>0.75615961625063088</v>
      </c>
      <c r="J17" s="73"/>
      <c r="K17" s="78">
        <v>2435.0719636540439</v>
      </c>
      <c r="L17" s="79">
        <v>11.2535718490323</v>
      </c>
      <c r="M17" s="70">
        <v>10874.319227230648</v>
      </c>
      <c r="N17" s="70">
        <v>8439.2472635766026</v>
      </c>
      <c r="O17" s="74">
        <v>0.78678259610756685</v>
      </c>
      <c r="P17" s="72">
        <v>0.77607131878597768</v>
      </c>
      <c r="Q17" s="72">
        <v>0.12422567642630671</v>
      </c>
    </row>
    <row r="18" spans="1:17" s="68" customFormat="1" x14ac:dyDescent="0.3">
      <c r="A18">
        <v>150</v>
      </c>
      <c r="B18" s="69">
        <v>60</v>
      </c>
      <c r="C18" s="93">
        <v>24.966666666790843</v>
      </c>
      <c r="D18" s="70">
        <v>0.2831878669643445</v>
      </c>
      <c r="E18" s="75">
        <v>1.3150870202028601E-2</v>
      </c>
      <c r="F18" s="72">
        <v>1.3039045995748406</v>
      </c>
      <c r="G18" s="79">
        <v>1.0207167326104969</v>
      </c>
      <c r="H18" s="72">
        <v>0.76957404360469028</v>
      </c>
      <c r="I18" s="72">
        <v>0.78281550118261589</v>
      </c>
      <c r="J18" s="73"/>
      <c r="K18" s="78">
        <v>1806.4673368415426</v>
      </c>
      <c r="L18" s="79">
        <v>8.1963394384800292</v>
      </c>
      <c r="M18" s="70">
        <v>8439.2472635766026</v>
      </c>
      <c r="N18" s="70">
        <v>6632.7799267350565</v>
      </c>
      <c r="O18" s="74">
        <v>0.786830321654583</v>
      </c>
      <c r="P18" s="72">
        <v>0.78594449476102268</v>
      </c>
      <c r="Q18" s="72">
        <v>0.1127793867271487</v>
      </c>
    </row>
    <row r="19" spans="1:17" s="68" customFormat="1" x14ac:dyDescent="0.3">
      <c r="A19">
        <v>150</v>
      </c>
      <c r="B19" s="69">
        <v>60</v>
      </c>
      <c r="C19" s="93">
        <v>690.75000000395812</v>
      </c>
      <c r="D19" s="70">
        <v>0.35083498555503795</v>
      </c>
      <c r="E19" s="75">
        <v>1.0256508534713001E-2</v>
      </c>
      <c r="F19" s="72">
        <v>1.0207167326104969</v>
      </c>
      <c r="G19" s="79">
        <v>0.66988174705545944</v>
      </c>
      <c r="H19" s="72">
        <v>0.65980022141100425</v>
      </c>
      <c r="I19" s="72">
        <v>0.65628565267292893</v>
      </c>
      <c r="J19" s="73"/>
      <c r="K19" s="78">
        <v>2151.4926672240745</v>
      </c>
      <c r="L19" s="79">
        <v>8.50275940400061</v>
      </c>
      <c r="M19" s="70">
        <v>6632.7799267350565</v>
      </c>
      <c r="N19" s="70">
        <v>4481.2872595109802</v>
      </c>
      <c r="O19" s="74">
        <v>0.68074791774406085</v>
      </c>
      <c r="P19" s="72">
        <v>0.67562730996818487</v>
      </c>
      <c r="Q19" s="72">
        <v>0.11731356282479655</v>
      </c>
    </row>
    <row r="20" spans="1:17" s="68" customFormat="1" x14ac:dyDescent="0.3">
      <c r="A20">
        <v>150</v>
      </c>
      <c r="B20" s="69">
        <v>60</v>
      </c>
      <c r="C20" s="93">
        <v>24.983333326876163</v>
      </c>
      <c r="D20" s="70">
        <v>0.14724508610897966</v>
      </c>
      <c r="E20" s="75">
        <v>3.9797647798611099E-3</v>
      </c>
      <c r="F20" s="72">
        <v>0.66988174705545944</v>
      </c>
      <c r="G20" s="79">
        <v>0.52263666094648009</v>
      </c>
      <c r="H20" s="85">
        <v>0.76956464784720047</v>
      </c>
      <c r="I20" s="72">
        <v>0.78019241939907802</v>
      </c>
      <c r="J20" s="73"/>
      <c r="K20" s="78">
        <v>924.64088628762295</v>
      </c>
      <c r="L20" s="79">
        <v>3.4229297339567801</v>
      </c>
      <c r="M20" s="70">
        <v>4481.2872595109802</v>
      </c>
      <c r="N20" s="70">
        <v>3556.6463732233606</v>
      </c>
      <c r="O20" s="74">
        <v>0.78681681234172218</v>
      </c>
      <c r="P20" s="72">
        <v>0.79366623187898</v>
      </c>
      <c r="Q20" s="72">
        <v>0.11456525251708762</v>
      </c>
    </row>
    <row r="21" spans="1:17" s="68" customFormat="1" x14ac:dyDescent="0.3">
      <c r="A21">
        <v>150</v>
      </c>
      <c r="B21" s="69">
        <v>60</v>
      </c>
      <c r="C21" s="93">
        <v>53.266666671028361</v>
      </c>
      <c r="D21" s="88">
        <v>0.12539092222192666</v>
      </c>
      <c r="E21" s="75">
        <v>3.33384722007256E-3</v>
      </c>
      <c r="F21" s="72">
        <v>0.52263666094648009</v>
      </c>
      <c r="G21" s="79">
        <v>0.39724573872455338</v>
      </c>
      <c r="H21" s="85">
        <v>0.76431226485292303</v>
      </c>
      <c r="I21" s="72">
        <v>0.76008012527317292</v>
      </c>
      <c r="J21" s="73"/>
      <c r="K21" s="78">
        <v>753.86302539432279</v>
      </c>
      <c r="L21" s="79">
        <v>2.7529087385226201</v>
      </c>
      <c r="M21" s="70">
        <v>3556.6463732233606</v>
      </c>
      <c r="N21" s="70">
        <v>2802.7833478290413</v>
      </c>
      <c r="O21" s="74">
        <v>0.78177548745062331</v>
      </c>
      <c r="P21" s="72">
        <v>0.78804105151699433</v>
      </c>
      <c r="Q21" s="72">
        <v>0.11966271527291238</v>
      </c>
    </row>
    <row r="22" spans="1:17" s="68" customFormat="1" x14ac:dyDescent="0.3">
      <c r="A22" s="91">
        <v>150</v>
      </c>
      <c r="B22" s="69">
        <v>60</v>
      </c>
      <c r="C22" s="93">
        <v>25.033333338564262</v>
      </c>
      <c r="D22" s="88">
        <v>8.929315014727629E-2</v>
      </c>
      <c r="E22" s="75">
        <v>2.3974801154700701E-3</v>
      </c>
      <c r="F22" s="72">
        <v>0.39724573872455338</v>
      </c>
      <c r="G22" s="79">
        <v>0.30795258857727781</v>
      </c>
      <c r="H22" s="85">
        <v>0.76950817429604412</v>
      </c>
      <c r="I22" s="72">
        <v>0.77521936312275808</v>
      </c>
      <c r="J22" s="73"/>
      <c r="K22" s="78">
        <v>560.35020901799237</v>
      </c>
      <c r="L22" s="79">
        <v>2.0831290685933102</v>
      </c>
      <c r="M22" s="70">
        <v>2802.7833478290413</v>
      </c>
      <c r="N22" s="70">
        <v>2242.4331388110513</v>
      </c>
      <c r="O22" s="74">
        <v>0.78676478401186201</v>
      </c>
      <c r="P22" s="72">
        <v>0.80007366268533675</v>
      </c>
      <c r="Q22" s="72">
        <v>0.11464201374623613</v>
      </c>
    </row>
    <row r="23" spans="1:17" s="68" customFormat="1" x14ac:dyDescent="0.3">
      <c r="A23" s="91" t="s">
        <v>94</v>
      </c>
      <c r="B23" s="69"/>
      <c r="C23" s="93"/>
      <c r="D23" s="88">
        <v>0.30795258857727853</v>
      </c>
      <c r="E23" s="75">
        <v>8.4839447569544802E-3</v>
      </c>
      <c r="F23" s="72"/>
      <c r="G23" s="79"/>
      <c r="H23" s="85"/>
      <c r="I23" s="72"/>
      <c r="J23" s="73"/>
      <c r="K23" s="78">
        <v>2242.4331388110541</v>
      </c>
      <c r="L23" s="79">
        <v>8.7187654904305596</v>
      </c>
      <c r="M23" s="72"/>
      <c r="N23" s="72"/>
      <c r="O23" s="74"/>
      <c r="P23" s="72"/>
      <c r="Q23" s="72">
        <v>9.8798319129909842E-2</v>
      </c>
    </row>
    <row r="24" spans="1:17" s="68" customFormat="1" x14ac:dyDescent="0.3">
      <c r="B24" s="69"/>
      <c r="C24" s="93"/>
      <c r="D24" s="88"/>
      <c r="E24" s="75"/>
      <c r="F24" s="72"/>
      <c r="G24" s="79"/>
      <c r="H24" s="85"/>
      <c r="I24" s="72"/>
      <c r="J24" s="73"/>
      <c r="K24" s="78"/>
      <c r="L24" s="79"/>
      <c r="M24" s="72"/>
      <c r="N24" s="72"/>
      <c r="O24" s="74"/>
      <c r="P24" s="72"/>
      <c r="Q24" s="72"/>
    </row>
    <row r="25" spans="1:17" x14ac:dyDescent="0.3">
      <c r="D25" s="89"/>
    </row>
    <row r="26" spans="1:17" x14ac:dyDescent="0.3">
      <c r="D26" s="89"/>
    </row>
    <row r="27" spans="1:17" x14ac:dyDescent="0.3">
      <c r="D27" s="89"/>
    </row>
    <row r="28" spans="1:17" x14ac:dyDescent="0.3">
      <c r="D28" s="89"/>
    </row>
    <row r="29" spans="1:17" x14ac:dyDescent="0.3">
      <c r="D29" s="89"/>
    </row>
    <row r="30" spans="1:17" x14ac:dyDescent="0.3">
      <c r="D30" s="89"/>
    </row>
    <row r="31" spans="1:17" x14ac:dyDescent="0.3">
      <c r="D31" s="90"/>
      <c r="K31" s="82"/>
      <c r="Q31" s="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68AA-1923-4E86-810E-97C5836A3771}">
  <dimension ref="A1:AW75"/>
  <sheetViews>
    <sheetView zoomScale="63" workbookViewId="0">
      <selection activeCell="U3" sqref="U3:U23"/>
    </sheetView>
  </sheetViews>
  <sheetFormatPr defaultRowHeight="14.4" x14ac:dyDescent="0.3"/>
  <cols>
    <col min="3" max="3" width="15.33203125" bestFit="1" customWidth="1"/>
    <col min="4" max="7" width="9" bestFit="1" customWidth="1"/>
    <col min="8" max="13" width="9" customWidth="1"/>
    <col min="14" max="22" width="9" bestFit="1" customWidth="1"/>
    <col min="23" max="29" width="10.33203125" customWidth="1"/>
    <col min="30" max="30" width="11.109375" customWidth="1"/>
    <col min="31" max="32" width="12.77734375" bestFit="1" customWidth="1"/>
    <col min="33" max="33" width="12.33203125" customWidth="1"/>
    <col min="34" max="34" width="9.5546875" customWidth="1"/>
    <col min="35" max="36" width="9" bestFit="1" customWidth="1"/>
    <col min="37" max="44" width="9" customWidth="1"/>
    <col min="45" max="45" width="9.6640625" customWidth="1"/>
    <col min="46" max="46" width="9.5546875" customWidth="1"/>
    <col min="47" max="50" width="9" bestFit="1" customWidth="1"/>
    <col min="51" max="51" width="9" customWidth="1"/>
    <col min="54" max="56" width="9.77734375" customWidth="1"/>
    <col min="57" max="57" width="10" customWidth="1"/>
    <col min="58" max="58" width="9.6640625" customWidth="1"/>
    <col min="59" max="59" width="10.6640625" customWidth="1"/>
    <col min="60" max="60" width="9.21875" bestFit="1" customWidth="1"/>
  </cols>
  <sheetData>
    <row r="1" spans="1:49" x14ac:dyDescent="0.3">
      <c r="A1" t="s">
        <v>134</v>
      </c>
      <c r="B1" t="s">
        <v>145</v>
      </c>
      <c r="X1" s="10" t="s">
        <v>154</v>
      </c>
      <c r="AB1" s="10" t="s">
        <v>256</v>
      </c>
      <c r="AD1" s="10" t="s">
        <v>257</v>
      </c>
      <c r="AG1" t="s">
        <v>258</v>
      </c>
      <c r="AI1" t="s">
        <v>259</v>
      </c>
      <c r="AK1" s="10" t="s">
        <v>139</v>
      </c>
      <c r="AO1" s="10" t="s">
        <v>140</v>
      </c>
      <c r="AS1" s="10"/>
    </row>
    <row r="2" spans="1:49" x14ac:dyDescent="0.3">
      <c r="C2" s="1">
        <v>45335.761087962965</v>
      </c>
      <c r="D2" t="s">
        <v>48</v>
      </c>
      <c r="E2" s="2" t="s">
        <v>47</v>
      </c>
      <c r="F2" s="2"/>
      <c r="G2" s="2" t="s">
        <v>46</v>
      </c>
      <c r="H2" t="s">
        <v>132</v>
      </c>
      <c r="I2" t="s">
        <v>133</v>
      </c>
      <c r="J2" t="s">
        <v>130</v>
      </c>
      <c r="K2" t="s">
        <v>161</v>
      </c>
      <c r="L2" t="s">
        <v>131</v>
      </c>
      <c r="M2" t="s">
        <v>152</v>
      </c>
      <c r="N2" s="4" t="s">
        <v>141</v>
      </c>
      <c r="O2" t="s">
        <v>45</v>
      </c>
      <c r="P2" s="2" t="s">
        <v>49</v>
      </c>
      <c r="Q2" t="s">
        <v>44</v>
      </c>
      <c r="R2" t="s">
        <v>39</v>
      </c>
      <c r="S2" t="s">
        <v>38</v>
      </c>
      <c r="T2" t="s">
        <v>40</v>
      </c>
      <c r="U2" t="s">
        <v>42</v>
      </c>
      <c r="V2" t="s">
        <v>41</v>
      </c>
      <c r="W2" t="s">
        <v>43</v>
      </c>
      <c r="X2" s="10" t="s">
        <v>155</v>
      </c>
      <c r="Y2" t="s">
        <v>156</v>
      </c>
      <c r="Z2" t="s">
        <v>157</v>
      </c>
      <c r="AA2" t="s">
        <v>158</v>
      </c>
      <c r="AB2" s="10" t="s">
        <v>159</v>
      </c>
      <c r="AC2" t="s">
        <v>160</v>
      </c>
      <c r="AD2" s="10" t="s">
        <v>98</v>
      </c>
      <c r="AE2" t="s">
        <v>99</v>
      </c>
      <c r="AF2" t="s">
        <v>283</v>
      </c>
      <c r="AG2" t="s">
        <v>126</v>
      </c>
      <c r="AH2" t="s">
        <v>127</v>
      </c>
      <c r="AI2" t="s">
        <v>100</v>
      </c>
      <c r="AJ2" t="s">
        <v>101</v>
      </c>
      <c r="AK2" s="10" t="s">
        <v>135</v>
      </c>
      <c r="AL2" t="s">
        <v>136</v>
      </c>
      <c r="AM2" t="s">
        <v>137</v>
      </c>
      <c r="AN2" t="s">
        <v>138</v>
      </c>
      <c r="AO2" s="10" t="s">
        <v>135</v>
      </c>
      <c r="AP2" t="s">
        <v>136</v>
      </c>
      <c r="AQ2" t="s">
        <v>137</v>
      </c>
      <c r="AR2" t="s">
        <v>138</v>
      </c>
      <c r="AS2" s="10" t="s">
        <v>102</v>
      </c>
      <c r="AT2" t="s">
        <v>103</v>
      </c>
      <c r="AU2" t="s">
        <v>104</v>
      </c>
      <c r="AV2" t="s">
        <v>105</v>
      </c>
      <c r="AW2" t="s">
        <v>106</v>
      </c>
    </row>
    <row r="3" spans="1:49" x14ac:dyDescent="0.3">
      <c r="A3" t="s">
        <v>50</v>
      </c>
      <c r="B3" t="s">
        <v>51</v>
      </c>
      <c r="C3" s="1">
        <v>45335.821250000001</v>
      </c>
      <c r="D3">
        <v>80</v>
      </c>
      <c r="E3" s="2">
        <v>114.71210000000001</v>
      </c>
      <c r="F3" s="2">
        <v>0.43671979999999999</v>
      </c>
      <c r="G3" s="2">
        <v>128637.4</v>
      </c>
      <c r="H3">
        <v>6.09097878083769E-3</v>
      </c>
      <c r="I3">
        <v>2.6076965630698799E-2</v>
      </c>
      <c r="J3" s="2">
        <f>E3*H3</f>
        <v>0.69870896700533125</v>
      </c>
      <c r="K3">
        <v>2.7751202420005699E-2</v>
      </c>
      <c r="L3" s="2">
        <f>G3*I3</f>
        <v>3354.4730586224537</v>
      </c>
      <c r="M3">
        <v>10.8189904848727</v>
      </c>
      <c r="N3" s="2">
        <f>(J3/(1000*L3))/0.00000139</f>
        <v>0.14985015911649466</v>
      </c>
      <c r="O3" s="2">
        <v>3600</v>
      </c>
      <c r="P3">
        <f>(C3-C2)*24*3600-(1*60)</f>
        <v>5137.9999999282882</v>
      </c>
      <c r="Q3" s="2">
        <f t="shared" ref="Q3:Q23" si="0">P3-O3</f>
        <v>1537.9999999282882</v>
      </c>
      <c r="R3" s="2">
        <f>J3</f>
        <v>0.69870896700533125</v>
      </c>
      <c r="S3" s="2">
        <f>L3</f>
        <v>3354.4730586224537</v>
      </c>
      <c r="T3" s="2">
        <f t="shared" ref="T3:T23" si="1">$R$24-R3</f>
        <v>8.869895288085873</v>
      </c>
      <c r="U3" s="2">
        <f t="shared" ref="U3:U23" si="2">$S$24-S3</f>
        <v>48975.985918067337</v>
      </c>
      <c r="V3" s="2">
        <f>R24</f>
        <v>9.5686042550912038</v>
      </c>
      <c r="W3" s="2">
        <f>S24</f>
        <v>52330.458976689792</v>
      </c>
      <c r="X3" s="11">
        <f t="shared" ref="X3:X23" si="3">EXP(-O3*AI3*$AD$38*$AD$32*(D3+273))</f>
        <v>0.93941499433508935</v>
      </c>
      <c r="Y3" s="2">
        <f t="shared" ref="Y3:Y23" si="4">EXP(-O3*AJ3*$AD$38*$AD$32*(D3+273))</f>
        <v>0.94370729630888772</v>
      </c>
      <c r="Z3">
        <v>0.92989830232092463</v>
      </c>
      <c r="AA3">
        <v>0.93480602782517364</v>
      </c>
      <c r="AB3" s="11">
        <f>T3/V3</f>
        <v>0.92697900881065631</v>
      </c>
      <c r="AC3" s="2">
        <f>U3/W3</f>
        <v>0.93589826796442432</v>
      </c>
      <c r="AD3" s="11">
        <f>(-LN(1-(J3/V3))/O3)/($AD$38*$AD$32*(D3+273))</f>
        <v>73217835966.947113</v>
      </c>
      <c r="AE3" s="2">
        <f t="shared" ref="AE3:AE23" si="5">(-LN(1-(L3/W3))/O3)/($AD$34*$AD$32*(D3+273))</f>
        <v>66799747737.667061</v>
      </c>
      <c r="AF3" s="2">
        <f>AD3/AE3</f>
        <v>1.0960795279420048</v>
      </c>
      <c r="AG3" s="2">
        <v>70181617250.701904</v>
      </c>
      <c r="AH3" s="2">
        <v>65098742237.414803</v>
      </c>
      <c r="AI3" s="2">
        <f t="shared" ref="AI3:AI23" si="6">1.17*EXP(-57/(1.987*(273+D3)))*AJ3</f>
        <v>60349527944.282669</v>
      </c>
      <c r="AJ3" s="2">
        <f t="shared" ref="AJ3:AJ23" si="7">(0.000304*EXP(-5580/(1.987*(D3+273))))*(199000000000000000*EXP(680/(1.987*(D3+273))))</f>
        <v>55947521853.659462</v>
      </c>
      <c r="AK3" s="10">
        <v>2929.60116955488</v>
      </c>
      <c r="AL3">
        <v>482.03481990734201</v>
      </c>
      <c r="AM3" s="2">
        <f>AK3+AL3</f>
        <v>3411.6359894622219</v>
      </c>
      <c r="AN3" s="2">
        <f>AL3/AM3</f>
        <v>0.14129139843648014</v>
      </c>
      <c r="AO3" s="10">
        <v>0.57432929105607</v>
      </c>
      <c r="AP3">
        <v>9.3514737922840901E-2</v>
      </c>
      <c r="AQ3" s="2">
        <f>AO3+AP3</f>
        <v>0.66784402897891093</v>
      </c>
      <c r="AR3" s="2">
        <f>AP3/AQ3</f>
        <v>0.14002481697084079</v>
      </c>
      <c r="AS3" s="11">
        <f t="shared" ref="AS3:AS23" si="8">10000/(D3+273)</f>
        <v>28.328611898016998</v>
      </c>
      <c r="AT3" s="2">
        <f t="shared" ref="AT3:AT23" si="9">LN(AD3)</f>
        <v>25.01670488898386</v>
      </c>
      <c r="AU3" s="2">
        <f t="shared" ref="AU3:AU23" si="10">LN(AE3)</f>
        <v>24.924965141099651</v>
      </c>
      <c r="AV3" s="2">
        <f>LN(AI3)</f>
        <v>24.823418962492212</v>
      </c>
      <c r="AW3" s="2">
        <f t="shared" ref="AW3:AW23" si="11">LN(AJ3)</f>
        <v>24.747679978563625</v>
      </c>
    </row>
    <row r="4" spans="1:49" x14ac:dyDescent="0.3">
      <c r="A4" t="s">
        <v>52</v>
      </c>
      <c r="B4" t="s">
        <v>53</v>
      </c>
      <c r="C4" s="1">
        <v>45335.906157407408</v>
      </c>
      <c r="D4">
        <v>80</v>
      </c>
      <c r="E4" s="2">
        <v>121.4877</v>
      </c>
      <c r="F4" s="2">
        <v>0.56535599999999997</v>
      </c>
      <c r="G4" s="2">
        <v>138668.4</v>
      </c>
      <c r="H4">
        <v>6.0593552074639399E-3</v>
      </c>
      <c r="I4">
        <v>2.6081646201414999E-2</v>
      </c>
      <c r="J4" s="2">
        <f t="shared" ref="J4:J24" si="12">E4*H4</f>
        <v>0.73613712763781691</v>
      </c>
      <c r="K4">
        <v>2.88816060093793E-2</v>
      </c>
      <c r="L4" s="2">
        <f t="shared" ref="L4:L24" si="13">G4*I4</f>
        <v>3616.7001481162956</v>
      </c>
      <c r="M4">
        <v>12.015492382986601</v>
      </c>
      <c r="N4" s="2">
        <f t="shared" ref="N4:N22" si="14">(J4/(1000*L4))/0.00000139</f>
        <v>0.14643045709232383</v>
      </c>
      <c r="O4" s="2">
        <v>3600</v>
      </c>
      <c r="P4">
        <f t="shared" ref="P4:P23" si="15">(C4-C3)*24*3600-(1*60)</f>
        <v>7275.9999999403954</v>
      </c>
      <c r="Q4" s="2">
        <f t="shared" si="0"/>
        <v>3675.9999999403954</v>
      </c>
      <c r="R4" s="2">
        <f t="shared" ref="R4:R24" si="16">R3+J4</f>
        <v>1.4348460946431483</v>
      </c>
      <c r="S4" s="2">
        <f t="shared" ref="S4:S24" si="17">L4+S3</f>
        <v>6971.1732067387493</v>
      </c>
      <c r="T4" s="2">
        <f t="shared" si="1"/>
        <v>8.1337581604480551</v>
      </c>
      <c r="U4" s="2">
        <f t="shared" si="2"/>
        <v>45359.285769951042</v>
      </c>
      <c r="V4" s="2">
        <f>T3</f>
        <v>8.869895288085873</v>
      </c>
      <c r="W4" s="2">
        <f>U3</f>
        <v>48975.985918067337</v>
      </c>
      <c r="X4" s="11">
        <f t="shared" si="3"/>
        <v>0.93941499433508935</v>
      </c>
      <c r="Y4" s="2">
        <f t="shared" si="4"/>
        <v>0.94370729630888772</v>
      </c>
      <c r="Z4">
        <v>0.92223049544155788</v>
      </c>
      <c r="AA4">
        <v>0.92756504418409902</v>
      </c>
      <c r="AB4" s="11">
        <f t="shared" ref="AB4:AB23" si="18">T4/V4</f>
        <v>0.91700723585467758</v>
      </c>
      <c r="AC4" s="2">
        <f t="shared" ref="AC4:AC23" si="19">U4/W4</f>
        <v>0.92615360200881458</v>
      </c>
      <c r="AD4" s="11">
        <f t="shared" ref="AD4:AD23" si="20">(-LN(1-(J4/V4))/O4)/($AD$38*$AD$32*(D4+273))</f>
        <v>83661600730.491257</v>
      </c>
      <c r="AE4" s="2">
        <f t="shared" si="5"/>
        <v>77353525337.399384</v>
      </c>
      <c r="AF4" s="2">
        <f t="shared" ref="AF4:AF23" si="21">AD4/AE4</f>
        <v>1.0815486477904841</v>
      </c>
      <c r="AG4" s="2">
        <v>78177024805.3116</v>
      </c>
      <c r="AH4" s="2">
        <v>72607562013.514099</v>
      </c>
      <c r="AI4">
        <f t="shared" si="6"/>
        <v>60349527944.282669</v>
      </c>
      <c r="AJ4" s="2">
        <f t="shared" si="7"/>
        <v>55947521853.659462</v>
      </c>
      <c r="AK4" s="10">
        <v>2738.1508826495101</v>
      </c>
      <c r="AL4">
        <v>605.843356492476</v>
      </c>
      <c r="AM4" s="2">
        <f t="shared" ref="AM4:AM23" si="22">AK4+AL4</f>
        <v>3343.9942391419863</v>
      </c>
      <c r="AN4" s="2">
        <f t="shared" ref="AN4:AN23" si="23">AL4/AM4</f>
        <v>0.18117356465540008</v>
      </c>
      <c r="AO4" s="10">
        <v>0.53402596011675896</v>
      </c>
      <c r="AP4">
        <v>0.116728235224282</v>
      </c>
      <c r="AQ4" s="2">
        <f t="shared" ref="AQ4:AQ23" si="24">AO4+AP4</f>
        <v>0.65075419534104095</v>
      </c>
      <c r="AR4" s="2">
        <f t="shared" ref="AR4:AR23" si="25">AP4/AQ4</f>
        <v>0.17937377286228356</v>
      </c>
      <c r="AS4" s="11">
        <f t="shared" si="8"/>
        <v>28.328611898016998</v>
      </c>
      <c r="AT4" s="2">
        <f t="shared" si="9"/>
        <v>25.150045936538966</v>
      </c>
      <c r="AU4" s="2">
        <f t="shared" si="10"/>
        <v>25.071651989363879</v>
      </c>
      <c r="AV4" s="2">
        <f t="shared" ref="AV4:AV23" si="26">LN(AI4)</f>
        <v>24.823418962492212</v>
      </c>
      <c r="AW4" s="2">
        <f t="shared" si="11"/>
        <v>24.747679978563625</v>
      </c>
    </row>
    <row r="5" spans="1:49" x14ac:dyDescent="0.3">
      <c r="A5" t="s">
        <v>54</v>
      </c>
      <c r="B5" t="s">
        <v>55</v>
      </c>
      <c r="C5" s="1">
        <v>45335.965937499997</v>
      </c>
      <c r="D5">
        <v>80</v>
      </c>
      <c r="E5" s="2">
        <v>98.108810000000005</v>
      </c>
      <c r="F5" s="2">
        <v>0.39578669999999999</v>
      </c>
      <c r="G5" s="2">
        <v>112967.3</v>
      </c>
      <c r="H5">
        <v>6.0224739279002701E-3</v>
      </c>
      <c r="I5">
        <v>2.6103778288712499E-2</v>
      </c>
      <c r="J5" s="2">
        <f t="shared" si="12"/>
        <v>0.59085775032232135</v>
      </c>
      <c r="K5">
        <v>2.1709008879497699E-2</v>
      </c>
      <c r="L5" s="2">
        <f t="shared" si="13"/>
        <v>2948.8733530744717</v>
      </c>
      <c r="M5">
        <v>10.019225725207599</v>
      </c>
      <c r="N5" s="2">
        <f t="shared" si="14"/>
        <v>0.14414912657212459</v>
      </c>
      <c r="O5" s="2">
        <v>3600</v>
      </c>
      <c r="P5">
        <f t="shared" si="15"/>
        <v>5104.9999997578561</v>
      </c>
      <c r="Q5" s="2">
        <f t="shared" si="0"/>
        <v>1504.9999997578561</v>
      </c>
      <c r="R5" s="2">
        <f t="shared" si="16"/>
        <v>2.0257038449654696</v>
      </c>
      <c r="S5" s="2">
        <f t="shared" si="17"/>
        <v>9920.0465598132214</v>
      </c>
      <c r="T5" s="2">
        <f t="shared" si="1"/>
        <v>7.5429004101257338</v>
      </c>
      <c r="U5" s="2">
        <f t="shared" si="2"/>
        <v>42410.41241687657</v>
      </c>
      <c r="V5" s="2">
        <f t="shared" ref="V5:V23" si="27">T4</f>
        <v>8.1337581604480551</v>
      </c>
      <c r="W5" s="2">
        <f t="shared" ref="W5:W23" si="28">U4</f>
        <v>45359.285769951042</v>
      </c>
      <c r="X5" s="11">
        <f t="shared" si="3"/>
        <v>0.93941499433508935</v>
      </c>
      <c r="Y5" s="2">
        <f t="shared" si="4"/>
        <v>0.94370729630888772</v>
      </c>
      <c r="Z5">
        <v>0.9299907082093587</v>
      </c>
      <c r="AA5">
        <v>0.93489485492536517</v>
      </c>
      <c r="AB5" s="11">
        <f t="shared" si="18"/>
        <v>0.92735734962031702</v>
      </c>
      <c r="AC5" s="2">
        <f t="shared" si="19"/>
        <v>0.93498854086833971</v>
      </c>
      <c r="AD5" s="11">
        <f t="shared" si="20"/>
        <v>72823802759.057053</v>
      </c>
      <c r="AE5" s="2">
        <f t="shared" si="5"/>
        <v>67780348989.531769</v>
      </c>
      <c r="AF5" s="2">
        <f t="shared" si="21"/>
        <v>1.074408790227743</v>
      </c>
      <c r="AG5" s="2">
        <v>70083680599.652496</v>
      </c>
      <c r="AH5" s="2">
        <v>65005149586.284897</v>
      </c>
      <c r="AI5">
        <f t="shared" si="6"/>
        <v>60349527944.282669</v>
      </c>
      <c r="AJ5" s="2">
        <f t="shared" si="7"/>
        <v>55947521853.659462</v>
      </c>
      <c r="AK5" s="10">
        <v>2541.7007876591401</v>
      </c>
      <c r="AL5">
        <v>412.47567196606502</v>
      </c>
      <c r="AM5" s="2">
        <f t="shared" si="22"/>
        <v>2954.1764596252051</v>
      </c>
      <c r="AN5" s="2">
        <f t="shared" si="23"/>
        <v>0.1396245883085791</v>
      </c>
      <c r="AO5" s="10">
        <v>0.49281289348641399</v>
      </c>
      <c r="AP5">
        <v>7.9162215885405604E-2</v>
      </c>
      <c r="AQ5" s="2">
        <f t="shared" si="24"/>
        <v>0.57197510937181961</v>
      </c>
      <c r="AR5" s="2">
        <f t="shared" si="25"/>
        <v>0.13840150487028485</v>
      </c>
      <c r="AS5" s="11">
        <f t="shared" si="8"/>
        <v>28.328611898016998</v>
      </c>
      <c r="AT5" s="2">
        <f t="shared" si="9"/>
        <v>25.011308699685017</v>
      </c>
      <c r="AU5" s="2">
        <f t="shared" si="10"/>
        <v>24.939538151969124</v>
      </c>
      <c r="AV5" s="2">
        <f t="shared" si="26"/>
        <v>24.823418962492212</v>
      </c>
      <c r="AW5" s="2">
        <f t="shared" si="11"/>
        <v>24.747679978563625</v>
      </c>
    </row>
    <row r="6" spans="1:49" x14ac:dyDescent="0.3">
      <c r="A6" t="s">
        <v>56</v>
      </c>
      <c r="B6" t="s">
        <v>57</v>
      </c>
      <c r="C6" s="1">
        <v>45336.025659722225</v>
      </c>
      <c r="D6">
        <v>80</v>
      </c>
      <c r="E6" s="2">
        <v>90.854659999999996</v>
      </c>
      <c r="F6" s="2">
        <v>0</v>
      </c>
      <c r="G6" s="2">
        <v>105599.4</v>
      </c>
      <c r="H6">
        <v>5.9896138138816396E-3</v>
      </c>
      <c r="I6">
        <v>2.6132816970456298E-2</v>
      </c>
      <c r="J6" s="2">
        <f t="shared" si="12"/>
        <v>0.54418432659151961</v>
      </c>
      <c r="K6">
        <v>1.83282575882853E-2</v>
      </c>
      <c r="L6" s="2">
        <f t="shared" si="13"/>
        <v>2759.6097923900029</v>
      </c>
      <c r="M6">
        <v>9.5979512003795602</v>
      </c>
      <c r="N6" s="2">
        <f t="shared" si="14"/>
        <v>0.14186770775095819</v>
      </c>
      <c r="O6" s="2">
        <v>3600</v>
      </c>
      <c r="P6">
        <f t="shared" si="15"/>
        <v>5100.0000004749745</v>
      </c>
      <c r="Q6" s="2">
        <f t="shared" si="0"/>
        <v>1500.0000004749745</v>
      </c>
      <c r="R6" s="2">
        <f t="shared" si="16"/>
        <v>2.5698881715569892</v>
      </c>
      <c r="S6" s="2">
        <f t="shared" si="17"/>
        <v>12679.656352203225</v>
      </c>
      <c r="T6" s="2">
        <f t="shared" si="1"/>
        <v>6.9987160835342141</v>
      </c>
      <c r="U6" s="2">
        <f t="shared" si="2"/>
        <v>39650.802624486569</v>
      </c>
      <c r="V6" s="2">
        <f t="shared" si="27"/>
        <v>7.5429004101257338</v>
      </c>
      <c r="W6" s="2">
        <f t="shared" si="28"/>
        <v>42410.41241687657</v>
      </c>
      <c r="X6" s="11">
        <f t="shared" si="3"/>
        <v>0.93941499433508935</v>
      </c>
      <c r="Y6" s="2">
        <f t="shared" si="4"/>
        <v>0.94370729630888772</v>
      </c>
      <c r="Z6">
        <v>0.93005040664975558</v>
      </c>
      <c r="AA6">
        <v>0.93495585106319756</v>
      </c>
      <c r="AB6" s="11">
        <f t="shared" si="18"/>
        <v>0.92785476448012016</v>
      </c>
      <c r="AC6" s="2">
        <f t="shared" si="19"/>
        <v>0.93493084280189986</v>
      </c>
      <c r="AD6" s="11">
        <f t="shared" si="20"/>
        <v>72306001219.555923</v>
      </c>
      <c r="AE6" s="2">
        <f t="shared" si="5"/>
        <v>67842574313.695793</v>
      </c>
      <c r="AF6" s="2">
        <f t="shared" si="21"/>
        <v>1.0657909425020016</v>
      </c>
      <c r="AG6" s="2">
        <v>70023682117.816895</v>
      </c>
      <c r="AH6" s="2">
        <v>64943992107.621399</v>
      </c>
      <c r="AI6">
        <f t="shared" si="6"/>
        <v>60349527944.282669</v>
      </c>
      <c r="AJ6" s="2">
        <f t="shared" si="7"/>
        <v>55947521853.659462</v>
      </c>
      <c r="AK6" s="10">
        <v>2374.4231770183301</v>
      </c>
      <c r="AL6">
        <v>384.83366065062302</v>
      </c>
      <c r="AM6" s="2">
        <f t="shared" si="22"/>
        <v>2759.2568376689533</v>
      </c>
      <c r="AN6" s="2">
        <f t="shared" si="23"/>
        <v>0.13947003968493712</v>
      </c>
      <c r="AO6" s="10">
        <v>0.458010278431908</v>
      </c>
      <c r="AP6">
        <v>7.3467669060915994E-2</v>
      </c>
      <c r="AQ6" s="2">
        <f t="shared" si="24"/>
        <v>0.53147794749282395</v>
      </c>
      <c r="AR6" s="2">
        <f t="shared" si="25"/>
        <v>0.1382327703482146</v>
      </c>
      <c r="AS6" s="11">
        <f t="shared" si="8"/>
        <v>28.328611898016998</v>
      </c>
      <c r="AT6" s="2">
        <f t="shared" si="9"/>
        <v>25.004172967086316</v>
      </c>
      <c r="AU6" s="2">
        <f t="shared" si="10"/>
        <v>24.940455774551129</v>
      </c>
      <c r="AV6" s="2">
        <f t="shared" si="26"/>
        <v>24.823418962492212</v>
      </c>
      <c r="AW6" s="2">
        <f t="shared" si="11"/>
        <v>24.747679978563625</v>
      </c>
    </row>
    <row r="7" spans="1:49" x14ac:dyDescent="0.3">
      <c r="A7" t="s">
        <v>58</v>
      </c>
      <c r="B7" t="s">
        <v>59</v>
      </c>
      <c r="C7" s="1">
        <v>45336.085381944446</v>
      </c>
      <c r="D7">
        <v>80</v>
      </c>
      <c r="E7" s="2">
        <v>82.619100000000003</v>
      </c>
      <c r="F7" s="2">
        <v>0.2851321</v>
      </c>
      <c r="G7" s="2">
        <v>98947.65</v>
      </c>
      <c r="H7">
        <v>5.9779207074862704E-3</v>
      </c>
      <c r="I7">
        <v>2.6146485088241599E-2</v>
      </c>
      <c r="J7" s="2">
        <f t="shared" si="12"/>
        <v>0.49389042872387895</v>
      </c>
      <c r="K7">
        <v>1.6025320559481099E-2</v>
      </c>
      <c r="L7" s="2">
        <f t="shared" si="13"/>
        <v>2587.1332552415488</v>
      </c>
      <c r="M7">
        <v>9.1281518700029096</v>
      </c>
      <c r="N7" s="2">
        <f t="shared" si="14"/>
        <v>0.1373399899201794</v>
      </c>
      <c r="O7" s="2">
        <v>3600</v>
      </c>
      <c r="P7">
        <f t="shared" si="15"/>
        <v>5099.9999998463318</v>
      </c>
      <c r="Q7" s="2">
        <f t="shared" si="0"/>
        <v>1499.9999998463318</v>
      </c>
      <c r="R7" s="2">
        <f t="shared" si="16"/>
        <v>3.0637786002808682</v>
      </c>
      <c r="S7" s="2">
        <f t="shared" si="17"/>
        <v>15266.789607444774</v>
      </c>
      <c r="T7" s="2">
        <f t="shared" si="1"/>
        <v>6.504825654810336</v>
      </c>
      <c r="U7" s="2">
        <f t="shared" si="2"/>
        <v>37063.669369245021</v>
      </c>
      <c r="V7" s="2">
        <f t="shared" si="27"/>
        <v>6.9987160835342141</v>
      </c>
      <c r="W7" s="2">
        <f t="shared" si="28"/>
        <v>39650.802624486569</v>
      </c>
      <c r="X7" s="11">
        <f t="shared" si="3"/>
        <v>0.93941499433508935</v>
      </c>
      <c r="Y7" s="2">
        <f t="shared" si="4"/>
        <v>0.94370729630888772</v>
      </c>
      <c r="Z7">
        <v>0.93007876138016266</v>
      </c>
      <c r="AA7">
        <v>0.93498221113201885</v>
      </c>
      <c r="AB7" s="11">
        <f t="shared" si="18"/>
        <v>0.92943128099083094</v>
      </c>
      <c r="AC7" s="2">
        <f t="shared" si="19"/>
        <v>0.93475205836958641</v>
      </c>
      <c r="AD7" s="11">
        <f t="shared" si="20"/>
        <v>70666702969.969513</v>
      </c>
      <c r="AE7" s="2">
        <f t="shared" si="5"/>
        <v>68035411389.227776</v>
      </c>
      <c r="AF7" s="2">
        <f t="shared" si="21"/>
        <v>1.0386753240263107</v>
      </c>
      <c r="AG7" s="2">
        <v>69998209190.859894</v>
      </c>
      <c r="AH7" s="2">
        <v>64920445973.5037</v>
      </c>
      <c r="AI7" s="2">
        <f t="shared" si="6"/>
        <v>60349527944.282669</v>
      </c>
      <c r="AJ7" s="2">
        <f t="shared" si="7"/>
        <v>55947521853.659462</v>
      </c>
      <c r="AK7" s="10">
        <v>2218.9943864812499</v>
      </c>
      <c r="AL7">
        <v>359.74344450577303</v>
      </c>
      <c r="AM7" s="2">
        <f t="shared" si="22"/>
        <v>2578.7378309870228</v>
      </c>
      <c r="AN7" s="2">
        <f t="shared" si="23"/>
        <v>0.13950369059738024</v>
      </c>
      <c r="AO7" s="10">
        <v>0.42578241605990103</v>
      </c>
      <c r="AP7">
        <v>6.8318495423546205E-2</v>
      </c>
      <c r="AQ7" s="2">
        <f t="shared" si="24"/>
        <v>0.49410091148344726</v>
      </c>
      <c r="AR7" s="2">
        <f t="shared" si="25"/>
        <v>0.1382683047850134</v>
      </c>
      <c r="AS7" s="11">
        <f t="shared" si="8"/>
        <v>28.328611898016998</v>
      </c>
      <c r="AT7" s="2">
        <f t="shared" si="9"/>
        <v>24.981240336676166</v>
      </c>
      <c r="AU7" s="2">
        <f t="shared" si="10"/>
        <v>24.943294162300248</v>
      </c>
      <c r="AV7" s="2">
        <f t="shared" si="26"/>
        <v>24.823418962492212</v>
      </c>
      <c r="AW7" s="2">
        <f t="shared" si="11"/>
        <v>24.747679978563625</v>
      </c>
    </row>
    <row r="8" spans="1:49" x14ac:dyDescent="0.3">
      <c r="A8" t="s">
        <v>60</v>
      </c>
      <c r="B8" t="s">
        <v>61</v>
      </c>
      <c r="C8" s="1">
        <v>45336.191493055558</v>
      </c>
      <c r="D8">
        <v>100</v>
      </c>
      <c r="E8" s="2">
        <v>127.06399999999999</v>
      </c>
      <c r="F8" s="2">
        <v>0.67556150000000004</v>
      </c>
      <c r="G8" s="2">
        <v>152065.1</v>
      </c>
      <c r="H8">
        <v>5.9711397389961398E-3</v>
      </c>
      <c r="I8">
        <v>2.61729343742211E-2</v>
      </c>
      <c r="J8" s="2">
        <f t="shared" si="12"/>
        <v>0.75871689979580548</v>
      </c>
      <c r="K8">
        <v>2.4227003896307199E-2</v>
      </c>
      <c r="L8" s="2">
        <f t="shared" si="13"/>
        <v>3979.989882909369</v>
      </c>
      <c r="M8">
        <v>15.2895990882772</v>
      </c>
      <c r="N8" s="2">
        <f t="shared" si="14"/>
        <v>0.13714595069698191</v>
      </c>
      <c r="O8" s="2">
        <v>3600</v>
      </c>
      <c r="P8">
        <f t="shared" si="15"/>
        <v>9108.000000086613</v>
      </c>
      <c r="Q8" s="2">
        <f t="shared" si="0"/>
        <v>5508.000000086613</v>
      </c>
      <c r="R8" s="2">
        <f t="shared" si="16"/>
        <v>3.8224955000766738</v>
      </c>
      <c r="S8" s="2">
        <f t="shared" si="17"/>
        <v>19246.779490354143</v>
      </c>
      <c r="T8" s="2">
        <f t="shared" si="1"/>
        <v>5.7461087550145304</v>
      </c>
      <c r="U8" s="2">
        <f t="shared" si="2"/>
        <v>33083.679486335648</v>
      </c>
      <c r="V8" s="2">
        <f t="shared" si="27"/>
        <v>6.504825654810336</v>
      </c>
      <c r="W8" s="2">
        <f t="shared" si="28"/>
        <v>37063.669369245021</v>
      </c>
      <c r="X8" s="11">
        <f t="shared" si="3"/>
        <v>0.90804157273488473</v>
      </c>
      <c r="Y8" s="2">
        <f t="shared" si="4"/>
        <v>0.91480902896664629</v>
      </c>
      <c r="Z8">
        <v>0.88306899105852743</v>
      </c>
      <c r="AA8">
        <v>0.89126567227156106</v>
      </c>
      <c r="AB8" s="11">
        <f t="shared" si="18"/>
        <v>0.8833609169471387</v>
      </c>
      <c r="AC8" s="2">
        <f t="shared" si="19"/>
        <v>0.89261748902250027</v>
      </c>
      <c r="AD8" s="11">
        <f t="shared" si="20"/>
        <v>113336743282.90918</v>
      </c>
      <c r="AE8" s="2">
        <f t="shared" si="5"/>
        <v>108400689020.71979</v>
      </c>
      <c r="AF8" s="2">
        <f t="shared" si="21"/>
        <v>1.0455352664893662</v>
      </c>
      <c r="AG8" s="2">
        <v>113644887803.864</v>
      </c>
      <c r="AH8" s="2">
        <v>105201185735.679</v>
      </c>
      <c r="AI8">
        <f t="shared" si="6"/>
        <v>88154464997.476807</v>
      </c>
      <c r="AJ8" s="2">
        <f t="shared" si="7"/>
        <v>81368987856.687637</v>
      </c>
      <c r="AK8" s="10">
        <v>3145.6872902223099</v>
      </c>
      <c r="AL8">
        <v>539.19943324634801</v>
      </c>
      <c r="AM8" s="2">
        <f t="shared" si="22"/>
        <v>3684.8867234686577</v>
      </c>
      <c r="AN8" s="2">
        <f t="shared" si="23"/>
        <v>0.14632727508616297</v>
      </c>
      <c r="AO8" s="10">
        <v>0.60207178520456806</v>
      </c>
      <c r="AP8">
        <v>0.101593254182079</v>
      </c>
      <c r="AQ8" s="2">
        <f t="shared" si="24"/>
        <v>0.70366503938664704</v>
      </c>
      <c r="AR8" s="2">
        <f t="shared" si="25"/>
        <v>0.14437729387640635</v>
      </c>
      <c r="AS8" s="11">
        <f t="shared" si="8"/>
        <v>26.809651474530831</v>
      </c>
      <c r="AT8" s="2">
        <f t="shared" si="9"/>
        <v>25.453629253226254</v>
      </c>
      <c r="AU8" s="2">
        <f t="shared" si="10"/>
        <v>25.409100282211458</v>
      </c>
      <c r="AV8" s="2">
        <f t="shared" si="26"/>
        <v>25.202356396776104</v>
      </c>
      <c r="AW8" s="2">
        <f t="shared" si="11"/>
        <v>25.122260052800272</v>
      </c>
    </row>
    <row r="9" spans="1:49" x14ac:dyDescent="0.3">
      <c r="A9" t="s">
        <v>62</v>
      </c>
      <c r="B9" t="s">
        <v>63</v>
      </c>
      <c r="C9" s="1">
        <v>45336.251863425925</v>
      </c>
      <c r="D9">
        <v>100</v>
      </c>
      <c r="E9" s="2">
        <v>100.5027</v>
      </c>
      <c r="F9" s="2">
        <v>0</v>
      </c>
      <c r="G9" s="2">
        <v>117935</v>
      </c>
      <c r="H9">
        <v>5.9765598932272103E-3</v>
      </c>
      <c r="I9">
        <v>2.6187101051772702E-2</v>
      </c>
      <c r="J9" s="2">
        <f t="shared" si="12"/>
        <v>0.60066040598104642</v>
      </c>
      <c r="K9">
        <v>2.0139997138710699E-2</v>
      </c>
      <c r="L9" s="2">
        <f t="shared" si="13"/>
        <v>3088.3757625408134</v>
      </c>
      <c r="M9">
        <v>13.496307779223599</v>
      </c>
      <c r="N9" s="2">
        <f t="shared" si="14"/>
        <v>0.13992137670451693</v>
      </c>
      <c r="O9" s="2">
        <v>3600</v>
      </c>
      <c r="P9">
        <f t="shared" si="15"/>
        <v>5155.9999997355044</v>
      </c>
      <c r="Q9" s="2">
        <f t="shared" si="0"/>
        <v>1555.9999997355044</v>
      </c>
      <c r="R9" s="2">
        <f t="shared" si="16"/>
        <v>4.4231559060577199</v>
      </c>
      <c r="S9" s="2">
        <f t="shared" si="17"/>
        <v>22335.155252894958</v>
      </c>
      <c r="T9" s="2">
        <f t="shared" si="1"/>
        <v>5.1454483490334839</v>
      </c>
      <c r="U9" s="2">
        <f t="shared" si="2"/>
        <v>29995.303723794834</v>
      </c>
      <c r="V9" s="2">
        <f t="shared" si="27"/>
        <v>5.7461087550145304</v>
      </c>
      <c r="W9" s="2">
        <f t="shared" si="28"/>
        <v>33083.679486335648</v>
      </c>
      <c r="X9" s="11">
        <f t="shared" si="3"/>
        <v>0.90804157273488473</v>
      </c>
      <c r="Y9" s="2">
        <f t="shared" si="4"/>
        <v>0.91480902896664629</v>
      </c>
      <c r="Z9">
        <v>0.89661172741923945</v>
      </c>
      <c r="AA9">
        <v>0.904108170304743</v>
      </c>
      <c r="AB9" s="11">
        <f t="shared" si="18"/>
        <v>0.89546657893363735</v>
      </c>
      <c r="AC9" s="2">
        <f t="shared" si="19"/>
        <v>0.90664956829193111</v>
      </c>
      <c r="AD9" s="11">
        <f t="shared" si="20"/>
        <v>100898317161.71884</v>
      </c>
      <c r="AE9" s="2">
        <f t="shared" si="5"/>
        <v>93516339110.621933</v>
      </c>
      <c r="AF9" s="2">
        <f t="shared" si="21"/>
        <v>1.0789378425342833</v>
      </c>
      <c r="AG9" s="2">
        <v>99735756216.159897</v>
      </c>
      <c r="AH9" s="2">
        <v>92126558203.376007</v>
      </c>
      <c r="AI9">
        <f t="shared" si="6"/>
        <v>88154464997.476807</v>
      </c>
      <c r="AJ9" s="2">
        <f t="shared" si="7"/>
        <v>81368987856.687637</v>
      </c>
      <c r="AK9" s="10">
        <v>364.57023388650202</v>
      </c>
      <c r="AL9">
        <v>364.57023388650202</v>
      </c>
      <c r="AM9" s="2">
        <f t="shared" si="22"/>
        <v>729.14046777300405</v>
      </c>
      <c r="AN9" s="2">
        <f t="shared" si="23"/>
        <v>0.5</v>
      </c>
      <c r="AO9" s="10">
        <v>0.53183890092670005</v>
      </c>
      <c r="AP9">
        <v>6.8217652577583304E-2</v>
      </c>
      <c r="AQ9" s="2">
        <f t="shared" si="24"/>
        <v>0.60005655350428333</v>
      </c>
      <c r="AR9" s="2">
        <f t="shared" si="25"/>
        <v>0.11368537211900703</v>
      </c>
      <c r="AS9" s="11">
        <f t="shared" si="8"/>
        <v>26.809651474530831</v>
      </c>
      <c r="AT9" s="2">
        <f t="shared" si="9"/>
        <v>25.337379085888582</v>
      </c>
      <c r="AU9" s="2">
        <f t="shared" si="10"/>
        <v>25.261402007820301</v>
      </c>
      <c r="AV9" s="2">
        <f t="shared" si="26"/>
        <v>25.202356396776104</v>
      </c>
      <c r="AW9" s="2">
        <f t="shared" si="11"/>
        <v>25.122260052800272</v>
      </c>
    </row>
    <row r="10" spans="1:49" x14ac:dyDescent="0.3">
      <c r="A10" t="s">
        <v>64</v>
      </c>
      <c r="B10" t="s">
        <v>65</v>
      </c>
      <c r="C10" s="1">
        <v>45336.330300925925</v>
      </c>
      <c r="D10">
        <v>100</v>
      </c>
      <c r="E10" s="2">
        <v>96.087530000000001</v>
      </c>
      <c r="F10" s="2">
        <v>0.43828909999999999</v>
      </c>
      <c r="G10" s="2">
        <v>113683.9</v>
      </c>
      <c r="H10">
        <v>5.9850390194674799E-3</v>
      </c>
      <c r="I10">
        <v>2.6198746235254498E-2</v>
      </c>
      <c r="J10" s="2">
        <f t="shared" si="12"/>
        <v>0.57508761633425209</v>
      </c>
      <c r="K10">
        <v>2.06299879052405E-2</v>
      </c>
      <c r="L10" s="2">
        <f t="shared" si="13"/>
        <v>2978.3756471340489</v>
      </c>
      <c r="M10">
        <v>14.748772294050699</v>
      </c>
      <c r="N10" s="2">
        <f t="shared" si="14"/>
        <v>0.1389119933478877</v>
      </c>
      <c r="O10" s="2">
        <v>3600</v>
      </c>
      <c r="P10">
        <f t="shared" si="15"/>
        <v>6717.0000000251457</v>
      </c>
      <c r="Q10" s="2">
        <f t="shared" si="0"/>
        <v>3117.0000000251457</v>
      </c>
      <c r="R10" s="2">
        <f t="shared" si="16"/>
        <v>4.9982435223919719</v>
      </c>
      <c r="S10" s="2">
        <f t="shared" si="17"/>
        <v>25313.530900029007</v>
      </c>
      <c r="T10" s="2">
        <f t="shared" si="1"/>
        <v>4.5703607326992319</v>
      </c>
      <c r="U10" s="2">
        <f t="shared" si="2"/>
        <v>27016.928076660784</v>
      </c>
      <c r="V10" s="2">
        <f t="shared" si="27"/>
        <v>5.1454483490334839</v>
      </c>
      <c r="W10" s="2">
        <f t="shared" si="28"/>
        <v>29995.303723794834</v>
      </c>
      <c r="X10" s="11">
        <f t="shared" si="3"/>
        <v>0.90804157273488473</v>
      </c>
      <c r="Y10" s="2">
        <f t="shared" si="4"/>
        <v>0.91480902896664629</v>
      </c>
      <c r="Z10">
        <v>0.89117647880639372</v>
      </c>
      <c r="AA10">
        <v>0.89896167181458198</v>
      </c>
      <c r="AB10" s="11">
        <f t="shared" si="18"/>
        <v>0.88823372088803965</v>
      </c>
      <c r="AC10" s="2">
        <f t="shared" si="19"/>
        <v>0.90070526791261163</v>
      </c>
      <c r="AD10" s="11">
        <f t="shared" si="20"/>
        <v>108309618185.89018</v>
      </c>
      <c r="AE10" s="2">
        <f t="shared" si="5"/>
        <v>99793359696.103043</v>
      </c>
      <c r="AF10" s="2">
        <f t="shared" si="21"/>
        <v>1.0853389295211764</v>
      </c>
      <c r="AG10" s="2">
        <v>105295471707.14301</v>
      </c>
      <c r="AH10" s="2">
        <v>97346251611.965607</v>
      </c>
      <c r="AI10">
        <f t="shared" si="6"/>
        <v>88154464997.476807</v>
      </c>
      <c r="AJ10" s="2">
        <f t="shared" si="7"/>
        <v>81368987856.687637</v>
      </c>
      <c r="AK10" s="10">
        <v>2534.30693731164</v>
      </c>
      <c r="AL10">
        <v>434.44489921509501</v>
      </c>
      <c r="AM10" s="2">
        <f t="shared" si="22"/>
        <v>2968.7518365267351</v>
      </c>
      <c r="AN10" s="2">
        <f t="shared" si="23"/>
        <v>0.14633924394413847</v>
      </c>
      <c r="AO10" s="10">
        <v>0.47660947344821902</v>
      </c>
      <c r="AP10">
        <v>8.0431464115196805E-2</v>
      </c>
      <c r="AQ10" s="2">
        <f t="shared" si="24"/>
        <v>0.55704093756341577</v>
      </c>
      <c r="AR10" s="2">
        <f t="shared" si="25"/>
        <v>0.14439058010173653</v>
      </c>
      <c r="AS10" s="11">
        <f t="shared" si="8"/>
        <v>26.809651474530831</v>
      </c>
      <c r="AT10" s="2">
        <f t="shared" si="9"/>
        <v>25.408259797590635</v>
      </c>
      <c r="AU10" s="2">
        <f t="shared" si="10"/>
        <v>25.326367481939013</v>
      </c>
      <c r="AV10" s="2">
        <f t="shared" si="26"/>
        <v>25.202356396776104</v>
      </c>
      <c r="AW10" s="2">
        <f t="shared" si="11"/>
        <v>25.122260052800272</v>
      </c>
    </row>
    <row r="11" spans="1:49" x14ac:dyDescent="0.3">
      <c r="A11" t="s">
        <v>66</v>
      </c>
      <c r="B11" t="s">
        <v>67</v>
      </c>
      <c r="C11" s="1">
        <v>45336.390717592592</v>
      </c>
      <c r="D11">
        <v>100</v>
      </c>
      <c r="E11" s="2">
        <v>77.232230000000001</v>
      </c>
      <c r="F11" s="2">
        <v>0.29728070000000001</v>
      </c>
      <c r="G11" s="2">
        <v>96045.32</v>
      </c>
      <c r="H11">
        <v>5.9899973901145096E-3</v>
      </c>
      <c r="I11">
        <v>2.6202884321191201E-2</v>
      </c>
      <c r="J11" s="2">
        <f t="shared" si="12"/>
        <v>0.46262085613272352</v>
      </c>
      <c r="K11">
        <v>1.7187087505700398E-2</v>
      </c>
      <c r="L11" s="2">
        <f t="shared" si="13"/>
        <v>2516.6644095517918</v>
      </c>
      <c r="M11">
        <v>13.0550822176235</v>
      </c>
      <c r="N11" s="2">
        <f t="shared" si="14"/>
        <v>0.13224677813399396</v>
      </c>
      <c r="O11" s="2">
        <v>3600</v>
      </c>
      <c r="P11">
        <f t="shared" si="15"/>
        <v>5160.0000000419095</v>
      </c>
      <c r="Q11" s="2">
        <f t="shared" si="0"/>
        <v>1560.0000000419095</v>
      </c>
      <c r="R11" s="2">
        <f t="shared" si="16"/>
        <v>5.4608643785246951</v>
      </c>
      <c r="S11" s="2">
        <f t="shared" si="17"/>
        <v>27830.195309580798</v>
      </c>
      <c r="T11" s="2">
        <f t="shared" si="1"/>
        <v>4.1077398765665087</v>
      </c>
      <c r="U11" s="2">
        <f t="shared" si="2"/>
        <v>24500.263667108993</v>
      </c>
      <c r="V11" s="2">
        <f t="shared" si="27"/>
        <v>4.5703607326992319</v>
      </c>
      <c r="W11" s="2">
        <f t="shared" si="28"/>
        <v>27016.928076660784</v>
      </c>
      <c r="X11" s="11">
        <f t="shared" si="3"/>
        <v>0.90804157273488473</v>
      </c>
      <c r="Y11" s="2">
        <f t="shared" si="4"/>
        <v>0.91480902896664629</v>
      </c>
      <c r="Z11">
        <v>0.89660404234868429</v>
      </c>
      <c r="AA11">
        <v>0.90410195992585773</v>
      </c>
      <c r="AB11" s="11">
        <f t="shared" si="18"/>
        <v>0.89877804331223943</v>
      </c>
      <c r="AC11" s="2">
        <f t="shared" si="19"/>
        <v>0.90684860978973136</v>
      </c>
      <c r="AD11" s="11">
        <f t="shared" si="20"/>
        <v>97525110539.223053</v>
      </c>
      <c r="AE11" s="2">
        <f t="shared" si="5"/>
        <v>93306869428.068756</v>
      </c>
      <c r="AF11" s="2">
        <f t="shared" si="21"/>
        <v>1.0452082589096634</v>
      </c>
      <c r="AG11" s="2">
        <v>99743589477.452698</v>
      </c>
      <c r="AH11" s="2">
        <v>92132835844.759094</v>
      </c>
      <c r="AI11">
        <f t="shared" si="6"/>
        <v>88154464997.476807</v>
      </c>
      <c r="AJ11" s="2">
        <f t="shared" si="7"/>
        <v>81368987856.687637</v>
      </c>
      <c r="AK11" s="10">
        <v>2279.3511376616598</v>
      </c>
      <c r="AL11">
        <v>296.71390493256598</v>
      </c>
      <c r="AM11" s="2">
        <f t="shared" si="22"/>
        <v>2576.0650425942258</v>
      </c>
      <c r="AN11" s="2">
        <f t="shared" si="23"/>
        <v>0.11518106104718548</v>
      </c>
      <c r="AO11" s="10">
        <v>0.42492672154435301</v>
      </c>
      <c r="AP11">
        <v>5.4577676120111503E-2</v>
      </c>
      <c r="AQ11" s="2">
        <f t="shared" si="24"/>
        <v>0.47950439766446451</v>
      </c>
      <c r="AR11" s="2">
        <f t="shared" si="25"/>
        <v>0.1138210126662957</v>
      </c>
      <c r="AS11" s="11">
        <f t="shared" si="8"/>
        <v>26.809651474530831</v>
      </c>
      <c r="AT11" s="2">
        <f t="shared" si="9"/>
        <v>25.303375725783482</v>
      </c>
      <c r="AU11" s="2">
        <f t="shared" si="10"/>
        <v>25.259159569399841</v>
      </c>
      <c r="AV11" s="2">
        <f t="shared" si="26"/>
        <v>25.202356396776104</v>
      </c>
      <c r="AW11" s="2">
        <f t="shared" si="11"/>
        <v>25.122260052800272</v>
      </c>
    </row>
    <row r="12" spans="1:49" x14ac:dyDescent="0.3">
      <c r="A12" t="s">
        <v>68</v>
      </c>
      <c r="B12" t="s">
        <v>69</v>
      </c>
      <c r="C12" s="1">
        <v>45336.495520833334</v>
      </c>
      <c r="D12">
        <v>100</v>
      </c>
      <c r="E12" s="2">
        <v>82.976770000000002</v>
      </c>
      <c r="F12" s="2">
        <v>0.36411729999999998</v>
      </c>
      <c r="G12" s="2">
        <v>102533.5</v>
      </c>
      <c r="H12">
        <v>6.0063314133250098E-3</v>
      </c>
      <c r="I12">
        <v>2.6206322795341099E-2</v>
      </c>
      <c r="J12" s="2">
        <f t="shared" si="12"/>
        <v>0.49838598022724429</v>
      </c>
      <c r="K12">
        <v>2.04150889037037E-2</v>
      </c>
      <c r="L12" s="2">
        <f t="shared" si="13"/>
        <v>2687.0259983361066</v>
      </c>
      <c r="M12">
        <v>14.4480893360109</v>
      </c>
      <c r="N12" s="2">
        <f t="shared" si="14"/>
        <v>0.13343788453617977</v>
      </c>
      <c r="O12" s="2">
        <v>3600</v>
      </c>
      <c r="P12">
        <f t="shared" si="15"/>
        <v>8995.0000000745058</v>
      </c>
      <c r="Q12" s="2">
        <f t="shared" si="0"/>
        <v>5395.0000000745058</v>
      </c>
      <c r="R12" s="2">
        <f t="shared" si="16"/>
        <v>5.9592503587519392</v>
      </c>
      <c r="S12" s="2">
        <f t="shared" si="17"/>
        <v>30517.221307916905</v>
      </c>
      <c r="T12" s="2">
        <f t="shared" si="1"/>
        <v>3.6093538963392646</v>
      </c>
      <c r="U12" s="2">
        <f t="shared" si="2"/>
        <v>21813.237668772887</v>
      </c>
      <c r="V12" s="2">
        <f t="shared" si="27"/>
        <v>4.1077398765665087</v>
      </c>
      <c r="W12" s="2">
        <f t="shared" si="28"/>
        <v>24500.263667108993</v>
      </c>
      <c r="X12" s="11">
        <f t="shared" si="3"/>
        <v>0.90804157273488473</v>
      </c>
      <c r="Y12" s="2">
        <f t="shared" si="4"/>
        <v>0.91480902896664629</v>
      </c>
      <c r="Z12">
        <v>0.88344880357643929</v>
      </c>
      <c r="AA12">
        <v>0.89162679927769406</v>
      </c>
      <c r="AB12" s="11">
        <f t="shared" si="18"/>
        <v>0.87867148475725187</v>
      </c>
      <c r="AC12" s="2">
        <f t="shared" si="19"/>
        <v>0.89032664975179943</v>
      </c>
      <c r="AD12" s="11">
        <f t="shared" si="20"/>
        <v>118200943155.34682</v>
      </c>
      <c r="AE12" s="2">
        <f t="shared" si="5"/>
        <v>110852865865.0769</v>
      </c>
      <c r="AF12" s="2">
        <f t="shared" si="21"/>
        <v>1.0662867597777177</v>
      </c>
      <c r="AG12" s="2">
        <v>113251900456.355</v>
      </c>
      <c r="AH12" s="2">
        <v>104830963817.89799</v>
      </c>
      <c r="AI12">
        <f t="shared" si="6"/>
        <v>88154464997.476807</v>
      </c>
      <c r="AJ12" s="2">
        <f t="shared" si="7"/>
        <v>81368987856.687637</v>
      </c>
      <c r="AK12" s="10">
        <v>2060.1712258570901</v>
      </c>
      <c r="AL12">
        <v>353.13066940385698</v>
      </c>
      <c r="AM12" s="2">
        <f t="shared" si="22"/>
        <v>2413.3018952609473</v>
      </c>
      <c r="AN12" s="2">
        <f t="shared" si="23"/>
        <v>0.14632676918594698</v>
      </c>
      <c r="AO12" s="10">
        <v>0.38090182752549701</v>
      </c>
      <c r="AP12">
        <v>6.4272944438871299E-2</v>
      </c>
      <c r="AQ12" s="2">
        <f t="shared" si="24"/>
        <v>0.44517477196436828</v>
      </c>
      <c r="AR12" s="2">
        <f t="shared" si="25"/>
        <v>0.14437687956858367</v>
      </c>
      <c r="AS12" s="11">
        <f t="shared" si="8"/>
        <v>26.809651474530831</v>
      </c>
      <c r="AT12" s="2">
        <f t="shared" si="9"/>
        <v>25.495651921204228</v>
      </c>
      <c r="AU12" s="2">
        <f t="shared" si="10"/>
        <v>25.43146962621605</v>
      </c>
      <c r="AV12" s="2">
        <f t="shared" si="26"/>
        <v>25.202356396776104</v>
      </c>
      <c r="AW12" s="2">
        <f t="shared" si="11"/>
        <v>25.122260052800272</v>
      </c>
    </row>
    <row r="13" spans="1:49" x14ac:dyDescent="0.3">
      <c r="A13" t="s">
        <v>70</v>
      </c>
      <c r="B13" t="s">
        <v>71</v>
      </c>
      <c r="C13" s="1">
        <v>45336.555115740739</v>
      </c>
      <c r="D13">
        <v>120</v>
      </c>
      <c r="E13" s="2">
        <v>84.78519</v>
      </c>
      <c r="F13" s="2">
        <v>0.38782929999999999</v>
      </c>
      <c r="G13" s="2">
        <v>105645.9</v>
      </c>
      <c r="H13">
        <v>6.02105219548499E-3</v>
      </c>
      <c r="I13">
        <v>2.6206322795341099E-2</v>
      </c>
      <c r="J13" s="2">
        <f t="shared" si="12"/>
        <v>0.51049605439411205</v>
      </c>
      <c r="K13">
        <v>2.2694915270756202E-2</v>
      </c>
      <c r="L13" s="2">
        <f t="shared" si="13"/>
        <v>2768.5905574043259</v>
      </c>
      <c r="M13">
        <v>14.5615031740764</v>
      </c>
      <c r="N13" s="2">
        <f t="shared" si="14"/>
        <v>0.13265354369672416</v>
      </c>
      <c r="O13" s="2">
        <v>3600</v>
      </c>
      <c r="P13">
        <f t="shared" si="15"/>
        <v>5088.9999997895211</v>
      </c>
      <c r="Q13" s="2">
        <f t="shared" si="0"/>
        <v>1488.9999997895211</v>
      </c>
      <c r="R13" s="2">
        <f t="shared" si="16"/>
        <v>6.4697464131460514</v>
      </c>
      <c r="S13" s="2">
        <f t="shared" si="17"/>
        <v>33285.81186532123</v>
      </c>
      <c r="T13" s="2">
        <f t="shared" si="1"/>
        <v>3.0988578419451525</v>
      </c>
      <c r="U13" s="2">
        <f t="shared" si="2"/>
        <v>19044.647111368562</v>
      </c>
      <c r="V13" s="2">
        <f t="shared" si="27"/>
        <v>3.6093538963392646</v>
      </c>
      <c r="W13" s="2">
        <f t="shared" si="28"/>
        <v>21813.237668772887</v>
      </c>
      <c r="X13" s="11">
        <f t="shared" si="3"/>
        <v>0.86688579348497752</v>
      </c>
      <c r="Y13" s="2">
        <f t="shared" si="4"/>
        <v>0.87692166731577692</v>
      </c>
      <c r="Z13">
        <v>0.85374577124988027</v>
      </c>
      <c r="AA13">
        <v>0.86459860313112769</v>
      </c>
      <c r="AB13" s="11">
        <f t="shared" si="18"/>
        <v>0.85856303674963119</v>
      </c>
      <c r="AC13" s="2">
        <f t="shared" si="19"/>
        <v>0.87307750461235989</v>
      </c>
      <c r="AD13" s="11">
        <f t="shared" si="20"/>
        <v>132265447111.82414</v>
      </c>
      <c r="AE13" s="2">
        <f t="shared" si="5"/>
        <v>122930551989.53247</v>
      </c>
      <c r="AF13" s="2">
        <f t="shared" si="21"/>
        <v>1.075936331296117</v>
      </c>
      <c r="AG13" s="2">
        <v>137152652909.345</v>
      </c>
      <c r="AH13" s="2">
        <v>126195920756.11301</v>
      </c>
      <c r="AI13">
        <f t="shared" si="6"/>
        <v>123898080788.634</v>
      </c>
      <c r="AJ13" s="2">
        <f t="shared" si="7"/>
        <v>113914605335.77663</v>
      </c>
      <c r="AK13" s="10">
        <v>2657.3951072107002</v>
      </c>
      <c r="AL13">
        <v>274.65077325505803</v>
      </c>
      <c r="AM13" s="2">
        <f t="shared" si="22"/>
        <v>2932.0458804657583</v>
      </c>
      <c r="AN13" s="2">
        <f t="shared" si="23"/>
        <v>9.367205850524736E-2</v>
      </c>
      <c r="AO13" s="10">
        <v>0.48767607824932402</v>
      </c>
      <c r="AP13">
        <v>4.9577783724716197E-2</v>
      </c>
      <c r="AQ13" s="2">
        <f t="shared" si="24"/>
        <v>0.53725386197404024</v>
      </c>
      <c r="AR13" s="2">
        <f t="shared" si="25"/>
        <v>9.2279995052156116E-2</v>
      </c>
      <c r="AS13" s="11">
        <f t="shared" si="8"/>
        <v>25.445292620865139</v>
      </c>
      <c r="AT13" s="2">
        <f t="shared" si="9"/>
        <v>25.608076703221794</v>
      </c>
      <c r="AU13" s="2">
        <f t="shared" si="10"/>
        <v>25.534885414890798</v>
      </c>
      <c r="AV13" s="2">
        <f t="shared" si="26"/>
        <v>25.542725135458582</v>
      </c>
      <c r="AW13" s="2">
        <f t="shared" si="11"/>
        <v>25.458714928641335</v>
      </c>
    </row>
    <row r="14" spans="1:49" x14ac:dyDescent="0.3">
      <c r="A14" t="s">
        <v>72</v>
      </c>
      <c r="B14" t="s">
        <v>73</v>
      </c>
      <c r="C14" s="1">
        <v>45336.634120370371</v>
      </c>
      <c r="D14">
        <v>120</v>
      </c>
      <c r="E14" s="2">
        <v>75.727149999999995</v>
      </c>
      <c r="F14" s="2">
        <v>0.32964270000000001</v>
      </c>
      <c r="G14" s="2">
        <v>97343.33</v>
      </c>
      <c r="H14">
        <v>6.0404022343548804E-3</v>
      </c>
      <c r="I14">
        <v>2.6206322795341099E-2</v>
      </c>
      <c r="J14" s="2">
        <f t="shared" si="12"/>
        <v>0.45742244606132715</v>
      </c>
      <c r="K14">
        <v>2.18472280670436E-2</v>
      </c>
      <c r="L14" s="2">
        <f t="shared" si="13"/>
        <v>2551.0107279534113</v>
      </c>
      <c r="M14">
        <v>12.988382905995699</v>
      </c>
      <c r="N14" s="2">
        <f t="shared" si="14"/>
        <v>0.1290002009168375</v>
      </c>
      <c r="O14" s="2">
        <v>3600</v>
      </c>
      <c r="P14">
        <f t="shared" si="15"/>
        <v>6766.0000001639128</v>
      </c>
      <c r="Q14" s="2">
        <f t="shared" si="0"/>
        <v>3166.0000001639128</v>
      </c>
      <c r="R14" s="2">
        <f t="shared" si="16"/>
        <v>6.9271688592073781</v>
      </c>
      <c r="S14" s="2">
        <f t="shared" si="17"/>
        <v>35836.822593274643</v>
      </c>
      <c r="T14" s="2">
        <f t="shared" si="1"/>
        <v>2.6414353958838257</v>
      </c>
      <c r="U14" s="2">
        <f t="shared" si="2"/>
        <v>16493.636383415149</v>
      </c>
      <c r="V14" s="2">
        <f t="shared" si="27"/>
        <v>3.0988578419451525</v>
      </c>
      <c r="W14" s="2">
        <f t="shared" si="28"/>
        <v>19044.647111368562</v>
      </c>
      <c r="X14" s="11">
        <f t="shared" si="3"/>
        <v>0.86688579348497752</v>
      </c>
      <c r="Y14" s="2">
        <f t="shared" si="4"/>
        <v>0.87692166731577692</v>
      </c>
      <c r="Z14">
        <v>0.84810362914959037</v>
      </c>
      <c r="AA14">
        <v>0.85923291970766935</v>
      </c>
      <c r="AB14" s="11">
        <f t="shared" si="18"/>
        <v>0.85238998708820968</v>
      </c>
      <c r="AC14" s="2">
        <f t="shared" si="19"/>
        <v>0.86605103717408305</v>
      </c>
      <c r="AD14" s="11">
        <f t="shared" si="20"/>
        <v>138524143262.3848</v>
      </c>
      <c r="AE14" s="2">
        <f t="shared" si="5"/>
        <v>130248994493.35448</v>
      </c>
      <c r="AF14" s="2">
        <f t="shared" si="21"/>
        <v>1.0635333025120015</v>
      </c>
      <c r="AG14" s="2">
        <v>142903964342.64301</v>
      </c>
      <c r="AH14" s="2">
        <v>131595675444.62801</v>
      </c>
      <c r="AI14">
        <f t="shared" si="6"/>
        <v>123898080788.634</v>
      </c>
      <c r="AJ14" s="2">
        <f t="shared" si="7"/>
        <v>113914605335.77663</v>
      </c>
      <c r="AK14" s="10">
        <v>2296.9451513167201</v>
      </c>
      <c r="AL14">
        <v>311.53944423467402</v>
      </c>
      <c r="AM14" s="2">
        <f t="shared" si="22"/>
        <v>2608.4845955513942</v>
      </c>
      <c r="AN14" s="2">
        <f t="shared" si="23"/>
        <v>0.11943311636418512</v>
      </c>
      <c r="AO14" s="10">
        <v>0.41625992931354</v>
      </c>
      <c r="AP14">
        <v>5.5360903500815302E-2</v>
      </c>
      <c r="AQ14" s="2">
        <f t="shared" si="24"/>
        <v>0.4716208328143553</v>
      </c>
      <c r="AR14" s="2">
        <f t="shared" si="25"/>
        <v>0.11738434701973202</v>
      </c>
      <c r="AS14" s="11">
        <f t="shared" si="8"/>
        <v>25.445292620865139</v>
      </c>
      <c r="AT14" s="2">
        <f t="shared" si="9"/>
        <v>25.654310466965917</v>
      </c>
      <c r="AU14" s="2">
        <f t="shared" si="10"/>
        <v>25.592713797729395</v>
      </c>
      <c r="AV14" s="2">
        <f t="shared" si="26"/>
        <v>25.542725135458582</v>
      </c>
      <c r="AW14" s="2">
        <f t="shared" si="11"/>
        <v>25.458714928641335</v>
      </c>
    </row>
    <row r="15" spans="1:49" x14ac:dyDescent="0.3">
      <c r="A15" t="s">
        <v>74</v>
      </c>
      <c r="B15" t="s">
        <v>75</v>
      </c>
      <c r="C15" s="1">
        <v>45336.693807870368</v>
      </c>
      <c r="D15">
        <v>120</v>
      </c>
      <c r="E15" s="2">
        <v>58.670079999999999</v>
      </c>
      <c r="F15" s="2">
        <v>0.20430889999999999</v>
      </c>
      <c r="G15" s="2">
        <v>80037.09</v>
      </c>
      <c r="H15">
        <v>6.0650456120377397E-3</v>
      </c>
      <c r="I15">
        <v>2.6206322795341099E-2</v>
      </c>
      <c r="J15" s="2">
        <f t="shared" si="12"/>
        <v>0.35583671126190314</v>
      </c>
      <c r="K15">
        <v>1.76073808967845E-2</v>
      </c>
      <c r="L15" s="2">
        <f t="shared" si="13"/>
        <v>2097.4778161397671</v>
      </c>
      <c r="M15">
        <v>10.351776306131301</v>
      </c>
      <c r="N15" s="2">
        <f t="shared" si="14"/>
        <v>0.12205022242977114</v>
      </c>
      <c r="O15" s="2">
        <v>3600</v>
      </c>
      <c r="P15">
        <f t="shared" si="15"/>
        <v>5096.9999997736886</v>
      </c>
      <c r="Q15" s="2">
        <f t="shared" si="0"/>
        <v>1496.9999997736886</v>
      </c>
      <c r="R15" s="2">
        <f t="shared" si="16"/>
        <v>7.2830055704692809</v>
      </c>
      <c r="S15" s="2">
        <f t="shared" si="17"/>
        <v>37934.300409414413</v>
      </c>
      <c r="T15" s="2">
        <f t="shared" si="1"/>
        <v>2.2855986846219229</v>
      </c>
      <c r="U15" s="2">
        <f t="shared" si="2"/>
        <v>14396.158567275379</v>
      </c>
      <c r="V15" s="2">
        <f t="shared" si="27"/>
        <v>2.6414353958838257</v>
      </c>
      <c r="W15" s="2">
        <f t="shared" si="28"/>
        <v>16493.636383415149</v>
      </c>
      <c r="X15" s="11">
        <f t="shared" si="3"/>
        <v>0.86688579348497752</v>
      </c>
      <c r="Y15" s="2">
        <f t="shared" si="4"/>
        <v>0.87692166731577692</v>
      </c>
      <c r="Z15">
        <v>0.85369842681679875</v>
      </c>
      <c r="AA15">
        <v>0.86455564442551303</v>
      </c>
      <c r="AB15" s="11">
        <f t="shared" si="18"/>
        <v>0.86528661203813406</v>
      </c>
      <c r="AC15" s="2">
        <f t="shared" si="19"/>
        <v>0.87283108664570497</v>
      </c>
      <c r="AD15" s="11">
        <f t="shared" si="20"/>
        <v>125499581177.18675</v>
      </c>
      <c r="AE15" s="2">
        <f t="shared" si="5"/>
        <v>123186211420.03964</v>
      </c>
      <c r="AF15" s="2">
        <f t="shared" si="21"/>
        <v>1.018779453726838</v>
      </c>
      <c r="AG15" s="2">
        <v>137197263891.86501</v>
      </c>
      <c r="AH15" s="2">
        <v>126235806756.998</v>
      </c>
      <c r="AI15">
        <f t="shared" si="6"/>
        <v>123898080788.634</v>
      </c>
      <c r="AJ15" s="2">
        <f t="shared" si="7"/>
        <v>113914605335.77663</v>
      </c>
      <c r="AK15" s="10">
        <v>1974.36239405219</v>
      </c>
      <c r="AL15">
        <v>204.52088250728801</v>
      </c>
      <c r="AM15" s="2">
        <f t="shared" si="22"/>
        <v>2178.883276559478</v>
      </c>
      <c r="AN15" s="2">
        <f t="shared" si="23"/>
        <v>9.3865001722456931E-2</v>
      </c>
      <c r="AO15" s="10">
        <v>0.353152333013868</v>
      </c>
      <c r="AP15">
        <v>3.5980250442368397E-2</v>
      </c>
      <c r="AQ15" s="2">
        <f t="shared" si="24"/>
        <v>0.38913258345623641</v>
      </c>
      <c r="AR15" s="2">
        <f t="shared" si="25"/>
        <v>9.2462702873132435E-2</v>
      </c>
      <c r="AS15" s="11">
        <f t="shared" si="8"/>
        <v>25.445292620865139</v>
      </c>
      <c r="AT15" s="2">
        <f t="shared" si="9"/>
        <v>25.555568258279109</v>
      </c>
      <c r="AU15" s="2">
        <f t="shared" si="10"/>
        <v>25.536962961490403</v>
      </c>
      <c r="AV15" s="2">
        <f t="shared" si="26"/>
        <v>25.542725135458582</v>
      </c>
      <c r="AW15" s="2">
        <f t="shared" si="11"/>
        <v>25.458714928641335</v>
      </c>
    </row>
    <row r="16" spans="1:49" x14ac:dyDescent="0.3">
      <c r="A16" t="s">
        <v>76</v>
      </c>
      <c r="B16" t="s">
        <v>77</v>
      </c>
      <c r="C16" s="1">
        <v>45336.778738425928</v>
      </c>
      <c r="D16">
        <v>120</v>
      </c>
      <c r="E16" s="2">
        <v>52.112169999999999</v>
      </c>
      <c r="F16" s="2">
        <v>0.201742</v>
      </c>
      <c r="G16" s="2">
        <v>74331.48</v>
      </c>
      <c r="H16">
        <v>6.1097853865364603E-3</v>
      </c>
      <c r="I16">
        <v>2.6213654632880001E-2</v>
      </c>
      <c r="J16" s="2">
        <f t="shared" si="12"/>
        <v>0.31839417472670373</v>
      </c>
      <c r="K16">
        <v>1.5635121922104301E-2</v>
      </c>
      <c r="L16" s="2">
        <f t="shared" si="13"/>
        <v>1948.499745070827</v>
      </c>
      <c r="M16">
        <v>9.3780996451007397</v>
      </c>
      <c r="N16" s="2">
        <f t="shared" si="14"/>
        <v>0.1175573966262</v>
      </c>
      <c r="O16" s="2">
        <v>3600</v>
      </c>
      <c r="P16">
        <f t="shared" si="15"/>
        <v>7278.0000004079193</v>
      </c>
      <c r="Q16" s="2">
        <f t="shared" si="0"/>
        <v>3678.0000004079193</v>
      </c>
      <c r="R16" s="2">
        <f t="shared" si="16"/>
        <v>7.6013997451959847</v>
      </c>
      <c r="S16" s="2">
        <f t="shared" si="17"/>
        <v>39882.800154485238</v>
      </c>
      <c r="T16" s="2">
        <f t="shared" si="1"/>
        <v>1.9672045098952191</v>
      </c>
      <c r="U16" s="2">
        <f t="shared" si="2"/>
        <v>12447.658822204554</v>
      </c>
      <c r="V16" s="2">
        <f t="shared" si="27"/>
        <v>2.2855986846219229</v>
      </c>
      <c r="W16" s="2">
        <f t="shared" si="28"/>
        <v>14396.158567275379</v>
      </c>
      <c r="X16" s="11">
        <f t="shared" si="3"/>
        <v>0.86688579348497752</v>
      </c>
      <c r="Y16" s="2">
        <f t="shared" si="4"/>
        <v>0.87692166731577692</v>
      </c>
      <c r="Z16">
        <v>0.84596989561838698</v>
      </c>
      <c r="AA16">
        <v>0.85721401162374866</v>
      </c>
      <c r="AB16" s="11">
        <f t="shared" si="18"/>
        <v>0.86069550316556487</v>
      </c>
      <c r="AC16" s="2">
        <f t="shared" si="19"/>
        <v>0.86465141127994682</v>
      </c>
      <c r="AD16" s="11">
        <f t="shared" si="20"/>
        <v>130113847135.54245</v>
      </c>
      <c r="AE16" s="2">
        <f t="shared" si="5"/>
        <v>131713869610.44078</v>
      </c>
      <c r="AF16" s="2">
        <f t="shared" si="21"/>
        <v>0.98785228556695981</v>
      </c>
      <c r="AG16" s="2">
        <v>145015157074.01599</v>
      </c>
      <c r="AH16" s="2">
        <v>133568161567.48399</v>
      </c>
      <c r="AI16">
        <f t="shared" si="6"/>
        <v>123898080788.634</v>
      </c>
      <c r="AJ16" s="2">
        <f t="shared" si="7"/>
        <v>113914605335.77663</v>
      </c>
      <c r="AK16" s="10">
        <v>1712.23108747841</v>
      </c>
      <c r="AL16">
        <v>231.720733966339</v>
      </c>
      <c r="AM16" s="2">
        <f t="shared" si="22"/>
        <v>1943.9518214447489</v>
      </c>
      <c r="AN16" s="2">
        <f t="shared" si="23"/>
        <v>0.11920086259860271</v>
      </c>
      <c r="AO16" s="10">
        <v>0.30243471618739698</v>
      </c>
      <c r="AP16">
        <v>4.01333474945747E-2</v>
      </c>
      <c r="AQ16" s="2">
        <f t="shared" si="24"/>
        <v>0.34256806368197168</v>
      </c>
      <c r="AR16" s="2">
        <f t="shared" si="25"/>
        <v>0.11715437528885679</v>
      </c>
      <c r="AS16" s="11">
        <f t="shared" si="8"/>
        <v>25.445292620865139</v>
      </c>
      <c r="AT16" s="2">
        <f t="shared" si="9"/>
        <v>25.591675651355629</v>
      </c>
      <c r="AU16" s="2">
        <f t="shared" si="10"/>
        <v>25.603897752302881</v>
      </c>
      <c r="AV16" s="2">
        <f t="shared" si="26"/>
        <v>25.542725135458582</v>
      </c>
      <c r="AW16" s="2">
        <f t="shared" si="11"/>
        <v>25.458714928641335</v>
      </c>
    </row>
    <row r="17" spans="1:49" x14ac:dyDescent="0.3">
      <c r="A17" t="s">
        <v>78</v>
      </c>
      <c r="B17" t="s">
        <v>79</v>
      </c>
      <c r="C17" s="1">
        <v>45336.838518518518</v>
      </c>
      <c r="D17">
        <v>120</v>
      </c>
      <c r="E17" s="2">
        <v>39.241079999999997</v>
      </c>
      <c r="F17" s="2">
        <v>0.10879129999999999</v>
      </c>
      <c r="G17" s="2">
        <v>59963.31</v>
      </c>
      <c r="H17">
        <v>6.18808270247334E-3</v>
      </c>
      <c r="I17">
        <v>2.62383713469771E-2</v>
      </c>
      <c r="J17" s="2">
        <f t="shared" si="12"/>
        <v>0.24282704837437252</v>
      </c>
      <c r="K17">
        <v>1.1687279978195299E-2</v>
      </c>
      <c r="L17" s="2">
        <f t="shared" si="13"/>
        <v>1573.3395949739054</v>
      </c>
      <c r="M17">
        <v>7.3648709490732802</v>
      </c>
      <c r="N17" s="2">
        <f t="shared" si="14"/>
        <v>0.11103497224185835</v>
      </c>
      <c r="O17" s="2">
        <v>3600</v>
      </c>
      <c r="P17">
        <f t="shared" si="15"/>
        <v>5104.9999997578561</v>
      </c>
      <c r="Q17" s="2">
        <f t="shared" si="0"/>
        <v>1504.9999997578561</v>
      </c>
      <c r="R17" s="2">
        <f t="shared" si="16"/>
        <v>7.8442267935703569</v>
      </c>
      <c r="S17" s="2">
        <f t="shared" si="17"/>
        <v>41456.139749459144</v>
      </c>
      <c r="T17" s="2">
        <f t="shared" si="1"/>
        <v>1.7243774615208469</v>
      </c>
      <c r="U17" s="2">
        <f t="shared" si="2"/>
        <v>10874.319227230648</v>
      </c>
      <c r="V17" s="2">
        <f t="shared" si="27"/>
        <v>1.9672045098952191</v>
      </c>
      <c r="W17" s="2">
        <f t="shared" si="28"/>
        <v>12447.658822204554</v>
      </c>
      <c r="X17" s="11">
        <f t="shared" si="3"/>
        <v>0.86688579348497752</v>
      </c>
      <c r="Y17" s="2">
        <f t="shared" si="4"/>
        <v>0.87692166731577692</v>
      </c>
      <c r="Z17">
        <v>0.85369001610243478</v>
      </c>
      <c r="AA17">
        <v>0.86454593621140119</v>
      </c>
      <c r="AB17" s="11">
        <f t="shared" si="18"/>
        <v>0.87656237714333718</v>
      </c>
      <c r="AC17" s="2">
        <f t="shared" si="19"/>
        <v>0.87360357337499239</v>
      </c>
      <c r="AD17" s="11">
        <f t="shared" si="20"/>
        <v>114270043309.1653</v>
      </c>
      <c r="AE17" s="2">
        <f t="shared" si="5"/>
        <v>122384995333.16273</v>
      </c>
      <c r="AF17" s="2">
        <f t="shared" si="21"/>
        <v>0.9336932439968928</v>
      </c>
      <c r="AG17" s="2">
        <v>137209300701.66</v>
      </c>
      <c r="AH17" s="2">
        <v>126248759078.67799</v>
      </c>
      <c r="AI17">
        <f t="shared" si="6"/>
        <v>123898080788.634</v>
      </c>
      <c r="AJ17" s="2">
        <f t="shared" si="7"/>
        <v>113914605335.77663</v>
      </c>
      <c r="AK17" s="10">
        <v>1463.0077652897801</v>
      </c>
      <c r="AL17">
        <v>151.898446309474</v>
      </c>
      <c r="AM17" s="2">
        <f t="shared" si="22"/>
        <v>1614.906211599254</v>
      </c>
      <c r="AN17" s="2">
        <f t="shared" si="23"/>
        <v>9.4060227905772814E-2</v>
      </c>
      <c r="AO17" s="10">
        <v>0.25500919365060498</v>
      </c>
      <c r="AP17">
        <v>2.6039747553442901E-2</v>
      </c>
      <c r="AQ17" s="2">
        <f t="shared" si="24"/>
        <v>0.28104894120404789</v>
      </c>
      <c r="AR17" s="2">
        <f t="shared" si="25"/>
        <v>9.2652003746697825E-2</v>
      </c>
      <c r="AS17" s="11">
        <f t="shared" si="8"/>
        <v>25.445292620865139</v>
      </c>
      <c r="AT17" s="2">
        <f t="shared" si="9"/>
        <v>25.461830285112271</v>
      </c>
      <c r="AU17" s="2">
        <f t="shared" si="10"/>
        <v>25.530437612362856</v>
      </c>
      <c r="AV17" s="2">
        <f t="shared" si="26"/>
        <v>25.542725135458582</v>
      </c>
      <c r="AW17" s="2">
        <f t="shared" si="11"/>
        <v>25.458714928641335</v>
      </c>
    </row>
    <row r="18" spans="1:49" x14ac:dyDescent="0.3">
      <c r="A18" t="s">
        <v>80</v>
      </c>
      <c r="B18" t="s">
        <v>81</v>
      </c>
      <c r="C18" s="1">
        <v>45336.898275462961</v>
      </c>
      <c r="D18">
        <v>150</v>
      </c>
      <c r="E18" s="2">
        <v>67.500240000000005</v>
      </c>
      <c r="F18" s="2">
        <v>0.27686230000000001</v>
      </c>
      <c r="G18" s="2">
        <v>92751.73</v>
      </c>
      <c r="H18">
        <v>6.2292054360992702E-3</v>
      </c>
      <c r="I18">
        <v>2.6253655469866102E-2</v>
      </c>
      <c r="J18" s="2">
        <f t="shared" si="12"/>
        <v>0.42047286194600542</v>
      </c>
      <c r="K18">
        <v>1.9995343551789699E-2</v>
      </c>
      <c r="L18" s="2">
        <f t="shared" si="13"/>
        <v>2435.0719636540439</v>
      </c>
      <c r="M18">
        <v>11.2535718490323</v>
      </c>
      <c r="N18" s="2">
        <f t="shared" si="14"/>
        <v>0.12422567642630671</v>
      </c>
      <c r="O18" s="2">
        <v>3600</v>
      </c>
      <c r="P18">
        <f t="shared" si="15"/>
        <v>5102.9999999189749</v>
      </c>
      <c r="Q18" s="2">
        <f t="shared" si="0"/>
        <v>1502.9999999189749</v>
      </c>
      <c r="R18" s="2">
        <f t="shared" si="16"/>
        <v>8.2646996555163632</v>
      </c>
      <c r="S18" s="2">
        <f t="shared" si="17"/>
        <v>43891.211713113189</v>
      </c>
      <c r="T18" s="2">
        <f t="shared" si="1"/>
        <v>1.3039045995748406</v>
      </c>
      <c r="U18" s="2">
        <f t="shared" si="2"/>
        <v>8439.2472635766026</v>
      </c>
      <c r="V18" s="2">
        <f t="shared" si="27"/>
        <v>1.7243774615208469</v>
      </c>
      <c r="W18" s="2">
        <f t="shared" si="28"/>
        <v>10874.319227230648</v>
      </c>
      <c r="X18" s="11">
        <f t="shared" si="3"/>
        <v>0.78569934398860131</v>
      </c>
      <c r="Y18" s="2">
        <f t="shared" si="4"/>
        <v>0.80203569115876139</v>
      </c>
      <c r="Z18">
        <v>0.76952456631118793</v>
      </c>
      <c r="AA18">
        <v>0.78678259610756685</v>
      </c>
      <c r="AB18" s="11">
        <f t="shared" si="18"/>
        <v>0.75615961625063088</v>
      </c>
      <c r="AC18" s="2">
        <f t="shared" si="19"/>
        <v>0.77607131878597768</v>
      </c>
      <c r="AD18" s="11">
        <f t="shared" si="20"/>
        <v>225231244607.11383</v>
      </c>
      <c r="AE18" s="2">
        <f t="shared" si="5"/>
        <v>213319078088.46817</v>
      </c>
      <c r="AF18" s="2">
        <f t="shared" si="21"/>
        <v>1.0558420120009397</v>
      </c>
      <c r="AG18" s="2">
        <v>211107827714.095</v>
      </c>
      <c r="AH18" s="2">
        <v>193235714168.92801</v>
      </c>
      <c r="AI18">
        <f t="shared" si="6"/>
        <v>194350521265.9346</v>
      </c>
      <c r="AJ18" s="2">
        <f t="shared" si="7"/>
        <v>177767458919.01862</v>
      </c>
      <c r="AK18" s="10">
        <v>2036.77637858038</v>
      </c>
      <c r="AL18">
        <v>160.9113893409</v>
      </c>
      <c r="AM18" s="2">
        <f t="shared" si="22"/>
        <v>2197.6877679212798</v>
      </c>
      <c r="AN18" s="2">
        <f t="shared" si="23"/>
        <v>7.3218494314640864E-2</v>
      </c>
      <c r="AO18" s="10">
        <v>0.350861556339435</v>
      </c>
      <c r="AP18">
        <v>2.7087124841898898E-2</v>
      </c>
      <c r="AQ18" s="2">
        <f t="shared" si="24"/>
        <v>0.3779486811813339</v>
      </c>
      <c r="AR18" s="2">
        <f t="shared" si="25"/>
        <v>7.1668790475029914E-2</v>
      </c>
      <c r="AS18" s="11">
        <f t="shared" si="8"/>
        <v>23.640661938534279</v>
      </c>
      <c r="AT18" s="2">
        <f t="shared" si="9"/>
        <v>26.140393465182864</v>
      </c>
      <c r="AU18" s="2">
        <f t="shared" si="10"/>
        <v>26.086054900939061</v>
      </c>
      <c r="AV18" s="2">
        <f t="shared" si="26"/>
        <v>25.992929176340017</v>
      </c>
      <c r="AW18" s="2">
        <f t="shared" si="11"/>
        <v>25.90374212257295</v>
      </c>
    </row>
    <row r="19" spans="1:49" x14ac:dyDescent="0.3">
      <c r="A19" t="s">
        <v>82</v>
      </c>
      <c r="B19" t="s">
        <v>83</v>
      </c>
      <c r="C19" s="1">
        <v>45336.957974537036</v>
      </c>
      <c r="D19">
        <v>150</v>
      </c>
      <c r="E19" s="2">
        <v>45.000190000000003</v>
      </c>
      <c r="F19" s="2">
        <v>0.18287529999999999</v>
      </c>
      <c r="G19" s="2">
        <v>68733.13</v>
      </c>
      <c r="H19">
        <v>6.2930371397175097E-3</v>
      </c>
      <c r="I19">
        <v>2.6282337743698599E-2</v>
      </c>
      <c r="J19" s="2">
        <f t="shared" si="12"/>
        <v>0.2831878669643445</v>
      </c>
      <c r="K19">
        <v>1.3150870202028601E-2</v>
      </c>
      <c r="L19" s="2">
        <f t="shared" si="13"/>
        <v>1806.4673368415426</v>
      </c>
      <c r="M19">
        <v>8.1963394384800292</v>
      </c>
      <c r="N19" s="2">
        <f t="shared" si="14"/>
        <v>0.1127793867271487</v>
      </c>
      <c r="O19" s="2">
        <v>3600</v>
      </c>
      <c r="P19">
        <f t="shared" si="15"/>
        <v>5098.0000000074506</v>
      </c>
      <c r="Q19" s="2">
        <f t="shared" si="0"/>
        <v>1498.0000000074506</v>
      </c>
      <c r="R19" s="2">
        <f t="shared" si="16"/>
        <v>8.5478875224807069</v>
      </c>
      <c r="S19" s="2">
        <f t="shared" si="17"/>
        <v>45697.679049954735</v>
      </c>
      <c r="T19" s="2">
        <f t="shared" si="1"/>
        <v>1.0207167326104969</v>
      </c>
      <c r="U19" s="2">
        <f t="shared" si="2"/>
        <v>6632.7799267350565</v>
      </c>
      <c r="V19" s="2">
        <f t="shared" si="27"/>
        <v>1.3039045995748406</v>
      </c>
      <c r="W19" s="2">
        <f t="shared" si="28"/>
        <v>8439.2472635766026</v>
      </c>
      <c r="X19" s="11">
        <f t="shared" si="3"/>
        <v>0.78569934398860131</v>
      </c>
      <c r="Y19" s="2">
        <f t="shared" si="4"/>
        <v>0.80203569115876139</v>
      </c>
      <c r="Z19">
        <v>0.76957404360469028</v>
      </c>
      <c r="AA19">
        <v>0.786830321654583</v>
      </c>
      <c r="AB19" s="11">
        <f t="shared" si="18"/>
        <v>0.78281550118261589</v>
      </c>
      <c r="AC19" s="2">
        <f t="shared" si="19"/>
        <v>0.78594449476102268</v>
      </c>
      <c r="AD19" s="11">
        <f t="shared" si="20"/>
        <v>197313686850.94864</v>
      </c>
      <c r="AE19" s="2">
        <f t="shared" si="5"/>
        <v>202681558691.63318</v>
      </c>
      <c r="AF19" s="2">
        <f t="shared" si="21"/>
        <v>0.97351573633370658</v>
      </c>
      <c r="AG19" s="2">
        <v>211061008636.39301</v>
      </c>
      <c r="AH19" s="2">
        <v>193191403032.129</v>
      </c>
      <c r="AI19">
        <f t="shared" si="6"/>
        <v>194350521265.9346</v>
      </c>
      <c r="AJ19" s="2">
        <f t="shared" si="7"/>
        <v>177767458919.01862</v>
      </c>
      <c r="AK19" s="10">
        <v>1602.2620501256699</v>
      </c>
      <c r="AL19">
        <v>126.45340345936501</v>
      </c>
      <c r="AM19" s="2">
        <f t="shared" si="22"/>
        <v>1728.715453585035</v>
      </c>
      <c r="AN19" s="2">
        <f t="shared" si="23"/>
        <v>7.3148766731461853E-2</v>
      </c>
      <c r="AO19" s="10">
        <v>0.26995654015422099</v>
      </c>
      <c r="AP19">
        <v>2.0821818597601498E-2</v>
      </c>
      <c r="AQ19" s="2">
        <f t="shared" si="24"/>
        <v>0.29077835875182251</v>
      </c>
      <c r="AR19" s="2">
        <f t="shared" si="25"/>
        <v>7.1607181108594084E-2</v>
      </c>
      <c r="AS19" s="11">
        <f t="shared" si="8"/>
        <v>23.640661938534279</v>
      </c>
      <c r="AT19" s="2">
        <f t="shared" si="9"/>
        <v>26.008060618328944</v>
      </c>
      <c r="AU19" s="2">
        <f t="shared" si="10"/>
        <v>26.034901907931264</v>
      </c>
      <c r="AV19" s="2">
        <f t="shared" si="26"/>
        <v>25.992929176340017</v>
      </c>
      <c r="AW19" s="2">
        <f t="shared" si="11"/>
        <v>25.90374212257295</v>
      </c>
    </row>
    <row r="20" spans="1:49" x14ac:dyDescent="0.3">
      <c r="A20" t="s">
        <v>84</v>
      </c>
      <c r="B20" t="s">
        <v>85</v>
      </c>
      <c r="C20" s="1">
        <v>45337.480023148149</v>
      </c>
      <c r="D20">
        <v>150</v>
      </c>
      <c r="E20" s="2">
        <v>55.318959999999997</v>
      </c>
      <c r="F20" s="2">
        <v>0.1764802</v>
      </c>
      <c r="G20" s="2">
        <v>81688.42</v>
      </c>
      <c r="H20">
        <v>6.3420387070732701E-3</v>
      </c>
      <c r="I20">
        <v>2.6337792642140399E-2</v>
      </c>
      <c r="J20" s="2">
        <f t="shared" si="12"/>
        <v>0.35083498555503795</v>
      </c>
      <c r="K20">
        <v>1.0256508534713001E-2</v>
      </c>
      <c r="L20" s="2">
        <f t="shared" si="13"/>
        <v>2151.4926672240745</v>
      </c>
      <c r="M20">
        <v>8.50275940400061</v>
      </c>
      <c r="N20" s="2">
        <f t="shared" si="14"/>
        <v>0.11731356282479655</v>
      </c>
      <c r="O20" s="2">
        <v>3600</v>
      </c>
      <c r="P20">
        <f t="shared" si="15"/>
        <v>45045.000000237487</v>
      </c>
      <c r="Q20" s="2">
        <f t="shared" si="0"/>
        <v>41445.000000237487</v>
      </c>
      <c r="R20" s="2">
        <f t="shared" si="16"/>
        <v>8.8987225080357444</v>
      </c>
      <c r="S20" s="2">
        <f t="shared" si="17"/>
        <v>47849.171717178811</v>
      </c>
      <c r="T20" s="2">
        <f t="shared" si="1"/>
        <v>0.66988174705545944</v>
      </c>
      <c r="U20" s="2">
        <f t="shared" si="2"/>
        <v>4481.2872595109802</v>
      </c>
      <c r="V20" s="2">
        <f t="shared" si="27"/>
        <v>1.0207167326104969</v>
      </c>
      <c r="W20" s="2">
        <f t="shared" si="28"/>
        <v>6632.7799267350565</v>
      </c>
      <c r="X20" s="11">
        <f t="shared" si="3"/>
        <v>0.78569934398860131</v>
      </c>
      <c r="Y20" s="2">
        <f t="shared" si="4"/>
        <v>0.80203569115876139</v>
      </c>
      <c r="Z20">
        <v>0.65980022141100425</v>
      </c>
      <c r="AA20">
        <v>0.68074791774406085</v>
      </c>
      <c r="AB20" s="11">
        <f t="shared" si="18"/>
        <v>0.65628565267292893</v>
      </c>
      <c r="AC20" s="2">
        <f t="shared" si="19"/>
        <v>0.67562730996818487</v>
      </c>
      <c r="AD20" s="11">
        <f t="shared" si="20"/>
        <v>339381929382.78748</v>
      </c>
      <c r="AE20" s="2">
        <f t="shared" si="5"/>
        <v>329947710311.94269</v>
      </c>
      <c r="AF20" s="2">
        <f t="shared" si="21"/>
        <v>1.0285930733143303</v>
      </c>
      <c r="AG20" s="2">
        <v>335070116473.453</v>
      </c>
      <c r="AH20" s="2">
        <v>309884567487.91699</v>
      </c>
      <c r="AI20">
        <f t="shared" si="6"/>
        <v>194350521265.9346</v>
      </c>
      <c r="AJ20" s="2">
        <f t="shared" si="7"/>
        <v>177767458919.01862</v>
      </c>
      <c r="AK20" s="10">
        <v>1260.8901127854599</v>
      </c>
      <c r="AL20">
        <v>124.729873524844</v>
      </c>
      <c r="AM20" s="2">
        <f t="shared" si="22"/>
        <v>1385.6199863103038</v>
      </c>
      <c r="AN20" s="2">
        <f t="shared" si="23"/>
        <v>9.0017374718288204E-2</v>
      </c>
      <c r="AO20" s="10">
        <v>0.207781461851827</v>
      </c>
      <c r="AP20">
        <v>2.0021591956016799E-2</v>
      </c>
      <c r="AQ20" s="2">
        <f t="shared" si="24"/>
        <v>0.2278030538078438</v>
      </c>
      <c r="AR20" s="2">
        <f t="shared" si="25"/>
        <v>8.7889919039037076E-2</v>
      </c>
      <c r="AS20" s="11">
        <f t="shared" si="8"/>
        <v>23.640661938534279</v>
      </c>
      <c r="AT20" s="2">
        <f t="shared" si="9"/>
        <v>26.550391945496994</v>
      </c>
      <c r="AU20" s="2">
        <f t="shared" si="10"/>
        <v>26.522200025251664</v>
      </c>
      <c r="AV20" s="2">
        <f t="shared" si="26"/>
        <v>25.992929176340017</v>
      </c>
      <c r="AW20" s="2">
        <f t="shared" si="11"/>
        <v>25.90374212257295</v>
      </c>
    </row>
    <row r="21" spans="1:49" x14ac:dyDescent="0.3">
      <c r="A21" t="s">
        <v>86</v>
      </c>
      <c r="B21" t="s">
        <v>87</v>
      </c>
      <c r="C21" s="1">
        <v>45337.539733796293</v>
      </c>
      <c r="D21">
        <v>150</v>
      </c>
      <c r="E21" s="2">
        <v>23.186499999999999</v>
      </c>
      <c r="F21" s="2">
        <v>0</v>
      </c>
      <c r="G21" s="2">
        <v>35107</v>
      </c>
      <c r="H21">
        <v>6.3504662673961E-3</v>
      </c>
      <c r="I21">
        <v>2.6337792642140399E-2</v>
      </c>
      <c r="J21" s="2">
        <f t="shared" si="12"/>
        <v>0.14724508610897966</v>
      </c>
      <c r="K21">
        <v>3.9797647798611099E-3</v>
      </c>
      <c r="L21" s="2">
        <f t="shared" si="13"/>
        <v>924.64088628762295</v>
      </c>
      <c r="M21">
        <v>3.4229297339567801</v>
      </c>
      <c r="N21" s="2">
        <f t="shared" si="14"/>
        <v>0.11456525251708762</v>
      </c>
      <c r="O21" s="2">
        <v>3600</v>
      </c>
      <c r="P21">
        <f t="shared" si="15"/>
        <v>5098.9999996125698</v>
      </c>
      <c r="Q21" s="2">
        <f t="shared" si="0"/>
        <v>1498.9999996125698</v>
      </c>
      <c r="R21" s="2">
        <f t="shared" si="16"/>
        <v>9.0459675941447237</v>
      </c>
      <c r="S21" s="2">
        <f t="shared" si="17"/>
        <v>48773.812603466431</v>
      </c>
      <c r="T21" s="2">
        <f t="shared" si="1"/>
        <v>0.52263666094648009</v>
      </c>
      <c r="U21" s="2">
        <f t="shared" si="2"/>
        <v>3556.6463732233606</v>
      </c>
      <c r="V21" s="2">
        <f t="shared" si="27"/>
        <v>0.66988174705545944</v>
      </c>
      <c r="W21" s="2">
        <f t="shared" si="28"/>
        <v>4481.2872595109802</v>
      </c>
      <c r="X21" s="11">
        <f t="shared" si="3"/>
        <v>0.78569934398860131</v>
      </c>
      <c r="Y21" s="2">
        <f t="shared" si="4"/>
        <v>0.80203569115876139</v>
      </c>
      <c r="Z21">
        <v>0.76956464784720047</v>
      </c>
      <c r="AA21">
        <v>0.78681681234172218</v>
      </c>
      <c r="AB21" s="11">
        <f t="shared" si="18"/>
        <v>0.78019241939907802</v>
      </c>
      <c r="AC21" s="2">
        <f t="shared" si="19"/>
        <v>0.79366623187898</v>
      </c>
      <c r="AD21" s="11">
        <f t="shared" si="20"/>
        <v>200018414505.21841</v>
      </c>
      <c r="AE21" s="2">
        <f t="shared" si="5"/>
        <v>194454747558.71069</v>
      </c>
      <c r="AF21" s="2">
        <f t="shared" si="21"/>
        <v>1.0286116282392535</v>
      </c>
      <c r="AG21" s="2">
        <v>211070847082.79501</v>
      </c>
      <c r="AH21" s="2">
        <v>193205238644.48801</v>
      </c>
      <c r="AI21">
        <f t="shared" si="6"/>
        <v>194350521265.9346</v>
      </c>
      <c r="AJ21" s="2">
        <f t="shared" si="7"/>
        <v>177767458919.01862</v>
      </c>
      <c r="AK21" s="10">
        <v>858.27157120168999</v>
      </c>
      <c r="AL21">
        <v>67.744332720279601</v>
      </c>
      <c r="AM21" s="2">
        <f t="shared" si="22"/>
        <v>926.01590392196954</v>
      </c>
      <c r="AN21" s="2">
        <f t="shared" si="23"/>
        <v>7.3156770238352251E-2</v>
      </c>
      <c r="AO21" s="10">
        <v>0.13707881757908999</v>
      </c>
      <c r="AP21">
        <v>1.05743123144908E-2</v>
      </c>
      <c r="AQ21" s="2">
        <f t="shared" si="24"/>
        <v>0.14765312989358079</v>
      </c>
      <c r="AR21" s="2">
        <f t="shared" si="25"/>
        <v>7.1615903585058496E-2</v>
      </c>
      <c r="AS21" s="11">
        <f t="shared" si="8"/>
        <v>23.640661938534279</v>
      </c>
      <c r="AT21" s="2">
        <f t="shared" si="9"/>
        <v>26.021675271782126</v>
      </c>
      <c r="AU21" s="2">
        <f t="shared" si="10"/>
        <v>25.993465312568766</v>
      </c>
      <c r="AV21" s="2">
        <f t="shared" si="26"/>
        <v>25.992929176340017</v>
      </c>
      <c r="AW21" s="2">
        <f t="shared" si="11"/>
        <v>25.90374212257295</v>
      </c>
    </row>
    <row r="22" spans="1:49" x14ac:dyDescent="0.3">
      <c r="A22" t="s">
        <v>88</v>
      </c>
      <c r="B22" t="s">
        <v>89</v>
      </c>
      <c r="C22" s="1">
        <v>45337.619085648148</v>
      </c>
      <c r="D22">
        <v>150</v>
      </c>
      <c r="E22" s="2">
        <v>19.757940000000001</v>
      </c>
      <c r="F22" s="2">
        <v>0</v>
      </c>
      <c r="G22" s="2">
        <v>28626.42</v>
      </c>
      <c r="H22">
        <v>6.3463560584720198E-3</v>
      </c>
      <c r="I22">
        <v>2.6334519838468198E-2</v>
      </c>
      <c r="J22" s="2">
        <f t="shared" si="12"/>
        <v>0.12539092222192666</v>
      </c>
      <c r="K22">
        <v>3.33384722007256E-3</v>
      </c>
      <c r="L22" s="2">
        <f t="shared" si="13"/>
        <v>753.86302539432279</v>
      </c>
      <c r="M22">
        <v>2.7529087385226201</v>
      </c>
      <c r="N22" s="2">
        <f t="shared" si="14"/>
        <v>0.11966271527291238</v>
      </c>
      <c r="O22" s="2">
        <v>3600</v>
      </c>
      <c r="P22">
        <f t="shared" si="15"/>
        <v>6796.0000002617016</v>
      </c>
      <c r="Q22" s="2">
        <f t="shared" si="0"/>
        <v>3196.0000002617016</v>
      </c>
      <c r="R22" s="2">
        <f t="shared" si="16"/>
        <v>9.1713585163666504</v>
      </c>
      <c r="S22" s="2">
        <f t="shared" si="17"/>
        <v>49527.67562886075</v>
      </c>
      <c r="T22" s="2">
        <f t="shared" si="1"/>
        <v>0.39724573872455338</v>
      </c>
      <c r="U22" s="2">
        <f t="shared" si="2"/>
        <v>2802.7833478290413</v>
      </c>
      <c r="V22" s="2">
        <f t="shared" si="27"/>
        <v>0.52263666094648009</v>
      </c>
      <c r="W22" s="2">
        <f t="shared" si="28"/>
        <v>3556.6463732233606</v>
      </c>
      <c r="X22" s="11">
        <f t="shared" si="3"/>
        <v>0.78569934398860131</v>
      </c>
      <c r="Y22" s="2">
        <f t="shared" si="4"/>
        <v>0.80203569115876139</v>
      </c>
      <c r="Z22">
        <v>0.76431226485292303</v>
      </c>
      <c r="AA22">
        <v>0.78177548745062331</v>
      </c>
      <c r="AB22" s="11">
        <f t="shared" si="18"/>
        <v>0.76008012527317292</v>
      </c>
      <c r="AC22" s="2">
        <f t="shared" si="19"/>
        <v>0.78804105151699433</v>
      </c>
      <c r="AD22" s="11">
        <f t="shared" si="20"/>
        <v>221064009232.03656</v>
      </c>
      <c r="AE22" s="2">
        <f t="shared" si="5"/>
        <v>200439901128.24887</v>
      </c>
      <c r="AF22" s="2">
        <f t="shared" si="21"/>
        <v>1.1028942240925954</v>
      </c>
      <c r="AG22" s="2">
        <v>216584468413.647</v>
      </c>
      <c r="AH22" s="2">
        <v>198380296242.858</v>
      </c>
      <c r="AI22">
        <f t="shared" si="6"/>
        <v>194350521265.9346</v>
      </c>
      <c r="AJ22" s="2">
        <f t="shared" si="7"/>
        <v>177767458919.01862</v>
      </c>
      <c r="AK22" s="10">
        <v>675.36293887481395</v>
      </c>
      <c r="AL22">
        <v>66.808300895208106</v>
      </c>
      <c r="AM22" s="2">
        <f t="shared" si="22"/>
        <v>742.17123977002211</v>
      </c>
      <c r="AN22" s="2">
        <f t="shared" si="23"/>
        <v>9.0017367037706977E-2</v>
      </c>
      <c r="AO22" s="10">
        <v>0.105502897677139</v>
      </c>
      <c r="AP22">
        <v>1.01661418527417E-2</v>
      </c>
      <c r="AQ22" s="2">
        <f t="shared" si="24"/>
        <v>0.1156690395298807</v>
      </c>
      <c r="AR22" s="2">
        <f t="shared" si="25"/>
        <v>8.7889913273771839E-2</v>
      </c>
      <c r="AS22" s="11">
        <f t="shared" si="8"/>
        <v>23.640661938534279</v>
      </c>
      <c r="AT22" s="2">
        <f t="shared" si="9"/>
        <v>26.121718131062281</v>
      </c>
      <c r="AU22" s="2">
        <f t="shared" si="10"/>
        <v>26.023780293764261</v>
      </c>
      <c r="AV22" s="2">
        <f t="shared" si="26"/>
        <v>25.992929176340017</v>
      </c>
      <c r="AW22" s="2">
        <f t="shared" si="11"/>
        <v>25.90374212257295</v>
      </c>
    </row>
    <row r="23" spans="1:49" x14ac:dyDescent="0.3">
      <c r="A23" t="s">
        <v>90</v>
      </c>
      <c r="B23" t="s">
        <v>91</v>
      </c>
      <c r="C23" s="1">
        <v>45337.678831018522</v>
      </c>
      <c r="D23">
        <v>150</v>
      </c>
      <c r="E23" s="2">
        <v>14.208589999999999</v>
      </c>
      <c r="F23" s="2">
        <v>0</v>
      </c>
      <c r="G23" s="2">
        <v>21305.68</v>
      </c>
      <c r="H23">
        <v>6.2844483616795403E-3</v>
      </c>
      <c r="I23">
        <v>2.6300508081318799E-2</v>
      </c>
      <c r="J23" s="2">
        <f t="shared" si="12"/>
        <v>8.929315014727629E-2</v>
      </c>
      <c r="K23">
        <v>2.3974801154700701E-3</v>
      </c>
      <c r="L23" s="2">
        <f t="shared" si="13"/>
        <v>560.35020901799237</v>
      </c>
      <c r="M23">
        <v>2.0831290685933102</v>
      </c>
      <c r="N23" s="2">
        <f>(J23/(1000*L23))/0.00000139</f>
        <v>0.11464201374623613</v>
      </c>
      <c r="O23" s="2">
        <v>3600</v>
      </c>
      <c r="P23">
        <f t="shared" si="15"/>
        <v>5102.0000003138557</v>
      </c>
      <c r="Q23" s="2">
        <f t="shared" si="0"/>
        <v>1502.0000003138557</v>
      </c>
      <c r="R23" s="2">
        <f t="shared" si="16"/>
        <v>9.260651666513926</v>
      </c>
      <c r="S23" s="2">
        <f t="shared" si="17"/>
        <v>50088.02583787874</v>
      </c>
      <c r="T23" s="2">
        <f t="shared" si="1"/>
        <v>0.30795258857727781</v>
      </c>
      <c r="U23" s="2">
        <f t="shared" si="2"/>
        <v>2242.4331388110513</v>
      </c>
      <c r="V23" s="2">
        <f t="shared" si="27"/>
        <v>0.39724573872455338</v>
      </c>
      <c r="W23" s="2">
        <f t="shared" si="28"/>
        <v>2802.7833478290413</v>
      </c>
      <c r="X23" s="12">
        <f t="shared" si="3"/>
        <v>0.78569934398860131</v>
      </c>
      <c r="Y23" s="2">
        <f t="shared" si="4"/>
        <v>0.80203569115876139</v>
      </c>
      <c r="Z23">
        <v>0.76950817429604412</v>
      </c>
      <c r="AA23">
        <v>0.78676478401186201</v>
      </c>
      <c r="AB23" s="12">
        <f t="shared" si="18"/>
        <v>0.77521936312275808</v>
      </c>
      <c r="AC23" s="2">
        <f t="shared" si="19"/>
        <v>0.80007366268533675</v>
      </c>
      <c r="AD23" s="12">
        <f t="shared" si="20"/>
        <v>205171317304.98312</v>
      </c>
      <c r="AE23" s="2">
        <f t="shared" si="5"/>
        <v>187688748227.42188</v>
      </c>
      <c r="AF23" s="2">
        <f t="shared" si="21"/>
        <v>1.0931466017151847</v>
      </c>
      <c r="AG23" s="2">
        <v>211124992828.491</v>
      </c>
      <c r="AH23" s="2">
        <v>193253957217.30701</v>
      </c>
      <c r="AI23">
        <f t="shared" si="6"/>
        <v>194350521265.9346</v>
      </c>
      <c r="AJ23" s="2">
        <f t="shared" si="7"/>
        <v>177767458919.01862</v>
      </c>
      <c r="AK23" s="10">
        <v>528.044920777009</v>
      </c>
      <c r="AL23">
        <v>41.699530580493999</v>
      </c>
      <c r="AM23" s="2">
        <f t="shared" si="22"/>
        <v>569.74445135750295</v>
      </c>
      <c r="AN23" s="2">
        <f t="shared" si="23"/>
        <v>7.3189884484418433E-2</v>
      </c>
      <c r="AO23" s="10">
        <v>8.06449021853725E-2</v>
      </c>
      <c r="AP23">
        <v>6.22413659448763E-3</v>
      </c>
      <c r="AQ23" s="2">
        <f t="shared" si="24"/>
        <v>8.686903877986013E-2</v>
      </c>
      <c r="AR23" s="2">
        <f t="shared" si="25"/>
        <v>7.1649654260139514E-2</v>
      </c>
      <c r="AS23" s="12">
        <f t="shared" si="8"/>
        <v>23.640661938534279</v>
      </c>
      <c r="AT23" s="2">
        <f t="shared" si="9"/>
        <v>26.047111161257519</v>
      </c>
      <c r="AU23" s="2">
        <f t="shared" si="10"/>
        <v>25.9580508332302</v>
      </c>
      <c r="AV23" s="2">
        <f t="shared" si="26"/>
        <v>25.992929176340017</v>
      </c>
      <c r="AW23" s="2">
        <f t="shared" si="11"/>
        <v>25.90374212257295</v>
      </c>
    </row>
    <row r="24" spans="1:49" s="5" customFormat="1" x14ac:dyDescent="0.3">
      <c r="A24" s="5" t="s">
        <v>92</v>
      </c>
      <c r="B24" s="5" t="s">
        <v>93</v>
      </c>
      <c r="C24" s="6">
        <v>45337.821886574071</v>
      </c>
      <c r="D24" s="5" t="s">
        <v>94</v>
      </c>
      <c r="E24" s="7">
        <v>50.279829999999997</v>
      </c>
      <c r="F24" s="7">
        <v>0.21899750000000001</v>
      </c>
      <c r="G24" s="7">
        <v>85547.31</v>
      </c>
      <c r="H24">
        <v>6.1247738621486702E-3</v>
      </c>
      <c r="I24">
        <v>2.62127837662114E-2</v>
      </c>
      <c r="J24" s="2">
        <f t="shared" si="12"/>
        <v>0.30795258857727853</v>
      </c>
      <c r="K24">
        <v>8.4839447569544802E-3</v>
      </c>
      <c r="L24" s="2">
        <f t="shared" si="13"/>
        <v>2242.4331388110541</v>
      </c>
      <c r="M24">
        <v>8.7187654904305596</v>
      </c>
      <c r="N24" s="2">
        <f>(J24/(1000*L24))/0.00000139</f>
        <v>9.8798319129909842E-2</v>
      </c>
      <c r="R24" s="2">
        <f t="shared" si="16"/>
        <v>9.5686042550912038</v>
      </c>
      <c r="S24" s="2">
        <f t="shared" si="17"/>
        <v>52330.458976689792</v>
      </c>
      <c r="W24" s="8"/>
      <c r="X24" s="8"/>
      <c r="Y24" s="8"/>
      <c r="Z24" s="8"/>
      <c r="AA24"/>
      <c r="AB24" s="8"/>
      <c r="AC24" s="8"/>
      <c r="AD24" s="8"/>
      <c r="AJ24"/>
      <c r="AL24"/>
      <c r="AM24"/>
      <c r="AN24"/>
      <c r="AO24"/>
      <c r="AP24"/>
      <c r="AQ24"/>
    </row>
    <row r="25" spans="1:49" x14ac:dyDescent="0.3">
      <c r="E25" s="2">
        <f>SUM(E3:E24)</f>
        <v>1577.43352</v>
      </c>
      <c r="K25" s="2"/>
      <c r="M25" s="28" t="s">
        <v>280</v>
      </c>
      <c r="N25" s="29">
        <f>(R24/(1000*S24))/0.00000139</f>
        <v>0.13154648531497498</v>
      </c>
      <c r="O25" s="30" t="s">
        <v>281</v>
      </c>
      <c r="AK25" s="2"/>
      <c r="AO25" s="2"/>
    </row>
    <row r="26" spans="1:49" x14ac:dyDescent="0.3">
      <c r="W26" s="9"/>
      <c r="X26" s="9"/>
      <c r="Y26" s="9"/>
      <c r="Z26" s="9"/>
      <c r="AA26" s="9"/>
      <c r="AB26" s="9"/>
      <c r="AC26" s="9"/>
      <c r="AK26" s="2"/>
    </row>
    <row r="27" spans="1:49" x14ac:dyDescent="0.3">
      <c r="W27" s="9"/>
      <c r="X27" s="9"/>
      <c r="Y27" s="9"/>
      <c r="Z27" s="9"/>
      <c r="AA27" s="9"/>
      <c r="AB27" s="9"/>
      <c r="AC27" s="9"/>
    </row>
    <row r="28" spans="1:49" x14ac:dyDescent="0.3">
      <c r="V28" s="2">
        <f>Q3/60</f>
        <v>25.633333332138136</v>
      </c>
      <c r="W28" s="9"/>
      <c r="X28" s="9"/>
      <c r="Y28" s="9"/>
      <c r="Z28" s="9"/>
      <c r="AA28" s="9"/>
      <c r="AB28" s="9"/>
      <c r="AC28" s="9"/>
    </row>
    <row r="29" spans="1:49" x14ac:dyDescent="0.3">
      <c r="V29" s="2">
        <f t="shared" ref="V29:V75" si="29">Q4/60</f>
        <v>61.266666665673256</v>
      </c>
    </row>
    <row r="30" spans="1:49" x14ac:dyDescent="0.3">
      <c r="V30" s="2">
        <f t="shared" si="29"/>
        <v>25.083333329297602</v>
      </c>
      <c r="AB30" t="s">
        <v>110</v>
      </c>
    </row>
    <row r="31" spans="1:49" x14ac:dyDescent="0.3">
      <c r="V31" s="2">
        <f t="shared" si="29"/>
        <v>25.000000007916242</v>
      </c>
      <c r="AA31" t="s">
        <v>107</v>
      </c>
      <c r="AB31">
        <v>8.3500000000000005E-2</v>
      </c>
      <c r="AC31" t="s">
        <v>95</v>
      </c>
      <c r="AD31" s="2">
        <f>2/(LN(AB31/AB32)*((AB32/2)^2))</f>
        <v>6263.135578622223</v>
      </c>
    </row>
    <row r="32" spans="1:49" x14ac:dyDescent="0.3">
      <c r="V32" s="2">
        <f t="shared" si="29"/>
        <v>24.999999997438863</v>
      </c>
      <c r="AA32" t="s">
        <v>108</v>
      </c>
      <c r="AB32">
        <v>5.2900000000000003E-2</v>
      </c>
      <c r="AC32" t="s">
        <v>97</v>
      </c>
      <c r="AD32" s="3">
        <v>1.36E-22</v>
      </c>
    </row>
    <row r="33" spans="22:30" x14ac:dyDescent="0.3">
      <c r="V33" s="2">
        <f t="shared" si="29"/>
        <v>91.80000000144355</v>
      </c>
    </row>
    <row r="34" spans="22:30" x14ac:dyDescent="0.3">
      <c r="V34" s="2">
        <f t="shared" si="29"/>
        <v>25.933333328925073</v>
      </c>
      <c r="AA34" t="s">
        <v>107</v>
      </c>
      <c r="AB34">
        <v>8.72E-2</v>
      </c>
      <c r="AC34" t="s">
        <v>96</v>
      </c>
      <c r="AD34" s="2">
        <f>2/(LN(AB34/AB35)*((AB35/2)^2))</f>
        <v>5738.3243102740998</v>
      </c>
    </row>
    <row r="35" spans="22:30" x14ac:dyDescent="0.3">
      <c r="V35" s="2">
        <f t="shared" si="29"/>
        <v>51.950000000419095</v>
      </c>
      <c r="AA35" t="s">
        <v>108</v>
      </c>
      <c r="AB35">
        <v>5.5E-2</v>
      </c>
    </row>
    <row r="36" spans="22:30" x14ac:dyDescent="0.3">
      <c r="V36" s="2">
        <f t="shared" si="29"/>
        <v>26.000000000698492</v>
      </c>
      <c r="AB36">
        <f>AVERAGE(AB34,AB31)</f>
        <v>8.5350000000000009E-2</v>
      </c>
    </row>
    <row r="37" spans="22:30" x14ac:dyDescent="0.3">
      <c r="V37" s="2">
        <f t="shared" si="29"/>
        <v>89.91666666790843</v>
      </c>
      <c r="AB37">
        <f>AVERAGE(AB35,AB32)</f>
        <v>5.3949999999999998E-2</v>
      </c>
    </row>
    <row r="38" spans="22:30" x14ac:dyDescent="0.3">
      <c r="V38" s="2">
        <f t="shared" si="29"/>
        <v>24.816666663158685</v>
      </c>
      <c r="AB38" t="s">
        <v>109</v>
      </c>
      <c r="AC38" t="s">
        <v>96</v>
      </c>
      <c r="AD38" s="13">
        <f>2/(LN(AB36/AB37)*((AB37/2)^2))</f>
        <v>5992.0542686051613</v>
      </c>
    </row>
    <row r="39" spans="22:30" x14ac:dyDescent="0.3">
      <c r="V39" s="2">
        <f t="shared" si="29"/>
        <v>52.766666669398546</v>
      </c>
    </row>
    <row r="40" spans="22:30" x14ac:dyDescent="0.3">
      <c r="V40" s="2">
        <f t="shared" si="29"/>
        <v>24.949999996228144</v>
      </c>
    </row>
    <row r="41" spans="22:30" x14ac:dyDescent="0.3">
      <c r="V41" s="2">
        <f t="shared" si="29"/>
        <v>61.300000006798655</v>
      </c>
    </row>
    <row r="42" spans="22:30" x14ac:dyDescent="0.3">
      <c r="V42" s="2">
        <f t="shared" si="29"/>
        <v>25.083333329297602</v>
      </c>
      <c r="X42" s="2"/>
      <c r="Y42" s="2"/>
      <c r="Z42" s="2"/>
      <c r="AC42" s="2">
        <v>50000000000</v>
      </c>
      <c r="AD42" s="2">
        <v>50000000000</v>
      </c>
    </row>
    <row r="43" spans="22:30" x14ac:dyDescent="0.3">
      <c r="V43" s="2">
        <f t="shared" si="29"/>
        <v>25.049999998649582</v>
      </c>
      <c r="X43" s="2"/>
      <c r="Y43" s="2"/>
      <c r="Z43" s="2"/>
      <c r="AC43" s="2">
        <v>350000000000</v>
      </c>
      <c r="AD43" s="2">
        <v>350000000000</v>
      </c>
    </row>
    <row r="44" spans="22:30" x14ac:dyDescent="0.3">
      <c r="V44" s="2">
        <f t="shared" si="29"/>
        <v>24.966666666790843</v>
      </c>
    </row>
    <row r="45" spans="22:30" x14ac:dyDescent="0.3">
      <c r="V45" s="2">
        <f t="shared" si="29"/>
        <v>690.75000000395812</v>
      </c>
      <c r="AC45">
        <v>0.6</v>
      </c>
      <c r="AD45">
        <v>1</v>
      </c>
    </row>
    <row r="46" spans="22:30" x14ac:dyDescent="0.3">
      <c r="V46" s="2">
        <f t="shared" si="29"/>
        <v>24.983333326876163</v>
      </c>
      <c r="AC46">
        <v>0.6</v>
      </c>
      <c r="AD46">
        <v>1</v>
      </c>
    </row>
    <row r="47" spans="22:30" x14ac:dyDescent="0.3">
      <c r="V47" s="2">
        <f t="shared" si="29"/>
        <v>53.266666671028361</v>
      </c>
    </row>
    <row r="48" spans="22:30" x14ac:dyDescent="0.3">
      <c r="V48" s="2">
        <f t="shared" si="29"/>
        <v>25.033333338564262</v>
      </c>
    </row>
    <row r="49" spans="22:22" x14ac:dyDescent="0.3">
      <c r="V49" s="2">
        <f t="shared" si="29"/>
        <v>0</v>
      </c>
    </row>
    <row r="50" spans="22:22" x14ac:dyDescent="0.3">
      <c r="V50" s="2">
        <f t="shared" si="29"/>
        <v>0</v>
      </c>
    </row>
    <row r="51" spans="22:22" x14ac:dyDescent="0.3">
      <c r="V51" s="2">
        <f t="shared" si="29"/>
        <v>0</v>
      </c>
    </row>
    <row r="52" spans="22:22" x14ac:dyDescent="0.3">
      <c r="V52" s="2">
        <f t="shared" si="29"/>
        <v>0</v>
      </c>
    </row>
    <row r="53" spans="22:22" x14ac:dyDescent="0.3">
      <c r="V53" s="2">
        <f t="shared" si="29"/>
        <v>0</v>
      </c>
    </row>
    <row r="54" spans="22:22" x14ac:dyDescent="0.3">
      <c r="V54" s="2">
        <f t="shared" si="29"/>
        <v>0</v>
      </c>
    </row>
    <row r="55" spans="22:22" x14ac:dyDescent="0.3">
      <c r="V55" s="2">
        <f t="shared" si="29"/>
        <v>0</v>
      </c>
    </row>
    <row r="56" spans="22:22" x14ac:dyDescent="0.3">
      <c r="V56" s="2">
        <f t="shared" si="29"/>
        <v>0</v>
      </c>
    </row>
    <row r="57" spans="22:22" x14ac:dyDescent="0.3">
      <c r="V57" s="2">
        <f t="shared" si="29"/>
        <v>0</v>
      </c>
    </row>
    <row r="58" spans="22:22" x14ac:dyDescent="0.3">
      <c r="V58" s="2">
        <f t="shared" si="29"/>
        <v>0</v>
      </c>
    </row>
    <row r="59" spans="22:22" x14ac:dyDescent="0.3">
      <c r="V59" s="2">
        <f t="shared" si="29"/>
        <v>0</v>
      </c>
    </row>
    <row r="60" spans="22:22" x14ac:dyDescent="0.3">
      <c r="V60" s="2">
        <f t="shared" si="29"/>
        <v>0</v>
      </c>
    </row>
    <row r="61" spans="22:22" x14ac:dyDescent="0.3">
      <c r="V61" s="2">
        <f t="shared" si="29"/>
        <v>0</v>
      </c>
    </row>
    <row r="62" spans="22:22" x14ac:dyDescent="0.3">
      <c r="V62" s="2">
        <f t="shared" si="29"/>
        <v>0</v>
      </c>
    </row>
    <row r="63" spans="22:22" x14ac:dyDescent="0.3">
      <c r="V63" s="2">
        <f t="shared" si="29"/>
        <v>0</v>
      </c>
    </row>
    <row r="64" spans="22:22" x14ac:dyDescent="0.3">
      <c r="V64" s="2">
        <f t="shared" si="29"/>
        <v>0</v>
      </c>
    </row>
    <row r="65" spans="22:22" x14ac:dyDescent="0.3">
      <c r="V65" s="2">
        <f t="shared" si="29"/>
        <v>0</v>
      </c>
    </row>
    <row r="66" spans="22:22" x14ac:dyDescent="0.3">
      <c r="V66" s="2">
        <f t="shared" si="29"/>
        <v>0</v>
      </c>
    </row>
    <row r="67" spans="22:22" x14ac:dyDescent="0.3">
      <c r="V67" s="2">
        <f t="shared" si="29"/>
        <v>0</v>
      </c>
    </row>
    <row r="68" spans="22:22" x14ac:dyDescent="0.3">
      <c r="V68" s="2">
        <f t="shared" si="29"/>
        <v>0</v>
      </c>
    </row>
    <row r="69" spans="22:22" x14ac:dyDescent="0.3">
      <c r="V69" s="2">
        <f t="shared" si="29"/>
        <v>0</v>
      </c>
    </row>
    <row r="70" spans="22:22" x14ac:dyDescent="0.3">
      <c r="V70" s="2">
        <f t="shared" si="29"/>
        <v>0</v>
      </c>
    </row>
    <row r="71" spans="22:22" x14ac:dyDescent="0.3">
      <c r="V71" s="2">
        <f t="shared" si="29"/>
        <v>0</v>
      </c>
    </row>
    <row r="72" spans="22:22" x14ac:dyDescent="0.3">
      <c r="V72" s="2">
        <f t="shared" si="29"/>
        <v>0</v>
      </c>
    </row>
    <row r="73" spans="22:22" x14ac:dyDescent="0.3">
      <c r="V73" s="2">
        <f t="shared" si="29"/>
        <v>0</v>
      </c>
    </row>
    <row r="74" spans="22:22" x14ac:dyDescent="0.3">
      <c r="V74" s="2">
        <f t="shared" si="29"/>
        <v>0</v>
      </c>
    </row>
    <row r="75" spans="22:22" x14ac:dyDescent="0.3">
      <c r="V75" s="2">
        <f t="shared" si="29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B6F3-2860-452C-9545-17925D2B5C70}">
  <dimension ref="A1:X74"/>
  <sheetViews>
    <sheetView zoomScale="85" zoomScaleNormal="85" workbookViewId="0">
      <selection activeCell="D75" sqref="D75"/>
    </sheetView>
  </sheetViews>
  <sheetFormatPr defaultRowHeight="14.4" x14ac:dyDescent="0.3"/>
  <sheetData>
    <row r="1" spans="1:24" x14ac:dyDescent="0.3">
      <c r="A1" t="s">
        <v>128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122</v>
      </c>
      <c r="I1" t="s">
        <v>153</v>
      </c>
      <c r="P1" t="s">
        <v>129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153</v>
      </c>
    </row>
    <row r="2" spans="1:24" x14ac:dyDescent="0.3">
      <c r="A2">
        <v>0</v>
      </c>
      <c r="B2" t="s">
        <v>118</v>
      </c>
      <c r="C2">
        <v>24</v>
      </c>
      <c r="D2">
        <v>0</v>
      </c>
      <c r="E2">
        <v>0</v>
      </c>
      <c r="F2">
        <v>52330.543386947502</v>
      </c>
      <c r="G2">
        <v>52330.543386947502</v>
      </c>
      <c r="I2">
        <f>G2/F2</f>
        <v>1</v>
      </c>
      <c r="M2" t="s">
        <v>123</v>
      </c>
      <c r="N2" s="9">
        <v>2.6974999999999999E-2</v>
      </c>
      <c r="P2">
        <v>0</v>
      </c>
      <c r="Q2" t="s">
        <v>118</v>
      </c>
      <c r="R2">
        <v>24</v>
      </c>
      <c r="S2">
        <v>0</v>
      </c>
      <c r="T2">
        <v>0</v>
      </c>
      <c r="U2">
        <v>9.5267882389423999</v>
      </c>
      <c r="V2">
        <v>9.5267882389423999</v>
      </c>
      <c r="X2">
        <f>V2/U2</f>
        <v>1</v>
      </c>
    </row>
    <row r="3" spans="1:24" x14ac:dyDescent="0.3">
      <c r="A3">
        <v>1</v>
      </c>
      <c r="B3" t="s">
        <v>119</v>
      </c>
      <c r="C3">
        <v>80</v>
      </c>
      <c r="D3">
        <v>60.000000000038099</v>
      </c>
      <c r="E3">
        <v>2929.60116955488</v>
      </c>
      <c r="F3">
        <v>52330.543386947502</v>
      </c>
      <c r="G3">
        <v>49400.9422173926</v>
      </c>
      <c r="I3">
        <f t="shared" ref="I3:I66" si="0">G3/F3</f>
        <v>0.94401737532338303</v>
      </c>
      <c r="M3" t="s">
        <v>124</v>
      </c>
      <c r="N3">
        <v>4.2674999999999998E-2</v>
      </c>
      <c r="P3">
        <v>1</v>
      </c>
      <c r="Q3" t="s">
        <v>119</v>
      </c>
      <c r="R3">
        <v>80</v>
      </c>
      <c r="S3">
        <v>60.000000000003702</v>
      </c>
      <c r="T3">
        <v>0.57432929105607</v>
      </c>
      <c r="U3">
        <v>9.5267882389423999</v>
      </c>
      <c r="V3">
        <v>8.9524589478863295</v>
      </c>
      <c r="X3">
        <f t="shared" ref="X3:X66" si="1">V3/U3</f>
        <v>0.93971427970778232</v>
      </c>
    </row>
    <row r="4" spans="1:24" x14ac:dyDescent="0.3">
      <c r="A4">
        <v>2</v>
      </c>
      <c r="B4" t="s">
        <v>120</v>
      </c>
      <c r="C4">
        <v>26.787078903931501</v>
      </c>
      <c r="D4">
        <v>25.633333333333201</v>
      </c>
      <c r="E4">
        <v>482.03481990734201</v>
      </c>
      <c r="F4">
        <v>52330.543386947502</v>
      </c>
      <c r="G4">
        <v>48918.907397485302</v>
      </c>
      <c r="I4">
        <f t="shared" si="0"/>
        <v>0.93480602782517364</v>
      </c>
      <c r="M4" t="s">
        <v>96</v>
      </c>
      <c r="N4">
        <f>2/(LN(N3/N2)*(N2^2))</f>
        <v>5992.0542686051631</v>
      </c>
      <c r="P4">
        <v>2</v>
      </c>
      <c r="Q4" t="s">
        <v>120</v>
      </c>
      <c r="R4">
        <v>26.789569990455501</v>
      </c>
      <c r="S4">
        <v>25.633333333333098</v>
      </c>
      <c r="T4">
        <v>9.3514737922840901E-2</v>
      </c>
      <c r="U4">
        <v>9.5267882389423999</v>
      </c>
      <c r="V4">
        <v>8.8589442099634894</v>
      </c>
      <c r="X4">
        <f t="shared" si="1"/>
        <v>0.92989830232092463</v>
      </c>
    </row>
    <row r="5" spans="1:24" x14ac:dyDescent="0.3">
      <c r="A5">
        <v>3</v>
      </c>
      <c r="B5" t="s">
        <v>121</v>
      </c>
      <c r="C5">
        <v>80</v>
      </c>
      <c r="D5">
        <v>60</v>
      </c>
      <c r="E5">
        <f>F5-G5</f>
        <v>3411.6359894622001</v>
      </c>
      <c r="F5">
        <v>52330.543386947502</v>
      </c>
      <c r="G5">
        <v>48918.907397485302</v>
      </c>
      <c r="H5">
        <v>65098742237.414803</v>
      </c>
      <c r="I5">
        <f t="shared" si="0"/>
        <v>0.93480602782517364</v>
      </c>
      <c r="M5" t="s">
        <v>125</v>
      </c>
      <c r="N5" s="3">
        <v>1.36E-22</v>
      </c>
      <c r="P5">
        <v>3</v>
      </c>
      <c r="Q5" t="s">
        <v>121</v>
      </c>
      <c r="R5">
        <v>80</v>
      </c>
      <c r="S5">
        <v>60</v>
      </c>
      <c r="T5">
        <v>0.69870896700533203</v>
      </c>
      <c r="U5">
        <v>9.5267882389423999</v>
      </c>
      <c r="V5">
        <v>8.8589442099634894</v>
      </c>
      <c r="W5">
        <v>70181617250.701904</v>
      </c>
      <c r="X5">
        <f t="shared" si="1"/>
        <v>0.92989830232092463</v>
      </c>
    </row>
    <row r="6" spans="1:24" x14ac:dyDescent="0.3">
      <c r="A6">
        <v>4</v>
      </c>
      <c r="B6" t="s">
        <v>119</v>
      </c>
      <c r="C6">
        <v>80</v>
      </c>
      <c r="D6">
        <v>60.000000000038099</v>
      </c>
      <c r="E6">
        <v>2738.1508826495101</v>
      </c>
      <c r="F6">
        <v>48918.907397485302</v>
      </c>
      <c r="G6">
        <v>46180.756514835797</v>
      </c>
      <c r="I6">
        <f t="shared" si="0"/>
        <v>0.94402673672980975</v>
      </c>
      <c r="P6">
        <v>4</v>
      </c>
      <c r="Q6" t="s">
        <v>119</v>
      </c>
      <c r="R6">
        <v>80</v>
      </c>
      <c r="S6">
        <v>60.000000000003702</v>
      </c>
      <c r="T6">
        <v>0.53402596011675896</v>
      </c>
      <c r="U6">
        <v>8.8589442099634894</v>
      </c>
      <c r="V6">
        <v>8.3249182498467302</v>
      </c>
      <c r="X6">
        <f t="shared" si="1"/>
        <v>0.93971900629917615</v>
      </c>
    </row>
    <row r="7" spans="1:24" x14ac:dyDescent="0.3">
      <c r="A7">
        <v>5</v>
      </c>
      <c r="B7" t="s">
        <v>120</v>
      </c>
      <c r="C7">
        <v>24</v>
      </c>
      <c r="D7">
        <v>61.266666666666602</v>
      </c>
      <c r="E7">
        <v>605.843356492476</v>
      </c>
      <c r="F7">
        <v>48918.907397485302</v>
      </c>
      <c r="G7">
        <v>45375.4685015863</v>
      </c>
      <c r="I7">
        <f t="shared" si="0"/>
        <v>0.92756504418409902</v>
      </c>
      <c r="P7">
        <v>5</v>
      </c>
      <c r="Q7" t="s">
        <v>120</v>
      </c>
      <c r="R7">
        <v>24</v>
      </c>
      <c r="S7">
        <v>61.2666666666669</v>
      </c>
      <c r="T7">
        <v>0.116728235224282</v>
      </c>
      <c r="U7">
        <v>8.8589442099634894</v>
      </c>
      <c r="V7">
        <v>8.1699885078437493</v>
      </c>
      <c r="X7">
        <f t="shared" si="1"/>
        <v>0.92223049544155788</v>
      </c>
    </row>
    <row r="8" spans="1:24" x14ac:dyDescent="0.3">
      <c r="A8">
        <v>6</v>
      </c>
      <c r="B8" t="s">
        <v>121</v>
      </c>
      <c r="C8">
        <v>80</v>
      </c>
      <c r="D8">
        <v>60</v>
      </c>
      <c r="E8">
        <f>F8-G8</f>
        <v>3543.4388958990021</v>
      </c>
      <c r="F8">
        <v>48918.907397485302</v>
      </c>
      <c r="G8">
        <v>45375.4685015863</v>
      </c>
      <c r="H8">
        <v>72607562013.514099</v>
      </c>
      <c r="I8">
        <f t="shared" si="0"/>
        <v>0.92756504418409902</v>
      </c>
      <c r="P8">
        <v>6</v>
      </c>
      <c r="Q8" t="s">
        <v>121</v>
      </c>
      <c r="R8">
        <v>80</v>
      </c>
      <c r="S8">
        <v>60</v>
      </c>
      <c r="T8">
        <v>0.73613712763781702</v>
      </c>
      <c r="U8">
        <v>8.8589442099634894</v>
      </c>
      <c r="V8">
        <v>8.1699885078437493</v>
      </c>
      <c r="W8">
        <v>78177024805.3116</v>
      </c>
      <c r="X8">
        <f t="shared" si="1"/>
        <v>0.92223049544155788</v>
      </c>
    </row>
    <row r="9" spans="1:24" x14ac:dyDescent="0.3">
      <c r="A9">
        <v>7</v>
      </c>
      <c r="B9" t="s">
        <v>119</v>
      </c>
      <c r="C9">
        <v>80.009999999999906</v>
      </c>
      <c r="D9">
        <v>59.999999999996803</v>
      </c>
      <c r="E9">
        <v>2541.7007876591401</v>
      </c>
      <c r="F9">
        <v>45375.4685015863</v>
      </c>
      <c r="G9">
        <v>42833.767713927104</v>
      </c>
      <c r="I9">
        <f t="shared" si="0"/>
        <v>0.94398513400318196</v>
      </c>
      <c r="P9">
        <v>7</v>
      </c>
      <c r="Q9" t="s">
        <v>119</v>
      </c>
      <c r="R9">
        <v>80.009999999999906</v>
      </c>
      <c r="S9">
        <v>60.000000000000199</v>
      </c>
      <c r="T9">
        <v>0.49281289348641399</v>
      </c>
      <c r="U9">
        <v>8.1699885078437493</v>
      </c>
      <c r="V9">
        <v>7.6771756143573402</v>
      </c>
      <c r="X9">
        <f t="shared" si="1"/>
        <v>0.93968009954808684</v>
      </c>
    </row>
    <row r="10" spans="1:24" x14ac:dyDescent="0.3">
      <c r="A10">
        <v>8</v>
      </c>
      <c r="B10" t="s">
        <v>120</v>
      </c>
      <c r="C10">
        <v>26.968879774878001</v>
      </c>
      <c r="D10">
        <v>25.0833333333333</v>
      </c>
      <c r="E10">
        <v>412.47567196606502</v>
      </c>
      <c r="F10">
        <v>45375.4685015863</v>
      </c>
      <c r="G10">
        <v>42421.292041961002</v>
      </c>
      <c r="I10">
        <f t="shared" si="0"/>
        <v>0.93489485492536517</v>
      </c>
      <c r="P10">
        <v>8</v>
      </c>
      <c r="Q10" t="s">
        <v>120</v>
      </c>
      <c r="R10">
        <v>26.969096198714201</v>
      </c>
      <c r="S10">
        <v>25.083333333333201</v>
      </c>
      <c r="T10">
        <v>7.9162215885405604E-2</v>
      </c>
      <c r="U10">
        <v>8.1699885078437493</v>
      </c>
      <c r="V10">
        <v>7.59801339847193</v>
      </c>
      <c r="X10">
        <f t="shared" si="1"/>
        <v>0.9299907082093587</v>
      </c>
    </row>
    <row r="11" spans="1:24" x14ac:dyDescent="0.3">
      <c r="A11">
        <v>9</v>
      </c>
      <c r="B11" t="s">
        <v>121</v>
      </c>
      <c r="C11">
        <v>80.009999999999906</v>
      </c>
      <c r="D11">
        <v>60</v>
      </c>
      <c r="E11">
        <f>F11-G11</f>
        <v>2954.1764596252979</v>
      </c>
      <c r="F11">
        <v>45375.4685015863</v>
      </c>
      <c r="G11">
        <v>42421.292041961002</v>
      </c>
      <c r="H11">
        <v>65005149586.284897</v>
      </c>
      <c r="I11">
        <f t="shared" si="0"/>
        <v>0.93489485492536517</v>
      </c>
      <c r="P11">
        <v>9</v>
      </c>
      <c r="Q11" t="s">
        <v>121</v>
      </c>
      <c r="R11">
        <v>80.009999999999906</v>
      </c>
      <c r="S11">
        <v>60</v>
      </c>
      <c r="T11">
        <v>0.59085775032232102</v>
      </c>
      <c r="U11">
        <v>8.1699885078437493</v>
      </c>
      <c r="V11">
        <v>7.59801339847193</v>
      </c>
      <c r="W11">
        <v>70083680599.652496</v>
      </c>
      <c r="X11">
        <f t="shared" si="1"/>
        <v>0.9299907082093587</v>
      </c>
    </row>
    <row r="12" spans="1:24" x14ac:dyDescent="0.3">
      <c r="A12">
        <v>10</v>
      </c>
      <c r="B12" t="s">
        <v>119</v>
      </c>
      <c r="C12">
        <v>80</v>
      </c>
      <c r="D12">
        <v>60.000000000038099</v>
      </c>
      <c r="E12">
        <v>2374.4231770183301</v>
      </c>
      <c r="F12">
        <v>42421.292041961002</v>
      </c>
      <c r="G12">
        <v>40046.868864942699</v>
      </c>
      <c r="I12">
        <f t="shared" si="0"/>
        <v>0.94402756109668595</v>
      </c>
      <c r="P12">
        <v>10</v>
      </c>
      <c r="Q12" t="s">
        <v>119</v>
      </c>
      <c r="R12">
        <v>80</v>
      </c>
      <c r="S12">
        <v>60.000000000003702</v>
      </c>
      <c r="T12">
        <v>0.458010278431908</v>
      </c>
      <c r="U12">
        <v>7.59801339847193</v>
      </c>
      <c r="V12">
        <v>7.1400031200400198</v>
      </c>
      <c r="X12">
        <f t="shared" si="1"/>
        <v>0.93971973272329024</v>
      </c>
    </row>
    <row r="13" spans="1:24" x14ac:dyDescent="0.3">
      <c r="A13">
        <v>11</v>
      </c>
      <c r="B13" t="s">
        <v>120</v>
      </c>
      <c r="C13">
        <v>26.996160724337301</v>
      </c>
      <c r="D13">
        <v>24.999999999999901</v>
      </c>
      <c r="E13">
        <v>384.83366065062302</v>
      </c>
      <c r="F13">
        <v>42421.292041961002</v>
      </c>
      <c r="G13">
        <v>39662.0352042921</v>
      </c>
      <c r="I13">
        <f t="shared" si="0"/>
        <v>0.93495585106319756</v>
      </c>
      <c r="P13">
        <v>11</v>
      </c>
      <c r="Q13" t="s">
        <v>120</v>
      </c>
      <c r="R13">
        <v>26.996890097704799</v>
      </c>
      <c r="S13">
        <v>24.999999999999801</v>
      </c>
      <c r="T13">
        <v>7.3467669060915994E-2</v>
      </c>
      <c r="U13">
        <v>7.59801339847193</v>
      </c>
      <c r="V13">
        <v>7.0665354509791101</v>
      </c>
      <c r="X13">
        <f t="shared" si="1"/>
        <v>0.93005040664975558</v>
      </c>
    </row>
    <row r="14" spans="1:24" x14ac:dyDescent="0.3">
      <c r="A14">
        <v>12</v>
      </c>
      <c r="B14" t="s">
        <v>121</v>
      </c>
      <c r="C14">
        <v>80</v>
      </c>
      <c r="D14">
        <v>60</v>
      </c>
      <c r="E14">
        <f>F14-G14</f>
        <v>2759.2568376689014</v>
      </c>
      <c r="F14">
        <v>42421.292041961002</v>
      </c>
      <c r="G14">
        <v>39662.0352042921</v>
      </c>
      <c r="H14">
        <v>64943992107.621399</v>
      </c>
      <c r="I14">
        <f t="shared" si="0"/>
        <v>0.93495585106319756</v>
      </c>
      <c r="P14">
        <v>12</v>
      </c>
      <c r="Q14" t="s">
        <v>121</v>
      </c>
      <c r="R14">
        <v>80</v>
      </c>
      <c r="S14">
        <v>60</v>
      </c>
      <c r="T14">
        <v>0.54418432659152005</v>
      </c>
      <c r="U14">
        <v>7.59801339847193</v>
      </c>
      <c r="V14">
        <v>7.0665354509791101</v>
      </c>
      <c r="W14">
        <v>70023682117.816895</v>
      </c>
      <c r="X14">
        <f t="shared" si="1"/>
        <v>0.93005040664975558</v>
      </c>
    </row>
    <row r="15" spans="1:24" x14ac:dyDescent="0.3">
      <c r="A15">
        <v>13</v>
      </c>
      <c r="B15" t="s">
        <v>119</v>
      </c>
      <c r="C15">
        <v>79.98</v>
      </c>
      <c r="D15">
        <v>59.999999999961801</v>
      </c>
      <c r="E15">
        <v>2218.9943864812499</v>
      </c>
      <c r="F15">
        <v>39662.0352042921</v>
      </c>
      <c r="G15">
        <v>37443.040817810797</v>
      </c>
      <c r="I15">
        <f t="shared" si="0"/>
        <v>0.94405243263358385</v>
      </c>
      <c r="P15">
        <v>13</v>
      </c>
      <c r="Q15" t="s">
        <v>119</v>
      </c>
      <c r="R15">
        <v>79.98</v>
      </c>
      <c r="S15">
        <v>60.000000000051301</v>
      </c>
      <c r="T15">
        <v>0.42578241605990103</v>
      </c>
      <c r="U15">
        <v>7.0665354509791101</v>
      </c>
      <c r="V15">
        <v>6.6407530349192099</v>
      </c>
      <c r="X15">
        <f t="shared" si="1"/>
        <v>0.93974665251259648</v>
      </c>
    </row>
    <row r="16" spans="1:24" x14ac:dyDescent="0.3">
      <c r="A16">
        <v>14</v>
      </c>
      <c r="B16" t="s">
        <v>120</v>
      </c>
      <c r="C16">
        <v>26.994932512406098</v>
      </c>
      <c r="D16">
        <v>25</v>
      </c>
      <c r="E16">
        <v>359.74344450577303</v>
      </c>
      <c r="F16">
        <v>39662.0352042921</v>
      </c>
      <c r="G16">
        <v>37083.297373305002</v>
      </c>
      <c r="I16">
        <f t="shared" si="0"/>
        <v>0.93498221113201885</v>
      </c>
      <c r="P16">
        <v>14</v>
      </c>
      <c r="Q16" t="s">
        <v>120</v>
      </c>
      <c r="R16">
        <v>26.995433776405299</v>
      </c>
      <c r="S16">
        <v>24.999999999999901</v>
      </c>
      <c r="T16">
        <v>6.8318495423546205E-2</v>
      </c>
      <c r="U16">
        <v>7.0665354509791101</v>
      </c>
      <c r="V16">
        <v>6.57243453949566</v>
      </c>
      <c r="X16">
        <f t="shared" si="1"/>
        <v>0.93007876138016266</v>
      </c>
    </row>
    <row r="17" spans="1:24" x14ac:dyDescent="0.3">
      <c r="A17">
        <v>15</v>
      </c>
      <c r="B17" t="s">
        <v>121</v>
      </c>
      <c r="C17">
        <v>79.98</v>
      </c>
      <c r="D17">
        <v>60</v>
      </c>
      <c r="E17">
        <f>F17-G17</f>
        <v>2578.7378309870983</v>
      </c>
      <c r="F17">
        <v>39662.0352042921</v>
      </c>
      <c r="G17">
        <v>37083.297373305002</v>
      </c>
      <c r="H17">
        <v>64920445973.5037</v>
      </c>
      <c r="I17">
        <f t="shared" si="0"/>
        <v>0.93498221113201885</v>
      </c>
      <c r="P17">
        <v>15</v>
      </c>
      <c r="Q17" t="s">
        <v>121</v>
      </c>
      <c r="R17">
        <v>79.98</v>
      </c>
      <c r="S17">
        <v>60</v>
      </c>
      <c r="T17">
        <v>0.493890428723879</v>
      </c>
      <c r="U17">
        <v>7.0665354509791101</v>
      </c>
      <c r="V17">
        <v>6.57243453949566</v>
      </c>
      <c r="W17">
        <v>69998209190.859894</v>
      </c>
      <c r="X17">
        <f t="shared" si="1"/>
        <v>0.93007876138016266</v>
      </c>
    </row>
    <row r="18" spans="1:24" x14ac:dyDescent="0.3">
      <c r="A18">
        <v>16</v>
      </c>
      <c r="B18" t="s">
        <v>119</v>
      </c>
      <c r="C18">
        <v>99.98</v>
      </c>
      <c r="D18">
        <v>59.999999999995097</v>
      </c>
      <c r="E18">
        <v>3145.6872902223099</v>
      </c>
      <c r="F18">
        <v>37083.297373305002</v>
      </c>
      <c r="G18">
        <v>33937.610083082698</v>
      </c>
      <c r="I18">
        <f t="shared" si="0"/>
        <v>0.91517239530897876</v>
      </c>
      <c r="P18">
        <v>16</v>
      </c>
      <c r="Q18" t="s">
        <v>119</v>
      </c>
      <c r="R18">
        <v>99.98</v>
      </c>
      <c r="S18">
        <v>59.999999999978598</v>
      </c>
      <c r="T18">
        <v>0.60207178520456806</v>
      </c>
      <c r="U18">
        <v>6.57243453949566</v>
      </c>
      <c r="V18">
        <v>5.9703627542910898</v>
      </c>
      <c r="X18">
        <f t="shared" si="1"/>
        <v>0.90839440368914337</v>
      </c>
    </row>
    <row r="19" spans="1:24" x14ac:dyDescent="0.3">
      <c r="A19">
        <v>17</v>
      </c>
      <c r="B19" t="s">
        <v>120</v>
      </c>
      <c r="C19">
        <v>24</v>
      </c>
      <c r="D19">
        <v>91.800000000000196</v>
      </c>
      <c r="E19">
        <v>539.19943324634801</v>
      </c>
      <c r="F19">
        <v>37083.297373305002</v>
      </c>
      <c r="G19">
        <v>33051.069963464899</v>
      </c>
      <c r="I19">
        <f t="shared" si="0"/>
        <v>0.89126567227156106</v>
      </c>
      <c r="P19">
        <v>17</v>
      </c>
      <c r="Q19" t="s">
        <v>120</v>
      </c>
      <c r="R19">
        <v>24</v>
      </c>
      <c r="S19">
        <v>91.800000000000495</v>
      </c>
      <c r="T19">
        <v>0.101593254182079</v>
      </c>
      <c r="U19">
        <v>6.57243453949566</v>
      </c>
      <c r="V19">
        <v>5.8039131375906496</v>
      </c>
      <c r="X19">
        <f t="shared" si="1"/>
        <v>0.88306899105852743</v>
      </c>
    </row>
    <row r="20" spans="1:24" x14ac:dyDescent="0.3">
      <c r="A20">
        <v>18</v>
      </c>
      <c r="B20" t="s">
        <v>121</v>
      </c>
      <c r="C20">
        <v>99.98</v>
      </c>
      <c r="D20">
        <v>60</v>
      </c>
      <c r="E20">
        <f>F20-G20</f>
        <v>4032.2274098401031</v>
      </c>
      <c r="F20">
        <v>37083.297373305002</v>
      </c>
      <c r="G20">
        <v>33051.069963464899</v>
      </c>
      <c r="H20">
        <v>105201185735.679</v>
      </c>
      <c r="I20">
        <f t="shared" si="0"/>
        <v>0.89126567227156106</v>
      </c>
      <c r="P20">
        <v>18</v>
      </c>
      <c r="Q20" t="s">
        <v>121</v>
      </c>
      <c r="R20">
        <v>99.98</v>
      </c>
      <c r="S20">
        <v>60</v>
      </c>
      <c r="T20">
        <v>0.75871689979580603</v>
      </c>
      <c r="U20">
        <v>6.57243453949566</v>
      </c>
      <c r="V20">
        <v>5.8039131375906496</v>
      </c>
      <c r="W20">
        <v>113644887803.864</v>
      </c>
      <c r="X20">
        <f t="shared" si="1"/>
        <v>0.88306899105852743</v>
      </c>
    </row>
    <row r="21" spans="1:24" x14ac:dyDescent="0.3">
      <c r="A21">
        <v>19</v>
      </c>
      <c r="B21" t="s">
        <v>119</v>
      </c>
      <c r="C21">
        <v>99.98</v>
      </c>
      <c r="D21">
        <v>59.999999999995097</v>
      </c>
      <c r="E21">
        <v>2804.75733829611</v>
      </c>
      <c r="F21">
        <v>33051.069963464899</v>
      </c>
      <c r="G21">
        <v>30246.312625168801</v>
      </c>
      <c r="I21">
        <f t="shared" si="0"/>
        <v>0.91513868260856568</v>
      </c>
      <c r="P21">
        <v>19</v>
      </c>
      <c r="Q21" t="s">
        <v>119</v>
      </c>
      <c r="R21">
        <v>99.98</v>
      </c>
      <c r="S21">
        <v>59.999999999978598</v>
      </c>
      <c r="T21">
        <v>0.53183890092670005</v>
      </c>
      <c r="U21">
        <v>5.8039131375906496</v>
      </c>
      <c r="V21">
        <v>5.2720742366639497</v>
      </c>
      <c r="X21">
        <f t="shared" si="1"/>
        <v>0.90836546166032395</v>
      </c>
    </row>
    <row r="22" spans="1:24" x14ac:dyDescent="0.3">
      <c r="A22">
        <v>20</v>
      </c>
      <c r="B22" t="s">
        <v>120</v>
      </c>
      <c r="C22">
        <v>27.522291038789799</v>
      </c>
      <c r="D22">
        <v>25.933333333333199</v>
      </c>
      <c r="E22">
        <v>364.57023388650202</v>
      </c>
      <c r="F22">
        <v>33051.069963464899</v>
      </c>
      <c r="G22">
        <v>29881.7423912823</v>
      </c>
      <c r="I22">
        <f t="shared" si="0"/>
        <v>0.904108170304743</v>
      </c>
      <c r="P22">
        <v>20</v>
      </c>
      <c r="Q22" t="s">
        <v>120</v>
      </c>
      <c r="R22">
        <v>27.520733218173898</v>
      </c>
      <c r="S22">
        <v>25.933333333333302</v>
      </c>
      <c r="T22">
        <v>6.8217652577583304E-2</v>
      </c>
      <c r="U22">
        <v>5.8039131375906496</v>
      </c>
      <c r="V22">
        <v>5.2038565840863704</v>
      </c>
      <c r="X22">
        <f t="shared" si="1"/>
        <v>0.89661172741923945</v>
      </c>
    </row>
    <row r="23" spans="1:24" x14ac:dyDescent="0.3">
      <c r="A23">
        <v>21</v>
      </c>
      <c r="B23" t="s">
        <v>121</v>
      </c>
      <c r="C23">
        <v>99.98</v>
      </c>
      <c r="D23">
        <v>60</v>
      </c>
      <c r="E23">
        <f>F23-G23</f>
        <v>3169.3275721825994</v>
      </c>
      <c r="F23">
        <v>33051.069963464899</v>
      </c>
      <c r="G23">
        <v>29881.7423912823</v>
      </c>
      <c r="H23">
        <v>92126558203.376007</v>
      </c>
      <c r="I23">
        <f t="shared" si="0"/>
        <v>0.904108170304743</v>
      </c>
      <c r="P23">
        <v>21</v>
      </c>
      <c r="Q23" t="s">
        <v>121</v>
      </c>
      <c r="R23">
        <v>99.98</v>
      </c>
      <c r="S23">
        <v>60</v>
      </c>
      <c r="T23">
        <v>0.60066040598104598</v>
      </c>
      <c r="U23">
        <v>5.8039131375906496</v>
      </c>
      <c r="V23">
        <v>5.2038565840863704</v>
      </c>
      <c r="W23">
        <v>99735756216.159897</v>
      </c>
      <c r="X23">
        <f t="shared" si="1"/>
        <v>0.89661172741923945</v>
      </c>
    </row>
    <row r="24" spans="1:24" x14ac:dyDescent="0.3">
      <c r="A24">
        <v>22</v>
      </c>
      <c r="B24" t="s">
        <v>119</v>
      </c>
      <c r="C24">
        <v>99.97</v>
      </c>
      <c r="D24">
        <v>59.999999999979103</v>
      </c>
      <c r="E24">
        <v>2534.30693731164</v>
      </c>
      <c r="F24">
        <v>29881.7423912823</v>
      </c>
      <c r="G24">
        <v>27347.4354539706</v>
      </c>
      <c r="I24">
        <f t="shared" si="0"/>
        <v>0.91518878303257645</v>
      </c>
      <c r="P24">
        <v>22</v>
      </c>
      <c r="Q24" t="s">
        <v>119</v>
      </c>
      <c r="R24">
        <v>99.97</v>
      </c>
      <c r="S24">
        <v>60.000000000021103</v>
      </c>
      <c r="T24">
        <v>0.47660947344821902</v>
      </c>
      <c r="U24">
        <v>5.2038565840863704</v>
      </c>
      <c r="V24">
        <v>4.7272471106381504</v>
      </c>
      <c r="X24">
        <f t="shared" si="1"/>
        <v>0.90841225814990489</v>
      </c>
    </row>
    <row r="25" spans="1:24" x14ac:dyDescent="0.3">
      <c r="A25">
        <v>23</v>
      </c>
      <c r="B25" t="s">
        <v>120</v>
      </c>
      <c r="C25">
        <v>24</v>
      </c>
      <c r="D25">
        <v>51.95</v>
      </c>
      <c r="E25">
        <v>434.44489921509501</v>
      </c>
      <c r="F25">
        <v>29881.7423912823</v>
      </c>
      <c r="G25">
        <v>26862.5410967998</v>
      </c>
      <c r="I25">
        <f t="shared" si="0"/>
        <v>0.89896167181458198</v>
      </c>
      <c r="P25">
        <v>23</v>
      </c>
      <c r="Q25" t="s">
        <v>120</v>
      </c>
      <c r="R25">
        <v>24</v>
      </c>
      <c r="S25">
        <v>51.95</v>
      </c>
      <c r="T25">
        <v>8.0431464115196805E-2</v>
      </c>
      <c r="U25">
        <v>5.2038565840863704</v>
      </c>
      <c r="V25">
        <v>4.6375545868195598</v>
      </c>
      <c r="X25">
        <f t="shared" si="1"/>
        <v>0.89117647880639372</v>
      </c>
    </row>
    <row r="26" spans="1:24" x14ac:dyDescent="0.3">
      <c r="A26">
        <v>24</v>
      </c>
      <c r="B26" t="s">
        <v>121</v>
      </c>
      <c r="C26">
        <v>99.97</v>
      </c>
      <c r="D26">
        <v>60</v>
      </c>
      <c r="E26">
        <f>F26-G26</f>
        <v>3019.2012944825001</v>
      </c>
      <c r="F26">
        <v>29881.7423912823</v>
      </c>
      <c r="G26">
        <v>26862.5410967998</v>
      </c>
      <c r="H26">
        <v>97346251611.965607</v>
      </c>
      <c r="I26">
        <f t="shared" si="0"/>
        <v>0.89896167181458198</v>
      </c>
      <c r="P26">
        <v>24</v>
      </c>
      <c r="Q26" t="s">
        <v>121</v>
      </c>
      <c r="R26">
        <v>99.97</v>
      </c>
      <c r="S26">
        <v>60</v>
      </c>
      <c r="T26">
        <v>0.57508761633425198</v>
      </c>
      <c r="U26">
        <v>5.2038565840863704</v>
      </c>
      <c r="V26">
        <v>4.6375545868195598</v>
      </c>
      <c r="W26">
        <v>105295471707.14301</v>
      </c>
      <c r="X26">
        <f t="shared" si="1"/>
        <v>0.89117647880639372</v>
      </c>
    </row>
    <row r="27" spans="1:24" x14ac:dyDescent="0.3">
      <c r="A27">
        <v>25</v>
      </c>
      <c r="B27" t="s">
        <v>119</v>
      </c>
      <c r="C27">
        <v>99.98</v>
      </c>
      <c r="D27">
        <v>59.999999999995097</v>
      </c>
      <c r="E27">
        <v>2279.3511376616598</v>
      </c>
      <c r="F27">
        <v>26862.5410967998</v>
      </c>
      <c r="G27">
        <v>24583.189959138101</v>
      </c>
      <c r="I27">
        <f t="shared" si="0"/>
        <v>0.91514759793394063</v>
      </c>
      <c r="P27">
        <v>25</v>
      </c>
      <c r="Q27" t="s">
        <v>119</v>
      </c>
      <c r="R27">
        <v>99.98</v>
      </c>
      <c r="S27">
        <v>59.999999999978598</v>
      </c>
      <c r="T27">
        <v>0.42492672154435301</v>
      </c>
      <c r="U27">
        <v>4.6375545868195598</v>
      </c>
      <c r="V27">
        <v>4.21262786527521</v>
      </c>
      <c r="X27">
        <f t="shared" si="1"/>
        <v>0.9083726749541583</v>
      </c>
    </row>
    <row r="28" spans="1:24" x14ac:dyDescent="0.3">
      <c r="A28">
        <v>26</v>
      </c>
      <c r="B28" t="s">
        <v>120</v>
      </c>
      <c r="C28">
        <v>27.494591458894</v>
      </c>
      <c r="D28">
        <v>25.999999999999801</v>
      </c>
      <c r="E28">
        <v>296.71390493256598</v>
      </c>
      <c r="F28">
        <v>26862.5410967998</v>
      </c>
      <c r="G28">
        <v>24286.476054205599</v>
      </c>
      <c r="I28">
        <f t="shared" si="0"/>
        <v>0.90410195992585773</v>
      </c>
      <c r="P28">
        <v>26</v>
      </c>
      <c r="Q28" t="s">
        <v>120</v>
      </c>
      <c r="R28">
        <v>27.4948859607568</v>
      </c>
      <c r="S28">
        <v>26</v>
      </c>
      <c r="T28">
        <v>5.4577676120111503E-2</v>
      </c>
      <c r="U28">
        <v>4.6375545868195598</v>
      </c>
      <c r="V28">
        <v>4.1580501891550998</v>
      </c>
      <c r="X28">
        <f t="shared" si="1"/>
        <v>0.89660404234868429</v>
      </c>
    </row>
    <row r="29" spans="1:24" x14ac:dyDescent="0.3">
      <c r="A29">
        <v>27</v>
      </c>
      <c r="B29" t="s">
        <v>121</v>
      </c>
      <c r="C29">
        <v>99.98</v>
      </c>
      <c r="D29">
        <v>60</v>
      </c>
      <c r="E29">
        <f>F29-G29</f>
        <v>2576.0650425942003</v>
      </c>
      <c r="F29">
        <v>26862.5410967998</v>
      </c>
      <c r="G29">
        <v>24286.476054205599</v>
      </c>
      <c r="H29">
        <v>92132835844.759094</v>
      </c>
      <c r="I29">
        <f t="shared" si="0"/>
        <v>0.90410195992585773</v>
      </c>
      <c r="P29">
        <v>27</v>
      </c>
      <c r="Q29" t="s">
        <v>121</v>
      </c>
      <c r="R29">
        <v>99.98</v>
      </c>
      <c r="S29">
        <v>60</v>
      </c>
      <c r="T29">
        <v>0.46262085613272302</v>
      </c>
      <c r="U29">
        <v>4.6375545868195598</v>
      </c>
      <c r="V29">
        <v>4.1580501891550998</v>
      </c>
      <c r="W29">
        <v>99743589477.452698</v>
      </c>
      <c r="X29">
        <f t="shared" si="1"/>
        <v>0.89660404234868429</v>
      </c>
    </row>
    <row r="30" spans="1:24" x14ac:dyDescent="0.3">
      <c r="A30">
        <v>28</v>
      </c>
      <c r="B30" t="s">
        <v>119</v>
      </c>
      <c r="C30">
        <v>99.98</v>
      </c>
      <c r="D30">
        <v>59.999999999995097</v>
      </c>
      <c r="E30">
        <v>2060.1712258570901</v>
      </c>
      <c r="F30">
        <v>24286.476054205599</v>
      </c>
      <c r="G30">
        <v>22226.3048283485</v>
      </c>
      <c r="I30">
        <f t="shared" si="0"/>
        <v>0.91517208090383506</v>
      </c>
      <c r="P30">
        <v>28</v>
      </c>
      <c r="Q30" t="s">
        <v>119</v>
      </c>
      <c r="R30">
        <v>99.98</v>
      </c>
      <c r="S30">
        <v>59.999999999978598</v>
      </c>
      <c r="T30">
        <v>0.38090182752549701</v>
      </c>
      <c r="U30">
        <v>4.1580501891550998</v>
      </c>
      <c r="V30">
        <v>3.7771483616296</v>
      </c>
      <c r="X30">
        <f t="shared" si="1"/>
        <v>0.90839412460220981</v>
      </c>
    </row>
    <row r="31" spans="1:24" x14ac:dyDescent="0.3">
      <c r="A31">
        <v>29</v>
      </c>
      <c r="B31" t="s">
        <v>120</v>
      </c>
      <c r="C31">
        <v>24</v>
      </c>
      <c r="D31">
        <v>89.916666666666899</v>
      </c>
      <c r="E31">
        <v>353.13066940385698</v>
      </c>
      <c r="F31">
        <v>24286.476054205599</v>
      </c>
      <c r="G31">
        <v>21654.4729099457</v>
      </c>
      <c r="I31">
        <f t="shared" si="0"/>
        <v>0.89162679927769406</v>
      </c>
      <c r="P31">
        <v>29</v>
      </c>
      <c r="Q31" t="s">
        <v>120</v>
      </c>
      <c r="R31">
        <v>24</v>
      </c>
      <c r="S31">
        <v>89.916666666667197</v>
      </c>
      <c r="T31">
        <v>6.4272944438871299E-2</v>
      </c>
      <c r="U31">
        <v>4.1580501891550998</v>
      </c>
      <c r="V31">
        <v>3.6734244648198602</v>
      </c>
      <c r="X31">
        <f t="shared" si="1"/>
        <v>0.88344880357643929</v>
      </c>
    </row>
    <row r="32" spans="1:24" x14ac:dyDescent="0.3">
      <c r="A32">
        <v>30</v>
      </c>
      <c r="B32" t="s">
        <v>121</v>
      </c>
      <c r="C32">
        <v>99.98</v>
      </c>
      <c r="D32">
        <v>60</v>
      </c>
      <c r="E32">
        <f>F32-G32</f>
        <v>2632.0031442598993</v>
      </c>
      <c r="F32">
        <v>24286.476054205599</v>
      </c>
      <c r="G32">
        <v>21654.4729099457</v>
      </c>
      <c r="H32">
        <v>104830963817.89799</v>
      </c>
      <c r="I32">
        <f t="shared" si="0"/>
        <v>0.89162679927769406</v>
      </c>
      <c r="P32">
        <v>30</v>
      </c>
      <c r="Q32" t="s">
        <v>121</v>
      </c>
      <c r="R32">
        <v>99.98</v>
      </c>
      <c r="S32">
        <v>60</v>
      </c>
      <c r="T32">
        <v>0.49838598022724401</v>
      </c>
      <c r="U32">
        <v>4.1580501891550998</v>
      </c>
      <c r="V32">
        <v>3.6734244648198602</v>
      </c>
      <c r="W32">
        <v>113251900456.355</v>
      </c>
      <c r="X32">
        <f t="shared" si="1"/>
        <v>0.88344880357643929</v>
      </c>
    </row>
    <row r="33" spans="1:24" x14ac:dyDescent="0.3">
      <c r="A33">
        <v>31</v>
      </c>
      <c r="B33" t="s">
        <v>119</v>
      </c>
      <c r="C33">
        <v>119.98</v>
      </c>
      <c r="D33">
        <v>60.000000000073499</v>
      </c>
      <c r="E33">
        <v>2657.3951072107002</v>
      </c>
      <c r="F33">
        <v>21654.4729099457</v>
      </c>
      <c r="G33">
        <v>18997.077802734999</v>
      </c>
      <c r="I33">
        <f t="shared" si="0"/>
        <v>0.87728193070032268</v>
      </c>
      <c r="P33">
        <v>31</v>
      </c>
      <c r="Q33" t="s">
        <v>119</v>
      </c>
      <c r="R33">
        <v>119.98</v>
      </c>
      <c r="S33">
        <v>59.999999999964103</v>
      </c>
      <c r="T33">
        <v>0.48767607824932402</v>
      </c>
      <c r="U33">
        <v>3.6734244648198602</v>
      </c>
      <c r="V33">
        <v>3.1857483865705301</v>
      </c>
      <c r="X33">
        <f t="shared" si="1"/>
        <v>0.867242110755299</v>
      </c>
    </row>
    <row r="34" spans="1:24" x14ac:dyDescent="0.3">
      <c r="A34">
        <v>32</v>
      </c>
      <c r="B34" t="s">
        <v>120</v>
      </c>
      <c r="C34">
        <v>28.871058000457101</v>
      </c>
      <c r="D34">
        <v>24.816666666666599</v>
      </c>
      <c r="E34">
        <v>274.65077325505803</v>
      </c>
      <c r="F34">
        <v>21654.4729099457</v>
      </c>
      <c r="G34">
        <v>18722.427029479899</v>
      </c>
      <c r="I34">
        <f t="shared" si="0"/>
        <v>0.86459860313112769</v>
      </c>
      <c r="P34">
        <v>32</v>
      </c>
      <c r="Q34" t="s">
        <v>120</v>
      </c>
      <c r="R34">
        <v>28.8686713124549</v>
      </c>
      <c r="S34">
        <v>24.816666666666599</v>
      </c>
      <c r="T34">
        <v>4.9577783724716197E-2</v>
      </c>
      <c r="U34">
        <v>3.6734244648198602</v>
      </c>
      <c r="V34">
        <v>3.1361706028458101</v>
      </c>
      <c r="X34">
        <f t="shared" si="1"/>
        <v>0.85374577124988027</v>
      </c>
    </row>
    <row r="35" spans="1:24" x14ac:dyDescent="0.3">
      <c r="A35">
        <v>33</v>
      </c>
      <c r="B35" t="s">
        <v>121</v>
      </c>
      <c r="C35">
        <v>119.98</v>
      </c>
      <c r="D35">
        <v>60</v>
      </c>
      <c r="E35">
        <f>F35-G35</f>
        <v>2932.045880465801</v>
      </c>
      <c r="F35">
        <v>21654.4729099457</v>
      </c>
      <c r="G35">
        <v>18722.427029479899</v>
      </c>
      <c r="H35">
        <v>126195920756.11301</v>
      </c>
      <c r="I35">
        <f t="shared" si="0"/>
        <v>0.86459860313112769</v>
      </c>
      <c r="P35">
        <v>33</v>
      </c>
      <c r="Q35" t="s">
        <v>121</v>
      </c>
      <c r="R35">
        <v>119.98</v>
      </c>
      <c r="S35">
        <v>60</v>
      </c>
      <c r="T35">
        <v>0.51049605439411205</v>
      </c>
      <c r="U35">
        <v>3.6734244648198602</v>
      </c>
      <c r="V35">
        <v>3.1361706028458101</v>
      </c>
      <c r="W35">
        <v>137152652909.345</v>
      </c>
      <c r="X35">
        <f t="shared" si="1"/>
        <v>0.85374577124988027</v>
      </c>
    </row>
    <row r="36" spans="1:24" x14ac:dyDescent="0.3">
      <c r="A36">
        <v>34</v>
      </c>
      <c r="B36" t="s">
        <v>119</v>
      </c>
      <c r="C36">
        <v>119.98</v>
      </c>
      <c r="D36">
        <v>60.000000000073499</v>
      </c>
      <c r="E36">
        <v>2296.9451513167201</v>
      </c>
      <c r="F36">
        <v>18722.427029479899</v>
      </c>
      <c r="G36">
        <v>16425.481878163198</v>
      </c>
      <c r="I36">
        <f t="shared" si="0"/>
        <v>0.87731584437744192</v>
      </c>
      <c r="P36">
        <v>34</v>
      </c>
      <c r="Q36" t="s">
        <v>119</v>
      </c>
      <c r="R36">
        <v>119.98</v>
      </c>
      <c r="S36">
        <v>59.999999999964103</v>
      </c>
      <c r="T36">
        <v>0.41625992931354</v>
      </c>
      <c r="U36">
        <v>3.1361706028458101</v>
      </c>
      <c r="V36">
        <v>2.71991067353227</v>
      </c>
      <c r="X36">
        <f t="shared" si="1"/>
        <v>0.86727127378344171</v>
      </c>
    </row>
    <row r="37" spans="1:24" x14ac:dyDescent="0.3">
      <c r="A37">
        <v>35</v>
      </c>
      <c r="B37" t="s">
        <v>120</v>
      </c>
      <c r="C37">
        <v>24</v>
      </c>
      <c r="D37">
        <v>52.766666666666701</v>
      </c>
      <c r="E37">
        <v>311.53944423467402</v>
      </c>
      <c r="F37">
        <v>18722.427029479899</v>
      </c>
      <c r="G37">
        <v>16086.9256405538</v>
      </c>
      <c r="I37">
        <f t="shared" si="0"/>
        <v>0.85923291970766935</v>
      </c>
      <c r="P37">
        <v>35</v>
      </c>
      <c r="Q37" t="s">
        <v>120</v>
      </c>
      <c r="R37">
        <v>24</v>
      </c>
      <c r="S37">
        <v>52.766666666666502</v>
      </c>
      <c r="T37">
        <v>5.5360903500815302E-2</v>
      </c>
      <c r="U37">
        <v>3.1361706028458101</v>
      </c>
      <c r="V37">
        <v>2.6597976699057901</v>
      </c>
      <c r="X37">
        <f t="shared" si="1"/>
        <v>0.84810362914959037</v>
      </c>
    </row>
    <row r="38" spans="1:24" x14ac:dyDescent="0.3">
      <c r="A38">
        <v>36</v>
      </c>
      <c r="B38" t="s">
        <v>121</v>
      </c>
      <c r="C38">
        <v>119.98</v>
      </c>
      <c r="D38">
        <v>60</v>
      </c>
      <c r="E38">
        <f>F38-G38</f>
        <v>2635.501388926099</v>
      </c>
      <c r="F38">
        <v>18722.427029479899</v>
      </c>
      <c r="G38">
        <v>16086.9256405538</v>
      </c>
      <c r="H38">
        <v>131595675444.62801</v>
      </c>
      <c r="I38">
        <f t="shared" si="0"/>
        <v>0.85923291970766935</v>
      </c>
      <c r="P38">
        <v>36</v>
      </c>
      <c r="Q38" t="s">
        <v>121</v>
      </c>
      <c r="R38">
        <v>119.98</v>
      </c>
      <c r="S38">
        <v>60</v>
      </c>
      <c r="T38">
        <v>0.45742244606132698</v>
      </c>
      <c r="U38">
        <v>3.1361706028458101</v>
      </c>
      <c r="V38">
        <v>2.6597976699057901</v>
      </c>
      <c r="W38">
        <v>142903964342.64301</v>
      </c>
      <c r="X38">
        <f t="shared" si="1"/>
        <v>0.84810362914959037</v>
      </c>
    </row>
    <row r="39" spans="1:24" x14ac:dyDescent="0.3">
      <c r="A39">
        <v>37</v>
      </c>
      <c r="B39" t="s">
        <v>119</v>
      </c>
      <c r="C39">
        <v>119.99</v>
      </c>
      <c r="D39">
        <v>60.000000000037602</v>
      </c>
      <c r="E39">
        <v>1974.36239405219</v>
      </c>
      <c r="F39">
        <v>16086.9256405538</v>
      </c>
      <c r="G39">
        <v>14112.563246501601</v>
      </c>
      <c r="I39">
        <f t="shared" si="0"/>
        <v>0.87726912909481003</v>
      </c>
      <c r="P39">
        <v>37</v>
      </c>
      <c r="Q39" t="s">
        <v>119</v>
      </c>
      <c r="R39">
        <v>119.99</v>
      </c>
      <c r="S39">
        <v>60.000000000038497</v>
      </c>
      <c r="T39">
        <v>0.353152333013868</v>
      </c>
      <c r="U39">
        <v>2.6597976699057901</v>
      </c>
      <c r="V39">
        <v>2.30664533689193</v>
      </c>
      <c r="X39">
        <f t="shared" si="1"/>
        <v>0.86722586570790972</v>
      </c>
    </row>
    <row r="40" spans="1:24" x14ac:dyDescent="0.3">
      <c r="A40">
        <v>38</v>
      </c>
      <c r="B40" t="s">
        <v>120</v>
      </c>
      <c r="C40">
        <v>28.797110964904501</v>
      </c>
      <c r="D40">
        <v>24.95</v>
      </c>
      <c r="E40">
        <v>204.52088250728801</v>
      </c>
      <c r="F40">
        <v>16086.9256405538</v>
      </c>
      <c r="G40">
        <v>13908.0423639943</v>
      </c>
      <c r="I40">
        <f t="shared" si="0"/>
        <v>0.86455564442551303</v>
      </c>
      <c r="P40">
        <v>38</v>
      </c>
      <c r="Q40" t="s">
        <v>120</v>
      </c>
      <c r="R40">
        <v>28.796210981677099</v>
      </c>
      <c r="S40">
        <v>24.9499999999999</v>
      </c>
      <c r="T40">
        <v>3.5980250442368397E-2</v>
      </c>
      <c r="U40">
        <v>2.6597976699057901</v>
      </c>
      <c r="V40">
        <v>2.2706650864495601</v>
      </c>
      <c r="X40">
        <f t="shared" si="1"/>
        <v>0.85369842681679875</v>
      </c>
    </row>
    <row r="41" spans="1:24" x14ac:dyDescent="0.3">
      <c r="A41">
        <v>39</v>
      </c>
      <c r="B41" t="s">
        <v>121</v>
      </c>
      <c r="C41">
        <v>119.99</v>
      </c>
      <c r="D41">
        <v>60</v>
      </c>
      <c r="E41">
        <f>F41-G41</f>
        <v>2178.8832765594998</v>
      </c>
      <c r="F41">
        <v>16086.9256405538</v>
      </c>
      <c r="G41">
        <v>13908.0423639943</v>
      </c>
      <c r="H41">
        <v>126235806756.998</v>
      </c>
      <c r="I41">
        <f t="shared" si="0"/>
        <v>0.86455564442551303</v>
      </c>
      <c r="P41">
        <v>39</v>
      </c>
      <c r="Q41" t="s">
        <v>121</v>
      </c>
      <c r="R41">
        <v>119.99</v>
      </c>
      <c r="S41">
        <v>60</v>
      </c>
      <c r="T41">
        <v>0.35583671126190303</v>
      </c>
      <c r="U41">
        <v>2.6597976699057901</v>
      </c>
      <c r="V41">
        <v>2.2706650864495601</v>
      </c>
      <c r="W41">
        <v>137197263891.86501</v>
      </c>
      <c r="X41">
        <f t="shared" si="1"/>
        <v>0.85369842681679875</v>
      </c>
    </row>
    <row r="42" spans="1:24" x14ac:dyDescent="0.3">
      <c r="A42">
        <v>40</v>
      </c>
      <c r="B42" t="s">
        <v>119</v>
      </c>
      <c r="C42">
        <v>120.18</v>
      </c>
      <c r="D42">
        <v>59.999999999931703</v>
      </c>
      <c r="E42">
        <v>1712.23108747841</v>
      </c>
      <c r="F42">
        <v>13908.0423639943</v>
      </c>
      <c r="G42">
        <v>12195.8112765158</v>
      </c>
      <c r="I42">
        <f t="shared" si="0"/>
        <v>0.87688913776167432</v>
      </c>
      <c r="P42">
        <v>40</v>
      </c>
      <c r="Q42" t="s">
        <v>119</v>
      </c>
      <c r="R42">
        <v>120.18</v>
      </c>
      <c r="S42">
        <v>59.999999999953801</v>
      </c>
      <c r="T42">
        <v>0.30243471618739698</v>
      </c>
      <c r="U42">
        <v>2.2706650864495601</v>
      </c>
      <c r="V42">
        <v>1.96823037026216</v>
      </c>
      <c r="X42">
        <f t="shared" si="1"/>
        <v>0.86680787140639448</v>
      </c>
    </row>
    <row r="43" spans="1:24" x14ac:dyDescent="0.3">
      <c r="A43">
        <v>41</v>
      </c>
      <c r="B43" t="s">
        <v>120</v>
      </c>
      <c r="C43">
        <v>24</v>
      </c>
      <c r="D43">
        <v>61.299999999999699</v>
      </c>
      <c r="E43">
        <v>231.720733966339</v>
      </c>
      <c r="F43">
        <v>13908.0423639943</v>
      </c>
      <c r="G43">
        <v>11922.168788672599</v>
      </c>
      <c r="I43">
        <f t="shared" si="0"/>
        <v>0.85721401162374866</v>
      </c>
      <c r="P43">
        <v>41</v>
      </c>
      <c r="Q43" t="s">
        <v>120</v>
      </c>
      <c r="R43">
        <v>24</v>
      </c>
      <c r="S43">
        <v>61.299999999999699</v>
      </c>
      <c r="T43">
        <v>4.01333474945747E-2</v>
      </c>
      <c r="U43">
        <v>2.2706650864495601</v>
      </c>
      <c r="V43">
        <v>1.92091430616805</v>
      </c>
      <c r="X43">
        <f t="shared" si="1"/>
        <v>0.84596989561838698</v>
      </c>
    </row>
    <row r="44" spans="1:24" x14ac:dyDescent="0.3">
      <c r="A44">
        <v>42</v>
      </c>
      <c r="B44" t="s">
        <v>121</v>
      </c>
      <c r="C44">
        <v>120.18</v>
      </c>
      <c r="D44">
        <v>60</v>
      </c>
      <c r="E44">
        <f>F44-G44</f>
        <v>1985.8735753217006</v>
      </c>
      <c r="F44">
        <v>13908.0423639943</v>
      </c>
      <c r="G44">
        <v>11922.168788672599</v>
      </c>
      <c r="H44">
        <v>133568161567.48399</v>
      </c>
      <c r="I44">
        <f t="shared" si="0"/>
        <v>0.85721401162374866</v>
      </c>
      <c r="P44">
        <v>42</v>
      </c>
      <c r="Q44" t="s">
        <v>121</v>
      </c>
      <c r="R44">
        <v>120.18</v>
      </c>
      <c r="S44">
        <v>60</v>
      </c>
      <c r="T44">
        <v>0.318394174726704</v>
      </c>
      <c r="U44">
        <v>2.2706650864495601</v>
      </c>
      <c r="V44">
        <v>1.92091430616805</v>
      </c>
      <c r="W44">
        <v>145015157074.01599</v>
      </c>
      <c r="X44">
        <f t="shared" si="1"/>
        <v>0.84596989561838698</v>
      </c>
    </row>
    <row r="45" spans="1:24" x14ac:dyDescent="0.3">
      <c r="A45">
        <v>43</v>
      </c>
      <c r="B45" t="s">
        <v>119</v>
      </c>
      <c r="C45">
        <v>119.98</v>
      </c>
      <c r="D45">
        <v>60.000000000073499</v>
      </c>
      <c r="E45">
        <v>1463.0077652897801</v>
      </c>
      <c r="F45">
        <v>11922.168788672599</v>
      </c>
      <c r="G45">
        <v>10459.1610233828</v>
      </c>
      <c r="I45">
        <f t="shared" si="0"/>
        <v>0.87728677632212171</v>
      </c>
      <c r="P45">
        <v>43</v>
      </c>
      <c r="Q45" t="s">
        <v>119</v>
      </c>
      <c r="R45">
        <v>119.98</v>
      </c>
      <c r="S45">
        <v>59.999999999964103</v>
      </c>
      <c r="T45">
        <v>0.25500919365060498</v>
      </c>
      <c r="U45">
        <v>1.92091430616805</v>
      </c>
      <c r="V45">
        <v>1.66590511251744</v>
      </c>
      <c r="X45">
        <f t="shared" si="1"/>
        <v>0.86724592927868971</v>
      </c>
    </row>
    <row r="46" spans="1:24" x14ac:dyDescent="0.3">
      <c r="A46">
        <v>44</v>
      </c>
      <c r="B46" t="s">
        <v>120</v>
      </c>
      <c r="C46">
        <v>28.725051781552601</v>
      </c>
      <c r="D46">
        <v>25.0833333333333</v>
      </c>
      <c r="E46">
        <v>151.898446309474</v>
      </c>
      <c r="F46">
        <v>11922.168788672599</v>
      </c>
      <c r="G46">
        <v>10307.262577073299</v>
      </c>
      <c r="I46">
        <f t="shared" si="0"/>
        <v>0.86454593621140119</v>
      </c>
      <c r="P46">
        <v>44</v>
      </c>
      <c r="Q46" t="s">
        <v>120</v>
      </c>
      <c r="R46">
        <v>28.724921041697201</v>
      </c>
      <c r="S46">
        <v>25.0833333333333</v>
      </c>
      <c r="T46">
        <v>2.6039747553442901E-2</v>
      </c>
      <c r="U46">
        <v>1.92091430616805</v>
      </c>
      <c r="V46">
        <v>1.639865364964</v>
      </c>
      <c r="X46">
        <f t="shared" si="1"/>
        <v>0.85369001610243478</v>
      </c>
    </row>
    <row r="47" spans="1:24" x14ac:dyDescent="0.3">
      <c r="A47">
        <v>45</v>
      </c>
      <c r="B47" t="s">
        <v>121</v>
      </c>
      <c r="C47">
        <v>119.98</v>
      </c>
      <c r="D47">
        <v>60</v>
      </c>
      <c r="E47">
        <f>F47-G47</f>
        <v>1614.9062115993001</v>
      </c>
      <c r="F47">
        <v>11922.168788672599</v>
      </c>
      <c r="G47">
        <v>10307.262577073299</v>
      </c>
      <c r="H47">
        <v>126248759078.67799</v>
      </c>
      <c r="I47">
        <f t="shared" si="0"/>
        <v>0.86454593621140119</v>
      </c>
      <c r="P47">
        <v>45</v>
      </c>
      <c r="Q47" t="s">
        <v>121</v>
      </c>
      <c r="R47">
        <v>119.98</v>
      </c>
      <c r="S47">
        <v>60</v>
      </c>
      <c r="T47">
        <v>0.242827048374372</v>
      </c>
      <c r="U47">
        <v>1.92091430616805</v>
      </c>
      <c r="V47">
        <v>1.639865364964</v>
      </c>
      <c r="W47">
        <v>137209300701.66</v>
      </c>
      <c r="X47">
        <f t="shared" si="1"/>
        <v>0.85369001610243478</v>
      </c>
    </row>
    <row r="48" spans="1:24" x14ac:dyDescent="0.3">
      <c r="A48">
        <v>46</v>
      </c>
      <c r="B48" t="s">
        <v>119</v>
      </c>
      <c r="C48">
        <v>150.01</v>
      </c>
      <c r="D48">
        <v>59.999999999946397</v>
      </c>
      <c r="E48">
        <v>2036.77637858038</v>
      </c>
      <c r="F48">
        <v>10307.262577073299</v>
      </c>
      <c r="G48">
        <v>8270.4861984929794</v>
      </c>
      <c r="I48">
        <f t="shared" si="0"/>
        <v>0.80239405338224601</v>
      </c>
      <c r="P48">
        <v>46</v>
      </c>
      <c r="Q48" t="s">
        <v>119</v>
      </c>
      <c r="R48">
        <v>150.01</v>
      </c>
      <c r="S48">
        <v>60.000000000024698</v>
      </c>
      <c r="T48">
        <v>0.350861556339435</v>
      </c>
      <c r="U48">
        <v>1.639865364964</v>
      </c>
      <c r="V48">
        <v>1.2890038086245601</v>
      </c>
      <c r="X48">
        <f t="shared" si="1"/>
        <v>0.78604246187787352</v>
      </c>
    </row>
    <row r="49" spans="1:24" x14ac:dyDescent="0.3">
      <c r="A49">
        <v>47</v>
      </c>
      <c r="B49" t="s">
        <v>120</v>
      </c>
      <c r="C49">
        <v>29.907599761670699</v>
      </c>
      <c r="D49">
        <v>25.049999999999901</v>
      </c>
      <c r="E49">
        <v>160.9113893409</v>
      </c>
      <c r="F49">
        <v>10307.262577073299</v>
      </c>
      <c r="G49">
        <v>8109.5748091521</v>
      </c>
      <c r="I49">
        <f t="shared" si="0"/>
        <v>0.78678259610756685</v>
      </c>
      <c r="P49">
        <v>47</v>
      </c>
      <c r="Q49" t="s">
        <v>120</v>
      </c>
      <c r="R49">
        <v>29.912062331195099</v>
      </c>
      <c r="S49">
        <v>25.0500000000001</v>
      </c>
      <c r="T49">
        <v>2.7087124841898898E-2</v>
      </c>
      <c r="U49">
        <v>1.639865364964</v>
      </c>
      <c r="V49">
        <v>1.2619166837826601</v>
      </c>
      <c r="X49">
        <f t="shared" si="1"/>
        <v>0.76952456631118793</v>
      </c>
    </row>
    <row r="50" spans="1:24" x14ac:dyDescent="0.3">
      <c r="A50">
        <v>48</v>
      </c>
      <c r="B50" t="s">
        <v>121</v>
      </c>
      <c r="C50">
        <v>150.01</v>
      </c>
      <c r="D50">
        <v>60</v>
      </c>
      <c r="E50">
        <f>F50-G50</f>
        <v>2197.6877679211993</v>
      </c>
      <c r="F50">
        <v>10307.262577073299</v>
      </c>
      <c r="G50">
        <v>8109.5748091521</v>
      </c>
      <c r="H50">
        <v>193235714168.92801</v>
      </c>
      <c r="I50">
        <f t="shared" si="0"/>
        <v>0.78678259610756685</v>
      </c>
      <c r="P50">
        <v>48</v>
      </c>
      <c r="Q50" t="s">
        <v>121</v>
      </c>
      <c r="R50">
        <v>150.01</v>
      </c>
      <c r="S50">
        <v>60</v>
      </c>
      <c r="T50">
        <v>0.37842557575140501</v>
      </c>
      <c r="U50">
        <v>1.639865364964</v>
      </c>
      <c r="V50">
        <v>1.2619166837826601</v>
      </c>
      <c r="W50">
        <v>211107827714.095</v>
      </c>
      <c r="X50">
        <f t="shared" si="1"/>
        <v>0.76952456631118793</v>
      </c>
    </row>
    <row r="51" spans="1:24" x14ac:dyDescent="0.3">
      <c r="A51">
        <v>49</v>
      </c>
      <c r="B51" t="s">
        <v>119</v>
      </c>
      <c r="C51">
        <v>150</v>
      </c>
      <c r="D51">
        <v>60.000000000038597</v>
      </c>
      <c r="E51">
        <v>1602.2620501256699</v>
      </c>
      <c r="F51">
        <v>8109.5748091521</v>
      </c>
      <c r="G51">
        <v>6507.3127590264203</v>
      </c>
      <c r="I51">
        <f t="shared" si="0"/>
        <v>0.8024234207300931</v>
      </c>
      <c r="P51">
        <v>49</v>
      </c>
      <c r="Q51" t="s">
        <v>119</v>
      </c>
      <c r="R51">
        <v>150</v>
      </c>
      <c r="S51">
        <v>60.000000000012903</v>
      </c>
      <c r="T51">
        <v>0.26995654015422099</v>
      </c>
      <c r="U51">
        <v>1.2619166837826601</v>
      </c>
      <c r="V51">
        <v>0.99196014362844698</v>
      </c>
      <c r="X51">
        <f t="shared" si="1"/>
        <v>0.78607419679641244</v>
      </c>
    </row>
    <row r="52" spans="1:24" x14ac:dyDescent="0.3">
      <c r="A52">
        <v>50</v>
      </c>
      <c r="B52" t="s">
        <v>120</v>
      </c>
      <c r="C52">
        <v>29.9656069516431</v>
      </c>
      <c r="D52">
        <v>24.966666666666601</v>
      </c>
      <c r="E52">
        <v>126.45340345936501</v>
      </c>
      <c r="F52">
        <v>8109.5748091521</v>
      </c>
      <c r="G52">
        <v>6380.8593555670504</v>
      </c>
      <c r="I52">
        <f t="shared" si="0"/>
        <v>0.786830321654583</v>
      </c>
      <c r="P52">
        <v>50</v>
      </c>
      <c r="Q52" t="s">
        <v>120</v>
      </c>
      <c r="R52">
        <v>29.965707256915302</v>
      </c>
      <c r="S52">
        <v>24.966666666666399</v>
      </c>
      <c r="T52">
        <v>2.0821818597601498E-2</v>
      </c>
      <c r="U52">
        <v>1.2619166837826601</v>
      </c>
      <c r="V52">
        <v>0.97113832503084296</v>
      </c>
      <c r="X52">
        <f t="shared" si="1"/>
        <v>0.76957404360469028</v>
      </c>
    </row>
    <row r="53" spans="1:24" x14ac:dyDescent="0.3">
      <c r="A53">
        <v>51</v>
      </c>
      <c r="B53" t="s">
        <v>121</v>
      </c>
      <c r="C53">
        <v>150</v>
      </c>
      <c r="D53">
        <v>60</v>
      </c>
      <c r="E53">
        <f>F53-G53</f>
        <v>1728.7154535850495</v>
      </c>
      <c r="F53">
        <v>8109.5748091521</v>
      </c>
      <c r="G53">
        <v>6380.8593555670504</v>
      </c>
      <c r="H53">
        <v>193191403032.129</v>
      </c>
      <c r="I53">
        <f t="shared" si="0"/>
        <v>0.786830321654583</v>
      </c>
      <c r="P53">
        <v>51</v>
      </c>
      <c r="Q53" t="s">
        <v>121</v>
      </c>
      <c r="R53">
        <v>150</v>
      </c>
      <c r="S53">
        <v>60</v>
      </c>
      <c r="T53">
        <v>0.283187866964344</v>
      </c>
      <c r="U53">
        <v>1.2619166837826601</v>
      </c>
      <c r="V53">
        <v>0.97113832503084296</v>
      </c>
      <c r="W53">
        <v>211061008636.39301</v>
      </c>
      <c r="X53">
        <f t="shared" si="1"/>
        <v>0.76957404360469028</v>
      </c>
    </row>
    <row r="54" spans="1:24" x14ac:dyDescent="0.3">
      <c r="A54">
        <v>52</v>
      </c>
      <c r="B54" t="s">
        <v>119</v>
      </c>
      <c r="C54">
        <v>150.01</v>
      </c>
      <c r="D54">
        <v>59.999999999946397</v>
      </c>
      <c r="E54">
        <v>1260.8901127854599</v>
      </c>
      <c r="F54">
        <v>6380.8593555670504</v>
      </c>
      <c r="G54">
        <v>5119.9692427815799</v>
      </c>
      <c r="I54">
        <f t="shared" si="0"/>
        <v>0.80239493733937373</v>
      </c>
      <c r="P54">
        <v>52</v>
      </c>
      <c r="Q54" t="s">
        <v>119</v>
      </c>
      <c r="R54">
        <v>150.01</v>
      </c>
      <c r="S54">
        <v>60.000000000024698</v>
      </c>
      <c r="T54">
        <v>0.207781461851827</v>
      </c>
      <c r="U54">
        <v>0.97113832503084296</v>
      </c>
      <c r="V54">
        <v>0.76335686317901597</v>
      </c>
      <c r="X54">
        <f t="shared" si="1"/>
        <v>0.78604339207267104</v>
      </c>
    </row>
    <row r="55" spans="1:24" x14ac:dyDescent="0.3">
      <c r="A55">
        <v>53</v>
      </c>
      <c r="B55" t="s">
        <v>120</v>
      </c>
      <c r="C55">
        <v>24</v>
      </c>
      <c r="D55">
        <v>690.75000000062403</v>
      </c>
      <c r="E55">
        <v>124.729873524844</v>
      </c>
      <c r="F55">
        <v>6380.8593555670504</v>
      </c>
      <c r="G55">
        <v>4343.7567197199796</v>
      </c>
      <c r="I55">
        <f t="shared" si="0"/>
        <v>0.68074791774406085</v>
      </c>
      <c r="P55">
        <v>53</v>
      </c>
      <c r="Q55" t="s">
        <v>120</v>
      </c>
      <c r="R55">
        <v>24</v>
      </c>
      <c r="S55">
        <v>690.75000000072896</v>
      </c>
      <c r="T55">
        <v>2.0021591956016799E-2</v>
      </c>
      <c r="U55">
        <v>0.97113832503084296</v>
      </c>
      <c r="V55">
        <v>0.64075728187606196</v>
      </c>
      <c r="X55">
        <f t="shared" si="1"/>
        <v>0.65980022141100425</v>
      </c>
    </row>
    <row r="56" spans="1:24" x14ac:dyDescent="0.3">
      <c r="A56">
        <v>54</v>
      </c>
      <c r="B56" t="s">
        <v>121</v>
      </c>
      <c r="C56">
        <v>150.01</v>
      </c>
      <c r="D56">
        <v>60</v>
      </c>
      <c r="E56">
        <f>F56-G56</f>
        <v>2037.1026358470708</v>
      </c>
      <c r="F56">
        <v>6380.8593555670504</v>
      </c>
      <c r="G56">
        <v>4343.7567197199796</v>
      </c>
      <c r="H56">
        <v>309884567487.91699</v>
      </c>
      <c r="I56">
        <f t="shared" si="0"/>
        <v>0.68074791774406085</v>
      </c>
      <c r="P56">
        <v>54</v>
      </c>
      <c r="Q56" t="s">
        <v>121</v>
      </c>
      <c r="R56">
        <v>150.01</v>
      </c>
      <c r="S56">
        <v>60</v>
      </c>
      <c r="T56">
        <v>0.350834985555037</v>
      </c>
      <c r="U56">
        <v>0.97113832503084296</v>
      </c>
      <c r="V56">
        <v>0.64075728187606196</v>
      </c>
      <c r="W56">
        <v>335070116473.453</v>
      </c>
      <c r="X56">
        <f t="shared" si="1"/>
        <v>0.65980022141100425</v>
      </c>
    </row>
    <row r="57" spans="1:24" x14ac:dyDescent="0.3">
      <c r="A57">
        <v>55</v>
      </c>
      <c r="B57" t="s">
        <v>119</v>
      </c>
      <c r="C57">
        <v>150</v>
      </c>
      <c r="D57">
        <v>60.000000000038597</v>
      </c>
      <c r="E57">
        <v>858.27157120168999</v>
      </c>
      <c r="F57">
        <v>4343.7567197199796</v>
      </c>
      <c r="G57">
        <v>3485.4851485182899</v>
      </c>
      <c r="I57">
        <f t="shared" si="0"/>
        <v>0.80241260581991847</v>
      </c>
      <c r="P57">
        <v>55</v>
      </c>
      <c r="Q57" t="s">
        <v>119</v>
      </c>
      <c r="R57">
        <v>150</v>
      </c>
      <c r="S57">
        <v>60.000000000012903</v>
      </c>
      <c r="T57">
        <v>0.13707881757908999</v>
      </c>
      <c r="U57">
        <v>0.64075728187606196</v>
      </c>
      <c r="V57">
        <v>0.50367846429697205</v>
      </c>
      <c r="X57">
        <f t="shared" si="1"/>
        <v>0.7860674838095647</v>
      </c>
    </row>
    <row r="58" spans="1:24" x14ac:dyDescent="0.3">
      <c r="A58">
        <v>56</v>
      </c>
      <c r="B58" t="s">
        <v>120</v>
      </c>
      <c r="C58">
        <v>29.9558574130096</v>
      </c>
      <c r="D58">
        <v>24.983333333333199</v>
      </c>
      <c r="E58">
        <v>67.744332720279601</v>
      </c>
      <c r="F58">
        <v>4343.7567197199796</v>
      </c>
      <c r="G58">
        <v>3417.7408157980099</v>
      </c>
      <c r="I58">
        <f t="shared" si="0"/>
        <v>0.78681681234172218</v>
      </c>
      <c r="P58">
        <v>56</v>
      </c>
      <c r="Q58" t="s">
        <v>120</v>
      </c>
      <c r="R58">
        <v>29.956613940192</v>
      </c>
      <c r="S58">
        <v>24.9833333333331</v>
      </c>
      <c r="T58">
        <v>1.05743123144908E-2</v>
      </c>
      <c r="U58">
        <v>0.64075728187606196</v>
      </c>
      <c r="V58">
        <v>0.49310415198248098</v>
      </c>
      <c r="X58">
        <f t="shared" si="1"/>
        <v>0.76956464784720047</v>
      </c>
    </row>
    <row r="59" spans="1:24" x14ac:dyDescent="0.3">
      <c r="A59">
        <v>57</v>
      </c>
      <c r="B59" t="s">
        <v>121</v>
      </c>
      <c r="C59">
        <v>150</v>
      </c>
      <c r="D59">
        <v>60</v>
      </c>
      <c r="E59">
        <f>F59-G59</f>
        <v>926.01590392196977</v>
      </c>
      <c r="F59">
        <v>4343.7567197199796</v>
      </c>
      <c r="G59">
        <v>3417.7408157980099</v>
      </c>
      <c r="H59">
        <v>193205238644.48801</v>
      </c>
      <c r="I59">
        <f t="shared" si="0"/>
        <v>0.78681681234172218</v>
      </c>
      <c r="P59">
        <v>57</v>
      </c>
      <c r="Q59" t="s">
        <v>121</v>
      </c>
      <c r="R59">
        <v>150</v>
      </c>
      <c r="S59">
        <v>60</v>
      </c>
      <c r="T59">
        <v>0.14724508610897899</v>
      </c>
      <c r="U59">
        <v>0.64075728187606196</v>
      </c>
      <c r="V59">
        <v>0.49310415198248098</v>
      </c>
      <c r="W59">
        <v>211070847082.79501</v>
      </c>
      <c r="X59">
        <f t="shared" si="1"/>
        <v>0.76956464784720047</v>
      </c>
    </row>
    <row r="60" spans="1:24" x14ac:dyDescent="0.3">
      <c r="A60">
        <v>58</v>
      </c>
      <c r="B60" t="s">
        <v>119</v>
      </c>
      <c r="C60">
        <v>150.01</v>
      </c>
      <c r="D60">
        <v>59.999999999946397</v>
      </c>
      <c r="E60">
        <v>675.36293887481395</v>
      </c>
      <c r="F60">
        <v>3417.7408157980099</v>
      </c>
      <c r="G60">
        <v>2742.3778769231999</v>
      </c>
      <c r="I60">
        <f t="shared" si="0"/>
        <v>0.80239492247245814</v>
      </c>
      <c r="P60">
        <v>58</v>
      </c>
      <c r="Q60" t="s">
        <v>119</v>
      </c>
      <c r="R60">
        <v>150.01</v>
      </c>
      <c r="S60">
        <v>60.000000000024698</v>
      </c>
      <c r="T60">
        <v>0.105502897677139</v>
      </c>
      <c r="U60">
        <v>0.49310415198248098</v>
      </c>
      <c r="V60">
        <v>0.38760125430534098</v>
      </c>
      <c r="X60">
        <f t="shared" si="1"/>
        <v>0.78604337997768814</v>
      </c>
    </row>
    <row r="61" spans="1:24" x14ac:dyDescent="0.3">
      <c r="A61">
        <v>59</v>
      </c>
      <c r="B61" t="s">
        <v>120</v>
      </c>
      <c r="C61">
        <v>24</v>
      </c>
      <c r="D61">
        <v>53.266666666666097</v>
      </c>
      <c r="E61">
        <v>66.808300895208106</v>
      </c>
      <c r="F61">
        <v>3417.7408157980099</v>
      </c>
      <c r="G61">
        <v>2671.9059922503802</v>
      </c>
      <c r="I61">
        <f t="shared" si="0"/>
        <v>0.78177548745062331</v>
      </c>
      <c r="P61">
        <v>59</v>
      </c>
      <c r="Q61" t="s">
        <v>120</v>
      </c>
      <c r="R61">
        <v>24</v>
      </c>
      <c r="S61">
        <v>53.266666666666403</v>
      </c>
      <c r="T61">
        <v>1.01661418527417E-2</v>
      </c>
      <c r="U61">
        <v>0.49310415198248098</v>
      </c>
      <c r="V61">
        <v>0.37688555121011003</v>
      </c>
      <c r="X61">
        <f t="shared" si="1"/>
        <v>0.76431226485292303</v>
      </c>
    </row>
    <row r="62" spans="1:24" x14ac:dyDescent="0.3">
      <c r="A62">
        <v>60</v>
      </c>
      <c r="B62" t="s">
        <v>121</v>
      </c>
      <c r="C62">
        <v>150.01</v>
      </c>
      <c r="D62">
        <v>60</v>
      </c>
      <c r="E62">
        <f>F62-G62</f>
        <v>745.83482354762964</v>
      </c>
      <c r="F62">
        <v>3417.7408157980099</v>
      </c>
      <c r="G62">
        <v>2671.9059922503802</v>
      </c>
      <c r="H62">
        <v>198380296242.858</v>
      </c>
      <c r="I62">
        <f t="shared" si="0"/>
        <v>0.78177548745062331</v>
      </c>
      <c r="P62">
        <v>60</v>
      </c>
      <c r="Q62" t="s">
        <v>121</v>
      </c>
      <c r="R62">
        <v>150.01</v>
      </c>
      <c r="S62">
        <v>60</v>
      </c>
      <c r="T62">
        <v>0.12539092222192599</v>
      </c>
      <c r="U62">
        <v>0.49310415198248098</v>
      </c>
      <c r="V62">
        <v>0.37688555121011003</v>
      </c>
      <c r="W62">
        <v>216584468413.647</v>
      </c>
      <c r="X62">
        <f t="shared" si="1"/>
        <v>0.76431226485292303</v>
      </c>
    </row>
    <row r="63" spans="1:24" x14ac:dyDescent="0.3">
      <c r="A63">
        <v>61</v>
      </c>
      <c r="B63" t="s">
        <v>119</v>
      </c>
      <c r="C63">
        <v>150.01</v>
      </c>
      <c r="D63">
        <v>59.999999999946397</v>
      </c>
      <c r="E63">
        <v>528.044920777009</v>
      </c>
      <c r="F63">
        <v>2671.9059922503802</v>
      </c>
      <c r="G63">
        <v>2143.86107147337</v>
      </c>
      <c r="I63">
        <f t="shared" si="0"/>
        <v>0.80237144483804579</v>
      </c>
      <c r="P63">
        <v>61</v>
      </c>
      <c r="Q63" t="s">
        <v>119</v>
      </c>
      <c r="R63">
        <v>150.01</v>
      </c>
      <c r="S63">
        <v>60.000000000024698</v>
      </c>
      <c r="T63">
        <v>8.06449021853725E-2</v>
      </c>
      <c r="U63">
        <v>0.37688555121011003</v>
      </c>
      <c r="V63">
        <v>0.29624064902473801</v>
      </c>
      <c r="X63">
        <f t="shared" si="1"/>
        <v>0.78602283391752192</v>
      </c>
    </row>
    <row r="64" spans="1:24" x14ac:dyDescent="0.3">
      <c r="A64">
        <v>62</v>
      </c>
      <c r="B64" t="s">
        <v>120</v>
      </c>
      <c r="C64">
        <v>29.922130425634499</v>
      </c>
      <c r="D64">
        <v>25.033333333333299</v>
      </c>
      <c r="E64">
        <v>41.699530580493999</v>
      </c>
      <c r="F64">
        <v>2671.9059922503802</v>
      </c>
      <c r="G64">
        <v>2102.1615408928701</v>
      </c>
      <c r="I64">
        <f t="shared" si="0"/>
        <v>0.78676478401186201</v>
      </c>
      <c r="P64">
        <v>62</v>
      </c>
      <c r="Q64" t="s">
        <v>120</v>
      </c>
      <c r="R64">
        <v>29.921099176047299</v>
      </c>
      <c r="S64">
        <v>25.033333333333399</v>
      </c>
      <c r="T64">
        <v>6.22413659448763E-3</v>
      </c>
      <c r="U64">
        <v>0.37688555121011003</v>
      </c>
      <c r="V64">
        <v>0.29001651243025001</v>
      </c>
      <c r="X64">
        <f t="shared" si="1"/>
        <v>0.76950817429604412</v>
      </c>
    </row>
    <row r="65" spans="1:24" x14ac:dyDescent="0.3">
      <c r="A65">
        <v>63</v>
      </c>
      <c r="B65" t="s">
        <v>121</v>
      </c>
      <c r="C65">
        <v>150.01</v>
      </c>
      <c r="D65">
        <v>60</v>
      </c>
      <c r="E65">
        <f>F65-G65</f>
        <v>569.74445135751012</v>
      </c>
      <c r="F65">
        <v>2671.9059922503802</v>
      </c>
      <c r="G65">
        <v>2102.1615408928701</v>
      </c>
      <c r="H65">
        <v>193253957217.30701</v>
      </c>
      <c r="I65">
        <f t="shared" si="0"/>
        <v>0.78676478401186201</v>
      </c>
      <c r="P65">
        <v>63</v>
      </c>
      <c r="Q65" t="s">
        <v>121</v>
      </c>
      <c r="R65">
        <v>150.01</v>
      </c>
      <c r="S65">
        <v>60</v>
      </c>
      <c r="T65">
        <v>8.9293150147276304E-2</v>
      </c>
      <c r="U65">
        <v>0.37688555121011003</v>
      </c>
      <c r="V65">
        <v>0.29001651243025001</v>
      </c>
      <c r="W65">
        <v>211124992828.491</v>
      </c>
      <c r="X65">
        <f t="shared" si="1"/>
        <v>0.76950817429604412</v>
      </c>
    </row>
    <row r="66" spans="1:24" x14ac:dyDescent="0.3">
      <c r="A66">
        <v>64</v>
      </c>
      <c r="B66" t="s">
        <v>119</v>
      </c>
      <c r="C66">
        <v>423.80999999999898</v>
      </c>
      <c r="D66">
        <v>180.00000000026199</v>
      </c>
      <c r="E66">
        <v>2102.1386748328</v>
      </c>
      <c r="F66">
        <v>2102.1615408928701</v>
      </c>
      <c r="G66">
        <v>2.2866060070152999E-2</v>
      </c>
      <c r="I66">
        <f t="shared" si="0"/>
        <v>1.087740386518578E-5</v>
      </c>
      <c r="P66">
        <v>64</v>
      </c>
      <c r="Q66" t="s">
        <v>119</v>
      </c>
      <c r="R66">
        <v>423.80999999999898</v>
      </c>
      <c r="S66">
        <v>179.99999999978201</v>
      </c>
      <c r="T66">
        <v>0.29001573739974001</v>
      </c>
      <c r="U66">
        <v>0.29001651243025001</v>
      </c>
      <c r="V66" s="2">
        <v>7.7503051060752604E-7</v>
      </c>
      <c r="X66">
        <f t="shared" si="1"/>
        <v>2.6723668390913556E-6</v>
      </c>
    </row>
    <row r="67" spans="1:24" x14ac:dyDescent="0.3">
      <c r="A67">
        <v>65</v>
      </c>
      <c r="B67" t="s">
        <v>120</v>
      </c>
      <c r="C67">
        <v>36.888843894624202</v>
      </c>
      <c r="D67">
        <v>25</v>
      </c>
      <c r="E67">
        <v>2.9418108140613899E-3</v>
      </c>
      <c r="F67">
        <v>2102.1615408928701</v>
      </c>
      <c r="G67">
        <v>1.9924249352243299E-2</v>
      </c>
      <c r="I67">
        <f t="shared" ref="I67:I74" si="2">G67/F67</f>
        <v>9.4779820506946818E-6</v>
      </c>
      <c r="P67">
        <v>65</v>
      </c>
      <c r="Q67" t="s">
        <v>120</v>
      </c>
      <c r="R67">
        <v>36.891244019773602</v>
      </c>
      <c r="S67">
        <v>25.000000000000099</v>
      </c>
      <c r="T67" s="2">
        <v>1.0980837787163899E-7</v>
      </c>
      <c r="U67">
        <v>0.29001651243025001</v>
      </c>
      <c r="V67" s="2">
        <v>6.6522215341757697E-7</v>
      </c>
      <c r="X67">
        <f t="shared" ref="X67:X74" si="3">V67/U67</f>
        <v>2.2937388903935781E-6</v>
      </c>
    </row>
    <row r="68" spans="1:24" x14ac:dyDescent="0.3">
      <c r="A68">
        <v>66</v>
      </c>
      <c r="B68" t="s">
        <v>121</v>
      </c>
      <c r="C68">
        <v>423.80999999999898</v>
      </c>
      <c r="D68">
        <v>180</v>
      </c>
      <c r="E68">
        <f>F68-G68</f>
        <v>2102.1416166435179</v>
      </c>
      <c r="F68">
        <v>2102.1615408928701</v>
      </c>
      <c r="G68">
        <v>1.9924249352243299E-2</v>
      </c>
      <c r="H68">
        <v>1886038938678.79</v>
      </c>
      <c r="I68">
        <f t="shared" si="2"/>
        <v>9.4779820506946818E-6</v>
      </c>
      <c r="P68">
        <v>66</v>
      </c>
      <c r="Q68" t="s">
        <v>121</v>
      </c>
      <c r="R68">
        <v>423.80999999999898</v>
      </c>
      <c r="S68">
        <v>180</v>
      </c>
      <c r="T68">
        <v>0.30795258857727797</v>
      </c>
      <c r="U68">
        <v>0.29001651243025001</v>
      </c>
      <c r="V68" s="2">
        <v>6.6522215341757697E-7</v>
      </c>
      <c r="W68">
        <v>2117386434885.2</v>
      </c>
      <c r="X68">
        <f t="shared" si="3"/>
        <v>2.2937388903935781E-6</v>
      </c>
    </row>
    <row r="69" spans="1:24" x14ac:dyDescent="0.3">
      <c r="A69">
        <v>67</v>
      </c>
      <c r="B69" t="s">
        <v>119</v>
      </c>
      <c r="C69">
        <v>98.1</v>
      </c>
      <c r="D69">
        <v>1</v>
      </c>
      <c r="E69" s="2">
        <v>2.8154053110788999E-5</v>
      </c>
      <c r="F69">
        <v>1.9924249352243299E-2</v>
      </c>
      <c r="G69">
        <v>1.9896095299132499E-2</v>
      </c>
      <c r="I69">
        <f t="shared" si="2"/>
        <v>0.99858694535422332</v>
      </c>
      <c r="P69">
        <v>67</v>
      </c>
      <c r="Q69" t="s">
        <v>119</v>
      </c>
      <c r="R69">
        <v>98.1</v>
      </c>
      <c r="S69">
        <v>1</v>
      </c>
      <c r="T69" s="2">
        <v>1.01717600098808E-9</v>
      </c>
      <c r="U69" s="2">
        <v>6.6522215341757697E-7</v>
      </c>
      <c r="V69" s="2">
        <v>6.6420497741658899E-7</v>
      </c>
      <c r="X69">
        <f t="shared" si="3"/>
        <v>0.99847092284019368</v>
      </c>
    </row>
    <row r="70" spans="1:24" x14ac:dyDescent="0.3">
      <c r="A70">
        <v>68</v>
      </c>
      <c r="B70" t="s">
        <v>120</v>
      </c>
      <c r="C70">
        <v>24</v>
      </c>
      <c r="D70">
        <v>996.55000000115297</v>
      </c>
      <c r="E70">
        <v>3.1121315502734899E-4</v>
      </c>
      <c r="F70">
        <v>1.9924249352243299E-2</v>
      </c>
      <c r="G70">
        <v>1.5920608627434898E-2</v>
      </c>
      <c r="I70">
        <f t="shared" si="2"/>
        <v>0.79905688520417839</v>
      </c>
      <c r="P70">
        <v>68</v>
      </c>
      <c r="Q70" t="s">
        <v>120</v>
      </c>
      <c r="R70">
        <v>24</v>
      </c>
      <c r="S70">
        <v>996.55000000120697</v>
      </c>
      <c r="T70" s="2">
        <v>1.11197779357523E-8</v>
      </c>
      <c r="U70" s="2">
        <v>6.6522215341757697E-7</v>
      </c>
      <c r="V70" s="2">
        <v>5.2406448450582098E-7</v>
      </c>
      <c r="X70">
        <f t="shared" si="3"/>
        <v>0.7878037161171515</v>
      </c>
    </row>
    <row r="71" spans="1:24" x14ac:dyDescent="0.3">
      <c r="A71">
        <v>69</v>
      </c>
      <c r="B71" t="s">
        <v>121</v>
      </c>
      <c r="C71">
        <v>98.1</v>
      </c>
      <c r="D71">
        <v>1</v>
      </c>
      <c r="E71">
        <f>F71-G71</f>
        <v>4.0036407248084001E-3</v>
      </c>
      <c r="F71">
        <v>1.9924249352243299E-2</v>
      </c>
      <c r="G71">
        <v>1.5920608627434898E-2</v>
      </c>
      <c r="H71">
        <v>12362810855247.801</v>
      </c>
      <c r="I71">
        <f t="shared" si="2"/>
        <v>0.79905688520417839</v>
      </c>
      <c r="P71">
        <v>69</v>
      </c>
      <c r="Q71" t="s">
        <v>121</v>
      </c>
      <c r="R71">
        <v>98.1</v>
      </c>
      <c r="S71">
        <v>1</v>
      </c>
      <c r="T71">
        <v>2.31270045788621E-4</v>
      </c>
      <c r="U71" s="2">
        <v>6.6522215341757697E-7</v>
      </c>
      <c r="V71" s="2">
        <v>5.2406448450582098E-7</v>
      </c>
      <c r="W71">
        <v>13144468341575.1</v>
      </c>
      <c r="X71">
        <f t="shared" si="3"/>
        <v>0.7878037161171515</v>
      </c>
    </row>
    <row r="72" spans="1:24" x14ac:dyDescent="0.3">
      <c r="A72">
        <v>70</v>
      </c>
      <c r="B72" t="s">
        <v>119</v>
      </c>
      <c r="C72">
        <v>24</v>
      </c>
      <c r="D72">
        <v>1</v>
      </c>
      <c r="E72" s="2">
        <v>3.41463170850861E-6</v>
      </c>
      <c r="F72">
        <v>1.5920608627434898E-2</v>
      </c>
      <c r="G72">
        <v>1.59171939957264E-2</v>
      </c>
      <c r="I72">
        <f t="shared" si="2"/>
        <v>0.99978552128323694</v>
      </c>
      <c r="P72">
        <v>70</v>
      </c>
      <c r="Q72" t="s">
        <v>119</v>
      </c>
      <c r="R72">
        <v>24</v>
      </c>
      <c r="S72">
        <v>1</v>
      </c>
      <c r="T72" s="2">
        <v>1.1930746817549599E-10</v>
      </c>
      <c r="U72" s="2">
        <v>5.2406448450582098E-7</v>
      </c>
      <c r="V72" s="2">
        <v>5.2394517703764601E-7</v>
      </c>
      <c r="X72">
        <f t="shared" si="3"/>
        <v>0.99977234200808807</v>
      </c>
    </row>
    <row r="73" spans="1:24" x14ac:dyDescent="0.3">
      <c r="A73">
        <v>71</v>
      </c>
      <c r="B73" t="s">
        <v>120</v>
      </c>
      <c r="C73">
        <v>24</v>
      </c>
      <c r="D73">
        <v>553.93333333332805</v>
      </c>
      <c r="E73">
        <v>0</v>
      </c>
      <c r="F73">
        <v>1.5920608627434898E-2</v>
      </c>
      <c r="G73">
        <v>1.4114971961015301E-2</v>
      </c>
      <c r="I73">
        <f t="shared" si="2"/>
        <v>0.88658494730483683</v>
      </c>
      <c r="P73">
        <v>71</v>
      </c>
      <c r="Q73" t="s">
        <v>120</v>
      </c>
      <c r="R73">
        <v>24</v>
      </c>
      <c r="S73">
        <v>553.93333333338796</v>
      </c>
      <c r="T73">
        <v>0</v>
      </c>
      <c r="U73" s="2">
        <v>5.2406448450582098E-7</v>
      </c>
      <c r="V73" s="2">
        <v>4.6113609577984601E-7</v>
      </c>
      <c r="X73">
        <f t="shared" si="3"/>
        <v>0.87992243209284682</v>
      </c>
    </row>
    <row r="74" spans="1:24" x14ac:dyDescent="0.3">
      <c r="A74">
        <v>72</v>
      </c>
      <c r="B74" t="s">
        <v>121</v>
      </c>
      <c r="C74">
        <v>24</v>
      </c>
      <c r="D74">
        <v>1</v>
      </c>
      <c r="E74">
        <v>1.0019498737557701E-2</v>
      </c>
      <c r="F74">
        <v>1.5920608627434898E-2</v>
      </c>
      <c r="G74">
        <v>1.4114971961015301E-2</v>
      </c>
      <c r="H74">
        <v>8289455135529.9004</v>
      </c>
      <c r="I74">
        <f t="shared" si="2"/>
        <v>0.88658494730483683</v>
      </c>
      <c r="P74">
        <v>72</v>
      </c>
      <c r="Q74" t="s">
        <v>121</v>
      </c>
      <c r="R74">
        <v>24</v>
      </c>
      <c r="S74">
        <v>1</v>
      </c>
      <c r="T74">
        <v>0</v>
      </c>
      <c r="U74" s="2">
        <v>5.2406448450582098E-7</v>
      </c>
      <c r="V74" s="2">
        <v>4.6113609577984601E-7</v>
      </c>
      <c r="W74">
        <v>8808891639006.7109</v>
      </c>
      <c r="X74">
        <f t="shared" si="3"/>
        <v>0.87992243209284682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A402-F11D-4E63-9A8B-B2D07A91B724}">
  <dimension ref="A1:D178"/>
  <sheetViews>
    <sheetView workbookViewId="0">
      <selection activeCell="I29" sqref="I29"/>
    </sheetView>
  </sheetViews>
  <sheetFormatPr defaultRowHeight="14.4" x14ac:dyDescent="0.3"/>
  <sheetData>
    <row r="1" spans="1:4" x14ac:dyDescent="0.3">
      <c r="B1" t="s">
        <v>142</v>
      </c>
      <c r="C1" t="s">
        <v>143</v>
      </c>
      <c r="D1" t="s">
        <v>144</v>
      </c>
    </row>
    <row r="2" spans="1:4" x14ac:dyDescent="0.3">
      <c r="A2">
        <v>0</v>
      </c>
      <c r="B2">
        <v>77.5</v>
      </c>
      <c r="C2">
        <f t="shared" ref="C2:C65" si="0">B2-24</f>
        <v>53.5</v>
      </c>
      <c r="D2">
        <v>-0.161151697464546</v>
      </c>
    </row>
    <row r="3" spans="1:4" x14ac:dyDescent="0.3">
      <c r="A3">
        <v>1</v>
      </c>
      <c r="B3">
        <v>76.5</v>
      </c>
      <c r="C3">
        <f t="shared" si="0"/>
        <v>52.5</v>
      </c>
      <c r="D3">
        <v>-0.16109977446031301</v>
      </c>
    </row>
    <row r="4" spans="1:4" x14ac:dyDescent="0.3">
      <c r="A4">
        <v>2</v>
      </c>
      <c r="B4">
        <v>75.5</v>
      </c>
      <c r="C4">
        <f t="shared" si="0"/>
        <v>51.5</v>
      </c>
      <c r="D4">
        <v>-0.16109977446031301</v>
      </c>
    </row>
    <row r="5" spans="1:4" x14ac:dyDescent="0.3">
      <c r="A5">
        <v>3</v>
      </c>
      <c r="B5">
        <v>74.5</v>
      </c>
      <c r="C5">
        <f t="shared" si="0"/>
        <v>50.5</v>
      </c>
      <c r="D5">
        <v>-0.16109977446031701</v>
      </c>
    </row>
    <row r="6" spans="1:4" x14ac:dyDescent="0.3">
      <c r="A6">
        <v>4</v>
      </c>
      <c r="B6">
        <v>73.5</v>
      </c>
      <c r="C6">
        <f t="shared" si="0"/>
        <v>49.5</v>
      </c>
      <c r="D6">
        <v>-0.16116901257118199</v>
      </c>
    </row>
    <row r="7" spans="1:4" x14ac:dyDescent="0.3">
      <c r="A7">
        <v>5</v>
      </c>
      <c r="B7">
        <v>72.5</v>
      </c>
      <c r="C7">
        <f t="shared" si="0"/>
        <v>48.5</v>
      </c>
      <c r="D7">
        <v>-0.161151697464546</v>
      </c>
    </row>
    <row r="8" spans="1:4" x14ac:dyDescent="0.3">
      <c r="A8">
        <v>6</v>
      </c>
      <c r="B8">
        <v>72</v>
      </c>
      <c r="C8">
        <f t="shared" si="0"/>
        <v>48</v>
      </c>
      <c r="D8">
        <v>-0.107434464976364</v>
      </c>
    </row>
    <row r="9" spans="1:4" x14ac:dyDescent="0.3">
      <c r="A9">
        <v>7</v>
      </c>
      <c r="B9">
        <v>70.5</v>
      </c>
      <c r="C9">
        <f t="shared" si="0"/>
        <v>46.5</v>
      </c>
      <c r="D9">
        <v>-0.161143041306335</v>
      </c>
    </row>
    <row r="10" spans="1:4" x14ac:dyDescent="0.3">
      <c r="A10">
        <v>8</v>
      </c>
      <c r="B10">
        <v>77.5</v>
      </c>
      <c r="C10">
        <f t="shared" si="0"/>
        <v>53.5</v>
      </c>
      <c r="D10">
        <v>-0.16112573177936701</v>
      </c>
    </row>
    <row r="11" spans="1:4" x14ac:dyDescent="0.3">
      <c r="A11">
        <v>9</v>
      </c>
      <c r="B11">
        <v>76.5</v>
      </c>
      <c r="C11">
        <f t="shared" si="0"/>
        <v>52.5</v>
      </c>
      <c r="D11">
        <v>-0.16108247422680499</v>
      </c>
    </row>
    <row r="12" spans="1:4" x14ac:dyDescent="0.3">
      <c r="A12">
        <v>10</v>
      </c>
      <c r="B12">
        <v>75.5</v>
      </c>
      <c r="C12">
        <f t="shared" si="0"/>
        <v>51.5</v>
      </c>
      <c r="D12">
        <v>-0.16108247422680499</v>
      </c>
    </row>
    <row r="13" spans="1:4" x14ac:dyDescent="0.3">
      <c r="A13">
        <v>11</v>
      </c>
      <c r="B13">
        <v>74.5</v>
      </c>
      <c r="C13">
        <f t="shared" si="0"/>
        <v>50.5</v>
      </c>
      <c r="D13">
        <v>-0.16109977446031301</v>
      </c>
    </row>
    <row r="14" spans="1:4" x14ac:dyDescent="0.3">
      <c r="A14">
        <v>12</v>
      </c>
      <c r="B14">
        <v>73.5</v>
      </c>
      <c r="C14">
        <f t="shared" si="0"/>
        <v>49.5</v>
      </c>
      <c r="D14">
        <v>-0.16113438607798899</v>
      </c>
    </row>
    <row r="15" spans="1:4" x14ac:dyDescent="0.3">
      <c r="A15">
        <v>13</v>
      </c>
      <c r="B15">
        <v>72.5</v>
      </c>
      <c r="C15">
        <f t="shared" si="0"/>
        <v>48.5</v>
      </c>
      <c r="D15">
        <v>-0.16113438607798899</v>
      </c>
    </row>
    <row r="16" spans="1:4" x14ac:dyDescent="0.3">
      <c r="A16">
        <v>14</v>
      </c>
      <c r="B16">
        <v>78</v>
      </c>
      <c r="C16">
        <f t="shared" si="0"/>
        <v>54</v>
      </c>
      <c r="D16">
        <v>-0.107422924051993</v>
      </c>
    </row>
    <row r="17" spans="1:4" x14ac:dyDescent="0.3">
      <c r="A17">
        <v>15</v>
      </c>
      <c r="B17">
        <v>78</v>
      </c>
      <c r="C17">
        <f t="shared" si="0"/>
        <v>54</v>
      </c>
      <c r="D17">
        <v>-0.107434464976364</v>
      </c>
    </row>
    <row r="18" spans="1:4" x14ac:dyDescent="0.3">
      <c r="A18">
        <v>16</v>
      </c>
      <c r="B18">
        <v>77</v>
      </c>
      <c r="C18">
        <f t="shared" si="0"/>
        <v>53</v>
      </c>
      <c r="D18">
        <v>-0.10741715451957801</v>
      </c>
    </row>
    <row r="19" spans="1:4" x14ac:dyDescent="0.3">
      <c r="A19">
        <v>17</v>
      </c>
      <c r="B19">
        <v>76</v>
      </c>
      <c r="C19">
        <f t="shared" si="0"/>
        <v>52</v>
      </c>
      <c r="D19">
        <v>-0.10742869420421999</v>
      </c>
    </row>
    <row r="20" spans="1:4" x14ac:dyDescent="0.3">
      <c r="A20">
        <v>18</v>
      </c>
      <c r="B20">
        <v>75.5</v>
      </c>
      <c r="C20">
        <f t="shared" si="0"/>
        <v>51.5</v>
      </c>
      <c r="D20">
        <v>-0.16116901257118199</v>
      </c>
    </row>
    <row r="21" spans="1:4" x14ac:dyDescent="0.3">
      <c r="A21">
        <v>19</v>
      </c>
      <c r="B21">
        <v>74.5</v>
      </c>
      <c r="C21">
        <f t="shared" si="0"/>
        <v>50.5</v>
      </c>
      <c r="D21">
        <v>-0.16118633139909599</v>
      </c>
    </row>
    <row r="22" spans="1:4" x14ac:dyDescent="0.3">
      <c r="A22">
        <v>20</v>
      </c>
      <c r="B22">
        <v>78</v>
      </c>
      <c r="C22">
        <f t="shared" si="0"/>
        <v>54</v>
      </c>
      <c r="D22">
        <v>-0.107422924051993</v>
      </c>
    </row>
    <row r="23" spans="1:4" x14ac:dyDescent="0.3">
      <c r="A23">
        <v>21</v>
      </c>
      <c r="B23">
        <v>78</v>
      </c>
      <c r="C23">
        <f t="shared" si="0"/>
        <v>54</v>
      </c>
      <c r="D23">
        <v>-0.107422924051993</v>
      </c>
    </row>
    <row r="24" spans="1:4" x14ac:dyDescent="0.3">
      <c r="A24">
        <v>22</v>
      </c>
      <c r="B24">
        <v>77</v>
      </c>
      <c r="C24">
        <f t="shared" si="0"/>
        <v>53</v>
      </c>
      <c r="D24">
        <v>-0.107434464976364</v>
      </c>
    </row>
    <row r="25" spans="1:4" x14ac:dyDescent="0.3">
      <c r="A25">
        <v>23</v>
      </c>
      <c r="B25">
        <v>76</v>
      </c>
      <c r="C25">
        <f t="shared" si="0"/>
        <v>52</v>
      </c>
      <c r="D25">
        <v>-0.107434464976361</v>
      </c>
    </row>
    <row r="26" spans="1:4" x14ac:dyDescent="0.3">
      <c r="A26">
        <v>24</v>
      </c>
      <c r="B26">
        <v>75.5</v>
      </c>
      <c r="C26">
        <f t="shared" si="0"/>
        <v>51.5</v>
      </c>
      <c r="D26">
        <v>-0.16118633139909599</v>
      </c>
    </row>
    <row r="27" spans="1:4" x14ac:dyDescent="0.3">
      <c r="A27">
        <v>25</v>
      </c>
      <c r="B27">
        <v>75</v>
      </c>
      <c r="C27">
        <f t="shared" si="0"/>
        <v>51</v>
      </c>
      <c r="D27">
        <v>-0.10744600838078799</v>
      </c>
    </row>
    <row r="28" spans="1:4" x14ac:dyDescent="0.3">
      <c r="A28">
        <v>26</v>
      </c>
      <c r="B28">
        <v>74</v>
      </c>
      <c r="C28">
        <f t="shared" si="0"/>
        <v>50</v>
      </c>
      <c r="D28">
        <v>-0.107422924051993</v>
      </c>
    </row>
    <row r="29" spans="1:4" x14ac:dyDescent="0.3">
      <c r="A29">
        <v>27</v>
      </c>
      <c r="B29">
        <v>78</v>
      </c>
      <c r="C29">
        <f t="shared" si="0"/>
        <v>54</v>
      </c>
      <c r="D29">
        <v>-0.10745178101326799</v>
      </c>
    </row>
    <row r="30" spans="1:4" x14ac:dyDescent="0.3">
      <c r="A30">
        <v>28</v>
      </c>
      <c r="B30">
        <v>78</v>
      </c>
      <c r="C30">
        <f t="shared" si="0"/>
        <v>54</v>
      </c>
      <c r="D30">
        <v>-0.107440236368521</v>
      </c>
    </row>
    <row r="31" spans="1:4" x14ac:dyDescent="0.3">
      <c r="A31">
        <v>29</v>
      </c>
      <c r="B31">
        <v>77</v>
      </c>
      <c r="C31">
        <f t="shared" si="0"/>
        <v>53</v>
      </c>
      <c r="D31">
        <v>-0.10745178101327101</v>
      </c>
    </row>
    <row r="32" spans="1:4" x14ac:dyDescent="0.3">
      <c r="A32">
        <v>30</v>
      </c>
      <c r="B32">
        <v>76.5</v>
      </c>
      <c r="C32">
        <f t="shared" si="0"/>
        <v>52.5</v>
      </c>
      <c r="D32">
        <v>-5.3714347102111697E-2</v>
      </c>
    </row>
    <row r="33" spans="1:4" x14ac:dyDescent="0.3">
      <c r="A33">
        <v>31</v>
      </c>
      <c r="B33">
        <v>76</v>
      </c>
      <c r="C33">
        <f t="shared" si="0"/>
        <v>52</v>
      </c>
      <c r="D33">
        <v>-0.10742869420421999</v>
      </c>
    </row>
    <row r="34" spans="1:4" x14ac:dyDescent="0.3">
      <c r="A34">
        <v>32</v>
      </c>
      <c r="B34">
        <v>75</v>
      </c>
      <c r="C34">
        <f t="shared" si="0"/>
        <v>51</v>
      </c>
      <c r="D34">
        <v>-0.10741715451957499</v>
      </c>
    </row>
    <row r="35" spans="1:4" x14ac:dyDescent="0.3">
      <c r="A35">
        <v>33</v>
      </c>
      <c r="B35">
        <v>74.5</v>
      </c>
      <c r="C35">
        <f t="shared" si="0"/>
        <v>50.5</v>
      </c>
      <c r="D35">
        <v>-0.161143041306331</v>
      </c>
    </row>
    <row r="36" spans="1:4" x14ac:dyDescent="0.3">
      <c r="A36">
        <v>34</v>
      </c>
      <c r="B36">
        <v>74</v>
      </c>
      <c r="C36">
        <f t="shared" si="0"/>
        <v>50</v>
      </c>
      <c r="D36">
        <v>-0.107440236368518</v>
      </c>
    </row>
    <row r="37" spans="1:4" x14ac:dyDescent="0.3">
      <c r="A37">
        <v>35</v>
      </c>
      <c r="B37">
        <v>73</v>
      </c>
      <c r="C37">
        <f t="shared" si="0"/>
        <v>49</v>
      </c>
      <c r="D37">
        <v>-0.107457554266064</v>
      </c>
    </row>
    <row r="38" spans="1:4" x14ac:dyDescent="0.3">
      <c r="A38">
        <v>36</v>
      </c>
      <c r="B38">
        <v>72</v>
      </c>
      <c r="C38">
        <f t="shared" si="0"/>
        <v>48</v>
      </c>
      <c r="D38">
        <v>-8.0606158310495196E-2</v>
      </c>
    </row>
    <row r="39" spans="1:4" x14ac:dyDescent="0.3">
      <c r="A39">
        <v>37</v>
      </c>
      <c r="B39">
        <v>97</v>
      </c>
      <c r="C39">
        <f t="shared" si="0"/>
        <v>73</v>
      </c>
      <c r="D39">
        <v>-0.10742869420421999</v>
      </c>
    </row>
    <row r="40" spans="1:4" x14ac:dyDescent="0.3">
      <c r="A40">
        <v>38</v>
      </c>
      <c r="B40">
        <v>95</v>
      </c>
      <c r="C40">
        <f t="shared" si="0"/>
        <v>71</v>
      </c>
      <c r="D40">
        <v>-0.161192826919201</v>
      </c>
    </row>
    <row r="41" spans="1:4" x14ac:dyDescent="0.3">
      <c r="A41">
        <v>39</v>
      </c>
      <c r="B41">
        <v>95</v>
      </c>
      <c r="C41">
        <f t="shared" si="0"/>
        <v>71</v>
      </c>
      <c r="D41">
        <v>-0.16118633139909799</v>
      </c>
    </row>
    <row r="42" spans="1:4" x14ac:dyDescent="0.3">
      <c r="A42">
        <v>40</v>
      </c>
      <c r="B42">
        <v>94</v>
      </c>
      <c r="C42">
        <f t="shared" si="0"/>
        <v>70</v>
      </c>
      <c r="D42">
        <v>-0.161179836402466</v>
      </c>
    </row>
    <row r="43" spans="1:4" x14ac:dyDescent="0.3">
      <c r="A43">
        <v>41</v>
      </c>
      <c r="B43">
        <v>92</v>
      </c>
      <c r="C43">
        <f t="shared" si="0"/>
        <v>68</v>
      </c>
      <c r="D43">
        <v>-0.107440236368518</v>
      </c>
    </row>
    <row r="44" spans="1:4" x14ac:dyDescent="0.3">
      <c r="A44">
        <v>42</v>
      </c>
      <c r="B44">
        <v>91.5</v>
      </c>
      <c r="C44">
        <f t="shared" si="0"/>
        <v>67.5</v>
      </c>
      <c r="D44">
        <v>-0.16113438607798899</v>
      </c>
    </row>
    <row r="45" spans="1:4" x14ac:dyDescent="0.3">
      <c r="A45">
        <v>43</v>
      </c>
      <c r="B45">
        <v>90.5</v>
      </c>
      <c r="C45">
        <f t="shared" si="0"/>
        <v>66.5</v>
      </c>
      <c r="D45">
        <v>-0.161143041306331</v>
      </c>
    </row>
    <row r="46" spans="1:4" x14ac:dyDescent="0.3">
      <c r="A46">
        <v>44</v>
      </c>
      <c r="B46">
        <v>89.5</v>
      </c>
      <c r="C46">
        <f t="shared" si="0"/>
        <v>65.5</v>
      </c>
      <c r="D46">
        <v>-0.161151697464546</v>
      </c>
    </row>
    <row r="47" spans="1:4" x14ac:dyDescent="0.3">
      <c r="A47">
        <v>45</v>
      </c>
      <c r="B47">
        <v>88.5</v>
      </c>
      <c r="C47">
        <f t="shared" si="0"/>
        <v>64.5</v>
      </c>
      <c r="D47">
        <v>-0.16118633139909599</v>
      </c>
    </row>
    <row r="48" spans="1:4" x14ac:dyDescent="0.3">
      <c r="A48">
        <v>46</v>
      </c>
      <c r="B48">
        <v>87.5</v>
      </c>
      <c r="C48">
        <f t="shared" si="0"/>
        <v>63.5</v>
      </c>
      <c r="D48">
        <v>-0.16122098022356199</v>
      </c>
    </row>
    <row r="49" spans="1:4" x14ac:dyDescent="0.3">
      <c r="A49">
        <v>47</v>
      </c>
      <c r="B49">
        <v>98</v>
      </c>
      <c r="C49">
        <f t="shared" si="0"/>
        <v>74</v>
      </c>
      <c r="D49">
        <v>-0.107457554266064</v>
      </c>
    </row>
    <row r="50" spans="1:4" x14ac:dyDescent="0.3">
      <c r="A50">
        <v>48</v>
      </c>
      <c r="B50">
        <v>97</v>
      </c>
      <c r="C50">
        <f t="shared" si="0"/>
        <v>73</v>
      </c>
      <c r="D50">
        <v>-0.107457554266067</v>
      </c>
    </row>
    <row r="51" spans="1:4" x14ac:dyDescent="0.3">
      <c r="A51">
        <v>49</v>
      </c>
      <c r="B51">
        <v>95.5</v>
      </c>
      <c r="C51">
        <f t="shared" si="0"/>
        <v>71.5</v>
      </c>
      <c r="D51">
        <v>-0.16118633139909999</v>
      </c>
    </row>
    <row r="52" spans="1:4" x14ac:dyDescent="0.3">
      <c r="A52">
        <v>50</v>
      </c>
      <c r="B52">
        <v>95</v>
      </c>
      <c r="C52">
        <f t="shared" si="0"/>
        <v>71</v>
      </c>
      <c r="D52">
        <v>-0.21481123462756899</v>
      </c>
    </row>
    <row r="53" spans="1:4" x14ac:dyDescent="0.3">
      <c r="A53">
        <v>51</v>
      </c>
      <c r="B53">
        <v>94.5</v>
      </c>
      <c r="C53">
        <f t="shared" si="0"/>
        <v>70.5</v>
      </c>
      <c r="D53">
        <v>-0.16110842597067701</v>
      </c>
    </row>
    <row r="54" spans="1:4" x14ac:dyDescent="0.3">
      <c r="A54">
        <v>52</v>
      </c>
      <c r="B54">
        <v>93</v>
      </c>
      <c r="C54">
        <f t="shared" si="0"/>
        <v>69</v>
      </c>
      <c r="D54">
        <v>-0.107394082586049</v>
      </c>
    </row>
    <row r="55" spans="1:4" x14ac:dyDescent="0.3">
      <c r="A55">
        <v>53</v>
      </c>
      <c r="B55">
        <v>92</v>
      </c>
      <c r="C55">
        <f t="shared" si="0"/>
        <v>68</v>
      </c>
      <c r="D55">
        <v>-0.10745178101327101</v>
      </c>
    </row>
    <row r="56" spans="1:4" x14ac:dyDescent="0.3">
      <c r="A56">
        <v>54</v>
      </c>
      <c r="B56">
        <v>91.5</v>
      </c>
      <c r="C56">
        <f t="shared" si="0"/>
        <v>67.5</v>
      </c>
      <c r="D56">
        <v>-0.161160354552777</v>
      </c>
    </row>
    <row r="57" spans="1:4" x14ac:dyDescent="0.3">
      <c r="A57">
        <v>55</v>
      </c>
      <c r="B57">
        <v>90.5</v>
      </c>
      <c r="C57">
        <f t="shared" si="0"/>
        <v>66.5</v>
      </c>
      <c r="D57">
        <v>-0.16119499220890501</v>
      </c>
    </row>
    <row r="58" spans="1:4" x14ac:dyDescent="0.3">
      <c r="A58">
        <v>56</v>
      </c>
      <c r="B58">
        <v>89.5</v>
      </c>
      <c r="C58">
        <f t="shared" si="0"/>
        <v>65.5</v>
      </c>
      <c r="D58">
        <v>-0.161151697464546</v>
      </c>
    </row>
    <row r="59" spans="1:4" x14ac:dyDescent="0.3">
      <c r="A59">
        <v>57</v>
      </c>
      <c r="B59">
        <v>89</v>
      </c>
      <c r="C59">
        <f t="shared" si="0"/>
        <v>65</v>
      </c>
      <c r="D59">
        <v>-0.10744600838078799</v>
      </c>
    </row>
    <row r="60" spans="1:4" x14ac:dyDescent="0.3">
      <c r="A60">
        <v>58</v>
      </c>
      <c r="B60">
        <v>88</v>
      </c>
      <c r="C60">
        <f t="shared" si="0"/>
        <v>64</v>
      </c>
      <c r="D60">
        <v>-0.107422924051993</v>
      </c>
    </row>
    <row r="61" spans="1:4" x14ac:dyDescent="0.3">
      <c r="A61">
        <v>59</v>
      </c>
      <c r="B61">
        <v>98</v>
      </c>
      <c r="C61">
        <f t="shared" si="0"/>
        <v>74</v>
      </c>
      <c r="D61">
        <v>-0.107434464976364</v>
      </c>
    </row>
    <row r="62" spans="1:4" x14ac:dyDescent="0.3">
      <c r="A62">
        <v>60</v>
      </c>
      <c r="B62">
        <v>97</v>
      </c>
      <c r="C62">
        <f t="shared" si="0"/>
        <v>73</v>
      </c>
      <c r="D62">
        <v>-0.107434464976364</v>
      </c>
    </row>
    <row r="63" spans="1:4" x14ac:dyDescent="0.3">
      <c r="A63">
        <v>61</v>
      </c>
      <c r="B63">
        <v>96</v>
      </c>
      <c r="C63">
        <f t="shared" si="0"/>
        <v>72</v>
      </c>
      <c r="D63">
        <v>-0.10744600838078799</v>
      </c>
    </row>
    <row r="64" spans="1:4" x14ac:dyDescent="0.3">
      <c r="A64">
        <v>62</v>
      </c>
      <c r="B64">
        <v>95.5</v>
      </c>
      <c r="C64">
        <f t="shared" si="0"/>
        <v>71.5</v>
      </c>
      <c r="D64">
        <v>-0.16113438607798899</v>
      </c>
    </row>
    <row r="65" spans="1:4" x14ac:dyDescent="0.3">
      <c r="A65">
        <v>63</v>
      </c>
      <c r="B65">
        <v>94.5</v>
      </c>
      <c r="C65">
        <f t="shared" si="0"/>
        <v>70.5</v>
      </c>
      <c r="D65">
        <v>-0.161151697464546</v>
      </c>
    </row>
    <row r="66" spans="1:4" x14ac:dyDescent="0.3">
      <c r="A66">
        <v>64</v>
      </c>
      <c r="B66">
        <v>93.5</v>
      </c>
      <c r="C66">
        <f t="shared" ref="C66:C129" si="1">B66-24</f>
        <v>69.5</v>
      </c>
      <c r="D66">
        <v>-0.161143041306331</v>
      </c>
    </row>
    <row r="67" spans="1:4" x14ac:dyDescent="0.3">
      <c r="A67">
        <v>65</v>
      </c>
      <c r="B67">
        <v>92.5</v>
      </c>
      <c r="C67">
        <f t="shared" si="1"/>
        <v>68.5</v>
      </c>
      <c r="D67">
        <v>-0.161143041306331</v>
      </c>
    </row>
    <row r="68" spans="1:4" x14ac:dyDescent="0.3">
      <c r="A68">
        <v>66</v>
      </c>
      <c r="B68">
        <v>92</v>
      </c>
      <c r="C68">
        <f t="shared" si="1"/>
        <v>68</v>
      </c>
      <c r="D68">
        <v>-0.107440236368518</v>
      </c>
    </row>
    <row r="69" spans="1:4" x14ac:dyDescent="0.3">
      <c r="A69">
        <v>67</v>
      </c>
      <c r="B69">
        <v>90.5</v>
      </c>
      <c r="C69">
        <f t="shared" si="1"/>
        <v>66.5</v>
      </c>
      <c r="D69">
        <v>-0.16119499220890901</v>
      </c>
    </row>
    <row r="70" spans="1:4" x14ac:dyDescent="0.3">
      <c r="A70">
        <v>68</v>
      </c>
      <c r="B70">
        <v>89.5</v>
      </c>
      <c r="C70">
        <f t="shared" si="1"/>
        <v>65.5</v>
      </c>
      <c r="D70">
        <v>-0.16119499220890901</v>
      </c>
    </row>
    <row r="71" spans="1:4" x14ac:dyDescent="0.3">
      <c r="A71">
        <v>69</v>
      </c>
      <c r="B71">
        <v>89.5</v>
      </c>
      <c r="C71">
        <f t="shared" si="1"/>
        <v>65.5</v>
      </c>
      <c r="D71">
        <v>-0.16116035455278099</v>
      </c>
    </row>
    <row r="72" spans="1:4" x14ac:dyDescent="0.3">
      <c r="A72">
        <v>70</v>
      </c>
      <c r="B72">
        <v>88</v>
      </c>
      <c r="C72">
        <f t="shared" si="1"/>
        <v>64</v>
      </c>
      <c r="D72">
        <v>-0.107428694204223</v>
      </c>
    </row>
    <row r="73" spans="1:4" x14ac:dyDescent="0.3">
      <c r="A73">
        <v>71</v>
      </c>
      <c r="B73">
        <v>98</v>
      </c>
      <c r="C73">
        <f t="shared" si="1"/>
        <v>74</v>
      </c>
      <c r="D73">
        <v>-0.107469102632994</v>
      </c>
    </row>
    <row r="74" spans="1:4" x14ac:dyDescent="0.3">
      <c r="A74">
        <v>72</v>
      </c>
      <c r="B74">
        <v>97</v>
      </c>
      <c r="C74">
        <f t="shared" si="1"/>
        <v>73</v>
      </c>
      <c r="D74">
        <v>-0.107457554266064</v>
      </c>
    </row>
    <row r="75" spans="1:4" x14ac:dyDescent="0.3">
      <c r="A75">
        <v>73</v>
      </c>
      <c r="B75">
        <v>96.5</v>
      </c>
      <c r="C75">
        <f t="shared" si="1"/>
        <v>72.5</v>
      </c>
      <c r="D75">
        <v>-0.161177671519902</v>
      </c>
    </row>
    <row r="76" spans="1:4" x14ac:dyDescent="0.3">
      <c r="A76">
        <v>74</v>
      </c>
      <c r="B76">
        <v>95.5</v>
      </c>
      <c r="C76">
        <f t="shared" si="1"/>
        <v>71.5</v>
      </c>
      <c r="D76">
        <v>-0.161177671519902</v>
      </c>
    </row>
    <row r="77" spans="1:4" x14ac:dyDescent="0.3">
      <c r="A77">
        <v>75</v>
      </c>
      <c r="B77">
        <v>94.5</v>
      </c>
      <c r="C77">
        <f t="shared" si="1"/>
        <v>70.5</v>
      </c>
      <c r="D77">
        <v>-0.16118633139909599</v>
      </c>
    </row>
    <row r="78" spans="1:4" x14ac:dyDescent="0.3">
      <c r="A78">
        <v>76</v>
      </c>
      <c r="B78">
        <v>93.5</v>
      </c>
      <c r="C78">
        <f t="shared" si="1"/>
        <v>69.5</v>
      </c>
      <c r="D78">
        <v>-0.16118633139909999</v>
      </c>
    </row>
    <row r="79" spans="1:4" x14ac:dyDescent="0.3">
      <c r="A79">
        <v>77</v>
      </c>
      <c r="B79">
        <v>92.5</v>
      </c>
      <c r="C79">
        <f t="shared" si="1"/>
        <v>68.5</v>
      </c>
      <c r="D79">
        <v>-0.161117078410312</v>
      </c>
    </row>
    <row r="80" spans="1:4" x14ac:dyDescent="0.3">
      <c r="A80">
        <v>78</v>
      </c>
      <c r="B80">
        <v>92</v>
      </c>
      <c r="C80">
        <f t="shared" si="1"/>
        <v>68</v>
      </c>
      <c r="D80">
        <v>-0.10741138560687399</v>
      </c>
    </row>
    <row r="81" spans="1:4" x14ac:dyDescent="0.3">
      <c r="A81">
        <v>79</v>
      </c>
      <c r="B81">
        <v>90.5</v>
      </c>
      <c r="C81">
        <f t="shared" si="1"/>
        <v>66.5</v>
      </c>
      <c r="D81">
        <v>-0.16112573177936301</v>
      </c>
    </row>
    <row r="82" spans="1:4" x14ac:dyDescent="0.3">
      <c r="A82">
        <v>80</v>
      </c>
      <c r="B82">
        <v>89.5</v>
      </c>
      <c r="C82">
        <f t="shared" si="1"/>
        <v>65.5</v>
      </c>
      <c r="D82">
        <v>-0.120880006446934</v>
      </c>
    </row>
    <row r="83" spans="1:4" x14ac:dyDescent="0.3">
      <c r="A83">
        <v>81</v>
      </c>
      <c r="B83">
        <v>98</v>
      </c>
      <c r="C83">
        <f t="shared" si="1"/>
        <v>74</v>
      </c>
      <c r="D83">
        <v>-0.10741138560687399</v>
      </c>
    </row>
    <row r="84" spans="1:4" x14ac:dyDescent="0.3">
      <c r="A84">
        <v>82</v>
      </c>
      <c r="B84">
        <v>97.5</v>
      </c>
      <c r="C84">
        <f t="shared" si="1"/>
        <v>73.5</v>
      </c>
      <c r="D84">
        <v>-0.16112573177936301</v>
      </c>
    </row>
    <row r="85" spans="1:4" x14ac:dyDescent="0.3">
      <c r="A85">
        <v>83</v>
      </c>
      <c r="B85">
        <v>96.5</v>
      </c>
      <c r="C85">
        <f t="shared" si="1"/>
        <v>72.5</v>
      </c>
      <c r="D85">
        <v>-0.16113438607798899</v>
      </c>
    </row>
    <row r="86" spans="1:4" x14ac:dyDescent="0.3">
      <c r="A86">
        <v>84</v>
      </c>
      <c r="B86">
        <v>95.5</v>
      </c>
      <c r="C86">
        <f t="shared" si="1"/>
        <v>71.5</v>
      </c>
      <c r="D86">
        <v>-0.161151697464546</v>
      </c>
    </row>
    <row r="87" spans="1:4" x14ac:dyDescent="0.3">
      <c r="A87">
        <v>85</v>
      </c>
      <c r="B87">
        <v>94.5</v>
      </c>
      <c r="C87">
        <f t="shared" si="1"/>
        <v>70.5</v>
      </c>
      <c r="D87">
        <v>-0.16116901257118199</v>
      </c>
    </row>
    <row r="88" spans="1:4" x14ac:dyDescent="0.3">
      <c r="A88">
        <v>86</v>
      </c>
      <c r="B88">
        <v>93.5</v>
      </c>
      <c r="C88">
        <f t="shared" si="1"/>
        <v>69.5</v>
      </c>
      <c r="D88">
        <v>-0.16118633139909599</v>
      </c>
    </row>
    <row r="89" spans="1:4" x14ac:dyDescent="0.3">
      <c r="A89">
        <v>87</v>
      </c>
      <c r="B89">
        <v>92.5</v>
      </c>
      <c r="C89">
        <f t="shared" si="1"/>
        <v>68.5</v>
      </c>
      <c r="D89">
        <v>-0.16116901257118199</v>
      </c>
    </row>
    <row r="90" spans="1:4" x14ac:dyDescent="0.3">
      <c r="A90">
        <v>88</v>
      </c>
      <c r="B90">
        <v>92</v>
      </c>
      <c r="C90">
        <f t="shared" si="1"/>
        <v>68</v>
      </c>
      <c r="D90">
        <v>-0.107434464976364</v>
      </c>
    </row>
    <row r="91" spans="1:4" x14ac:dyDescent="0.3">
      <c r="A91">
        <v>89</v>
      </c>
      <c r="B91">
        <v>91</v>
      </c>
      <c r="C91">
        <f t="shared" si="1"/>
        <v>67</v>
      </c>
      <c r="D91">
        <v>-0.10741138560687399</v>
      </c>
    </row>
    <row r="92" spans="1:4" x14ac:dyDescent="0.3">
      <c r="A92">
        <v>90</v>
      </c>
      <c r="B92">
        <v>90</v>
      </c>
      <c r="C92">
        <f t="shared" si="1"/>
        <v>66</v>
      </c>
      <c r="D92">
        <v>-0.10741715451957499</v>
      </c>
    </row>
    <row r="93" spans="1:4" x14ac:dyDescent="0.3">
      <c r="A93">
        <v>91</v>
      </c>
      <c r="B93">
        <v>117.5</v>
      </c>
      <c r="C93">
        <f t="shared" si="1"/>
        <v>93.5</v>
      </c>
      <c r="D93">
        <v>-0.161143041306335</v>
      </c>
    </row>
    <row r="94" spans="1:4" x14ac:dyDescent="0.3">
      <c r="A94">
        <v>92</v>
      </c>
      <c r="B94">
        <v>116</v>
      </c>
      <c r="C94">
        <f t="shared" si="1"/>
        <v>92</v>
      </c>
      <c r="D94">
        <v>-0.21489201676157599</v>
      </c>
    </row>
    <row r="95" spans="1:4" x14ac:dyDescent="0.3">
      <c r="A95">
        <v>93</v>
      </c>
      <c r="B95">
        <v>115</v>
      </c>
      <c r="C95">
        <f t="shared" si="1"/>
        <v>91</v>
      </c>
      <c r="D95">
        <v>-0.21486892995272899</v>
      </c>
    </row>
    <row r="96" spans="1:4" x14ac:dyDescent="0.3">
      <c r="A96">
        <v>94</v>
      </c>
      <c r="B96">
        <v>114</v>
      </c>
      <c r="C96">
        <f t="shared" si="1"/>
        <v>90</v>
      </c>
      <c r="D96">
        <v>-0.21485738840844101</v>
      </c>
    </row>
    <row r="97" spans="1:4" x14ac:dyDescent="0.3">
      <c r="A97">
        <v>95</v>
      </c>
      <c r="B97">
        <v>112.5</v>
      </c>
      <c r="C97">
        <f t="shared" si="1"/>
        <v>88.5</v>
      </c>
      <c r="D97">
        <v>-0.161117078410312</v>
      </c>
    </row>
    <row r="98" spans="1:4" x14ac:dyDescent="0.3">
      <c r="A98">
        <v>96</v>
      </c>
      <c r="B98">
        <v>111</v>
      </c>
      <c r="C98">
        <f t="shared" si="1"/>
        <v>87</v>
      </c>
      <c r="D98">
        <v>-0.21483430903915099</v>
      </c>
    </row>
    <row r="99" spans="1:4" x14ac:dyDescent="0.3">
      <c r="A99">
        <v>97</v>
      </c>
      <c r="B99">
        <v>110</v>
      </c>
      <c r="C99">
        <f t="shared" si="1"/>
        <v>86</v>
      </c>
      <c r="D99">
        <v>-0.21486892995272899</v>
      </c>
    </row>
    <row r="100" spans="1:4" x14ac:dyDescent="0.3">
      <c r="A100">
        <v>98</v>
      </c>
      <c r="B100">
        <v>109</v>
      </c>
      <c r="C100">
        <f t="shared" si="1"/>
        <v>85</v>
      </c>
      <c r="D100">
        <v>-0.214915108532128</v>
      </c>
    </row>
    <row r="101" spans="1:4" x14ac:dyDescent="0.3">
      <c r="A101">
        <v>99</v>
      </c>
      <c r="B101">
        <v>107.5</v>
      </c>
      <c r="C101">
        <f t="shared" si="1"/>
        <v>83.5</v>
      </c>
      <c r="D101">
        <v>-0.16121231662099</v>
      </c>
    </row>
    <row r="102" spans="1:4" x14ac:dyDescent="0.3">
      <c r="A102">
        <v>100</v>
      </c>
      <c r="B102">
        <v>106.5</v>
      </c>
      <c r="C102">
        <f t="shared" si="1"/>
        <v>82.5</v>
      </c>
      <c r="D102">
        <v>-0.16119499220890901</v>
      </c>
    </row>
    <row r="103" spans="1:4" x14ac:dyDescent="0.3">
      <c r="A103">
        <v>101</v>
      </c>
      <c r="B103">
        <v>105.5</v>
      </c>
      <c r="C103">
        <f t="shared" si="1"/>
        <v>81.5</v>
      </c>
      <c r="D103">
        <v>-0.16118633139909599</v>
      </c>
    </row>
    <row r="104" spans="1:4" x14ac:dyDescent="0.3">
      <c r="A104">
        <v>102</v>
      </c>
      <c r="B104">
        <v>117.5</v>
      </c>
      <c r="C104">
        <f t="shared" si="1"/>
        <v>93.5</v>
      </c>
      <c r="D104">
        <v>-0.161177671519906</v>
      </c>
    </row>
    <row r="105" spans="1:4" x14ac:dyDescent="0.3">
      <c r="A105">
        <v>103</v>
      </c>
      <c r="B105">
        <v>116</v>
      </c>
      <c r="C105">
        <f t="shared" si="1"/>
        <v>92</v>
      </c>
      <c r="D105">
        <v>-0.21492665627854601</v>
      </c>
    </row>
    <row r="106" spans="1:4" x14ac:dyDescent="0.3">
      <c r="A106">
        <v>104</v>
      </c>
      <c r="B106">
        <v>115</v>
      </c>
      <c r="C106">
        <f t="shared" si="1"/>
        <v>91</v>
      </c>
      <c r="D106">
        <v>-0.214915108532128</v>
      </c>
    </row>
    <row r="107" spans="1:4" x14ac:dyDescent="0.3">
      <c r="A107">
        <v>105</v>
      </c>
      <c r="B107">
        <v>114</v>
      </c>
      <c r="C107">
        <f t="shared" si="1"/>
        <v>90</v>
      </c>
      <c r="D107">
        <v>-0.21489201676157599</v>
      </c>
    </row>
    <row r="108" spans="1:4" x14ac:dyDescent="0.3">
      <c r="A108">
        <v>106</v>
      </c>
      <c r="B108">
        <v>112.5</v>
      </c>
      <c r="C108">
        <f t="shared" si="1"/>
        <v>88.5</v>
      </c>
      <c r="D108">
        <v>-0.161143041306331</v>
      </c>
    </row>
    <row r="109" spans="1:4" x14ac:dyDescent="0.3">
      <c r="A109">
        <v>107</v>
      </c>
      <c r="B109">
        <v>111</v>
      </c>
      <c r="C109">
        <f t="shared" si="1"/>
        <v>87</v>
      </c>
      <c r="D109">
        <v>-0.214880472737037</v>
      </c>
    </row>
    <row r="110" spans="1:4" x14ac:dyDescent="0.3">
      <c r="A110">
        <v>108</v>
      </c>
      <c r="B110">
        <v>110</v>
      </c>
      <c r="C110">
        <f t="shared" si="1"/>
        <v>86</v>
      </c>
      <c r="D110">
        <v>-0.21489201676157599</v>
      </c>
    </row>
    <row r="111" spans="1:4" x14ac:dyDescent="0.3">
      <c r="A111">
        <v>109</v>
      </c>
      <c r="B111">
        <v>109.5</v>
      </c>
      <c r="C111">
        <f t="shared" si="1"/>
        <v>85.5</v>
      </c>
      <c r="D111">
        <v>-0.16116901257118599</v>
      </c>
    </row>
    <row r="112" spans="1:4" x14ac:dyDescent="0.3">
      <c r="A112">
        <v>110</v>
      </c>
      <c r="B112">
        <v>107.5</v>
      </c>
      <c r="C112">
        <f t="shared" si="1"/>
        <v>83.5</v>
      </c>
      <c r="D112">
        <v>-0.161177671519906</v>
      </c>
    </row>
    <row r="113" spans="1:4" x14ac:dyDescent="0.3">
      <c r="A113">
        <v>111</v>
      </c>
      <c r="B113">
        <v>106.5</v>
      </c>
      <c r="C113">
        <f t="shared" si="1"/>
        <v>82.5</v>
      </c>
      <c r="D113">
        <v>-0.161177671519902</v>
      </c>
    </row>
    <row r="114" spans="1:4" x14ac:dyDescent="0.3">
      <c r="A114">
        <v>112</v>
      </c>
      <c r="B114">
        <v>106</v>
      </c>
      <c r="C114">
        <f t="shared" si="1"/>
        <v>82</v>
      </c>
      <c r="D114">
        <v>-0.21492665627854099</v>
      </c>
    </row>
    <row r="115" spans="1:4" x14ac:dyDescent="0.3">
      <c r="A115">
        <v>113</v>
      </c>
      <c r="B115">
        <v>104.5</v>
      </c>
      <c r="C115">
        <f t="shared" si="1"/>
        <v>80.5</v>
      </c>
      <c r="D115">
        <v>-0.161151697464546</v>
      </c>
    </row>
    <row r="116" spans="1:4" x14ac:dyDescent="0.3">
      <c r="A116">
        <v>114</v>
      </c>
      <c r="B116">
        <v>117.5</v>
      </c>
      <c r="C116">
        <f t="shared" si="1"/>
        <v>93.5</v>
      </c>
      <c r="D116">
        <v>-0.161177671519902</v>
      </c>
    </row>
    <row r="117" spans="1:4" x14ac:dyDescent="0.3">
      <c r="A117">
        <v>115</v>
      </c>
      <c r="B117">
        <v>116</v>
      </c>
      <c r="C117">
        <f t="shared" si="1"/>
        <v>92</v>
      </c>
      <c r="D117">
        <v>-0.21485738840844601</v>
      </c>
    </row>
    <row r="118" spans="1:4" x14ac:dyDescent="0.3">
      <c r="A118">
        <v>116</v>
      </c>
      <c r="B118">
        <v>115</v>
      </c>
      <c r="C118">
        <f t="shared" si="1"/>
        <v>91</v>
      </c>
      <c r="D118">
        <v>-0.201785804368664</v>
      </c>
    </row>
    <row r="119" spans="1:4" x14ac:dyDescent="0.3">
      <c r="A119">
        <v>117</v>
      </c>
      <c r="B119">
        <v>114</v>
      </c>
      <c r="C119">
        <f t="shared" si="1"/>
        <v>90</v>
      </c>
      <c r="D119">
        <v>-0.201785804368664</v>
      </c>
    </row>
    <row r="120" spans="1:4" x14ac:dyDescent="0.3">
      <c r="A120">
        <v>118</v>
      </c>
      <c r="B120">
        <v>112.5</v>
      </c>
      <c r="C120">
        <f t="shared" si="1"/>
        <v>88.5</v>
      </c>
      <c r="D120">
        <v>-0.15135462388375601</v>
      </c>
    </row>
    <row r="121" spans="1:4" x14ac:dyDescent="0.3">
      <c r="A121">
        <v>119</v>
      </c>
      <c r="B121">
        <v>111</v>
      </c>
      <c r="C121">
        <f t="shared" si="1"/>
        <v>87</v>
      </c>
      <c r="D121">
        <v>-0.214880472737037</v>
      </c>
    </row>
    <row r="122" spans="1:4" x14ac:dyDescent="0.3">
      <c r="A122">
        <v>120</v>
      </c>
      <c r="B122">
        <v>110</v>
      </c>
      <c r="C122">
        <f t="shared" si="1"/>
        <v>86</v>
      </c>
      <c r="D122">
        <v>-0.21490356202654201</v>
      </c>
    </row>
    <row r="123" spans="1:4" x14ac:dyDescent="0.3">
      <c r="A123">
        <v>121</v>
      </c>
      <c r="B123">
        <v>109</v>
      </c>
      <c r="C123">
        <f t="shared" si="1"/>
        <v>85</v>
      </c>
      <c r="D123">
        <v>-0.21492665627854601</v>
      </c>
    </row>
    <row r="124" spans="1:4" x14ac:dyDescent="0.3">
      <c r="A124">
        <v>122</v>
      </c>
      <c r="B124">
        <v>107.5</v>
      </c>
      <c r="C124">
        <f t="shared" si="1"/>
        <v>83.5</v>
      </c>
      <c r="D124">
        <v>-0.16118633139909599</v>
      </c>
    </row>
    <row r="125" spans="1:4" x14ac:dyDescent="0.3">
      <c r="A125">
        <v>123</v>
      </c>
      <c r="B125">
        <v>106.5</v>
      </c>
      <c r="C125">
        <f t="shared" si="1"/>
        <v>82.5</v>
      </c>
      <c r="D125">
        <v>-0.161160354552777</v>
      </c>
    </row>
    <row r="126" spans="1:4" x14ac:dyDescent="0.3">
      <c r="A126">
        <v>124</v>
      </c>
      <c r="B126">
        <v>105.5</v>
      </c>
      <c r="C126">
        <f t="shared" si="1"/>
        <v>81.5</v>
      </c>
      <c r="D126">
        <v>-0.16116901257118199</v>
      </c>
    </row>
    <row r="127" spans="1:4" x14ac:dyDescent="0.3">
      <c r="A127">
        <v>125</v>
      </c>
      <c r="B127">
        <v>117.5</v>
      </c>
      <c r="C127">
        <f t="shared" si="1"/>
        <v>93.5</v>
      </c>
      <c r="D127">
        <v>-0.161151697464546</v>
      </c>
    </row>
    <row r="128" spans="1:4" x14ac:dyDescent="0.3">
      <c r="A128">
        <v>126</v>
      </c>
      <c r="B128">
        <v>116</v>
      </c>
      <c r="C128">
        <f t="shared" si="1"/>
        <v>92</v>
      </c>
      <c r="D128">
        <v>-0.21489201676157599</v>
      </c>
    </row>
    <row r="129" spans="1:4" x14ac:dyDescent="0.3">
      <c r="A129">
        <v>127</v>
      </c>
      <c r="B129">
        <v>115</v>
      </c>
      <c r="C129">
        <f t="shared" si="1"/>
        <v>91</v>
      </c>
      <c r="D129">
        <v>-0.214868929952723</v>
      </c>
    </row>
    <row r="130" spans="1:4" x14ac:dyDescent="0.3">
      <c r="A130">
        <v>128</v>
      </c>
      <c r="B130">
        <v>114</v>
      </c>
      <c r="C130">
        <f t="shared" ref="C130:C177" si="2">B130-24</f>
        <v>90</v>
      </c>
      <c r="D130">
        <v>-0.21489201676157599</v>
      </c>
    </row>
    <row r="131" spans="1:4" x14ac:dyDescent="0.3">
      <c r="A131">
        <v>129</v>
      </c>
      <c r="B131">
        <v>112.5</v>
      </c>
      <c r="C131">
        <f t="shared" si="2"/>
        <v>88.5</v>
      </c>
      <c r="D131">
        <v>-0.161177671519906</v>
      </c>
    </row>
    <row r="132" spans="1:4" x14ac:dyDescent="0.3">
      <c r="A132">
        <v>130</v>
      </c>
      <c r="B132">
        <v>111</v>
      </c>
      <c r="C132">
        <f t="shared" si="2"/>
        <v>87</v>
      </c>
      <c r="D132">
        <v>-0.21492665627854601</v>
      </c>
    </row>
    <row r="133" spans="1:4" x14ac:dyDescent="0.3">
      <c r="A133">
        <v>131</v>
      </c>
      <c r="B133">
        <v>110</v>
      </c>
      <c r="C133">
        <f t="shared" si="2"/>
        <v>86</v>
      </c>
      <c r="D133">
        <v>-0.214938205265989</v>
      </c>
    </row>
    <row r="134" spans="1:4" x14ac:dyDescent="0.3">
      <c r="A134">
        <v>132</v>
      </c>
      <c r="B134">
        <v>109</v>
      </c>
      <c r="C134">
        <f t="shared" si="2"/>
        <v>85</v>
      </c>
      <c r="D134">
        <v>-0.214915108532128</v>
      </c>
    </row>
    <row r="135" spans="1:4" x14ac:dyDescent="0.3">
      <c r="A135">
        <v>133</v>
      </c>
      <c r="B135">
        <v>108</v>
      </c>
      <c r="C135">
        <f t="shared" si="2"/>
        <v>84</v>
      </c>
      <c r="D135">
        <v>-0.10744600838078799</v>
      </c>
    </row>
    <row r="136" spans="1:4" x14ac:dyDescent="0.3">
      <c r="A136">
        <v>134</v>
      </c>
      <c r="B136">
        <v>106.5</v>
      </c>
      <c r="C136">
        <f t="shared" si="2"/>
        <v>82.5</v>
      </c>
      <c r="D136">
        <v>-0.161143041306331</v>
      </c>
    </row>
    <row r="137" spans="1:4" x14ac:dyDescent="0.3">
      <c r="A137">
        <v>135</v>
      </c>
      <c r="B137">
        <v>105.5</v>
      </c>
      <c r="C137">
        <f t="shared" si="2"/>
        <v>81.5</v>
      </c>
      <c r="D137">
        <v>-0.161151697464546</v>
      </c>
    </row>
    <row r="138" spans="1:4" x14ac:dyDescent="0.3">
      <c r="A138">
        <v>136</v>
      </c>
      <c r="B138">
        <v>105</v>
      </c>
      <c r="C138">
        <f t="shared" si="2"/>
        <v>81</v>
      </c>
      <c r="D138">
        <v>-0.21486892995272899</v>
      </c>
    </row>
    <row r="139" spans="1:4" x14ac:dyDescent="0.3">
      <c r="A139">
        <v>137</v>
      </c>
      <c r="B139">
        <v>117.5</v>
      </c>
      <c r="C139">
        <f t="shared" si="2"/>
        <v>93.5</v>
      </c>
      <c r="D139">
        <v>-0.16112573177936301</v>
      </c>
    </row>
    <row r="140" spans="1:4" x14ac:dyDescent="0.3">
      <c r="A140">
        <v>138</v>
      </c>
      <c r="B140">
        <v>116</v>
      </c>
      <c r="C140">
        <f t="shared" si="2"/>
        <v>92</v>
      </c>
      <c r="D140">
        <v>-0.21483430903915099</v>
      </c>
    </row>
    <row r="141" spans="1:4" x14ac:dyDescent="0.3">
      <c r="A141">
        <v>139</v>
      </c>
      <c r="B141">
        <v>115</v>
      </c>
      <c r="C141">
        <f t="shared" si="2"/>
        <v>91</v>
      </c>
      <c r="D141">
        <v>-0.214799699280422</v>
      </c>
    </row>
    <row r="142" spans="1:4" x14ac:dyDescent="0.3">
      <c r="A142">
        <v>140</v>
      </c>
      <c r="B142">
        <v>114</v>
      </c>
      <c r="C142">
        <f t="shared" si="2"/>
        <v>90</v>
      </c>
      <c r="D142">
        <v>-0.21484584810398599</v>
      </c>
    </row>
    <row r="143" spans="1:4" x14ac:dyDescent="0.3">
      <c r="A143">
        <v>141</v>
      </c>
      <c r="B143">
        <v>112.5</v>
      </c>
      <c r="C143">
        <f t="shared" si="2"/>
        <v>88.5</v>
      </c>
      <c r="D143">
        <v>-0.161143041306335</v>
      </c>
    </row>
    <row r="144" spans="1:4" x14ac:dyDescent="0.3">
      <c r="A144">
        <v>142</v>
      </c>
      <c r="B144">
        <v>111.5</v>
      </c>
      <c r="C144">
        <f t="shared" si="2"/>
        <v>87.5</v>
      </c>
      <c r="D144">
        <v>-0.161151697464546</v>
      </c>
    </row>
    <row r="145" spans="1:4" x14ac:dyDescent="0.3">
      <c r="A145">
        <v>143</v>
      </c>
      <c r="B145">
        <v>110.5</v>
      </c>
      <c r="C145">
        <f t="shared" si="2"/>
        <v>86.5</v>
      </c>
      <c r="D145">
        <v>-0.161177671519902</v>
      </c>
    </row>
    <row r="146" spans="1:4" x14ac:dyDescent="0.3">
      <c r="A146">
        <v>144</v>
      </c>
      <c r="B146">
        <v>109.5</v>
      </c>
      <c r="C146">
        <f t="shared" si="2"/>
        <v>85.5</v>
      </c>
      <c r="D146">
        <v>-0.161160354552777</v>
      </c>
    </row>
    <row r="147" spans="1:4" x14ac:dyDescent="0.3">
      <c r="A147">
        <v>145</v>
      </c>
      <c r="B147">
        <v>108.5</v>
      </c>
      <c r="C147">
        <f t="shared" si="2"/>
        <v>84.5</v>
      </c>
      <c r="D147">
        <v>-0.161160354552777</v>
      </c>
    </row>
    <row r="148" spans="1:4" x14ac:dyDescent="0.3">
      <c r="A148">
        <v>146</v>
      </c>
      <c r="B148">
        <v>106.5</v>
      </c>
      <c r="C148">
        <f t="shared" si="2"/>
        <v>82.5</v>
      </c>
      <c r="D148">
        <v>-0.20140986908358599</v>
      </c>
    </row>
    <row r="149" spans="1:4" x14ac:dyDescent="0.3">
      <c r="A149">
        <v>147</v>
      </c>
      <c r="B149">
        <v>105.5</v>
      </c>
      <c r="C149">
        <f t="shared" si="2"/>
        <v>81.5</v>
      </c>
      <c r="D149">
        <v>-0.20142609676509701</v>
      </c>
    </row>
    <row r="150" spans="1:4" x14ac:dyDescent="0.3">
      <c r="A150">
        <v>148</v>
      </c>
      <c r="B150">
        <v>146</v>
      </c>
      <c r="C150">
        <f t="shared" si="2"/>
        <v>122</v>
      </c>
      <c r="D150">
        <v>-0.32237266279819299</v>
      </c>
    </row>
    <row r="151" spans="1:4" x14ac:dyDescent="0.3">
      <c r="A151">
        <v>149</v>
      </c>
      <c r="B151">
        <v>144.5</v>
      </c>
      <c r="C151">
        <f t="shared" si="2"/>
        <v>120.5</v>
      </c>
      <c r="D151">
        <v>-0.26865832034818299</v>
      </c>
    </row>
    <row r="152" spans="1:4" x14ac:dyDescent="0.3">
      <c r="A152">
        <v>150</v>
      </c>
      <c r="B152">
        <v>142.5</v>
      </c>
      <c r="C152">
        <f t="shared" si="2"/>
        <v>118.5</v>
      </c>
      <c r="D152">
        <v>-0.26867275658248002</v>
      </c>
    </row>
    <row r="153" spans="1:4" x14ac:dyDescent="0.3">
      <c r="A153">
        <v>151</v>
      </c>
      <c r="B153">
        <v>140.5</v>
      </c>
      <c r="C153">
        <f t="shared" si="2"/>
        <v>116.5</v>
      </c>
      <c r="D153">
        <v>-0.26862945253317799</v>
      </c>
    </row>
    <row r="154" spans="1:4" x14ac:dyDescent="0.3">
      <c r="A154">
        <v>152</v>
      </c>
      <c r="B154">
        <v>139</v>
      </c>
      <c r="C154">
        <f t="shared" si="2"/>
        <v>115</v>
      </c>
      <c r="D154">
        <v>-0.322355343039813</v>
      </c>
    </row>
    <row r="155" spans="1:4" x14ac:dyDescent="0.3">
      <c r="A155">
        <v>153</v>
      </c>
      <c r="B155">
        <v>137.5</v>
      </c>
      <c r="C155">
        <f t="shared" si="2"/>
        <v>113.5</v>
      </c>
      <c r="D155">
        <v>-0.26860059092129601</v>
      </c>
    </row>
    <row r="156" spans="1:4" x14ac:dyDescent="0.3">
      <c r="A156">
        <v>154</v>
      </c>
      <c r="B156">
        <v>146</v>
      </c>
      <c r="C156">
        <f t="shared" si="2"/>
        <v>122</v>
      </c>
      <c r="D156">
        <v>-0.32228608261266201</v>
      </c>
    </row>
    <row r="157" spans="1:4" x14ac:dyDescent="0.3">
      <c r="A157">
        <v>155</v>
      </c>
      <c r="B157">
        <v>144</v>
      </c>
      <c r="C157">
        <f t="shared" si="2"/>
        <v>120</v>
      </c>
      <c r="D157">
        <v>-0.32228608261266201</v>
      </c>
    </row>
    <row r="158" spans="1:4" x14ac:dyDescent="0.3">
      <c r="A158">
        <v>156</v>
      </c>
      <c r="B158">
        <v>142.5</v>
      </c>
      <c r="C158">
        <f t="shared" si="2"/>
        <v>118.5</v>
      </c>
      <c r="D158">
        <v>-0.26854288629893902</v>
      </c>
    </row>
    <row r="159" spans="1:4" x14ac:dyDescent="0.3">
      <c r="A159">
        <v>157</v>
      </c>
      <c r="B159">
        <v>140.5</v>
      </c>
      <c r="C159">
        <f t="shared" si="2"/>
        <v>116.5</v>
      </c>
      <c r="D159">
        <v>-0.26849962410052802</v>
      </c>
    </row>
    <row r="160" spans="1:4" x14ac:dyDescent="0.3">
      <c r="A160">
        <v>158</v>
      </c>
      <c r="B160">
        <v>138.5</v>
      </c>
      <c r="C160">
        <f t="shared" si="2"/>
        <v>114.5</v>
      </c>
      <c r="D160">
        <v>-0.26851404328446898</v>
      </c>
    </row>
    <row r="161" spans="1:4" x14ac:dyDescent="0.3">
      <c r="A161">
        <v>159</v>
      </c>
      <c r="B161">
        <v>137</v>
      </c>
      <c r="C161">
        <f t="shared" si="2"/>
        <v>113</v>
      </c>
      <c r="D161">
        <v>-0.32219954892063402</v>
      </c>
    </row>
    <row r="162" spans="1:4" x14ac:dyDescent="0.3">
      <c r="A162">
        <v>160</v>
      </c>
      <c r="B162">
        <v>145.5</v>
      </c>
      <c r="C162">
        <f t="shared" si="2"/>
        <v>121.5</v>
      </c>
      <c r="D162">
        <v>-0.37606102933275898</v>
      </c>
    </row>
    <row r="163" spans="1:4" x14ac:dyDescent="0.3">
      <c r="A163">
        <v>161</v>
      </c>
      <c r="B163">
        <v>143.5</v>
      </c>
      <c r="C163">
        <f t="shared" si="2"/>
        <v>119.5</v>
      </c>
      <c r="D163">
        <v>-0.268629452533171</v>
      </c>
    </row>
    <row r="164" spans="1:4" x14ac:dyDescent="0.3">
      <c r="A164">
        <v>162</v>
      </c>
      <c r="B164">
        <v>141</v>
      </c>
      <c r="C164">
        <f t="shared" si="2"/>
        <v>117</v>
      </c>
      <c r="D164">
        <v>-0.322355343039813</v>
      </c>
    </row>
    <row r="165" spans="1:4" x14ac:dyDescent="0.3">
      <c r="A165">
        <v>163</v>
      </c>
      <c r="B165">
        <v>139.5</v>
      </c>
      <c r="C165">
        <f t="shared" si="2"/>
        <v>115.5</v>
      </c>
      <c r="D165">
        <v>-0.26864388566516101</v>
      </c>
    </row>
    <row r="166" spans="1:4" x14ac:dyDescent="0.3">
      <c r="A166">
        <v>164</v>
      </c>
      <c r="B166">
        <v>138</v>
      </c>
      <c r="C166">
        <f t="shared" si="2"/>
        <v>114</v>
      </c>
      <c r="D166">
        <v>-0.32233802514236498</v>
      </c>
    </row>
    <row r="167" spans="1:4" x14ac:dyDescent="0.3">
      <c r="A167">
        <v>165</v>
      </c>
      <c r="B167">
        <v>145.5</v>
      </c>
      <c r="C167">
        <f t="shared" si="2"/>
        <v>121.5</v>
      </c>
      <c r="D167">
        <v>-0.26858616244091099</v>
      </c>
    </row>
    <row r="168" spans="1:4" x14ac:dyDescent="0.3">
      <c r="A168">
        <v>166</v>
      </c>
      <c r="B168">
        <v>144.5</v>
      </c>
      <c r="C168">
        <f t="shared" si="2"/>
        <v>120.5</v>
      </c>
      <c r="D168">
        <v>-0.26862945253317799</v>
      </c>
    </row>
    <row r="169" spans="1:4" x14ac:dyDescent="0.3">
      <c r="A169">
        <v>167</v>
      </c>
      <c r="B169">
        <v>142</v>
      </c>
      <c r="C169">
        <f t="shared" si="2"/>
        <v>118</v>
      </c>
      <c r="D169">
        <v>-0.32232070910556299</v>
      </c>
    </row>
    <row r="170" spans="1:4" x14ac:dyDescent="0.3">
      <c r="A170">
        <v>168</v>
      </c>
      <c r="B170">
        <v>140.5</v>
      </c>
      <c r="C170">
        <f t="shared" si="2"/>
        <v>116.5</v>
      </c>
      <c r="D170">
        <v>-0.25228316262172701</v>
      </c>
    </row>
    <row r="171" spans="1:4" x14ac:dyDescent="0.3">
      <c r="A171">
        <v>169</v>
      </c>
      <c r="B171">
        <v>139</v>
      </c>
      <c r="C171">
        <f t="shared" si="2"/>
        <v>115</v>
      </c>
      <c r="D171">
        <v>-0.30270924776752001</v>
      </c>
    </row>
    <row r="172" spans="1:4" x14ac:dyDescent="0.3">
      <c r="A172">
        <v>170</v>
      </c>
      <c r="B172">
        <v>136.5</v>
      </c>
      <c r="C172">
        <f t="shared" si="2"/>
        <v>112.5</v>
      </c>
      <c r="D172">
        <v>-0.252257706472933</v>
      </c>
    </row>
    <row r="173" spans="1:4" x14ac:dyDescent="0.3">
      <c r="A173">
        <v>171</v>
      </c>
      <c r="B173">
        <v>146.5</v>
      </c>
      <c r="C173">
        <f t="shared" si="2"/>
        <v>122.5</v>
      </c>
      <c r="D173">
        <v>-0.26862945253317799</v>
      </c>
    </row>
    <row r="174" spans="1:4" x14ac:dyDescent="0.3">
      <c r="A174">
        <v>172</v>
      </c>
      <c r="B174">
        <v>144.5</v>
      </c>
      <c r="C174">
        <f t="shared" si="2"/>
        <v>120.5</v>
      </c>
      <c r="D174">
        <v>-0.26857173551055202</v>
      </c>
    </row>
    <row r="175" spans="1:4" x14ac:dyDescent="0.3">
      <c r="A175">
        <v>173</v>
      </c>
      <c r="B175">
        <v>143</v>
      </c>
      <c r="C175">
        <f t="shared" si="2"/>
        <v>119</v>
      </c>
      <c r="D175">
        <v>-0.32225146355872702</v>
      </c>
    </row>
    <row r="176" spans="1:4" x14ac:dyDescent="0.3">
      <c r="A176">
        <v>174</v>
      </c>
      <c r="B176">
        <v>141</v>
      </c>
      <c r="C176">
        <f t="shared" si="2"/>
        <v>117</v>
      </c>
      <c r="D176">
        <v>-0.32225146355872702</v>
      </c>
    </row>
    <row r="177" spans="1:4" x14ac:dyDescent="0.3">
      <c r="A177">
        <v>175</v>
      </c>
      <c r="B177">
        <v>139.5</v>
      </c>
      <c r="C177">
        <f t="shared" si="2"/>
        <v>115.5</v>
      </c>
      <c r="D177">
        <v>-0.26861502095197098</v>
      </c>
    </row>
    <row r="178" spans="1:4" x14ac:dyDescent="0.3">
      <c r="B178">
        <v>24</v>
      </c>
      <c r="C178">
        <f>B178-24</f>
        <v>0</v>
      </c>
      <c r="D178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91B8-4F0B-48E6-BD98-8530ED8D44D0}">
  <dimension ref="A1:G47"/>
  <sheetViews>
    <sheetView workbookViewId="0">
      <selection activeCell="M37" sqref="M37"/>
    </sheetView>
  </sheetViews>
  <sheetFormatPr defaultRowHeight="14.4" x14ac:dyDescent="0.3"/>
  <sheetData>
    <row r="1" spans="1:7" x14ac:dyDescent="0.3">
      <c r="E1" t="s">
        <v>305</v>
      </c>
      <c r="G1" t="s">
        <v>306</v>
      </c>
    </row>
    <row r="2" spans="1:7" x14ac:dyDescent="0.3">
      <c r="A2" t="s">
        <v>326</v>
      </c>
    </row>
    <row r="3" spans="1:7" x14ac:dyDescent="0.3">
      <c r="A3" t="s">
        <v>286</v>
      </c>
      <c r="B3" t="s">
        <v>287</v>
      </c>
      <c r="C3" s="1">
        <v>45249.140972222223</v>
      </c>
      <c r="D3">
        <v>0</v>
      </c>
      <c r="E3" s="2">
        <v>666</v>
      </c>
      <c r="F3" s="2">
        <v>2.6700000000000001E-3</v>
      </c>
      <c r="G3" s="2">
        <v>7090</v>
      </c>
    </row>
    <row r="4" spans="1:7" x14ac:dyDescent="0.3">
      <c r="A4" t="s">
        <v>288</v>
      </c>
      <c r="B4" t="s">
        <v>287</v>
      </c>
      <c r="C4" s="1">
        <v>45249.338888888888</v>
      </c>
      <c r="D4">
        <v>0</v>
      </c>
      <c r="E4" s="2">
        <v>667</v>
      </c>
      <c r="F4" s="2">
        <v>0</v>
      </c>
      <c r="G4" s="2">
        <v>7090</v>
      </c>
    </row>
    <row r="5" spans="1:7" x14ac:dyDescent="0.3">
      <c r="A5" t="s">
        <v>289</v>
      </c>
      <c r="B5" t="s">
        <v>287</v>
      </c>
      <c r="C5" s="1">
        <v>45249.48541666667</v>
      </c>
      <c r="D5">
        <v>0</v>
      </c>
      <c r="E5" s="2">
        <v>666</v>
      </c>
      <c r="F5" s="2">
        <v>0</v>
      </c>
      <c r="G5" s="2">
        <v>7080</v>
      </c>
    </row>
    <row r="6" spans="1:7" x14ac:dyDescent="0.3">
      <c r="A6" t="s">
        <v>290</v>
      </c>
      <c r="B6" t="s">
        <v>287</v>
      </c>
      <c r="C6" s="1">
        <v>45249.640972222223</v>
      </c>
      <c r="D6">
        <v>0</v>
      </c>
      <c r="E6" s="2">
        <v>666</v>
      </c>
      <c r="F6" s="2">
        <v>4.1200000000000004E-3</v>
      </c>
      <c r="G6" s="2">
        <v>7080</v>
      </c>
    </row>
    <row r="7" spans="1:7" x14ac:dyDescent="0.3">
      <c r="A7" t="s">
        <v>291</v>
      </c>
      <c r="B7" t="s">
        <v>287</v>
      </c>
      <c r="C7" s="1">
        <v>45249.807638888888</v>
      </c>
      <c r="D7">
        <v>0</v>
      </c>
      <c r="E7" s="2">
        <v>668</v>
      </c>
      <c r="F7" s="2">
        <v>0</v>
      </c>
      <c r="G7" s="2">
        <v>7090</v>
      </c>
    </row>
    <row r="8" spans="1:7" x14ac:dyDescent="0.3">
      <c r="A8" t="s">
        <v>292</v>
      </c>
      <c r="B8" t="s">
        <v>287</v>
      </c>
      <c r="C8" s="1">
        <v>45250.21875</v>
      </c>
      <c r="D8">
        <v>0</v>
      </c>
      <c r="E8" s="2">
        <v>670</v>
      </c>
      <c r="F8" s="2">
        <v>0</v>
      </c>
      <c r="G8" s="2">
        <v>7100</v>
      </c>
    </row>
    <row r="9" spans="1:7" x14ac:dyDescent="0.3">
      <c r="A9" t="s">
        <v>293</v>
      </c>
      <c r="B9" t="s">
        <v>287</v>
      </c>
      <c r="C9" s="1">
        <v>45250.375694444447</v>
      </c>
      <c r="D9">
        <v>0</v>
      </c>
      <c r="E9" s="2">
        <v>665</v>
      </c>
      <c r="F9" s="2">
        <v>0</v>
      </c>
      <c r="G9" s="2">
        <v>7080</v>
      </c>
    </row>
    <row r="10" spans="1:7" x14ac:dyDescent="0.3">
      <c r="A10" t="s">
        <v>294</v>
      </c>
      <c r="B10" t="s">
        <v>287</v>
      </c>
      <c r="C10" s="1">
        <v>45250.655555555553</v>
      </c>
      <c r="D10">
        <v>0</v>
      </c>
      <c r="E10" s="2">
        <v>657</v>
      </c>
      <c r="F10" s="2">
        <v>4.79E-3</v>
      </c>
      <c r="G10" s="2">
        <v>7040</v>
      </c>
    </row>
    <row r="11" spans="1:7" x14ac:dyDescent="0.3">
      <c r="A11" t="s">
        <v>295</v>
      </c>
      <c r="B11" t="s">
        <v>287</v>
      </c>
      <c r="C11" s="1">
        <v>45250.806944444441</v>
      </c>
      <c r="D11">
        <v>0</v>
      </c>
      <c r="E11" s="2">
        <v>652</v>
      </c>
      <c r="F11" s="2">
        <v>0</v>
      </c>
      <c r="G11" s="2">
        <v>7010</v>
      </c>
    </row>
    <row r="12" spans="1:7" x14ac:dyDescent="0.3">
      <c r="A12" t="s">
        <v>296</v>
      </c>
      <c r="B12" t="s">
        <v>287</v>
      </c>
      <c r="C12" s="1">
        <v>45251.12222222222</v>
      </c>
      <c r="D12">
        <v>0</v>
      </c>
      <c r="E12" s="2">
        <v>653</v>
      </c>
      <c r="F12" s="2">
        <v>0</v>
      </c>
      <c r="G12" s="2">
        <v>7010</v>
      </c>
    </row>
    <row r="13" spans="1:7" x14ac:dyDescent="0.3">
      <c r="A13" t="s">
        <v>297</v>
      </c>
      <c r="B13" t="s">
        <v>287</v>
      </c>
      <c r="C13" s="1">
        <v>45251.399305555555</v>
      </c>
      <c r="D13">
        <v>0</v>
      </c>
      <c r="E13" s="2">
        <v>655</v>
      </c>
      <c r="F13" s="2">
        <v>2.82E-3</v>
      </c>
      <c r="G13" s="2">
        <v>7010</v>
      </c>
    </row>
    <row r="14" spans="1:7" x14ac:dyDescent="0.3">
      <c r="A14" t="s">
        <v>298</v>
      </c>
      <c r="B14" t="s">
        <v>287</v>
      </c>
      <c r="C14" s="1">
        <v>45251.686805555553</v>
      </c>
      <c r="D14">
        <v>0</v>
      </c>
      <c r="E14" s="2">
        <v>671</v>
      </c>
      <c r="F14" s="2">
        <v>0</v>
      </c>
      <c r="G14" s="2">
        <v>7020</v>
      </c>
    </row>
    <row r="15" spans="1:7" x14ac:dyDescent="0.3">
      <c r="A15" t="s">
        <v>299</v>
      </c>
      <c r="B15" t="s">
        <v>287</v>
      </c>
      <c r="C15" s="1">
        <v>45251.755555555559</v>
      </c>
      <c r="D15">
        <v>0</v>
      </c>
      <c r="E15" s="2">
        <v>697</v>
      </c>
      <c r="F15" s="2">
        <v>0</v>
      </c>
      <c r="G15" s="2">
        <v>6980</v>
      </c>
    </row>
    <row r="16" spans="1:7" x14ac:dyDescent="0.3">
      <c r="A16" t="s">
        <v>300</v>
      </c>
      <c r="B16" t="s">
        <v>287</v>
      </c>
      <c r="C16" s="1">
        <v>45251.807638888888</v>
      </c>
      <c r="D16">
        <v>0</v>
      </c>
      <c r="E16" s="2">
        <v>690</v>
      </c>
      <c r="F16" s="2">
        <v>3.15E-3</v>
      </c>
      <c r="G16" s="2">
        <v>6950</v>
      </c>
    </row>
    <row r="17" spans="1:7" x14ac:dyDescent="0.3">
      <c r="A17" t="s">
        <v>301</v>
      </c>
      <c r="B17" t="s">
        <v>287</v>
      </c>
      <c r="C17" s="1">
        <v>45251.861111111109</v>
      </c>
      <c r="D17">
        <v>0</v>
      </c>
      <c r="E17" s="2">
        <v>687</v>
      </c>
      <c r="F17" s="2">
        <v>0</v>
      </c>
      <c r="G17" s="2">
        <v>6940</v>
      </c>
    </row>
    <row r="18" spans="1:7" x14ac:dyDescent="0.3">
      <c r="A18" t="s">
        <v>302</v>
      </c>
      <c r="B18" t="s">
        <v>287</v>
      </c>
      <c r="C18" s="1">
        <v>45251.886805555558</v>
      </c>
      <c r="D18">
        <v>0</v>
      </c>
      <c r="E18" s="2">
        <v>676</v>
      </c>
      <c r="F18" s="2">
        <v>1.5900000000000001E-3</v>
      </c>
      <c r="G18" s="2">
        <v>6930</v>
      </c>
    </row>
    <row r="19" spans="1:7" x14ac:dyDescent="0.3">
      <c r="A19" t="s">
        <v>303</v>
      </c>
      <c r="B19" t="s">
        <v>287</v>
      </c>
      <c r="C19" s="1">
        <v>45251.913194444445</v>
      </c>
      <c r="D19">
        <v>0</v>
      </c>
      <c r="E19" s="2">
        <v>672</v>
      </c>
      <c r="F19" s="2">
        <v>0</v>
      </c>
      <c r="G19" s="2">
        <v>6920</v>
      </c>
    </row>
    <row r="20" spans="1:7" x14ac:dyDescent="0.3">
      <c r="A20" t="s">
        <v>304</v>
      </c>
      <c r="B20" t="s">
        <v>287</v>
      </c>
      <c r="C20" s="1">
        <v>45252.614583333336</v>
      </c>
      <c r="D20">
        <v>0</v>
      </c>
      <c r="E20" s="2">
        <v>668</v>
      </c>
      <c r="F20" s="2">
        <v>0</v>
      </c>
      <c r="G20" s="2">
        <v>6960</v>
      </c>
    </row>
    <row r="21" spans="1:7" x14ac:dyDescent="0.3">
      <c r="B21" s="1" t="s">
        <v>328</v>
      </c>
      <c r="E21" s="2">
        <f>100*_xlfn.STDEV.P(E3:E20)/AVERAGE(E3:E20)</f>
        <v>1.7768336369994095</v>
      </c>
      <c r="F21" s="2"/>
      <c r="G21" s="2">
        <f>100*_xlfn.STDEV.P(G3:G20)/AVERAGE(G3:G20)</f>
        <v>0.8701031045349753</v>
      </c>
    </row>
    <row r="22" spans="1:7" x14ac:dyDescent="0.3">
      <c r="C22" s="1"/>
      <c r="E22" s="2"/>
      <c r="F22" s="2"/>
      <c r="G22" s="2"/>
    </row>
    <row r="23" spans="1:7" x14ac:dyDescent="0.3">
      <c r="A23" t="s">
        <v>327</v>
      </c>
    </row>
    <row r="24" spans="1:7" x14ac:dyDescent="0.3">
      <c r="A24" t="s">
        <v>307</v>
      </c>
      <c r="B24" t="s">
        <v>287</v>
      </c>
      <c r="C24" s="1">
        <v>45331.806250000001</v>
      </c>
      <c r="D24">
        <v>0</v>
      </c>
      <c r="E24" s="2">
        <v>573</v>
      </c>
      <c r="F24" s="2">
        <v>0</v>
      </c>
      <c r="G24" s="2">
        <v>6030</v>
      </c>
    </row>
    <row r="25" spans="1:7" x14ac:dyDescent="0.3">
      <c r="A25" t="s">
        <v>308</v>
      </c>
      <c r="B25" t="s">
        <v>287</v>
      </c>
      <c r="C25" s="1">
        <v>45332.097916666666</v>
      </c>
      <c r="D25">
        <v>0</v>
      </c>
      <c r="E25" s="2">
        <v>581</v>
      </c>
      <c r="F25" s="2">
        <v>3.14E-3</v>
      </c>
      <c r="G25" s="2">
        <v>6050</v>
      </c>
    </row>
    <row r="26" spans="1:7" x14ac:dyDescent="0.3">
      <c r="A26" t="s">
        <v>309</v>
      </c>
      <c r="B26" t="s">
        <v>287</v>
      </c>
      <c r="C26" s="1">
        <v>45333.114583333336</v>
      </c>
      <c r="D26">
        <v>0</v>
      </c>
      <c r="E26" s="2">
        <v>575</v>
      </c>
      <c r="F26" s="2">
        <v>0</v>
      </c>
      <c r="G26" s="2">
        <v>6050</v>
      </c>
    </row>
    <row r="27" spans="1:7" x14ac:dyDescent="0.3">
      <c r="A27" t="s">
        <v>310</v>
      </c>
      <c r="B27" t="s">
        <v>287</v>
      </c>
      <c r="C27" s="1">
        <v>45333.40625</v>
      </c>
      <c r="D27">
        <v>0</v>
      </c>
      <c r="E27" s="2">
        <v>573</v>
      </c>
      <c r="F27" s="2">
        <v>2.9499999999999999E-3</v>
      </c>
      <c r="G27" s="2">
        <v>6040</v>
      </c>
    </row>
    <row r="28" spans="1:7" x14ac:dyDescent="0.3">
      <c r="A28" t="s">
        <v>311</v>
      </c>
      <c r="B28" t="s">
        <v>287</v>
      </c>
      <c r="C28" s="1">
        <v>45333.698611111111</v>
      </c>
      <c r="D28">
        <v>0</v>
      </c>
      <c r="E28" s="2">
        <v>573</v>
      </c>
      <c r="F28" s="2">
        <v>0</v>
      </c>
      <c r="G28" s="2">
        <v>6030</v>
      </c>
    </row>
    <row r="29" spans="1:7" x14ac:dyDescent="0.3">
      <c r="A29" t="s">
        <v>312</v>
      </c>
      <c r="B29" t="s">
        <v>287</v>
      </c>
      <c r="C29" s="1">
        <v>45333.989583333336</v>
      </c>
      <c r="D29">
        <v>0</v>
      </c>
      <c r="E29" s="2">
        <v>570</v>
      </c>
      <c r="F29" s="2">
        <v>5.2399999999999999E-3</v>
      </c>
      <c r="G29" s="2">
        <v>6030</v>
      </c>
    </row>
    <row r="30" spans="1:7" x14ac:dyDescent="0.3">
      <c r="A30" t="s">
        <v>313</v>
      </c>
      <c r="B30" t="s">
        <v>287</v>
      </c>
      <c r="C30" s="1">
        <v>45334.28125</v>
      </c>
      <c r="D30">
        <v>0</v>
      </c>
      <c r="E30" s="2">
        <v>570</v>
      </c>
      <c r="F30" s="2">
        <v>1.5900000000000001E-3</v>
      </c>
      <c r="G30" s="2">
        <v>6030</v>
      </c>
    </row>
    <row r="31" spans="1:7" x14ac:dyDescent="0.3">
      <c r="A31" t="s">
        <v>314</v>
      </c>
      <c r="B31" t="s">
        <v>287</v>
      </c>
      <c r="C31" s="1">
        <v>45334.572916666664</v>
      </c>
      <c r="D31">
        <v>0</v>
      </c>
      <c r="E31" s="2">
        <v>571</v>
      </c>
      <c r="F31" s="2">
        <v>0</v>
      </c>
      <c r="G31" s="2">
        <v>6020</v>
      </c>
    </row>
    <row r="32" spans="1:7" x14ac:dyDescent="0.3">
      <c r="A32" t="s">
        <v>315</v>
      </c>
      <c r="B32" t="s">
        <v>287</v>
      </c>
      <c r="C32" s="1">
        <v>45334.864583333336</v>
      </c>
      <c r="D32">
        <v>0</v>
      </c>
      <c r="E32" s="2">
        <v>575</v>
      </c>
      <c r="F32" s="2">
        <v>0</v>
      </c>
      <c r="G32" s="2">
        <v>6030</v>
      </c>
    </row>
    <row r="33" spans="1:7" x14ac:dyDescent="0.3">
      <c r="B33" s="1" t="s">
        <v>328</v>
      </c>
      <c r="C33" s="1"/>
      <c r="E33" s="2">
        <f>100*_xlfn.STDEV.P(E24:E32)/AVERAGE(E24:E32)</f>
        <v>0.55821973613206488</v>
      </c>
      <c r="F33" s="2"/>
      <c r="G33" s="2">
        <f>100*_xlfn.STDEV.P(G24:G32)/AVERAGE(G24:G32)</f>
        <v>0.1583930264600005</v>
      </c>
    </row>
    <row r="34" spans="1:7" x14ac:dyDescent="0.3">
      <c r="C34" s="1"/>
      <c r="E34" s="2"/>
      <c r="F34" s="2"/>
      <c r="G34" s="2"/>
    </row>
    <row r="35" spans="1:7" x14ac:dyDescent="0.3">
      <c r="A35" t="s">
        <v>327</v>
      </c>
      <c r="C35" s="1"/>
      <c r="E35" s="2"/>
      <c r="F35" s="2"/>
      <c r="G35" s="2"/>
    </row>
    <row r="36" spans="1:7" x14ac:dyDescent="0.3">
      <c r="A36" t="s">
        <v>315</v>
      </c>
      <c r="B36" t="s">
        <v>287</v>
      </c>
      <c r="C36" s="1">
        <v>45334.864583333336</v>
      </c>
      <c r="D36">
        <v>0</v>
      </c>
      <c r="E36" s="2">
        <v>575</v>
      </c>
      <c r="F36" s="2">
        <v>0</v>
      </c>
      <c r="G36" s="2">
        <v>6030</v>
      </c>
    </row>
    <row r="37" spans="1:7" x14ac:dyDescent="0.3">
      <c r="A37" t="s">
        <v>316</v>
      </c>
      <c r="B37" t="s">
        <v>287</v>
      </c>
      <c r="C37" s="1">
        <v>45335.15625</v>
      </c>
      <c r="D37">
        <v>0</v>
      </c>
      <c r="E37" s="2">
        <v>570</v>
      </c>
      <c r="F37" s="2">
        <v>0</v>
      </c>
      <c r="G37" s="2">
        <v>6020</v>
      </c>
    </row>
    <row r="38" spans="1:7" x14ac:dyDescent="0.3">
      <c r="A38" t="s">
        <v>317</v>
      </c>
      <c r="B38" t="s">
        <v>287</v>
      </c>
      <c r="C38" s="1">
        <v>45335.447916666664</v>
      </c>
      <c r="D38">
        <v>0</v>
      </c>
      <c r="E38" s="2">
        <v>572</v>
      </c>
      <c r="F38" s="2">
        <v>0</v>
      </c>
      <c r="G38" s="2">
        <v>6020</v>
      </c>
    </row>
    <row r="39" spans="1:7" x14ac:dyDescent="0.3">
      <c r="A39" t="s">
        <v>318</v>
      </c>
      <c r="B39" t="s">
        <v>287</v>
      </c>
      <c r="C39" s="1">
        <v>45335.84652777778</v>
      </c>
      <c r="D39">
        <v>0</v>
      </c>
      <c r="E39" s="2">
        <v>587</v>
      </c>
      <c r="F39" s="2">
        <v>0</v>
      </c>
      <c r="G39" s="2">
        <v>6040</v>
      </c>
    </row>
    <row r="40" spans="1:7" x14ac:dyDescent="0.3">
      <c r="A40" t="s">
        <v>319</v>
      </c>
      <c r="B40" t="s">
        <v>287</v>
      </c>
      <c r="C40" s="1">
        <v>45336.138888888891</v>
      </c>
      <c r="D40">
        <v>0</v>
      </c>
      <c r="E40" s="2">
        <v>598</v>
      </c>
      <c r="F40" s="2">
        <v>3.8300000000000001E-3</v>
      </c>
      <c r="G40" s="2">
        <v>6020</v>
      </c>
    </row>
    <row r="41" spans="1:7" x14ac:dyDescent="0.3">
      <c r="A41" t="s">
        <v>320</v>
      </c>
      <c r="B41" t="s">
        <v>287</v>
      </c>
      <c r="C41" s="1">
        <v>45336.443055555559</v>
      </c>
      <c r="D41">
        <v>0</v>
      </c>
      <c r="E41" s="2">
        <v>595</v>
      </c>
      <c r="F41" s="2">
        <v>0</v>
      </c>
      <c r="G41" s="2">
        <v>6010</v>
      </c>
    </row>
    <row r="42" spans="1:7" x14ac:dyDescent="0.3">
      <c r="A42" t="s">
        <v>321</v>
      </c>
      <c r="B42" t="s">
        <v>287</v>
      </c>
      <c r="C42" s="1">
        <v>45336.719444444447</v>
      </c>
      <c r="D42">
        <v>0</v>
      </c>
      <c r="E42" s="2">
        <v>588</v>
      </c>
      <c r="F42" s="2">
        <v>0</v>
      </c>
      <c r="G42" s="2">
        <v>6010</v>
      </c>
    </row>
    <row r="43" spans="1:7" x14ac:dyDescent="0.3">
      <c r="A43" t="s">
        <v>322</v>
      </c>
      <c r="B43" t="s">
        <v>287</v>
      </c>
      <c r="C43" s="1">
        <v>45337.001388888886</v>
      </c>
      <c r="D43">
        <v>0</v>
      </c>
      <c r="E43" s="2">
        <v>566</v>
      </c>
      <c r="F43" s="2">
        <v>0</v>
      </c>
      <c r="G43" s="2">
        <v>5990</v>
      </c>
    </row>
    <row r="44" spans="1:7" x14ac:dyDescent="0.3">
      <c r="A44" t="s">
        <v>323</v>
      </c>
      <c r="B44" t="s">
        <v>287</v>
      </c>
      <c r="C44" s="1">
        <v>45337.293055555558</v>
      </c>
      <c r="D44">
        <v>0</v>
      </c>
      <c r="E44" s="2">
        <v>565</v>
      </c>
      <c r="F44" s="2">
        <v>4.1700000000000001E-3</v>
      </c>
      <c r="G44" s="2">
        <v>5980</v>
      </c>
    </row>
    <row r="45" spans="1:7" x14ac:dyDescent="0.3">
      <c r="A45" t="s">
        <v>324</v>
      </c>
      <c r="B45" t="s">
        <v>287</v>
      </c>
      <c r="C45" s="1">
        <v>45337.591666666667</v>
      </c>
      <c r="D45">
        <v>0</v>
      </c>
      <c r="E45" s="2">
        <v>562</v>
      </c>
      <c r="F45" s="2">
        <v>5.5199999999999997E-3</v>
      </c>
      <c r="G45" s="2">
        <v>5980</v>
      </c>
    </row>
    <row r="46" spans="1:7" x14ac:dyDescent="0.3">
      <c r="A46" t="s">
        <v>325</v>
      </c>
      <c r="B46" t="s">
        <v>287</v>
      </c>
      <c r="C46" s="1">
        <v>45337.876388888886</v>
      </c>
      <c r="D46">
        <v>0</v>
      </c>
      <c r="E46" s="2">
        <v>584</v>
      </c>
      <c r="F46" s="2">
        <v>1.9300000000000001E-3</v>
      </c>
      <c r="G46" s="2">
        <v>6010</v>
      </c>
    </row>
    <row r="47" spans="1:7" x14ac:dyDescent="0.3">
      <c r="B47" s="1" t="s">
        <v>328</v>
      </c>
      <c r="E47" s="2">
        <f>100*_xlfn.STDEV.P(E36:E46)/AVERAGE(E36:E46)</f>
        <v>2.0738663945263305</v>
      </c>
      <c r="G47" s="2">
        <f>100*_xlfn.STDEV.P(G36:G46)/AVERAGE(G36:G46)</f>
        <v>0.30925802904645094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Distilled MC Empty Tube</vt:lpstr>
      <vt:lpstr>MC Empty Tube OD1159 ID747 (2)</vt:lpstr>
      <vt:lpstr>MC Empty Tube OD1159 ID747</vt:lpstr>
      <vt:lpstr>MC Empty Tube Cooling</vt:lpstr>
      <vt:lpstr>MC Empty Tube Cooling simulatio</vt:lpstr>
      <vt:lpstr>Distilled H2O Isothermal</vt:lpstr>
      <vt:lpstr>H2O Isothermal OD734 ID487</vt:lpstr>
      <vt:lpstr>H2O Isothermal Simulations</vt:lpstr>
      <vt:lpstr>Isothermal H2O Cooling Rate</vt:lpstr>
      <vt:lpstr>Distilled Sulfur Isothermal</vt:lpstr>
      <vt:lpstr>SulfurBlank</vt:lpstr>
      <vt:lpstr>SulfurBlank Simulations</vt:lpstr>
      <vt:lpstr>SulfurBlank Cooling Rate</vt:lpstr>
      <vt:lpstr>STDs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2024-02-15T21:51:18Z</dcterms:created>
  <dcterms:modified xsi:type="dcterms:W3CDTF">2026-07-13T23:51:32Z</dcterms:modified>
</cp:coreProperties>
</file>