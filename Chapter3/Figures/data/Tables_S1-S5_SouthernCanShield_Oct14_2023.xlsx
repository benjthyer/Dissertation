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rebeccaflowers/Documents/Research_Group &amp; Collabs/Craton low T history/Sturrock/Papers/SouthernCanShield_AHe/NEW_F23_Minerals/"/>
    </mc:Choice>
  </mc:AlternateContent>
  <xr:revisionPtr revIDLastSave="0" documentId="13_ncr:1_{C8EF0FA2-FBF5-9943-BFE2-64E461DDF2DD}" xr6:coauthVersionLast="47" xr6:coauthVersionMax="47" xr10:uidLastSave="{00000000-0000-0000-0000-000000000000}"/>
  <bookViews>
    <workbookView xWindow="37780" yWindow="3980" windowWidth="28500" windowHeight="17500" xr2:uid="{AC7DD27B-CE56-274A-8918-7584882FDE13}"/>
  </bookViews>
  <sheets>
    <sheet name="Table_S1_AHeData" sheetId="9" r:id="rId1"/>
    <sheet name="Table_S2_AFT_summary" sheetId="3" r:id="rId2"/>
    <sheet name="Table_S3_AFT_indiv_dates" sheetId="4" r:id="rId3"/>
    <sheet name="Table_S4_AFT_track_lengths" sheetId="5" r:id="rId4"/>
    <sheet name="Table_S5a_tTmodel_input_table" sheetId="6" r:id="rId5"/>
    <sheet name="Table_S5b_tTmodel_input_table" sheetId="7"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02" i="9" l="1"/>
  <c r="AA102" i="9" s="1"/>
  <c r="Z101" i="9"/>
  <c r="AA101" i="9" s="1"/>
  <c r="Z100" i="9"/>
  <c r="AA100" i="9" s="1"/>
  <c r="Z96" i="9"/>
  <c r="AA96" i="9" s="1"/>
  <c r="Z95" i="9"/>
  <c r="AA95" i="9" s="1"/>
  <c r="Z94" i="9"/>
  <c r="AA94" i="9" s="1"/>
  <c r="Z92" i="9"/>
  <c r="AA92" i="9" s="1"/>
  <c r="Z91" i="9"/>
  <c r="AA91" i="9" s="1"/>
  <c r="Z90" i="9"/>
  <c r="AA90" i="9" s="1"/>
  <c r="Z89" i="9"/>
  <c r="AA89" i="9" s="1"/>
  <c r="Z88" i="9"/>
  <c r="AA88" i="9" s="1"/>
  <c r="Z86" i="9"/>
  <c r="AA86" i="9" s="1"/>
  <c r="Z85" i="9"/>
  <c r="AA85" i="9" s="1"/>
  <c r="Z84" i="9"/>
  <c r="AA84" i="9" s="1"/>
  <c r="Z83" i="9"/>
  <c r="AA83" i="9" s="1"/>
  <c r="Z82" i="9"/>
  <c r="AA82" i="9" s="1"/>
  <c r="Z79" i="9"/>
  <c r="AA79" i="9" s="1"/>
  <c r="Z78" i="9"/>
  <c r="AA78" i="9" s="1"/>
  <c r="Z77" i="9"/>
  <c r="AA77" i="9" s="1"/>
  <c r="Z76" i="9"/>
  <c r="AA76" i="9" s="1"/>
  <c r="Z74" i="9"/>
  <c r="AA74" i="9" s="1"/>
  <c r="Z73" i="9"/>
  <c r="AA73" i="9" s="1"/>
  <c r="Z72" i="9"/>
  <c r="AA72" i="9" s="1"/>
  <c r="Z71" i="9"/>
  <c r="AA71" i="9" s="1"/>
  <c r="Z70" i="9"/>
  <c r="AA70" i="9" s="1"/>
  <c r="Z66" i="9"/>
  <c r="AA66" i="9" s="1"/>
  <c r="Z65" i="9"/>
  <c r="AA65" i="9" s="1"/>
  <c r="Z64" i="9"/>
  <c r="AA64" i="9" s="1"/>
  <c r="Z63" i="9"/>
  <c r="AA63" i="9" s="1"/>
  <c r="Z62" i="9"/>
  <c r="AA62" i="9" s="1"/>
  <c r="Z60" i="9"/>
  <c r="AA60" i="9" s="1"/>
  <c r="AA59" i="9"/>
  <c r="Z59" i="9"/>
  <c r="Z58" i="9"/>
  <c r="AA58" i="9" s="1"/>
  <c r="Z57" i="9"/>
  <c r="AA57" i="9" s="1"/>
  <c r="Z56" i="9"/>
  <c r="AA56" i="9" s="1"/>
  <c r="Z54" i="9"/>
  <c r="AA54" i="9" s="1"/>
  <c r="Z53" i="9"/>
  <c r="AA53" i="9" s="1"/>
  <c r="Z52" i="9"/>
  <c r="AA52" i="9" s="1"/>
  <c r="Z51" i="9"/>
  <c r="AA51" i="9" s="1"/>
  <c r="AA50" i="9"/>
  <c r="Z50" i="9"/>
  <c r="Z46" i="9"/>
  <c r="AA46" i="9" s="1"/>
  <c r="Z45" i="9"/>
  <c r="AA45" i="9" s="1"/>
  <c r="Z44" i="9"/>
  <c r="AA44" i="9" s="1"/>
  <c r="Z43" i="9"/>
  <c r="AA43" i="9" s="1"/>
  <c r="Z42" i="9"/>
  <c r="AA42" i="9" s="1"/>
  <c r="Z40" i="9"/>
  <c r="AA40" i="9" s="1"/>
  <c r="Z39" i="9"/>
  <c r="AA39" i="9" s="1"/>
  <c r="Z38" i="9"/>
  <c r="AA38" i="9" s="1"/>
  <c r="Z37" i="9"/>
  <c r="AA37" i="9" s="1"/>
  <c r="Z36" i="9"/>
  <c r="AA36" i="9" s="1"/>
  <c r="Z34" i="9"/>
  <c r="AA34" i="9" s="1"/>
  <c r="Z33" i="9"/>
  <c r="AA33" i="9" s="1"/>
  <c r="Z32" i="9"/>
  <c r="AA32" i="9" s="1"/>
  <c r="Z31" i="9"/>
  <c r="AA31" i="9" s="1"/>
  <c r="Z30" i="9"/>
  <c r="AA30" i="9" s="1"/>
  <c r="Z28" i="9"/>
  <c r="AA28" i="9" s="1"/>
  <c r="Z27" i="9"/>
  <c r="AA27" i="9" s="1"/>
  <c r="Z26" i="9"/>
  <c r="AA26" i="9" s="1"/>
  <c r="Z25" i="9"/>
  <c r="AA25" i="9" s="1"/>
  <c r="Z24" i="9"/>
  <c r="AA24" i="9" s="1"/>
  <c r="Z22" i="9"/>
  <c r="AA22" i="9" s="1"/>
  <c r="Z21" i="9"/>
  <c r="AA21" i="9" s="1"/>
  <c r="Z20" i="9"/>
  <c r="AA20" i="9" s="1"/>
  <c r="AA19" i="9"/>
  <c r="Z19" i="9"/>
  <c r="Z18" i="9"/>
  <c r="AA18" i="9" s="1"/>
  <c r="Z16" i="9"/>
  <c r="AA16" i="9" s="1"/>
  <c r="Z15" i="9"/>
  <c r="AA15" i="9" s="1"/>
  <c r="Z14" i="9"/>
  <c r="AA14" i="9" s="1"/>
  <c r="Z13" i="9"/>
  <c r="AA13" i="9" s="1"/>
  <c r="Z12" i="9"/>
  <c r="AA12" i="9" s="1"/>
  <c r="Z10" i="9"/>
  <c r="AA10" i="9" s="1"/>
  <c r="Z9" i="9"/>
  <c r="AA9" i="9" s="1"/>
  <c r="Z8" i="9"/>
  <c r="AA8" i="9" s="1"/>
  <c r="Z7" i="9"/>
  <c r="AA7" i="9" s="1"/>
  <c r="Z6" i="9"/>
  <c r="AA6" i="9" s="1"/>
</calcChain>
</file>

<file path=xl/sharedStrings.xml><?xml version="1.0" encoding="utf-8"?>
<sst xmlns="http://schemas.openxmlformats.org/spreadsheetml/2006/main" count="1075" uniqueCount="670">
  <si>
    <t>a05</t>
  </si>
  <si>
    <t>a04</t>
  </si>
  <si>
    <t>a01</t>
  </si>
  <si>
    <t>a03</t>
  </si>
  <si>
    <t>a02</t>
  </si>
  <si>
    <t>a09</t>
  </si>
  <si>
    <t>a08</t>
  </si>
  <si>
    <t>a07</t>
  </si>
  <si>
    <t>Sample</t>
  </si>
  <si>
    <t>KIMBERLITE</t>
  </si>
  <si>
    <t>Table S1: Apatite (U-Th)/He data</t>
  </si>
  <si>
    <t>Table S2: Apatite fission-track data from basement rock samples</t>
  </si>
  <si>
    <t>No. of</t>
  </si>
  <si>
    <r>
      <t>ρ</t>
    </r>
    <r>
      <rPr>
        <vertAlign val="subscript"/>
        <sz val="9"/>
        <rFont val="Times New Roman"/>
        <family val="1"/>
      </rPr>
      <t xml:space="preserve">d </t>
    </r>
    <r>
      <rPr>
        <sz val="9"/>
        <rFont val="Times New Roman"/>
        <family val="1"/>
      </rPr>
      <t xml:space="preserve"> (Nd) </t>
    </r>
    <r>
      <rPr>
        <vertAlign val="superscript"/>
        <sz val="9"/>
        <rFont val="Times New Roman"/>
        <family val="1"/>
      </rPr>
      <t>a)</t>
    </r>
  </si>
  <si>
    <r>
      <t>ρ</t>
    </r>
    <r>
      <rPr>
        <vertAlign val="subscript"/>
        <sz val="9"/>
        <rFont val="Times New Roman"/>
        <family val="1"/>
      </rPr>
      <t>s</t>
    </r>
    <r>
      <rPr>
        <sz val="9"/>
        <rFont val="Times New Roman"/>
        <family val="1"/>
      </rPr>
      <t xml:space="preserve">  (Ns) </t>
    </r>
    <r>
      <rPr>
        <vertAlign val="superscript"/>
        <sz val="9"/>
        <rFont val="Times New Roman"/>
        <family val="1"/>
      </rPr>
      <t>a)</t>
    </r>
  </si>
  <si>
    <r>
      <t>ρ</t>
    </r>
    <r>
      <rPr>
        <vertAlign val="subscript"/>
        <sz val="9"/>
        <rFont val="Times New Roman"/>
        <family val="1"/>
      </rPr>
      <t>i</t>
    </r>
    <r>
      <rPr>
        <sz val="9"/>
        <rFont val="Times New Roman"/>
        <family val="1"/>
      </rPr>
      <t xml:space="preserve">  (Ni) </t>
    </r>
    <r>
      <rPr>
        <vertAlign val="superscript"/>
        <sz val="9"/>
        <rFont val="Times New Roman"/>
        <family val="1"/>
      </rPr>
      <t>a)</t>
    </r>
  </si>
  <si>
    <t xml:space="preserve">U </t>
  </si>
  <si>
    <r>
      <t>P (X</t>
    </r>
    <r>
      <rPr>
        <vertAlign val="superscript"/>
        <sz val="9"/>
        <rFont val="Times New Roman"/>
        <family val="1"/>
      </rPr>
      <t>2</t>
    </r>
    <r>
      <rPr>
        <sz val="9"/>
        <rFont val="Times New Roman"/>
        <family val="1"/>
      </rPr>
      <t>)</t>
    </r>
  </si>
  <si>
    <t>Var</t>
  </si>
  <si>
    <r>
      <t xml:space="preserve">Central age </t>
    </r>
    <r>
      <rPr>
        <vertAlign val="superscript"/>
        <sz val="9"/>
        <rFont val="Times New Roman"/>
        <family val="1"/>
      </rPr>
      <t>b)</t>
    </r>
  </si>
  <si>
    <t xml:space="preserve">Mean HCTL </t>
  </si>
  <si>
    <t>Std dev</t>
  </si>
  <si>
    <t>Min Cl</t>
  </si>
  <si>
    <t>Max Cl</t>
  </si>
  <si>
    <t>Mean</t>
  </si>
  <si>
    <t>grains</t>
  </si>
  <si>
    <r>
      <t>[x 10</t>
    </r>
    <r>
      <rPr>
        <vertAlign val="superscript"/>
        <sz val="9"/>
        <rFont val="Times New Roman"/>
        <family val="1"/>
      </rPr>
      <t>6</t>
    </r>
    <r>
      <rPr>
        <sz val="9"/>
        <rFont val="Times New Roman"/>
        <family val="1"/>
      </rPr>
      <t xml:space="preserve"> cm</t>
    </r>
    <r>
      <rPr>
        <vertAlign val="superscript"/>
        <sz val="9"/>
        <rFont val="Times New Roman"/>
        <family val="1"/>
      </rPr>
      <t>-2</t>
    </r>
    <r>
      <rPr>
        <sz val="9"/>
        <rFont val="Times New Roman"/>
        <family val="1"/>
      </rPr>
      <t>]</t>
    </r>
  </si>
  <si>
    <t>[ppm]</t>
  </si>
  <si>
    <t>[%]</t>
  </si>
  <si>
    <t>[Ma] ± σ</t>
  </si>
  <si>
    <t>[μm] ± σ (n)</t>
  </si>
  <si>
    <t>[μm]</t>
  </si>
  <si>
    <t>weight%</t>
  </si>
  <si>
    <t>01-OE-5</t>
  </si>
  <si>
    <t>1.058 (3773)</t>
  </si>
  <si>
    <t>1.226 (1415)</t>
  </si>
  <si>
    <t>0.473 (546)</t>
  </si>
  <si>
    <t>482 ± 26</t>
  </si>
  <si>
    <t>12.02 ± 0.17 (100)</t>
  </si>
  <si>
    <t>01-OE-23</t>
  </si>
  <si>
    <t>1.180 (3773)</t>
  </si>
  <si>
    <t>1.793 (1095)</t>
  </si>
  <si>
    <t>0.983 (600)</t>
  </si>
  <si>
    <t>381 ± 20</t>
  </si>
  <si>
    <t>11.33 ± 0.24 (100)</t>
  </si>
  <si>
    <t>01-OE-65</t>
  </si>
  <si>
    <t>1.119 (3620)</t>
  </si>
  <si>
    <t>1.164 (1198)</t>
  </si>
  <si>
    <t>0.840 (605)</t>
  </si>
  <si>
    <t>393 ± 24</t>
  </si>
  <si>
    <t>12.13 ± 0.16 (100)</t>
  </si>
  <si>
    <t>01-OE-69</t>
  </si>
  <si>
    <t>1.144 (3620)</t>
  </si>
  <si>
    <t>1.713 (1673)</t>
  </si>
  <si>
    <t>0.899 (878)</t>
  </si>
  <si>
    <t>386 ± 17</t>
  </si>
  <si>
    <t>12.38 ± 0.15 (100)</t>
  </si>
  <si>
    <t>01-OE-76</t>
  </si>
  <si>
    <t>1.219 (3620)</t>
  </si>
  <si>
    <t>0.710 (873)</t>
  </si>
  <si>
    <t>0.348 (428)</t>
  </si>
  <si>
    <t>439 ± 27</t>
  </si>
  <si>
    <t>11.82 ± 0.21 (100)</t>
  </si>
  <si>
    <t>01-OE-104</t>
  </si>
  <si>
    <t>1.159 (3781)</t>
  </si>
  <si>
    <t>0.690 (341)</t>
  </si>
  <si>
    <t>0.358 (177)</t>
  </si>
  <si>
    <t>395 ± 37</t>
  </si>
  <si>
    <t>12.15 ± 0.18 (100)</t>
  </si>
  <si>
    <t>01-OE-108</t>
  </si>
  <si>
    <t>1.205 (3781)</t>
  </si>
  <si>
    <t>1.159 (845)</t>
  </si>
  <si>
    <t>0.575 (419)</t>
  </si>
  <si>
    <t>429 ± 27</t>
  </si>
  <si>
    <t>11.67 ± 0.20 (100)</t>
  </si>
  <si>
    <t>01-OE-28</t>
  </si>
  <si>
    <t>1.220 (3773)</t>
  </si>
  <si>
    <t>1.077 (532)</t>
  </si>
  <si>
    <t>0.551 (272)</t>
  </si>
  <si>
    <t>420 ± 36</t>
  </si>
  <si>
    <t>11.76 ± 0.20 (100)</t>
  </si>
  <si>
    <t>01-OE-38</t>
  </si>
  <si>
    <t>1.281 (3773)</t>
  </si>
  <si>
    <t>3.449 (1979)</t>
  </si>
  <si>
    <t>1.902 (991)</t>
  </si>
  <si>
    <t>411 ± 18</t>
  </si>
  <si>
    <t>11.64 ± 0.23 (100)</t>
  </si>
  <si>
    <t>00-OE-28</t>
  </si>
  <si>
    <t>1.263 (3625)</t>
  </si>
  <si>
    <t>0.899 (615)</t>
  </si>
  <si>
    <t>0.819 (560)</t>
  </si>
  <si>
    <t>248 ± 19</t>
  </si>
  <si>
    <t>11.10 ± 0.25 (100)</t>
  </si>
  <si>
    <t>00-OE-41</t>
  </si>
  <si>
    <t>1.217 (3851)</t>
  </si>
  <si>
    <t>0.659 (694)</t>
  </si>
  <si>
    <t>0.791 (833)</t>
  </si>
  <si>
    <t>182 ±10</t>
  </si>
  <si>
    <t>12.52 ± 0.13 (100)</t>
  </si>
  <si>
    <t>00-OE-42</t>
  </si>
  <si>
    <t>1.243 (3851)</t>
  </si>
  <si>
    <t>1.115 (762)</t>
  </si>
  <si>
    <t>1.438 (983)</t>
  </si>
  <si>
    <t>174 ± 9</t>
  </si>
  <si>
    <t>13.01 ± 0.13 (100)</t>
  </si>
  <si>
    <t>00-OE-51</t>
  </si>
  <si>
    <t>1.135 (3793)</t>
  </si>
  <si>
    <t>0.645 (416)</t>
  </si>
  <si>
    <t>0.442 (285)</t>
  </si>
  <si>
    <t>296 ± 23</t>
  </si>
  <si>
    <t>11.83 ± 0.25 (100)</t>
  </si>
  <si>
    <t>A1</t>
  </si>
  <si>
    <t>0.994 (3601)</t>
  </si>
  <si>
    <t>1.562 (1492)</t>
  </si>
  <si>
    <t>0.709 (717)</t>
  </si>
  <si>
    <t>367 ± 18</t>
  </si>
  <si>
    <t>12.17 ± 0.19 (100)</t>
  </si>
  <si>
    <t>C-50</t>
  </si>
  <si>
    <t>0.972 (3547)</t>
  </si>
  <si>
    <t>2.304 (1696)</t>
  </si>
  <si>
    <t>0.920 (677)</t>
  </si>
  <si>
    <t>430 ± 21</t>
  </si>
  <si>
    <t>12.01 ± 0.16 (100)</t>
  </si>
  <si>
    <t>Table S2:</t>
  </si>
  <si>
    <t xml:space="preserve">Apatite fission track data from southern Ontario. Zeta = 365±6 for apatite and CN5. </t>
  </si>
  <si>
    <r>
      <t xml:space="preserve">a)  </t>
    </r>
    <r>
      <rPr>
        <sz val="9"/>
        <color theme="1"/>
        <rFont val="Times New Roman"/>
        <family val="1"/>
      </rPr>
      <t xml:space="preserve"> ρd is the standard track density, ρs and ρi represent sample spontaneous and induced track densities, respectively. Values in parentheses indicate </t>
    </r>
  </si>
  <si>
    <t xml:space="preserve">    the number of tracks (or lengths) counted.</t>
  </si>
  <si>
    <r>
      <t>b)</t>
    </r>
    <r>
      <rPr>
        <sz val="9"/>
        <color theme="1"/>
        <rFont val="Times New Roman"/>
        <family val="1"/>
      </rPr>
      <t xml:space="preserve">  Central age after Galbraith and Laslett (1993).</t>
    </r>
  </si>
  <si>
    <r>
      <t>N</t>
    </r>
    <r>
      <rPr>
        <vertAlign val="subscript"/>
        <sz val="10"/>
        <color theme="1"/>
        <rFont val="Times New Roman"/>
        <family val="1"/>
      </rPr>
      <t xml:space="preserve">D </t>
    </r>
    <r>
      <rPr>
        <sz val="10"/>
        <color theme="1"/>
        <rFont val="Times New Roman"/>
        <family val="1"/>
      </rPr>
      <t>- number of induced fission-tracks in standard</t>
    </r>
  </si>
  <si>
    <r>
      <t>ρ</t>
    </r>
    <r>
      <rPr>
        <vertAlign val="subscript"/>
        <sz val="10"/>
        <color theme="1"/>
        <rFont val="Times New Roman"/>
        <family val="1"/>
      </rPr>
      <t>D</t>
    </r>
    <r>
      <rPr>
        <sz val="10"/>
        <color theme="1"/>
        <rFont val="Times New Roman"/>
        <family val="1"/>
      </rPr>
      <t xml:space="preserve"> - induced fission-track density in standard</t>
    </r>
  </si>
  <si>
    <r>
      <t>N</t>
    </r>
    <r>
      <rPr>
        <vertAlign val="subscript"/>
        <sz val="10"/>
        <color theme="1"/>
        <rFont val="Times New Roman"/>
        <family val="1"/>
      </rPr>
      <t>i</t>
    </r>
    <r>
      <rPr>
        <sz val="10"/>
        <color theme="1"/>
        <rFont val="Times New Roman"/>
        <family val="1"/>
      </rPr>
      <t xml:space="preserve"> - number of induced fission-tracks</t>
    </r>
  </si>
  <si>
    <r>
      <t>N</t>
    </r>
    <r>
      <rPr>
        <vertAlign val="subscript"/>
        <sz val="10"/>
        <color theme="1"/>
        <rFont val="Times New Roman"/>
        <family val="1"/>
      </rPr>
      <t>s</t>
    </r>
    <r>
      <rPr>
        <sz val="10"/>
        <color theme="1"/>
        <rFont val="Times New Roman"/>
        <family val="1"/>
      </rPr>
      <t xml:space="preserve"> - number of spontaneous fission-tracks</t>
    </r>
  </si>
  <si>
    <t>after Lorencak (2003)</t>
  </si>
  <si>
    <r>
      <t>ρ</t>
    </r>
    <r>
      <rPr>
        <vertAlign val="subscript"/>
        <sz val="10"/>
        <color theme="1"/>
        <rFont val="Times New Roman"/>
        <family val="1"/>
      </rPr>
      <t>D</t>
    </r>
    <r>
      <rPr>
        <sz val="10"/>
        <color theme="1"/>
        <rFont val="Times New Roman"/>
        <family val="1"/>
      </rPr>
      <t>=1.217E+06cm-2; N</t>
    </r>
    <r>
      <rPr>
        <vertAlign val="subscript"/>
        <sz val="10"/>
        <color theme="1"/>
        <rFont val="Times New Roman"/>
        <family val="1"/>
      </rPr>
      <t>D</t>
    </r>
    <r>
      <rPr>
        <sz val="10"/>
        <color theme="1"/>
        <rFont val="Times New Roman"/>
        <family val="1"/>
      </rPr>
      <t xml:space="preserve">=3851 </t>
    </r>
  </si>
  <si>
    <r>
      <t>ρ</t>
    </r>
    <r>
      <rPr>
        <vertAlign val="subscript"/>
        <sz val="10"/>
        <color theme="1"/>
        <rFont val="Times New Roman"/>
        <family val="1"/>
      </rPr>
      <t>D</t>
    </r>
    <r>
      <rPr>
        <sz val="10"/>
        <color theme="1"/>
        <rFont val="Times New Roman"/>
        <family val="1"/>
      </rPr>
      <t>=1.243E+06cm-2; N</t>
    </r>
    <r>
      <rPr>
        <vertAlign val="subscript"/>
        <sz val="10"/>
        <color theme="1"/>
        <rFont val="Times New Roman"/>
        <family val="1"/>
      </rPr>
      <t>D</t>
    </r>
    <r>
      <rPr>
        <sz val="10"/>
        <color theme="1"/>
        <rFont val="Times New Roman"/>
        <family val="1"/>
      </rPr>
      <t>=3851</t>
    </r>
  </si>
  <si>
    <r>
      <t>ρ</t>
    </r>
    <r>
      <rPr>
        <vertAlign val="subscript"/>
        <sz val="10"/>
        <color theme="1"/>
        <rFont val="Times New Roman"/>
        <family val="1"/>
      </rPr>
      <t>D</t>
    </r>
    <r>
      <rPr>
        <sz val="10"/>
        <color theme="1"/>
        <rFont val="Times New Roman"/>
        <family val="1"/>
      </rPr>
      <t>=1.263E+06cm-2; N</t>
    </r>
    <r>
      <rPr>
        <vertAlign val="subscript"/>
        <sz val="10"/>
        <color theme="1"/>
        <rFont val="Times New Roman"/>
        <family val="1"/>
      </rPr>
      <t>D</t>
    </r>
    <r>
      <rPr>
        <sz val="10"/>
        <color theme="1"/>
        <rFont val="Times New Roman"/>
        <family val="1"/>
      </rPr>
      <t xml:space="preserve"> = 3625 </t>
    </r>
  </si>
  <si>
    <r>
      <t>ρ</t>
    </r>
    <r>
      <rPr>
        <vertAlign val="subscript"/>
        <sz val="10"/>
        <color theme="1"/>
        <rFont val="Times New Roman"/>
        <family val="1"/>
      </rPr>
      <t>D</t>
    </r>
    <r>
      <rPr>
        <sz val="10"/>
        <color theme="1"/>
        <rFont val="Times New Roman"/>
        <family val="1"/>
      </rPr>
      <t>=1.135E+06cm-2; N</t>
    </r>
    <r>
      <rPr>
        <vertAlign val="subscript"/>
        <sz val="10"/>
        <color theme="1"/>
        <rFont val="Times New Roman"/>
        <family val="1"/>
      </rPr>
      <t>D</t>
    </r>
    <r>
      <rPr>
        <sz val="10"/>
        <color theme="1"/>
        <rFont val="Times New Roman"/>
        <family val="1"/>
      </rPr>
      <t>=3793</t>
    </r>
  </si>
  <si>
    <r>
      <rPr>
        <sz val="10"/>
        <color theme="1"/>
        <rFont val="Times New Roman"/>
        <family val="1"/>
      </rPr>
      <t>ρ</t>
    </r>
    <r>
      <rPr>
        <vertAlign val="subscript"/>
        <sz val="10"/>
        <color theme="1"/>
        <rFont val="Times New Roman"/>
        <family val="1"/>
      </rPr>
      <t>D</t>
    </r>
    <r>
      <rPr>
        <sz val="10"/>
        <color theme="1"/>
        <rFont val="Times New Roman"/>
        <family val="1"/>
      </rPr>
      <t>=1.119E+06cm-2; N</t>
    </r>
    <r>
      <rPr>
        <vertAlign val="subscript"/>
        <sz val="10"/>
        <color theme="1"/>
        <rFont val="Times New Roman"/>
        <family val="1"/>
      </rPr>
      <t>D</t>
    </r>
    <r>
      <rPr>
        <sz val="10"/>
        <color theme="1"/>
        <rFont val="Times New Roman"/>
        <family val="1"/>
      </rPr>
      <t>=3620</t>
    </r>
  </si>
  <si>
    <r>
      <t>ρ</t>
    </r>
    <r>
      <rPr>
        <vertAlign val="subscript"/>
        <sz val="10"/>
        <color theme="1"/>
        <rFont val="Times New Roman"/>
        <family val="1"/>
      </rPr>
      <t>D</t>
    </r>
    <r>
      <rPr>
        <sz val="10"/>
        <color theme="1"/>
        <rFont val="Times New Roman"/>
        <family val="1"/>
      </rPr>
      <t>=1.281E+06cm-2; N</t>
    </r>
    <r>
      <rPr>
        <vertAlign val="subscript"/>
        <sz val="10"/>
        <color theme="1"/>
        <rFont val="Times New Roman"/>
        <family val="1"/>
      </rPr>
      <t>D</t>
    </r>
    <r>
      <rPr>
        <sz val="10"/>
        <color theme="1"/>
        <rFont val="Times New Roman"/>
        <family val="1"/>
      </rPr>
      <t>=3773</t>
    </r>
  </si>
  <si>
    <r>
      <t>ρ</t>
    </r>
    <r>
      <rPr>
        <vertAlign val="subscript"/>
        <sz val="10"/>
        <color theme="1"/>
        <rFont val="Times New Roman"/>
        <family val="1"/>
      </rPr>
      <t>D</t>
    </r>
    <r>
      <rPr>
        <sz val="10"/>
        <color theme="1"/>
        <rFont val="Times New Roman"/>
        <family val="1"/>
      </rPr>
      <t>=1.144E+06cm-2; N</t>
    </r>
    <r>
      <rPr>
        <vertAlign val="subscript"/>
        <sz val="10"/>
        <color theme="1"/>
        <rFont val="Times New Roman"/>
        <family val="1"/>
      </rPr>
      <t>D</t>
    </r>
    <r>
      <rPr>
        <sz val="10"/>
        <color theme="1"/>
        <rFont val="Times New Roman"/>
        <family val="1"/>
      </rPr>
      <t>=3620</t>
    </r>
  </si>
  <si>
    <r>
      <t>ρ</t>
    </r>
    <r>
      <rPr>
        <vertAlign val="subscript"/>
        <sz val="10"/>
        <color theme="1"/>
        <rFont val="Times New Roman"/>
        <family val="1"/>
      </rPr>
      <t>D</t>
    </r>
    <r>
      <rPr>
        <sz val="10"/>
        <color theme="1"/>
        <rFont val="Times New Roman"/>
        <family val="1"/>
      </rPr>
      <t>=1.219E+06cm-2; N</t>
    </r>
    <r>
      <rPr>
        <vertAlign val="subscript"/>
        <sz val="10"/>
        <color theme="1"/>
        <rFont val="Times New Roman"/>
        <family val="1"/>
      </rPr>
      <t>D</t>
    </r>
    <r>
      <rPr>
        <sz val="10"/>
        <color theme="1"/>
        <rFont val="Times New Roman"/>
        <family val="1"/>
      </rPr>
      <t xml:space="preserve">=3620 </t>
    </r>
  </si>
  <si>
    <r>
      <t>ρ</t>
    </r>
    <r>
      <rPr>
        <vertAlign val="subscript"/>
        <sz val="10"/>
        <color theme="1"/>
        <rFont val="Times New Roman"/>
        <family val="1"/>
      </rPr>
      <t>D</t>
    </r>
    <r>
      <rPr>
        <sz val="10"/>
        <color theme="1"/>
        <rFont val="Times New Roman"/>
        <family val="1"/>
      </rPr>
      <t>=1.220E+06cm-2;  N</t>
    </r>
    <r>
      <rPr>
        <vertAlign val="subscript"/>
        <sz val="10"/>
        <color theme="1"/>
        <rFont val="Times New Roman"/>
        <family val="1"/>
      </rPr>
      <t>D</t>
    </r>
    <r>
      <rPr>
        <sz val="10"/>
        <color theme="1"/>
        <rFont val="Times New Roman"/>
        <family val="1"/>
      </rPr>
      <t xml:space="preserve">=3773 </t>
    </r>
  </si>
  <si>
    <r>
      <t>ρ</t>
    </r>
    <r>
      <rPr>
        <vertAlign val="subscript"/>
        <sz val="10"/>
        <color theme="1"/>
        <rFont val="Times New Roman"/>
        <family val="1"/>
      </rPr>
      <t>D</t>
    </r>
    <r>
      <rPr>
        <sz val="10"/>
        <color theme="1"/>
        <rFont val="Times New Roman"/>
        <family val="1"/>
      </rPr>
      <t>=1.180E+06cm-2; N</t>
    </r>
    <r>
      <rPr>
        <vertAlign val="subscript"/>
        <sz val="10"/>
        <color theme="1"/>
        <rFont val="Times New Roman"/>
        <family val="1"/>
      </rPr>
      <t>D</t>
    </r>
    <r>
      <rPr>
        <sz val="10"/>
        <color theme="1"/>
        <rFont val="Times New Roman"/>
        <family val="1"/>
      </rPr>
      <t>=3773</t>
    </r>
  </si>
  <si>
    <r>
      <t>ρ</t>
    </r>
    <r>
      <rPr>
        <vertAlign val="subscript"/>
        <sz val="10"/>
        <color theme="1"/>
        <rFont val="Times New Roman"/>
        <family val="1"/>
      </rPr>
      <t>D</t>
    </r>
    <r>
      <rPr>
        <sz val="10"/>
        <color theme="1"/>
        <rFont val="Times New Roman"/>
        <family val="1"/>
      </rPr>
      <t>=1.159E+06cm-2; N</t>
    </r>
    <r>
      <rPr>
        <vertAlign val="subscript"/>
        <sz val="10"/>
        <color theme="1"/>
        <rFont val="Times New Roman"/>
        <family val="1"/>
      </rPr>
      <t>D</t>
    </r>
    <r>
      <rPr>
        <sz val="10"/>
        <color theme="1"/>
        <rFont val="Times New Roman"/>
        <family val="1"/>
      </rPr>
      <t xml:space="preserve">=3781 </t>
    </r>
  </si>
  <si>
    <r>
      <t>ρ</t>
    </r>
    <r>
      <rPr>
        <vertAlign val="subscript"/>
        <sz val="10"/>
        <color theme="1"/>
        <rFont val="Times New Roman"/>
        <family val="1"/>
      </rPr>
      <t>D</t>
    </r>
    <r>
      <rPr>
        <sz val="10"/>
        <color theme="1"/>
        <rFont val="Times New Roman"/>
        <family val="1"/>
      </rPr>
      <t>=1.205E+06cm-2; N</t>
    </r>
    <r>
      <rPr>
        <vertAlign val="subscript"/>
        <sz val="10"/>
        <color theme="1"/>
        <rFont val="Times New Roman"/>
        <family val="1"/>
      </rPr>
      <t>D</t>
    </r>
    <r>
      <rPr>
        <sz val="10"/>
        <color theme="1"/>
        <rFont val="Times New Roman"/>
        <family val="1"/>
      </rPr>
      <t>=3781</t>
    </r>
  </si>
  <si>
    <r>
      <t>ρ</t>
    </r>
    <r>
      <rPr>
        <vertAlign val="subscript"/>
        <sz val="10"/>
        <color theme="1"/>
        <rFont val="Times New Roman"/>
        <family val="1"/>
      </rPr>
      <t>D</t>
    </r>
    <r>
      <rPr>
        <sz val="10"/>
        <color theme="1"/>
        <rFont val="Times New Roman"/>
        <family val="1"/>
      </rPr>
      <t>=1.058E+06cm-2; N</t>
    </r>
    <r>
      <rPr>
        <vertAlign val="subscript"/>
        <sz val="10"/>
        <color theme="1"/>
        <rFont val="Times New Roman"/>
        <family val="1"/>
      </rPr>
      <t>D</t>
    </r>
    <r>
      <rPr>
        <sz val="10"/>
        <color theme="1"/>
        <rFont val="Times New Roman"/>
        <family val="1"/>
      </rPr>
      <t>=3773</t>
    </r>
  </si>
  <si>
    <r>
      <t>ρ</t>
    </r>
    <r>
      <rPr>
        <vertAlign val="subscript"/>
        <sz val="10"/>
        <color theme="1"/>
        <rFont val="Times New Roman"/>
        <family val="1"/>
      </rPr>
      <t>D</t>
    </r>
    <r>
      <rPr>
        <sz val="10"/>
        <color theme="1"/>
        <rFont val="Times New Roman"/>
        <family val="1"/>
      </rPr>
      <t>=9.720E+05cm-2; N</t>
    </r>
    <r>
      <rPr>
        <vertAlign val="subscript"/>
        <sz val="10"/>
        <color theme="1"/>
        <rFont val="Times New Roman"/>
        <family val="1"/>
      </rPr>
      <t>D</t>
    </r>
    <r>
      <rPr>
        <sz val="10"/>
        <color theme="1"/>
        <rFont val="Times New Roman"/>
        <family val="1"/>
      </rPr>
      <t xml:space="preserve">=3547 </t>
    </r>
  </si>
  <si>
    <r>
      <t>ρ</t>
    </r>
    <r>
      <rPr>
        <vertAlign val="subscript"/>
        <sz val="10"/>
        <color theme="1"/>
        <rFont val="Times New Roman"/>
        <family val="1"/>
      </rPr>
      <t>D</t>
    </r>
    <r>
      <rPr>
        <sz val="10"/>
        <color theme="1"/>
        <rFont val="Times New Roman"/>
        <family val="1"/>
      </rPr>
      <t>=9.940E+05cm-2; N</t>
    </r>
    <r>
      <rPr>
        <vertAlign val="subscript"/>
        <sz val="10"/>
        <color theme="1"/>
        <rFont val="Times New Roman"/>
        <family val="1"/>
      </rPr>
      <t>D</t>
    </r>
    <r>
      <rPr>
        <sz val="10"/>
        <color theme="1"/>
        <rFont val="Times New Roman"/>
        <family val="1"/>
      </rPr>
      <t>=3601</t>
    </r>
  </si>
  <si>
    <t>ζ: 365±6</t>
  </si>
  <si>
    <t>202.4 ± 56.4</t>
  </si>
  <si>
    <t>118.5 ± 27.3</t>
  </si>
  <si>
    <t>319.5 ± 96.0</t>
  </si>
  <si>
    <t>498.1 ±208.7</t>
  </si>
  <si>
    <t>419.0 ± 102.1</t>
  </si>
  <si>
    <t>372.8 ± 65.5</t>
  </si>
  <si>
    <t>359.2 ± 88.5</t>
  </si>
  <si>
    <t>342.0 ±100.6</t>
  </si>
  <si>
    <t>460.3 ±211.0</t>
  </si>
  <si>
    <t>336.5 ± 62.4</t>
  </si>
  <si>
    <t>605.2 ±312.9</t>
  </si>
  <si>
    <t>459.7 ±113.9</t>
  </si>
  <si>
    <t>513.7 ±118.1</t>
  </si>
  <si>
    <t>257.0 ± 69.7</t>
  </si>
  <si>
    <t>340.4 ± 66.0</t>
  </si>
  <si>
    <t>175.3 ± 41.8</t>
  </si>
  <si>
    <t>199.8 ± 66.9</t>
  </si>
  <si>
    <t>247.6 ± 75.0</t>
  </si>
  <si>
    <t>307.4 ± 79.5</t>
  </si>
  <si>
    <t>425.5 ± 101.5</t>
  </si>
  <si>
    <t>347.3 ± 72.9</t>
  </si>
  <si>
    <t>243.9 ± 72.4</t>
  </si>
  <si>
    <t>411.3 ±108.7</t>
  </si>
  <si>
    <t>395.8 ±142.3</t>
  </si>
  <si>
    <t>360.6 ±107.2</t>
  </si>
  <si>
    <t>527.7 ±160.8</t>
  </si>
  <si>
    <t>568.0 ±210.7</t>
  </si>
  <si>
    <t>457.3 ±116.2</t>
  </si>
  <si>
    <t>459.9 ± 61.2</t>
  </si>
  <si>
    <t>423.6 ± 94.1</t>
  </si>
  <si>
    <t>211.6 ± 53.6</t>
  </si>
  <si>
    <t>141.8 ± 22.4</t>
  </si>
  <si>
    <t>151.9 ± 52.5</t>
  </si>
  <si>
    <t>298.2 ± 88.9</t>
  </si>
  <si>
    <t>504.8 ± 159.4</t>
  </si>
  <si>
    <t>295.1 ± 80.5</t>
  </si>
  <si>
    <t>335.6 ± 67.7</t>
  </si>
  <si>
    <t>382.0 ± 94.2</t>
  </si>
  <si>
    <t>682.0 ±217.0</t>
  </si>
  <si>
    <t>366.3 ± 81.6</t>
  </si>
  <si>
    <t>228.6 ±100.0</t>
  </si>
  <si>
    <t>384.2 ± 87.9</t>
  </si>
  <si>
    <t>363.6 ± 65.2</t>
  </si>
  <si>
    <t>464.4 ± 73.4</t>
  </si>
  <si>
    <t>335.3 ± 66.8</t>
  </si>
  <si>
    <t>209.0 ± 62.5</t>
  </si>
  <si>
    <t>243.8 ± 52.3</t>
  </si>
  <si>
    <t>203.4 ± 55.1</t>
  </si>
  <si>
    <t>315.8 ±101.4</t>
  </si>
  <si>
    <t>418.6 ± 123.6</t>
  </si>
  <si>
    <t>472.6 ± 90.4</t>
  </si>
  <si>
    <t>408.3 ± 69.2</t>
  </si>
  <si>
    <t>590.1 ±229.8</t>
  </si>
  <si>
    <t>521.1 ±155.2</t>
  </si>
  <si>
    <t>581.1 ±164.5</t>
  </si>
  <si>
    <t>409.7 ±177.7</t>
  </si>
  <si>
    <t>312.2 ± 71.0</t>
  </si>
  <si>
    <t>413.3 ±114.7</t>
  </si>
  <si>
    <t>345.4 ± 106.1</t>
  </si>
  <si>
    <t>404.3 ±108.7</t>
  </si>
  <si>
    <t>202.4 ± 40.0</t>
  </si>
  <si>
    <t>198.6 ± 96.6</t>
  </si>
  <si>
    <t>336.8 ±137.7</t>
  </si>
  <si>
    <t>250.9 ± 82.1</t>
  </si>
  <si>
    <t>368.5 ± 71.1</t>
  </si>
  <si>
    <t>496.6 ±122.7</t>
  </si>
  <si>
    <t>296.2 ± 49.4</t>
  </si>
  <si>
    <t>471.7 ±114.3</t>
  </si>
  <si>
    <t>393.7 ±119.2</t>
  </si>
  <si>
    <t>389.0 ± 90.0</t>
  </si>
  <si>
    <t>208.1 ± 73.7</t>
  </si>
  <si>
    <t>481.4 ±123.7</t>
  </si>
  <si>
    <t>593.9 ±160.8</t>
  </si>
  <si>
    <t>385.3 ± 72.1</t>
  </si>
  <si>
    <t>274.9 ± 63.7</t>
  </si>
  <si>
    <t>159.5 ± 33.4</t>
  </si>
  <si>
    <t>231.7 ± 65.1</t>
  </si>
  <si>
    <t>437.0 ±105.8</t>
  </si>
  <si>
    <t>317.6 ±108.8</t>
  </si>
  <si>
    <t>595.6 ± 162.3</t>
  </si>
  <si>
    <t>578.7 ±109.9</t>
  </si>
  <si>
    <t>374.4 ± 74.9</t>
  </si>
  <si>
    <t>663.8 ±167.0</t>
  </si>
  <si>
    <t>409.7 ±160.4</t>
  </si>
  <si>
    <t>376.4 ±148.7</t>
  </si>
  <si>
    <t>176.5 ± 72.4</t>
  </si>
  <si>
    <t>493.7 ±170.7</t>
  </si>
  <si>
    <t>520.9 ±132.9</t>
  </si>
  <si>
    <t>397.5 ± 71.5</t>
  </si>
  <si>
    <t>313.2 ± 63.2</t>
  </si>
  <si>
    <t>164.5 ± 88.9</t>
  </si>
  <si>
    <t>238.6 ± 88.8</t>
  </si>
  <si>
    <t>275.7 ± 87.9</t>
  </si>
  <si>
    <t>257.2 ± 89.0</t>
  </si>
  <si>
    <t>420.0 ± 104.4</t>
  </si>
  <si>
    <t>426.4 ± 63.8</t>
  </si>
  <si>
    <t>441.8 ±116.8</t>
  </si>
  <si>
    <t>457.3 ±116.1</t>
  </si>
  <si>
    <t>385.8 ±129.1</t>
  </si>
  <si>
    <t>366.3 ± 73.1</t>
  </si>
  <si>
    <t>409.7 ±167.5</t>
  </si>
  <si>
    <t>278.0 ± 75.9</t>
  </si>
  <si>
    <t>515.2 ±100.8</t>
  </si>
  <si>
    <t>534.7 ± 164.6</t>
  </si>
  <si>
    <t>322.1 ± 64.6</t>
  </si>
  <si>
    <t>263.9 ± 52.3</t>
  </si>
  <si>
    <t>162.0 ± 36.7</t>
  </si>
  <si>
    <t>149.7 ± 40.3</t>
  </si>
  <si>
    <t>270.4 ±119.4</t>
  </si>
  <si>
    <t>459.7 ± 120.4</t>
  </si>
  <si>
    <t>327.3 ± 58.0</t>
  </si>
  <si>
    <t>311.0 ± 65.3</t>
  </si>
  <si>
    <t>321.4 ± 80.4</t>
  </si>
  <si>
    <t>580.3 ±205.0</t>
  </si>
  <si>
    <t>416.9 ± 85.6</t>
  </si>
  <si>
    <t>359.9 ±159.7</t>
  </si>
  <si>
    <t>504.2 ±167.0</t>
  </si>
  <si>
    <t>586.8 ±144.1</t>
  </si>
  <si>
    <t>399.4 ± 86.3</t>
  </si>
  <si>
    <t>375.8 ± 83.6</t>
  </si>
  <si>
    <t>160.4 ± 30.4</t>
  </si>
  <si>
    <t>199.4 ± 39.1</t>
  </si>
  <si>
    <t>266.1 ± 68.6</t>
  </si>
  <si>
    <t>251.5 ± 74.0</t>
  </si>
  <si>
    <t>677.8 ± 222.4</t>
  </si>
  <si>
    <t>446.8 ± 79.8</t>
  </si>
  <si>
    <t>395.7 ±104.1</t>
  </si>
  <si>
    <t>325.4 ±121.5</t>
  </si>
  <si>
    <t>410.7 ±111.1</t>
  </si>
  <si>
    <t>336.7 ± 70.0</t>
  </si>
  <si>
    <t>438.0 ±142.1</t>
  </si>
  <si>
    <t>381.2 ± 90.4</t>
  </si>
  <si>
    <t>638.9 ±151.9</t>
  </si>
  <si>
    <t>673.2 ± 209.3</t>
  </si>
  <si>
    <t>367.3 ± 75.0</t>
  </si>
  <si>
    <t>161.6 ± 19.3</t>
  </si>
  <si>
    <t>166.6 ± 28.4</t>
  </si>
  <si>
    <t>216.8 ± 64.8</t>
  </si>
  <si>
    <t>317.6 ±153.7</t>
  </si>
  <si>
    <t>443.9 ± 188.9</t>
  </si>
  <si>
    <t>408.6 ± 75.7</t>
  </si>
  <si>
    <t>419.4 ± 70.8</t>
  </si>
  <si>
    <t>410.1 ± 91.5</t>
  </si>
  <si>
    <t>584.9 ±241.9</t>
  </si>
  <si>
    <t>416.9 ±228.6</t>
  </si>
  <si>
    <t>540.7 ±259.2</t>
  </si>
  <si>
    <t>316.7 ± 89.8</t>
  </si>
  <si>
    <t>508.3 ±124.4</t>
  </si>
  <si>
    <t>358.0 ± 69.4</t>
  </si>
  <si>
    <t>491.0 ±143.4</t>
  </si>
  <si>
    <t>218.4 ± 54.0</t>
  </si>
  <si>
    <t>162.7 ± 24.6</t>
  </si>
  <si>
    <t>319.1 ± 75.2</t>
  </si>
  <si>
    <t>401.5 ±186.1</t>
  </si>
  <si>
    <t>489.0 ± 65.0</t>
  </si>
  <si>
    <t>573.7 ±124.2</t>
  </si>
  <si>
    <t>488.1 ±155.4</t>
  </si>
  <si>
    <t>383.8 ±113.4</t>
  </si>
  <si>
    <t>407.4 ±168.2</t>
  </si>
  <si>
    <t>300.5 ± 74.4</t>
  </si>
  <si>
    <t>605.2 ±247.5</t>
  </si>
  <si>
    <t>437.6 ±129.8</t>
  </si>
  <si>
    <t>318.3 ± 74.9</t>
  </si>
  <si>
    <t>463.6 ± 98.0</t>
  </si>
  <si>
    <t>392.5 ± 76.2</t>
  </si>
  <si>
    <t>160.9 ± 45.3</t>
  </si>
  <si>
    <t>197.6 ± 56.7</t>
  </si>
  <si>
    <t>165.5 ± 54.5</t>
  </si>
  <si>
    <t>401.5 ±164.2</t>
  </si>
  <si>
    <t>405.9 ± 79.8</t>
  </si>
  <si>
    <t>418.1 ± 77.1</t>
  </si>
  <si>
    <t>415.2 ± 83.8</t>
  </si>
  <si>
    <t>489.4 ±157.2</t>
  </si>
  <si>
    <t>370.8 ±125.0</t>
  </si>
  <si>
    <t>391.0 ± 78.1</t>
  </si>
  <si>
    <t>522.2 ±232.9</t>
  </si>
  <si>
    <t>444.7 ± 96.1</t>
  </si>
  <si>
    <t>704.8 ±299.4</t>
  </si>
  <si>
    <t>637.5 ± 239.5</t>
  </si>
  <si>
    <t>553.7 ±159.2</t>
  </si>
  <si>
    <t>223.6 ± 49.4</t>
  </si>
  <si>
    <t>216.0 ± 39.1</t>
  </si>
  <si>
    <t>317.5 ±100.9</t>
  </si>
  <si>
    <t>265.3 ± 69.4</t>
  </si>
  <si>
    <t>340.9 ± 114.9</t>
  </si>
  <si>
    <t>339.0 ± 65.8</t>
  </si>
  <si>
    <t>449.3 ± 65.5</t>
  </si>
  <si>
    <t>370.5 ±102.1</t>
  </si>
  <si>
    <t>606.7 ±188.9</t>
  </si>
  <si>
    <t>466.2 ± 80.8</t>
  </si>
  <si>
    <t>445.7 ±162.6</t>
  </si>
  <si>
    <t>354.1 ± 83.7</t>
  </si>
  <si>
    <t>409.1 ±123.8</t>
  </si>
  <si>
    <t>457.5 ± 73.1</t>
  </si>
  <si>
    <t>337.8 ± 71.9</t>
  </si>
  <si>
    <t>191.5 ± 70.2</t>
  </si>
  <si>
    <t>212.0 ± 48.3</t>
  </si>
  <si>
    <t>285.5 ± 57.3</t>
  </si>
  <si>
    <t>299.8 ± 75.0</t>
  </si>
  <si>
    <t>255.3 ± 41.5</t>
  </si>
  <si>
    <t>407.6 ±114.1</t>
  </si>
  <si>
    <t>463.5 ± 77.0</t>
  </si>
  <si>
    <t>538.9 ±104.0</t>
  </si>
  <si>
    <t>331.2 ± 98.0</t>
  </si>
  <si>
    <t>504.6 ±150.3</t>
  </si>
  <si>
    <t>343.2 ±177.4</t>
  </si>
  <si>
    <t>605.9 ±234.8</t>
  </si>
  <si>
    <t>512.4 ±131.0</t>
  </si>
  <si>
    <t>673.2 ± 217.8</t>
  </si>
  <si>
    <t>311.2 ± 68.2</t>
  </si>
  <si>
    <t>186.7 ± 47.4</t>
  </si>
  <si>
    <t>163.9 ± 39.6</t>
  </si>
  <si>
    <t>281.9 ± 71.8</t>
  </si>
  <si>
    <t>243.9 ±104.6</t>
  </si>
  <si>
    <t>306.2 ± 74.7</t>
  </si>
  <si>
    <t>401.1 ± 59.1</t>
  </si>
  <si>
    <t>439.7 ± 85.7</t>
  </si>
  <si>
    <t>304.2 ± 80.0</t>
  </si>
  <si>
    <t>365.2 ±115.5</t>
  </si>
  <si>
    <t>227.4 ± 50.2</t>
  </si>
  <si>
    <t>508.2 ±300.9</t>
  </si>
  <si>
    <t>485.7 ±141.6</t>
  </si>
  <si>
    <t>480.4 ±116.0</t>
  </si>
  <si>
    <t>408.1 ± 99.8</t>
  </si>
  <si>
    <t>353.0 ± 62.3</t>
  </si>
  <si>
    <t>189.7 ± 72.0</t>
  </si>
  <si>
    <t>203.4 ± 39.6</t>
  </si>
  <si>
    <t>251.2 ± 81.8</t>
  </si>
  <si>
    <t>273.7 ± 81.0</t>
  </si>
  <si>
    <t>380.6 ± 94.3</t>
  </si>
  <si>
    <t>417.6 ± 57.4</t>
  </si>
  <si>
    <t>340.8 ± 43.4</t>
  </si>
  <si>
    <t>155.8 ± 49.5</t>
  </si>
  <si>
    <t>383.2 ± 87.4</t>
  </si>
  <si>
    <t>369.9 ±146.1</t>
  </si>
  <si>
    <t>313.7 ±113.1</t>
  </si>
  <si>
    <t>408.1 ± 86.3</t>
  </si>
  <si>
    <t>350.0 ± 71.8</t>
  </si>
  <si>
    <t>344.8 ± 54.0</t>
  </si>
  <si>
    <t>209.8 ± 60.1</t>
  </si>
  <si>
    <t>122.9 ± 28.5</t>
  </si>
  <si>
    <t>271.5 ± 46.4</t>
  </si>
  <si>
    <t>136.6 ± 72.1</t>
  </si>
  <si>
    <t>324.0 ± 54.1</t>
  </si>
  <si>
    <t>445.6 ± 89.3</t>
  </si>
  <si>
    <t>340.0 ± 57.0</t>
  </si>
  <si>
    <t>372.2 ±110.6</t>
  </si>
  <si>
    <t>242.8 ± 79.1</t>
  </si>
  <si>
    <t>322.0 ±107.1</t>
  </si>
  <si>
    <t>409.7 ±224.6</t>
  </si>
  <si>
    <t>561.3 ±190.4</t>
  </si>
  <si>
    <t>378.4 ± 63.6</t>
  </si>
  <si>
    <t>409.5 ± 63.7</t>
  </si>
  <si>
    <t>295.5 ± 72.3</t>
  </si>
  <si>
    <t>139.0 ± 32.1</t>
  </si>
  <si>
    <t>146.6 ± 45.9</t>
  </si>
  <si>
    <t>125.5 ± 27.4</t>
  </si>
  <si>
    <t>280.6 ±102.3</t>
  </si>
  <si>
    <t>315.8 ± 55.9</t>
  </si>
  <si>
    <t>415.0 ± 86.5</t>
  </si>
  <si>
    <t>325.7 ± 93.1</t>
  </si>
  <si>
    <t>544.8 ±152.0</t>
  </si>
  <si>
    <t>489.8 ±222.3</t>
  </si>
  <si>
    <t>481.5 ±109.4</t>
  </si>
  <si>
    <t>409.7 ±205.1</t>
  </si>
  <si>
    <t>321.7 ± 78.8</t>
  </si>
  <si>
    <t>554.7 ±119.6</t>
  </si>
  <si>
    <t>458.7 ± 108.0</t>
  </si>
  <si>
    <t>569.1 ±130.7</t>
  </si>
  <si>
    <t>200.4 ± 83.8</t>
  </si>
  <si>
    <t>170.3 ± 31.0</t>
  </si>
  <si>
    <t>244.3 ± 68.0</t>
  </si>
  <si>
    <t>517.2 ±272.5</t>
  </si>
  <si>
    <t>354.7 ± 118.7</t>
  </si>
  <si>
    <t>341.5 ± 48.7</t>
  </si>
  <si>
    <t>427.4 ± 56.8</t>
  </si>
  <si>
    <t>524.2 ±133.1</t>
  </si>
  <si>
    <t>604.5 ±195.4</t>
  </si>
  <si>
    <t>430.4 ±135.7</t>
  </si>
  <si>
    <t>249.0 ±106.8</t>
  </si>
  <si>
    <t>679.6 ±150.3</t>
  </si>
  <si>
    <t>613.5 ±122.6</t>
  </si>
  <si>
    <t>329.6 ± 72.4</t>
  </si>
  <si>
    <t>460.5 ± 88.4</t>
  </si>
  <si>
    <t>150.4 ± 32.3</t>
  </si>
  <si>
    <t>141.4 ± 33.7</t>
  </si>
  <si>
    <t>292.9 ± 87.4</t>
  </si>
  <si>
    <t>303.4 ±138.7</t>
  </si>
  <si>
    <t>421.6 ± 132.3</t>
  </si>
  <si>
    <t>410.4 ± 53.0</t>
  </si>
  <si>
    <t>453.4 ±111.7</t>
  </si>
  <si>
    <t>533.5 ±149.3</t>
  </si>
  <si>
    <t>476.7 ±191.7</t>
  </si>
  <si>
    <t>371.6 ± 57.4</t>
  </si>
  <si>
    <t>573.1 ±272.4</t>
  </si>
  <si>
    <t>550.1 ±153.0</t>
  </si>
  <si>
    <t>508.1 ± 92.4</t>
  </si>
  <si>
    <t>516.3 ± 104.4</t>
  </si>
  <si>
    <t>343.6 ± 50.1</t>
  </si>
  <si>
    <t>AFT date (Ma)</t>
  </si>
  <si>
    <r>
      <t>N</t>
    </r>
    <r>
      <rPr>
        <vertAlign val="subscript"/>
        <sz val="10"/>
        <color theme="1"/>
        <rFont val="Times"/>
        <family val="1"/>
      </rPr>
      <t>i</t>
    </r>
  </si>
  <si>
    <r>
      <t>N</t>
    </r>
    <r>
      <rPr>
        <vertAlign val="subscript"/>
        <sz val="10"/>
        <color theme="1"/>
        <rFont val="Times"/>
        <family val="1"/>
      </rPr>
      <t>s</t>
    </r>
  </si>
  <si>
    <t>No.</t>
  </si>
  <si>
    <t xml:space="preserve">00-OE-41 </t>
  </si>
  <si>
    <t xml:space="preserve">00-OE-42 </t>
  </si>
  <si>
    <t xml:space="preserve">00-OE-28 </t>
  </si>
  <si>
    <t xml:space="preserve">00-OE-51 </t>
  </si>
  <si>
    <t xml:space="preserve">01-OE-38 </t>
  </si>
  <si>
    <t xml:space="preserve">01-OE-76 </t>
  </si>
  <si>
    <t xml:space="preserve">01-OE-28 </t>
  </si>
  <si>
    <t xml:space="preserve">01-OE-23 </t>
  </si>
  <si>
    <t>C50</t>
  </si>
  <si>
    <t>Table S3: AFT date modeling input</t>
  </si>
  <si>
    <t>Track length (µm)</t>
  </si>
  <si>
    <t>17-18</t>
  </si>
  <si>
    <t>16-17</t>
  </si>
  <si>
    <t>15-16</t>
  </si>
  <si>
    <t>14-15</t>
  </si>
  <si>
    <t>13-14</t>
  </si>
  <si>
    <t>12-13</t>
  </si>
  <si>
    <t>11-12</t>
  </si>
  <si>
    <t>10-11</t>
  </si>
  <si>
    <t>9-10</t>
  </si>
  <si>
    <t>8-9</t>
  </si>
  <si>
    <t>7-8</t>
  </si>
  <si>
    <t>6-7</t>
  </si>
  <si>
    <t>5-6</t>
  </si>
  <si>
    <t>4-5</t>
  </si>
  <si>
    <t>3-4</t>
  </si>
  <si>
    <t>2-3</t>
  </si>
  <si>
    <t>1-2</t>
  </si>
  <si>
    <t>0-1</t>
  </si>
  <si>
    <t>N</t>
  </si>
  <si>
    <t>Length Bin (µm)</t>
  </si>
  <si>
    <t>Table S4: Apatite fission-track lengths</t>
  </si>
  <si>
    <r>
      <t xml:space="preserve">tT path characteristics: </t>
    </r>
    <r>
      <rPr>
        <sz val="9"/>
        <color theme="1"/>
        <rFont val="Times New Roman"/>
        <family val="1"/>
      </rPr>
      <t>for basement samples, all paths 2G (2 halvings, gradual rates); for kimberlite samples 2E (2 halvings, episodic rates)</t>
    </r>
  </si>
  <si>
    <r>
      <t>Number of tT paths attempted</t>
    </r>
    <r>
      <rPr>
        <sz val="9"/>
        <color theme="1"/>
        <rFont val="Times New Roman"/>
        <family val="1"/>
      </rPr>
      <t>: Kimberlite samples - 10,000; Basement samples - (AHe) 50,000. (AHe+AFT) 50,000, except for 01-OE-104 (100,000) and 01-OE-23 (200,000). These were run with more attempts after 50,000 failed to provide sufficient fits. (AFT+TL) 50,000, unless &lt;15 good fits found, then models were run until 15 good fits (samples 01-OE-76, 01-OE-38, 01-OE-65,</t>
    </r>
    <r>
      <rPr>
        <i/>
        <sz val="9"/>
        <color theme="1"/>
        <rFont val="Times New Roman"/>
        <family val="1"/>
      </rPr>
      <t xml:space="preserve"> </t>
    </r>
    <r>
      <rPr>
        <sz val="9"/>
        <color theme="1"/>
        <rFont val="Times New Roman"/>
        <family val="1"/>
      </rPr>
      <t>00-OE-51). (AHe+AFT+TL) 100,000</t>
    </r>
  </si>
  <si>
    <r>
      <t>Statistical fitting criteria:</t>
    </r>
    <r>
      <rPr>
        <sz val="9"/>
        <color theme="1"/>
        <rFont val="Times New Roman"/>
        <family val="1"/>
      </rPr>
      <t xml:space="preserve"> Default HeFTy values. Kuiper's statistic GOF values &gt;0.05 = acceptable fits. GOF &gt;0.5 = good fits.</t>
    </r>
  </si>
  <si>
    <r>
      <t xml:space="preserve">Modeling code: </t>
    </r>
    <r>
      <rPr>
        <sz val="9"/>
        <color theme="1"/>
        <rFont val="Times New Roman"/>
        <family val="1"/>
      </rPr>
      <t>HeFTy v1.9.3</t>
    </r>
  </si>
  <si>
    <r>
      <t xml:space="preserve">FT c-axis projection: </t>
    </r>
    <r>
      <rPr>
        <sz val="9"/>
        <color theme="1"/>
        <rFont val="Times New Roman"/>
        <family val="1"/>
      </rPr>
      <t>not available</t>
    </r>
  </si>
  <si>
    <r>
      <t xml:space="preserve">FT annealing model: </t>
    </r>
    <r>
      <rPr>
        <sz val="9"/>
        <color theme="1"/>
        <rFont val="Times New Roman"/>
        <family val="1"/>
      </rPr>
      <t>Ketcham et al. (2007)</t>
    </r>
  </si>
  <si>
    <r>
      <t xml:space="preserve">He kinetic model: </t>
    </r>
    <r>
      <rPr>
        <sz val="9"/>
        <color theme="1"/>
        <rFont val="Times New Roman"/>
        <family val="1"/>
      </rPr>
      <t>RDAAM</t>
    </r>
  </si>
  <si>
    <t xml:space="preserve">2. System- and model-specific parameters </t>
  </si>
  <si>
    <t>C-axis angle: not available</t>
  </si>
  <si>
    <t>Dpar: not available</t>
  </si>
  <si>
    <t>Cl wt %: value listed in Table S2, otherwise 0.05%</t>
  </si>
  <si>
    <t>Length reduction in standard: 0.893</t>
  </si>
  <si>
    <t>Initial mean track length: 15.94 um</t>
  </si>
  <si>
    <t xml:space="preserve">AFT input: individual grain dates, confined FT counts (Ni, Ns, and zeta calibration), track lengths </t>
  </si>
  <si>
    <t>AFT data</t>
  </si>
  <si>
    <t>eU zonation: data not available</t>
  </si>
  <si>
    <t>eU (ppm): Mean eU of grains within each bin</t>
  </si>
  <si>
    <t>r (μm): Mean equivalent spherical radius of grains within each bin</t>
  </si>
  <si>
    <t xml:space="preserve">Error (Ma): For each eU bin he larger of either 12% of the mean date, or 1σ standard deviation of the dates is used. </t>
  </si>
  <si>
    <t>He dates (Ma): Uncorrected single grain AHe dates averaged within eU bins. Each mean date input as a separate constraint in HeFTy models, with the alpha-ejection of Ketcham et al. (2011)</t>
  </si>
  <si>
    <t>AHe data</t>
  </si>
  <si>
    <r>
      <t xml:space="preserve">Data treatment: </t>
    </r>
    <r>
      <rPr>
        <sz val="9"/>
        <color theme="1"/>
        <rFont val="Times New Roman"/>
        <family val="1"/>
      </rPr>
      <t>Each sample is modeled individually in HeFTy. AHe and AFT dates and track lengths simulated together for all basement samples. Only AHe data available for kimberlite samples</t>
    </r>
  </si>
  <si>
    <t>Data treatment, uncertainties, and other relevant constraints</t>
  </si>
  <si>
    <t>x</t>
  </si>
  <si>
    <t>0-10; 10-25; 25-50; &gt;50</t>
  </si>
  <si>
    <t>0-10; 10-25; 25-60; &gt;50</t>
  </si>
  <si>
    <t>0-25; 25-50; &gt;50</t>
  </si>
  <si>
    <t>---</t>
  </si>
  <si>
    <t>0-15; 15-40; &gt;40</t>
  </si>
  <si>
    <t>Tango Extension kimberlite</t>
  </si>
  <si>
    <t>0-10</t>
  </si>
  <si>
    <t>Domino kimberlite</t>
  </si>
  <si>
    <t>Track length distributions, this manusript</t>
  </si>
  <si>
    <t>AFT data, this manuscript</t>
  </si>
  <si>
    <t>eU bins for AHe data</t>
  </si>
  <si>
    <t>AHe data, this manuscript</t>
  </si>
  <si>
    <t>Samples and data used in simulations</t>
  </si>
  <si>
    <t>1. Thermochronolgic data</t>
  </si>
  <si>
    <t>Domino kimberlite sample</t>
  </si>
  <si>
    <t>Box No.</t>
  </si>
  <si>
    <t xml:space="preserve">Timing (Ma) </t>
  </si>
  <si>
    <t>Temperature (°C)</t>
  </si>
  <si>
    <t>Constraints</t>
  </si>
  <si>
    <t>Reference</t>
  </si>
  <si>
    <t xml:space="preserve">230-210 </t>
  </si>
  <si>
    <t>900-1000</t>
  </si>
  <si>
    <t>Emplacement age</t>
  </si>
  <si>
    <t>Delgaty et al., 2017</t>
  </si>
  <si>
    <t>Exploration field</t>
  </si>
  <si>
    <t xml:space="preserve">230-0 </t>
  </si>
  <si>
    <t>0-100</t>
  </si>
  <si>
    <t>Allows for post-emplacement heating from burial</t>
  </si>
  <si>
    <t>n/a</t>
  </si>
  <si>
    <t>END</t>
  </si>
  <si>
    <t>0-4</t>
  </si>
  <si>
    <t>present surface conditions</t>
  </si>
  <si>
    <t>Basement samples</t>
  </si>
  <si>
    <t>2600-2400</t>
  </si>
  <si>
    <t>300-350</t>
  </si>
  <si>
    <t>Cooling of basement through ~300°C based on mica Ar/Ar dates</t>
  </si>
  <si>
    <t>Wright et al., 1991; Smith et al., 1999; Biczok et al., 2012; Culshaw et al., 2006; Martinez &amp; York, 1990</t>
  </si>
  <si>
    <t>1*</t>
  </si>
  <si>
    <t>1100-1140</t>
  </si>
  <si>
    <t>Cooling of basement through ~300°C based on mica Ar/Ar dates for Grenville, Midcontinent Rift locations</t>
  </si>
  <si>
    <t>e.g. Queen et al., 1996</t>
  </si>
  <si>
    <t>Exploration field - all</t>
  </si>
  <si>
    <t>2400-520</t>
  </si>
  <si>
    <t>0-350</t>
  </si>
  <si>
    <t>Cooling to surface or near-surface T</t>
  </si>
  <si>
    <t>520-440</t>
  </si>
  <si>
    <t>0-30</t>
  </si>
  <si>
    <t>Age range of unconformities at N, S, and W margins of the SP. Allows for range of T at up to 1km depth. Youngest unconformity is Upper Ordovician in HBB, oldest is Middle Cambrian in Michigan basin</t>
  </si>
  <si>
    <t>Moore, 1993; Russell, 1984; Sloss, 1988</t>
  </si>
  <si>
    <t>440-186</t>
  </si>
  <si>
    <t>0-300</t>
  </si>
  <si>
    <t>Paleozoic to early Mesozoic reburial; end of the Absaroka sequence (186 Ma).</t>
  </si>
  <si>
    <t>Sloss, 1963; McDannel et al., 2018; ref's from box 1</t>
  </si>
  <si>
    <t>3 west, east</t>
  </si>
  <si>
    <t>300-160</t>
  </si>
  <si>
    <t>0-40</t>
  </si>
  <si>
    <t>Near surface after (?) Pennsylvanian to Triassic/Early Jurassic erosion</t>
  </si>
  <si>
    <t>Sloss, 1963; Sloss, 1988; Sanford, 1993</t>
  </si>
  <si>
    <t>3 central</t>
  </si>
  <si>
    <t>300-230</t>
  </si>
  <si>
    <t>Near surface after (?) Pennsylvanian to Triassic erosion. Earlier end bound to honor Triassic kimberlite emplacement (constraint 4 central)</t>
  </si>
  <si>
    <t>Exploration field - west</t>
  </si>
  <si>
    <t xml:space="preserve">160-0 </t>
  </si>
  <si>
    <t xml:space="preserve">Zuni-Tejas burial allowed, western sample locations. </t>
  </si>
  <si>
    <t>Sloss, 1963, 1988</t>
  </si>
  <si>
    <t>4 central</t>
  </si>
  <si>
    <t>230-210</t>
  </si>
  <si>
    <t>Domino kimberlite emplaced, thermal history models from AHe data constrain post emplacement T to &lt;°C</t>
  </si>
  <si>
    <t>this paper, Delgaty et al., 2017</t>
  </si>
  <si>
    <t>4 east</t>
  </si>
  <si>
    <t>160-140</t>
  </si>
  <si>
    <t>Diatreme facies Kyle Lake and Timiskaming kimberlites with Late Devonian and older xenoliths suggest &lt;~1 km depth at this time .</t>
  </si>
  <si>
    <t>Heaman &amp; Kjarsgaard, 2000; McCracken et al., 2000; Sage, 1996</t>
  </si>
  <si>
    <t>Exploration field - central</t>
  </si>
  <si>
    <t>210-0</t>
  </si>
  <si>
    <t xml:space="preserve">T &lt;30°C after Domino emplacement (From Domino HeFTy models) </t>
  </si>
  <si>
    <t>Fig. 5B this paper</t>
  </si>
  <si>
    <t>Exploration field - east</t>
  </si>
  <si>
    <t>140-0</t>
  </si>
  <si>
    <t>Zuni-Tejas burial post Kyle Lake/Timiskaming kimberlite emplacement</t>
  </si>
  <si>
    <t>Sloss, 1963, 1988; Heaman &amp; Kjarsgaard, 2000; McCracken et al., 2000; Sage, 1996</t>
  </si>
  <si>
    <t>present-day surface conditions</t>
  </si>
  <si>
    <t>West, Central, and East refer to separate model constraint sets:</t>
  </si>
  <si>
    <t>Samples in "west": A1; C50; 01-OE-5; 01-OE-108; 01-OE-104</t>
  </si>
  <si>
    <t>Samples in "central": 01-OE-23*; 01-OE-28; 01-OE-76; 01-OE-38; 01-OE-69</t>
  </si>
  <si>
    <t>Samples in "east": 01-OE-65; 00-OE-51; 00-OE-28*; 00-OE-42*; 00-OE-41*</t>
  </si>
  <si>
    <t>*indicates a 1100 Ma start time, forGrenville and Midcontinent Rift affected samples</t>
  </si>
  <si>
    <t>Table S5 - Part 1: Thermal history model input table</t>
  </si>
  <si>
    <t>3. Geologic constraints</t>
  </si>
  <si>
    <t>Table S5 - Part 2: Thermal history model input table</t>
  </si>
  <si>
    <t>Sample Name and Aliquot [a,b]</t>
  </si>
  <si>
    <t>length 1 (µm) [c]</t>
  </si>
  <si>
    <t>width 1 (µm) [d]</t>
  </si>
  <si>
    <t>length 2 (µm) [c]</t>
  </si>
  <si>
    <t>width 2 (µm) [d]</t>
  </si>
  <si>
    <t>Geom [e]</t>
  </si>
  <si>
    <t>Np [f]</t>
  </si>
  <si>
    <t>4He (fmol) [g]</t>
  </si>
  <si>
    <t>± [h]</t>
  </si>
  <si>
    <t>U (ng) [i]</t>
  </si>
  <si>
    <t>Th (ng) [j]</t>
  </si>
  <si>
    <t>147Sm (ng) [k]</t>
  </si>
  <si>
    <t>Rs (µm) [l]</t>
  </si>
  <si>
    <t>Mass (µg) [m]</t>
  </si>
  <si>
    <t>4He (nmol/g) [n]</t>
  </si>
  <si>
    <t>± [o]</t>
  </si>
  <si>
    <t>U (ppm) [n]</t>
  </si>
  <si>
    <t>Th (ppm) [n]</t>
  </si>
  <si>
    <t>Sm (ppm) [n]</t>
  </si>
  <si>
    <t>eU (ppm) [p]</t>
  </si>
  <si>
    <t>± [q]</t>
  </si>
  <si>
    <t>Uncorr Date (Ma) [r]</t>
  </si>
  <si>
    <t>Comb Ft [s]</t>
  </si>
  <si>
    <t>Corrected Date (Ma) [t]</t>
  </si>
  <si>
    <t>± TAU (Ma) 2σ [u,v]</t>
  </si>
  <si>
    <t>WESTERN BASEMENT SAMPLES</t>
  </si>
  <si>
    <r>
      <t xml:space="preserve">A1, </t>
    </r>
    <r>
      <rPr>
        <sz val="10"/>
        <color theme="1"/>
        <rFont val="Times New Roman"/>
        <family val="1"/>
      </rPr>
      <t>Archean</t>
    </r>
    <r>
      <rPr>
        <b/>
        <sz val="10"/>
        <color theme="1"/>
        <rFont val="Times New Roman"/>
        <family val="1"/>
      </rPr>
      <t xml:space="preserve"> </t>
    </r>
    <r>
      <rPr>
        <sz val="10"/>
        <color theme="1"/>
        <rFont val="Times New Roman"/>
        <family val="1"/>
      </rPr>
      <t>granodiorite, W Superior Province, 52.88°N 93.72°W</t>
    </r>
  </si>
  <si>
    <t>hex</t>
  </si>
  <si>
    <r>
      <t xml:space="preserve">C-50, </t>
    </r>
    <r>
      <rPr>
        <sz val="10"/>
        <color rgb="FF000000"/>
        <rFont val="Times New Roman"/>
        <family val="1"/>
      </rPr>
      <t>Archean hb tonalite, W Superior Province, 51.76°N 92.99°W</t>
    </r>
  </si>
  <si>
    <r>
      <t xml:space="preserve">01-OE-108, </t>
    </r>
    <r>
      <rPr>
        <sz val="10"/>
        <color theme="1"/>
        <rFont val="Times New Roman"/>
        <family val="1"/>
      </rPr>
      <t>Archean tonalite, W Superior Province, 51.40°N 90.21°W</t>
    </r>
  </si>
  <si>
    <r>
      <t>01-OE-5,</t>
    </r>
    <r>
      <rPr>
        <sz val="10"/>
        <color theme="1"/>
        <rFont val="Times New Roman"/>
        <family val="1"/>
      </rPr>
      <t xml:space="preserve"> Archean hb granite, W Superior Province, 49.65°N 94.16°W</t>
    </r>
  </si>
  <si>
    <r>
      <t xml:space="preserve">01-OE-104, </t>
    </r>
    <r>
      <rPr>
        <sz val="10"/>
        <color theme="1"/>
        <rFont val="Times New Roman"/>
        <family val="1"/>
      </rPr>
      <t>Archean</t>
    </r>
    <r>
      <rPr>
        <b/>
        <sz val="10"/>
        <color theme="1"/>
        <rFont val="Times New Roman"/>
        <family val="1"/>
      </rPr>
      <t xml:space="preserve"> </t>
    </r>
    <r>
      <rPr>
        <sz val="10"/>
        <color theme="1"/>
        <rFont val="Times New Roman"/>
        <family val="1"/>
      </rPr>
      <t>tonalite, W Superior Province, 50.33°N 90.79°W</t>
    </r>
  </si>
  <si>
    <r>
      <t>01-OE-23,</t>
    </r>
    <r>
      <rPr>
        <sz val="10"/>
        <color rgb="FF000000"/>
        <rFont val="Times New Roman"/>
        <family val="1"/>
      </rPr>
      <t xml:space="preserve"> Archean granite, Superior Province, 48.53°N 88.97°W</t>
    </r>
  </si>
  <si>
    <r>
      <t xml:space="preserve">01-OE-28, </t>
    </r>
    <r>
      <rPr>
        <sz val="10"/>
        <color rgb="FF000000"/>
        <rFont val="Times New Roman"/>
        <family val="1"/>
      </rPr>
      <t>Archean granite, Superior Province, 48.80°N 87.08°W</t>
    </r>
  </si>
  <si>
    <t>CENTRAL BASEMENT SAMPLES</t>
  </si>
  <si>
    <r>
      <t xml:space="preserve">01-OE-76, </t>
    </r>
    <r>
      <rPr>
        <sz val="10"/>
        <color rgb="FF000000"/>
        <rFont val="Times New Roman"/>
        <family val="1"/>
      </rPr>
      <t>Archean orthogneiss, Superior Province, 49.15°N 84.78°W</t>
    </r>
  </si>
  <si>
    <t>ap1</t>
  </si>
  <si>
    <t>ap2</t>
  </si>
  <si>
    <t>ap3</t>
  </si>
  <si>
    <t>ap4</t>
  </si>
  <si>
    <t>ap5</t>
  </si>
  <si>
    <r>
      <t xml:space="preserve">01-OE-69, </t>
    </r>
    <r>
      <rPr>
        <sz val="10"/>
        <color theme="1"/>
        <rFont val="Times New Roman"/>
        <family val="1"/>
      </rPr>
      <t>Archean</t>
    </r>
    <r>
      <rPr>
        <b/>
        <sz val="10"/>
        <color theme="1"/>
        <rFont val="Times New Roman"/>
        <family val="1"/>
      </rPr>
      <t xml:space="preserve"> </t>
    </r>
    <r>
      <rPr>
        <sz val="10"/>
        <color theme="1"/>
        <rFont val="Times New Roman"/>
        <family val="1"/>
      </rPr>
      <t>orthogneiss, Superior Province, 49.32°N 81.58°W</t>
    </r>
  </si>
  <si>
    <r>
      <t xml:space="preserve">01-OE-38, </t>
    </r>
    <r>
      <rPr>
        <sz val="10"/>
        <color rgb="FF000000"/>
        <rFont val="Times New Roman"/>
        <family val="1"/>
      </rPr>
      <t>Archean migmatitic gneiss, Superior Province, 47.27°N 84.56°W</t>
    </r>
  </si>
  <si>
    <t>EASTERN BASEMENT SAMPLES</t>
  </si>
  <si>
    <r>
      <t>01-OE-65,</t>
    </r>
    <r>
      <rPr>
        <sz val="10"/>
        <color theme="1"/>
        <rFont val="Times New Roman"/>
        <family val="1"/>
      </rPr>
      <t xml:space="preserve"> Archean granite, Superior Province, 47.65°N 80.76°W</t>
    </r>
  </si>
  <si>
    <r>
      <t xml:space="preserve">00-OE-51, </t>
    </r>
    <r>
      <rPr>
        <sz val="10"/>
        <color theme="1"/>
        <rFont val="Times New Roman"/>
        <family val="1"/>
      </rPr>
      <t>Archean granite, E Superior Province, 47.1240°N 79.7856°W</t>
    </r>
  </si>
  <si>
    <r>
      <t xml:space="preserve">00-OE-42, </t>
    </r>
    <r>
      <rPr>
        <sz val="10"/>
        <color theme="1"/>
        <rFont val="Times New Roman"/>
        <family val="1"/>
      </rPr>
      <t>Mesoproterozoic felsic gneiss, Grenville Province, 45.5106°N 78.8436°W</t>
    </r>
  </si>
  <si>
    <r>
      <t xml:space="preserve">00-OE-28, </t>
    </r>
    <r>
      <rPr>
        <sz val="10"/>
        <color theme="1"/>
        <rFont val="Times New Roman"/>
        <family val="1"/>
      </rPr>
      <t xml:space="preserve"> Mesoproterozoic orthogneiss, Grenville Province, 46.2094°N 77.8875°W</t>
    </r>
  </si>
  <si>
    <r>
      <t xml:space="preserve">00-OE-28, </t>
    </r>
    <r>
      <rPr>
        <sz val="10"/>
        <color rgb="FF000000"/>
        <rFont val="Times New Roman"/>
        <family val="1"/>
      </rPr>
      <t xml:space="preserve"> Mesoproterozoic orthogneiss, Grenville Province, 46.2094°N 77.8875°W</t>
    </r>
  </si>
  <si>
    <r>
      <t xml:space="preserve">Domino kimberlite (PDC-15-010), </t>
    </r>
    <r>
      <rPr>
        <sz val="10"/>
        <color rgb="FF000000"/>
        <rFont val="Times New Roman"/>
        <family val="1"/>
      </rPr>
      <t>Triassic</t>
    </r>
    <r>
      <rPr>
        <b/>
        <sz val="10"/>
        <color rgb="FF000000"/>
        <rFont val="Times New Roman"/>
        <family val="1"/>
      </rPr>
      <t xml:space="preserve"> </t>
    </r>
    <r>
      <rPr>
        <sz val="10"/>
        <color rgb="FF000000"/>
        <rFont val="Times New Roman"/>
        <family val="1"/>
      </rPr>
      <t>kimberlite, Central Superior Province, 49.605913°N 85.955859°W</t>
    </r>
  </si>
  <si>
    <t>b - Sample and mineral being analyzed. a is apatite.</t>
  </si>
  <si>
    <t>c - Length is measured parallel to the c-axis and includes pyramidal terminations. It is measured twice on two perpendicular sides.</t>
  </si>
  <si>
    <t>d - Width 1 is measured perpendicular to the c-axis. Width 2 is measured perpendicular to both the c-axis and width 1.</t>
  </si>
  <si>
    <t>e - A hexagonal prism geometry was assumed for all apatite grains</t>
  </si>
  <si>
    <t>f - Np denotes the number of pyramidal terminations of the grain.</t>
  </si>
  <si>
    <t>g - Blank-corrected 4He</t>
  </si>
  <si>
    <t>h - Uncertainties on 4He, U, Th, and Sm are reported as the 1s standard deviation and include the propagated uncertainties on the measurements of the sample, blank, spike, and standard.</t>
  </si>
  <si>
    <t>i - Total blank-corrected ng of 238U and 235U. Total 238U is measured and 235U is calculated assuming 235U = 238U/137.818 after Hiess et al. (2012).</t>
  </si>
  <si>
    <t>j - Total blank-corrected ng of 232Th</t>
  </si>
  <si>
    <t>k - Total blank-corrected ng of 147Sm. In some cases Sm may not be measured, for example in minerals like zircon with negligible Sm. n.m. indicates when Sm is not measured.</t>
  </si>
  <si>
    <t>l - Rs is the radius of a sphere with an equivalent surface area to volume ratio as the analyzed grain</t>
  </si>
  <si>
    <t>m - Mass is the mass of the crystal. Determined from the measured grain dimensions and assuming a hexagonal prism grain geometry.</t>
  </si>
  <si>
    <t>n - Concentration of each element (He, U, Th and Sm) computed from the mass and the absolute amount of the measured isotopes (where 147Sm is 0.15 of the total Sm reported here).</t>
  </si>
  <si>
    <t>o - Uncertainties on U, Th, Sm, and He concentrations are reported at 2s and include the propagated total analytical uncertainties (TAU).</t>
  </si>
  <si>
    <t>p -  eU is effective uranium concentration. Calculated as U + 0.238*Th + 0.0012*Sm after Appendix A of Cooperdock et al. (2019).</t>
  </si>
  <si>
    <t>q - Uncertainty on eU is estimated at 15% of the eU value.</t>
  </si>
  <si>
    <t>s - The combined alpha-ejection correction for the crystal is calculated using the equations of Farley et al. (1996)</t>
  </si>
  <si>
    <t>t - The corrected (U-Th)/He date is calculated using the equations of Meesters and Dunai (2005)</t>
  </si>
  <si>
    <t xml:space="preserve">u - Uncertainty on the corrected (U-Th)/He date is reported at 2s and includes the propagated total analytical uncertainties (TAU) on the U, Th, Sm and He measurements. </t>
  </si>
  <si>
    <t>a - This table follows the reporting recommendations of Flowers et al. (2022a).</t>
  </si>
  <si>
    <t>r -  The uncorrected (U-Th)/He date is calculated using the equations of Meesters and Dunai (2005)</t>
  </si>
  <si>
    <t>v - Durango apatite fragments ran in conjunction with these analyses yield an unweighted mean and 2s standard error of 30.1 ± 0.5 Ma (n=44).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</si>
</sst>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3">
    <font>
      <sz val="12"/>
      <color theme="1"/>
      <name val="Calibri"/>
      <family val="2"/>
      <scheme val="minor"/>
    </font>
    <font>
      <sz val="9"/>
      <color theme="1"/>
      <name val="Times New Roman"/>
      <family val="1"/>
    </font>
    <font>
      <b/>
      <sz val="9"/>
      <color theme="1"/>
      <name val="Times New Roman"/>
      <family val="1"/>
    </font>
    <font>
      <sz val="9"/>
      <name val="Times New Roman"/>
      <family val="1"/>
    </font>
    <font>
      <vertAlign val="superscript"/>
      <sz val="9"/>
      <name val="Times New Roman"/>
      <family val="1"/>
    </font>
    <font>
      <sz val="9"/>
      <color theme="1"/>
      <name val="Calibri"/>
      <family val="2"/>
      <scheme val="minor"/>
    </font>
    <font>
      <i/>
      <sz val="9"/>
      <color theme="1"/>
      <name val="Times New Roman"/>
      <family val="1"/>
    </font>
    <font>
      <sz val="11"/>
      <color theme="1"/>
      <name val="Times New Roman"/>
      <family val="1"/>
    </font>
    <font>
      <vertAlign val="subscript"/>
      <sz val="9"/>
      <name val="Times New Roman"/>
      <family val="1"/>
    </font>
    <font>
      <b/>
      <sz val="9"/>
      <name val="Times New Roman"/>
      <family val="1"/>
    </font>
    <font>
      <sz val="10"/>
      <name val="Times"/>
      <family val="1"/>
    </font>
    <font>
      <sz val="10"/>
      <name val="Symbol"/>
      <charset val="2"/>
    </font>
    <font>
      <b/>
      <sz val="10"/>
      <name val="Times"/>
      <family val="1"/>
    </font>
    <font>
      <sz val="10"/>
      <color theme="1"/>
      <name val="Calibri"/>
      <family val="2"/>
      <scheme val="minor"/>
    </font>
    <font>
      <sz val="10"/>
      <color theme="1"/>
      <name val="Times New Roman"/>
      <family val="1"/>
    </font>
    <font>
      <vertAlign val="subscript"/>
      <sz val="10"/>
      <color theme="1"/>
      <name val="Times New Roman"/>
      <family val="1"/>
    </font>
    <font>
      <sz val="10"/>
      <color theme="1"/>
      <name val="Times"/>
      <family val="1"/>
    </font>
    <font>
      <vertAlign val="subscript"/>
      <sz val="10"/>
      <color theme="1"/>
      <name val="Times"/>
      <family val="1"/>
    </font>
    <font>
      <b/>
      <sz val="10"/>
      <color theme="1"/>
      <name val="Times"/>
      <family val="1"/>
    </font>
    <font>
      <b/>
      <sz val="10"/>
      <color theme="1"/>
      <name val="Times New Roman"/>
      <family val="1"/>
    </font>
    <font>
      <b/>
      <sz val="12"/>
      <color theme="1"/>
      <name val="Times New Roman"/>
      <family val="1"/>
    </font>
    <font>
      <b/>
      <sz val="9"/>
      <color theme="1"/>
      <name val="Times"/>
      <family val="1"/>
    </font>
    <font>
      <b/>
      <sz val="9"/>
      <color theme="1"/>
      <name val="Calibri"/>
      <family val="2"/>
      <scheme val="minor"/>
    </font>
    <font>
      <b/>
      <i/>
      <sz val="9"/>
      <color theme="1"/>
      <name val="Times New Roman"/>
      <family val="1"/>
    </font>
    <font>
      <sz val="8"/>
      <color theme="1"/>
      <name val="Times New Roman"/>
      <family val="1"/>
    </font>
    <font>
      <sz val="9"/>
      <color theme="1"/>
      <name val="Times Roman"/>
    </font>
    <font>
      <i/>
      <sz val="11"/>
      <color theme="1"/>
      <name val="Times New Roman"/>
      <family val="1"/>
    </font>
    <font>
      <u/>
      <sz val="9"/>
      <color theme="1"/>
      <name val="Times New Roman"/>
      <family val="1"/>
    </font>
    <font>
      <sz val="11"/>
      <color theme="1"/>
      <name val="Calibri"/>
      <family val="2"/>
      <scheme val="minor"/>
    </font>
    <font>
      <b/>
      <sz val="10"/>
      <name val="Times New Roman"/>
      <family val="1"/>
    </font>
    <font>
      <sz val="10"/>
      <name val="Times New Roman"/>
      <family val="1"/>
    </font>
    <font>
      <b/>
      <sz val="10"/>
      <color rgb="FF000000"/>
      <name val="Times New Roman"/>
      <family val="1"/>
    </font>
    <font>
      <sz val="10"/>
      <color rgb="FF000000"/>
      <name val="Times New Roman"/>
      <family val="1"/>
    </font>
  </fonts>
  <fills count="2">
    <fill>
      <patternFill patternType="none"/>
    </fill>
    <fill>
      <patternFill patternType="gray125"/>
    </fill>
  </fills>
  <borders count="13">
    <border>
      <left/>
      <right/>
      <top/>
      <bottom/>
      <diagonal/>
    </border>
    <border>
      <left/>
      <right/>
      <top/>
      <bottom style="thin">
        <color auto="1"/>
      </bottom>
      <diagonal/>
    </border>
    <border>
      <left/>
      <right/>
      <top style="thin">
        <color auto="1"/>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style="thin">
        <color rgb="FF000000"/>
      </bottom>
      <diagonal/>
    </border>
  </borders>
  <cellStyleXfs count="2">
    <xf numFmtId="0" fontId="0" fillId="0" borderId="0"/>
    <xf numFmtId="0" fontId="28" fillId="0" borderId="0"/>
  </cellStyleXfs>
  <cellXfs count="180">
    <xf numFmtId="0" fontId="0" fillId="0" borderId="0" xfId="0"/>
    <xf numFmtId="0" fontId="1" fillId="0" borderId="0" xfId="0" applyFont="1"/>
    <xf numFmtId="0" fontId="1" fillId="0" borderId="0" xfId="0" applyFont="1" applyAlignment="1">
      <alignment horizontal="center"/>
    </xf>
    <xf numFmtId="2" fontId="1" fillId="0" borderId="0" xfId="0" applyNumberFormat="1" applyFont="1" applyAlignment="1">
      <alignment horizontal="center"/>
    </xf>
    <xf numFmtId="0" fontId="1" fillId="0" borderId="0" xfId="0" applyFont="1" applyAlignment="1">
      <alignment horizontal="center" vertical="center"/>
    </xf>
    <xf numFmtId="0" fontId="2" fillId="0" borderId="0" xfId="0" applyFont="1"/>
    <xf numFmtId="0" fontId="1" fillId="0" borderId="1" xfId="0" applyFont="1" applyBorder="1"/>
    <xf numFmtId="2" fontId="3" fillId="0" borderId="0" xfId="0" applyNumberFormat="1" applyFont="1" applyAlignment="1">
      <alignment horizontal="center"/>
    </xf>
    <xf numFmtId="1" fontId="3" fillId="0" borderId="0" xfId="0" applyNumberFormat="1"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xf numFmtId="0" fontId="6" fillId="0" borderId="0" xfId="0" applyFont="1"/>
    <xf numFmtId="0" fontId="2" fillId="0" borderId="0" xfId="0" applyFont="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3" fillId="0" borderId="2" xfId="0" applyFont="1" applyBorder="1" applyAlignment="1">
      <alignment horizontal="center"/>
    </xf>
    <xf numFmtId="0" fontId="3" fillId="0" borderId="2" xfId="0" applyFont="1" applyBorder="1"/>
    <xf numFmtId="0" fontId="3" fillId="0" borderId="1" xfId="0" applyFont="1" applyBorder="1" applyAlignment="1">
      <alignment horizontal="center"/>
    </xf>
    <xf numFmtId="0" fontId="3" fillId="0" borderId="0" xfId="0" applyFont="1"/>
    <xf numFmtId="0" fontId="3" fillId="0" borderId="0" xfId="0" applyFont="1" applyAlignment="1">
      <alignment horizontal="center"/>
    </xf>
    <xf numFmtId="164" fontId="3" fillId="0" borderId="0" xfId="0" applyNumberFormat="1" applyFont="1" applyAlignment="1">
      <alignment horizontal="center"/>
    </xf>
    <xf numFmtId="0" fontId="9" fillId="0" borderId="0" xfId="0" applyFont="1" applyAlignment="1">
      <alignment horizontal="center"/>
    </xf>
    <xf numFmtId="0" fontId="3" fillId="0" borderId="0" xfId="0" applyFont="1" applyAlignment="1">
      <alignment vertical="top"/>
    </xf>
    <xf numFmtId="2" fontId="9" fillId="0" borderId="0" xfId="0" applyNumberFormat="1" applyFont="1" applyAlignment="1">
      <alignment horizontal="center"/>
    </xf>
    <xf numFmtId="0" fontId="10" fillId="0" borderId="0" xfId="0" applyFont="1" applyAlignment="1">
      <alignment horizontal="center"/>
    </xf>
    <xf numFmtId="0" fontId="9" fillId="0" borderId="2" xfId="0" applyFont="1" applyBorder="1"/>
    <xf numFmtId="0" fontId="0" fillId="0" borderId="2" xfId="0" applyBorder="1"/>
    <xf numFmtId="0" fontId="9" fillId="0" borderId="0" xfId="0" applyFont="1"/>
    <xf numFmtId="0" fontId="3" fillId="0" borderId="1" xfId="0" applyFont="1" applyBorder="1"/>
    <xf numFmtId="0" fontId="4" fillId="0" borderId="1" xfId="0" applyFont="1" applyBorder="1"/>
    <xf numFmtId="0" fontId="9" fillId="0" borderId="1" xfId="0" applyFont="1" applyBorder="1"/>
    <xf numFmtId="0" fontId="0" fillId="0" borderId="1" xfId="0" applyBorder="1"/>
    <xf numFmtId="0" fontId="11" fillId="0" borderId="0" xfId="0" applyFont="1" applyAlignment="1">
      <alignment horizontal="center"/>
    </xf>
    <xf numFmtId="0" fontId="12" fillId="0" borderId="0" xfId="0" applyFont="1"/>
    <xf numFmtId="0" fontId="13" fillId="0" borderId="0" xfId="0" applyFont="1"/>
    <xf numFmtId="0" fontId="14" fillId="0" borderId="0" xfId="0" applyFont="1"/>
    <xf numFmtId="0" fontId="16" fillId="0" borderId="0" xfId="0" applyFont="1" applyAlignment="1">
      <alignment vertical="center"/>
    </xf>
    <xf numFmtId="0" fontId="14" fillId="0" borderId="0" xfId="0" applyFont="1" applyAlignment="1">
      <alignment vertical="center"/>
    </xf>
    <xf numFmtId="0" fontId="0" fillId="0" borderId="3" xfId="0" applyBorder="1"/>
    <xf numFmtId="0" fontId="14" fillId="0" borderId="1" xfId="0" applyFont="1" applyBorder="1"/>
    <xf numFmtId="0" fontId="14" fillId="0" borderId="4" xfId="0" applyFont="1" applyBorder="1" applyAlignment="1">
      <alignment vertical="center"/>
    </xf>
    <xf numFmtId="0" fontId="14" fillId="0" borderId="4" xfId="0" applyFont="1" applyBorder="1"/>
    <xf numFmtId="0" fontId="14" fillId="0" borderId="1" xfId="0" applyFont="1" applyBorder="1" applyAlignment="1">
      <alignment vertical="center"/>
    </xf>
    <xf numFmtId="0" fontId="14" fillId="0" borderId="3" xfId="0" applyFont="1" applyBorder="1"/>
    <xf numFmtId="0" fontId="0" fillId="0" borderId="5" xfId="0" applyBorder="1"/>
    <xf numFmtId="0" fontId="14" fillId="0" borderId="6" xfId="0" applyFont="1" applyBorder="1"/>
    <xf numFmtId="0" fontId="14" fillId="0" borderId="2" xfId="0" applyFont="1" applyBorder="1"/>
    <xf numFmtId="0" fontId="14" fillId="0" borderId="5" xfId="0" applyFont="1" applyBorder="1"/>
    <xf numFmtId="0" fontId="0" fillId="0" borderId="7" xfId="0" applyBorder="1"/>
    <xf numFmtId="0" fontId="0" fillId="0" borderId="8" xfId="0" applyBorder="1"/>
    <xf numFmtId="0" fontId="16" fillId="0" borderId="0" xfId="0" applyFont="1"/>
    <xf numFmtId="0" fontId="14" fillId="0" borderId="8" xfId="0" applyFont="1" applyBorder="1"/>
    <xf numFmtId="0" fontId="0" fillId="0" borderId="4" xfId="0" applyBorder="1"/>
    <xf numFmtId="0" fontId="16" fillId="0" borderId="7" xfId="0" applyFont="1" applyBorder="1" applyAlignment="1">
      <alignment vertical="center"/>
    </xf>
    <xf numFmtId="0" fontId="16" fillId="0" borderId="8" xfId="0" applyFont="1" applyBorder="1" applyAlignment="1">
      <alignment vertical="center"/>
    </xf>
    <xf numFmtId="0" fontId="14" fillId="0" borderId="7" xfId="0" applyFont="1" applyBorder="1" applyAlignment="1">
      <alignment vertical="center"/>
    </xf>
    <xf numFmtId="0" fontId="16" fillId="0" borderId="6" xfId="0" applyFont="1" applyBorder="1" applyAlignment="1">
      <alignment vertical="center"/>
    </xf>
    <xf numFmtId="0" fontId="16" fillId="0" borderId="5" xfId="0" applyFont="1" applyBorder="1" applyAlignment="1">
      <alignment vertical="center"/>
    </xf>
    <xf numFmtId="0" fontId="16" fillId="0" borderId="9" xfId="0" applyFont="1" applyBorder="1" applyAlignment="1">
      <alignment vertical="center"/>
    </xf>
    <xf numFmtId="0" fontId="16" fillId="0" borderId="10" xfId="0" applyFont="1" applyBorder="1" applyAlignment="1">
      <alignment vertical="center"/>
    </xf>
    <xf numFmtId="0" fontId="16" fillId="0" borderId="11" xfId="0" applyFont="1" applyBorder="1" applyAlignment="1">
      <alignment vertical="center"/>
    </xf>
    <xf numFmtId="0" fontId="0" fillId="0" borderId="9" xfId="0" applyBorder="1"/>
    <xf numFmtId="0" fontId="0" fillId="0" borderId="10" xfId="0" applyBorder="1"/>
    <xf numFmtId="0" fontId="18" fillId="0" borderId="10" xfId="0" applyFont="1" applyBorder="1" applyAlignment="1">
      <alignment vertical="center"/>
    </xf>
    <xf numFmtId="0" fontId="18" fillId="0" borderId="11" xfId="0" applyFont="1" applyBorder="1" applyAlignment="1">
      <alignment vertical="center"/>
    </xf>
    <xf numFmtId="0" fontId="19" fillId="0" borderId="10" xfId="0" applyFont="1" applyBorder="1"/>
    <xf numFmtId="0" fontId="18" fillId="0" borderId="11" xfId="0" applyFont="1" applyBorder="1"/>
    <xf numFmtId="0" fontId="14" fillId="0" borderId="10" xfId="0" applyFont="1" applyBorder="1"/>
    <xf numFmtId="0" fontId="14" fillId="0" borderId="9" xfId="0" applyFont="1" applyBorder="1"/>
    <xf numFmtId="0" fontId="19" fillId="0" borderId="11" xfId="0" applyFont="1" applyBorder="1"/>
    <xf numFmtId="0" fontId="20" fillId="0" borderId="0" xfId="0" applyFont="1"/>
    <xf numFmtId="0" fontId="1" fillId="0" borderId="7" xfId="0" applyFont="1" applyBorder="1" applyAlignment="1">
      <alignment vertical="center"/>
    </xf>
    <xf numFmtId="0" fontId="1" fillId="0" borderId="0" xfId="0" applyFont="1" applyAlignment="1">
      <alignment vertical="center"/>
    </xf>
    <xf numFmtId="0" fontId="1" fillId="0" borderId="8" xfId="0" applyFont="1" applyBorder="1" applyAlignment="1">
      <alignment vertical="center"/>
    </xf>
    <xf numFmtId="0" fontId="1" fillId="0" borderId="8" xfId="0" applyFont="1" applyBorder="1"/>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9" xfId="0" applyFont="1" applyBorder="1"/>
    <xf numFmtId="0" fontId="2" fillId="0" borderId="10" xfId="0" applyFont="1" applyBorder="1" applyAlignment="1">
      <alignment vertical="center"/>
    </xf>
    <xf numFmtId="0" fontId="2" fillId="0" borderId="11" xfId="0" applyFont="1" applyBorder="1" applyAlignment="1">
      <alignment vertical="center"/>
    </xf>
    <xf numFmtId="0" fontId="2" fillId="0" borderId="11" xfId="0" applyFont="1" applyBorder="1"/>
    <xf numFmtId="0" fontId="1" fillId="0" borderId="10" xfId="0" applyFont="1" applyBorder="1"/>
    <xf numFmtId="49" fontId="3" fillId="0" borderId="8" xfId="0" applyNumberFormat="1" applyFont="1" applyBorder="1" applyAlignment="1">
      <alignment horizontal="center"/>
    </xf>
    <xf numFmtId="0" fontId="1" fillId="0" borderId="5" xfId="0" applyFont="1" applyBorder="1" applyAlignment="1">
      <alignment vertical="center"/>
    </xf>
    <xf numFmtId="49" fontId="1" fillId="0" borderId="8" xfId="0" applyNumberFormat="1" applyFont="1" applyBorder="1" applyAlignment="1">
      <alignment horizontal="center"/>
    </xf>
    <xf numFmtId="0" fontId="1" fillId="0" borderId="6" xfId="0" applyFont="1" applyBorder="1"/>
    <xf numFmtId="1" fontId="1" fillId="0" borderId="2" xfId="0" applyNumberFormat="1" applyFont="1" applyBorder="1" applyAlignment="1">
      <alignment horizontal="center"/>
    </xf>
    <xf numFmtId="0" fontId="1" fillId="0" borderId="10" xfId="0" applyFont="1" applyBorder="1" applyAlignment="1">
      <alignment horizontal="center" vertical="center"/>
    </xf>
    <xf numFmtId="0" fontId="5" fillId="0" borderId="9" xfId="0" applyFont="1" applyBorder="1"/>
    <xf numFmtId="0" fontId="21" fillId="0" borderId="10" xfId="0" applyFont="1" applyBorder="1" applyAlignment="1">
      <alignment vertical="center"/>
    </xf>
    <xf numFmtId="0" fontId="21" fillId="0" borderId="11" xfId="0" applyFont="1" applyBorder="1" applyAlignment="1">
      <alignment vertical="center"/>
    </xf>
    <xf numFmtId="0" fontId="5" fillId="0" borderId="10" xfId="0" applyFont="1" applyBorder="1"/>
    <xf numFmtId="0" fontId="2" fillId="0" borderId="10" xfId="0" applyFont="1" applyBorder="1"/>
    <xf numFmtId="0" fontId="21" fillId="0" borderId="11" xfId="0" applyFont="1" applyBorder="1"/>
    <xf numFmtId="0" fontId="6" fillId="0" borderId="0" xfId="0" applyFont="1" applyAlignment="1">
      <alignment vertical="center"/>
    </xf>
    <xf numFmtId="0" fontId="22" fillId="0" borderId="10" xfId="0" applyFont="1" applyBorder="1"/>
    <xf numFmtId="0" fontId="23" fillId="0" borderId="0" xfId="0" applyFont="1"/>
    <xf numFmtId="0" fontId="24" fillId="0" borderId="0" xfId="0" applyFont="1" applyAlignment="1">
      <alignment horizontal="center" vertical="center"/>
    </xf>
    <xf numFmtId="0" fontId="25" fillId="0" borderId="0" xfId="0" applyFont="1"/>
    <xf numFmtId="0" fontId="3" fillId="0" borderId="0" xfId="0" applyFont="1" applyAlignment="1">
      <alignment vertical="center"/>
    </xf>
    <xf numFmtId="0" fontId="24" fillId="0" borderId="0" xfId="0" quotePrefix="1" applyFont="1" applyAlignment="1">
      <alignment horizontal="center" vertical="center"/>
    </xf>
    <xf numFmtId="0" fontId="25" fillId="0" borderId="0" xfId="0" applyFont="1" applyAlignment="1">
      <alignment vertical="center"/>
    </xf>
    <xf numFmtId="0" fontId="1" fillId="0" borderId="0" xfId="0" applyFont="1"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23" fillId="0" borderId="1" xfId="0" applyFont="1" applyBorder="1" applyAlignment="1">
      <alignment horizontal="left"/>
    </xf>
    <xf numFmtId="0" fontId="1" fillId="0" borderId="2" xfId="0" applyFont="1" applyBorder="1"/>
    <xf numFmtId="0" fontId="2" fillId="0" borderId="2" xfId="0" applyFont="1" applyBorder="1" applyAlignment="1">
      <alignment horizontal="left"/>
    </xf>
    <xf numFmtId="0" fontId="2" fillId="0" borderId="10" xfId="0" applyFont="1" applyBorder="1" applyAlignment="1">
      <alignment horizontal="left"/>
    </xf>
    <xf numFmtId="0" fontId="1" fillId="0" borderId="10" xfId="0" applyFont="1" applyBorder="1" applyAlignment="1">
      <alignment horizontal="center"/>
    </xf>
    <xf numFmtId="2" fontId="1" fillId="0" borderId="10" xfId="0" applyNumberFormat="1" applyFont="1" applyBorder="1" applyAlignment="1">
      <alignment horizontal="center"/>
    </xf>
    <xf numFmtId="0" fontId="1" fillId="0" borderId="3"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xf>
    <xf numFmtId="0" fontId="1" fillId="0" borderId="3" xfId="0" applyFont="1" applyBorder="1" applyAlignment="1">
      <alignment horizontal="center" vertical="center" wrapText="1"/>
    </xf>
    <xf numFmtId="0" fontId="1" fillId="0" borderId="1" xfId="0" applyFont="1" applyBorder="1" applyAlignment="1">
      <alignment horizontal="left" vertical="center" wrapText="1"/>
    </xf>
    <xf numFmtId="0" fontId="1" fillId="0" borderId="9" xfId="0" applyFont="1" applyBorder="1" applyAlignment="1">
      <alignment horizontal="center" vertical="center"/>
    </xf>
    <xf numFmtId="0" fontId="1" fillId="0" borderId="10" xfId="0" applyFont="1" applyBorder="1" applyAlignment="1">
      <alignment horizontal="left" vertical="center"/>
    </xf>
    <xf numFmtId="0" fontId="1" fillId="0" borderId="1" xfId="0" applyFont="1" applyBorder="1" applyAlignment="1">
      <alignment vertical="center" wrapText="1"/>
    </xf>
    <xf numFmtId="0" fontId="1" fillId="0" borderId="10" xfId="0" applyFont="1" applyBorder="1" applyAlignment="1">
      <alignment vertical="center" wrapText="1"/>
    </xf>
    <xf numFmtId="0" fontId="1" fillId="0" borderId="10" xfId="0" applyFont="1" applyBorder="1" applyAlignment="1">
      <alignment horizontal="center" vertical="center" wrapText="1"/>
    </xf>
    <xf numFmtId="0" fontId="1" fillId="0" borderId="9" xfId="0" applyFont="1" applyBorder="1" applyAlignment="1">
      <alignment horizontal="center" vertical="center" wrapText="1"/>
    </xf>
    <xf numFmtId="0" fontId="1" fillId="0" borderId="1" xfId="0" applyFont="1" applyBorder="1" applyAlignment="1">
      <alignment vertical="center"/>
    </xf>
    <xf numFmtId="0" fontId="27" fillId="0" borderId="0" xfId="0" applyFont="1"/>
    <xf numFmtId="0" fontId="19" fillId="0" borderId="0" xfId="1" applyFont="1" applyAlignment="1">
      <alignment horizontal="left"/>
    </xf>
    <xf numFmtId="0" fontId="7" fillId="0" borderId="0" xfId="1" applyFont="1"/>
    <xf numFmtId="0" fontId="28" fillId="0" borderId="0" xfId="1"/>
    <xf numFmtId="0" fontId="29" fillId="0" borderId="12" xfId="1" applyFont="1" applyBorder="1" applyAlignment="1">
      <alignment horizontal="center" vertical="center" wrapText="1"/>
    </xf>
    <xf numFmtId="0" fontId="29" fillId="0" borderId="0" xfId="1" applyFont="1" applyAlignment="1">
      <alignment horizontal="center" vertical="center" wrapText="1"/>
    </xf>
    <xf numFmtId="0" fontId="19" fillId="0" borderId="0" xfId="1" applyFont="1"/>
    <xf numFmtId="0" fontId="14" fillId="0" borderId="0" xfId="1" applyFont="1"/>
    <xf numFmtId="0" fontId="13" fillId="0" borderId="0" xfId="1" applyFont="1"/>
    <xf numFmtId="0" fontId="30" fillId="0" borderId="0" xfId="1" applyFont="1"/>
    <xf numFmtId="1" fontId="30" fillId="0" borderId="0" xfId="1" applyNumberFormat="1" applyFont="1" applyAlignment="1">
      <alignment horizontal="center"/>
    </xf>
    <xf numFmtId="0" fontId="30" fillId="0" borderId="0" xfId="1" applyFont="1" applyAlignment="1">
      <alignment horizontal="center"/>
    </xf>
    <xf numFmtId="0" fontId="14" fillId="0" borderId="0" xfId="1" applyFont="1" applyAlignment="1">
      <alignment horizontal="center" vertical="center"/>
    </xf>
    <xf numFmtId="2" fontId="30" fillId="0" borderId="0" xfId="1" applyNumberFormat="1" applyFont="1" applyAlignment="1">
      <alignment horizontal="center"/>
    </xf>
    <xf numFmtId="164" fontId="30" fillId="0" borderId="0" xfId="1" applyNumberFormat="1" applyFont="1" applyAlignment="1">
      <alignment horizontal="center"/>
    </xf>
    <xf numFmtId="1" fontId="14" fillId="0" borderId="0" xfId="1" applyNumberFormat="1" applyFont="1" applyAlignment="1">
      <alignment horizontal="center" vertical="center"/>
    </xf>
    <xf numFmtId="165" fontId="14" fillId="0" borderId="0" xfId="1" applyNumberFormat="1" applyFont="1" applyAlignment="1">
      <alignment horizontal="center" vertical="center"/>
    </xf>
    <xf numFmtId="2" fontId="14" fillId="0" borderId="0" xfId="1" applyNumberFormat="1" applyFont="1" applyAlignment="1">
      <alignment horizontal="center" vertical="center"/>
    </xf>
    <xf numFmtId="165" fontId="14" fillId="0" borderId="0" xfId="1" applyNumberFormat="1" applyFont="1" applyAlignment="1">
      <alignment horizontal="center"/>
    </xf>
    <xf numFmtId="165" fontId="30" fillId="0" borderId="0" xfId="1" applyNumberFormat="1" applyFont="1" applyAlignment="1">
      <alignment horizontal="center"/>
    </xf>
    <xf numFmtId="165" fontId="13" fillId="0" borderId="0" xfId="1" applyNumberFormat="1" applyFont="1"/>
    <xf numFmtId="2" fontId="14" fillId="0" borderId="0" xfId="1" applyNumberFormat="1" applyFont="1" applyAlignment="1">
      <alignment horizontal="center"/>
    </xf>
    <xf numFmtId="0" fontId="31" fillId="0" borderId="0" xfId="1" applyFont="1"/>
    <xf numFmtId="1" fontId="14" fillId="0" borderId="0" xfId="1" applyNumberFormat="1" applyFont="1"/>
    <xf numFmtId="2" fontId="14" fillId="0" borderId="0" xfId="1" applyNumberFormat="1" applyFont="1"/>
    <xf numFmtId="164" fontId="14" fillId="0" borderId="0" xfId="1" applyNumberFormat="1" applyFont="1"/>
    <xf numFmtId="165" fontId="14" fillId="0" borderId="0" xfId="1" applyNumberFormat="1" applyFont="1"/>
    <xf numFmtId="0" fontId="14" fillId="0" borderId="0" xfId="1" applyFont="1" applyAlignment="1">
      <alignment horizontal="center"/>
    </xf>
    <xf numFmtId="1" fontId="14" fillId="0" borderId="0" xfId="1" applyNumberFormat="1" applyFont="1" applyAlignment="1">
      <alignment horizontal="center"/>
    </xf>
    <xf numFmtId="165" fontId="28" fillId="0" borderId="0" xfId="1" applyNumberFormat="1"/>
    <xf numFmtId="0" fontId="29" fillId="0" borderId="0" xfId="1" applyFont="1"/>
    <xf numFmtId="164" fontId="14" fillId="0" borderId="0" xfId="1" applyNumberFormat="1" applyFont="1" applyAlignment="1">
      <alignment horizontal="center" vertical="center"/>
    </xf>
    <xf numFmtId="0" fontId="14" fillId="0" borderId="1" xfId="1" applyFont="1" applyBorder="1" applyAlignment="1">
      <alignment horizontal="center"/>
    </xf>
    <xf numFmtId="1" fontId="13" fillId="0" borderId="0" xfId="1" applyNumberFormat="1" applyFont="1"/>
    <xf numFmtId="0" fontId="13" fillId="0" borderId="0" xfId="1" applyFont="1" applyAlignment="1">
      <alignment horizontal="center"/>
    </xf>
    <xf numFmtId="1" fontId="13" fillId="0" borderId="0" xfId="1" applyNumberFormat="1" applyFont="1" applyAlignment="1">
      <alignment horizontal="center"/>
    </xf>
    <xf numFmtId="2" fontId="13" fillId="0" borderId="0" xfId="1" applyNumberFormat="1" applyFont="1" applyAlignment="1">
      <alignment horizontal="center"/>
    </xf>
    <xf numFmtId="2" fontId="13" fillId="0" borderId="0" xfId="1" applyNumberFormat="1" applyFont="1"/>
    <xf numFmtId="2" fontId="28" fillId="0" borderId="0" xfId="1" applyNumberFormat="1"/>
    <xf numFmtId="0" fontId="30" fillId="0" borderId="1" xfId="1" applyFont="1" applyBorder="1"/>
    <xf numFmtId="1" fontId="30" fillId="0" borderId="1" xfId="1" applyNumberFormat="1" applyFont="1" applyBorder="1" applyAlignment="1">
      <alignment horizontal="center"/>
    </xf>
    <xf numFmtId="0" fontId="30" fillId="0" borderId="1" xfId="1" applyFont="1" applyBorder="1" applyAlignment="1">
      <alignment horizontal="center"/>
    </xf>
    <xf numFmtId="2" fontId="30" fillId="0" borderId="1" xfId="1" applyNumberFormat="1" applyFont="1" applyBorder="1" applyAlignment="1">
      <alignment horizontal="center"/>
    </xf>
    <xf numFmtId="164" fontId="30" fillId="0" borderId="1" xfId="1" applyNumberFormat="1" applyFont="1" applyBorder="1" applyAlignment="1">
      <alignment horizontal="center"/>
    </xf>
    <xf numFmtId="1" fontId="14" fillId="0" borderId="1" xfId="1" applyNumberFormat="1" applyFont="1" applyBorder="1" applyAlignment="1">
      <alignment horizontal="center"/>
    </xf>
    <xf numFmtId="165" fontId="14" fillId="0" borderId="1" xfId="1" applyNumberFormat="1" applyFont="1" applyBorder="1" applyAlignment="1">
      <alignment horizontal="center"/>
    </xf>
    <xf numFmtId="2" fontId="14" fillId="0" borderId="1" xfId="1" applyNumberFormat="1" applyFont="1" applyBorder="1" applyAlignment="1">
      <alignment horizontal="center"/>
    </xf>
    <xf numFmtId="165" fontId="30" fillId="0" borderId="1" xfId="1" applyNumberFormat="1" applyFont="1" applyBorder="1" applyAlignment="1">
      <alignment horizontal="center"/>
    </xf>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0" xfId="0" applyFont="1" applyAlignment="1">
      <alignment horizontal="left" wrapText="1"/>
    </xf>
    <xf numFmtId="0" fontId="1" fillId="0" borderId="0" xfId="0" applyFont="1" applyAlignment="1">
      <alignment wrapText="1"/>
    </xf>
    <xf numFmtId="0" fontId="26" fillId="0" borderId="10" xfId="0" applyFont="1" applyBorder="1" applyAlignment="1">
      <alignment horizontal="left" vertical="center"/>
    </xf>
    <xf numFmtId="0" fontId="26" fillId="0" borderId="10" xfId="0" applyFont="1" applyBorder="1" applyAlignment="1">
      <alignment horizontal="left"/>
    </xf>
  </cellXfs>
  <cellStyles count="2">
    <cellStyle name="Normal" xfId="0" builtinId="0"/>
    <cellStyle name="Normal 2" xfId="1" xr:uid="{E903E276-ED51-E541-B43E-F8183FDE0C96}"/>
  </cellStyles>
  <dxfs count="14">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90B66-74E9-6B40-B0BE-857E238AB19F}">
  <dimension ref="A1:AG174"/>
  <sheetViews>
    <sheetView tabSelected="1" zoomScale="120" zoomScaleNormal="120" workbookViewId="0">
      <pane ySplit="2900" topLeftCell="A105" activePane="bottomLeft"/>
      <selection activeCell="AE2" sqref="AE2"/>
      <selection pane="bottomLeft" activeCell="L119" sqref="L119"/>
    </sheetView>
  </sheetViews>
  <sheetFormatPr baseColWidth="10" defaultColWidth="8.83203125" defaultRowHeight="15"/>
  <cols>
    <col min="1" max="1" width="6.33203125" style="129" customWidth="1"/>
    <col min="2" max="5" width="7" style="129" customWidth="1"/>
    <col min="6" max="6" width="4.83203125" style="129" customWidth="1"/>
    <col min="7" max="7" width="5.1640625" style="129" customWidth="1"/>
    <col min="8" max="8" width="8" style="129" customWidth="1"/>
    <col min="9" max="9" width="5" style="129" customWidth="1"/>
    <col min="10" max="10" width="8" style="129" customWidth="1"/>
    <col min="11" max="11" width="5" style="129" customWidth="1"/>
    <col min="12" max="12" width="8" style="129" customWidth="1"/>
    <col min="13" max="13" width="5" style="129" customWidth="1"/>
    <col min="14" max="14" width="8" style="129" customWidth="1"/>
    <col min="15" max="15" width="5" style="129" customWidth="1"/>
    <col min="16" max="16" width="6.1640625" style="129" customWidth="1"/>
    <col min="17" max="17" width="6.6640625" style="129" customWidth="1"/>
    <col min="18" max="19" width="8" style="129" customWidth="1"/>
    <col min="20" max="20" width="6.1640625" style="129" customWidth="1"/>
    <col min="21" max="21" width="5" style="129" customWidth="1"/>
    <col min="22" max="22" width="7.5" style="129" customWidth="1"/>
    <col min="23" max="23" width="5" style="129" customWidth="1"/>
    <col min="24" max="24" width="7.1640625" style="129" customWidth="1"/>
    <col min="25" max="25" width="5" style="129" customWidth="1"/>
    <col min="26" max="26" width="7.33203125" style="129" customWidth="1"/>
    <col min="27" max="27" width="4.5" style="129" customWidth="1"/>
    <col min="28" max="28" width="8.5" style="129" customWidth="1"/>
    <col min="29" max="29" width="5.6640625" style="129" customWidth="1"/>
    <col min="30" max="30" width="8.83203125" style="129" customWidth="1"/>
    <col min="31" max="31" width="7.6640625" style="129" customWidth="1"/>
    <col min="32" max="16384" width="8.83203125" style="129"/>
  </cols>
  <sheetData>
    <row r="1" spans="1:32">
      <c r="A1" s="127" t="s">
        <v>10</v>
      </c>
      <c r="B1" s="128"/>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8"/>
      <c r="AD1" s="128"/>
      <c r="AE1" s="128"/>
    </row>
    <row r="2" spans="1:32" ht="70">
      <c r="A2" s="130" t="s">
        <v>598</v>
      </c>
      <c r="B2" s="130" t="s">
        <v>599</v>
      </c>
      <c r="C2" s="130" t="s">
        <v>600</v>
      </c>
      <c r="D2" s="130" t="s">
        <v>601</v>
      </c>
      <c r="E2" s="130" t="s">
        <v>602</v>
      </c>
      <c r="F2" s="130" t="s">
        <v>603</v>
      </c>
      <c r="G2" s="130" t="s">
        <v>604</v>
      </c>
      <c r="H2" s="130" t="s">
        <v>605</v>
      </c>
      <c r="I2" s="130" t="s">
        <v>606</v>
      </c>
      <c r="J2" s="130" t="s">
        <v>607</v>
      </c>
      <c r="K2" s="130" t="s">
        <v>606</v>
      </c>
      <c r="L2" s="130" t="s">
        <v>608</v>
      </c>
      <c r="M2" s="130" t="s">
        <v>606</v>
      </c>
      <c r="N2" s="130" t="s">
        <v>609</v>
      </c>
      <c r="O2" s="130" t="s">
        <v>606</v>
      </c>
      <c r="P2" s="130" t="s">
        <v>610</v>
      </c>
      <c r="Q2" s="130" t="s">
        <v>611</v>
      </c>
      <c r="R2" s="130" t="s">
        <v>612</v>
      </c>
      <c r="S2" s="130" t="s">
        <v>613</v>
      </c>
      <c r="T2" s="130" t="s">
        <v>614</v>
      </c>
      <c r="U2" s="130" t="s">
        <v>613</v>
      </c>
      <c r="V2" s="130" t="s">
        <v>615</v>
      </c>
      <c r="W2" s="130" t="s">
        <v>613</v>
      </c>
      <c r="X2" s="130" t="s">
        <v>616</v>
      </c>
      <c r="Y2" s="130" t="s">
        <v>613</v>
      </c>
      <c r="Z2" s="130" t="s">
        <v>617</v>
      </c>
      <c r="AA2" s="130" t="s">
        <v>618</v>
      </c>
      <c r="AB2" s="130" t="s">
        <v>619</v>
      </c>
      <c r="AC2" s="130" t="s">
        <v>620</v>
      </c>
      <c r="AD2" s="130" t="s">
        <v>621</v>
      </c>
      <c r="AE2" s="130" t="s">
        <v>622</v>
      </c>
    </row>
    <row r="3" spans="1:32">
      <c r="A3" s="13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row>
    <row r="4" spans="1:32">
      <c r="A4" s="127" t="s">
        <v>623</v>
      </c>
      <c r="B4" s="131"/>
      <c r="C4" s="131"/>
      <c r="D4" s="131"/>
      <c r="E4" s="131"/>
      <c r="F4" s="131"/>
      <c r="G4" s="131"/>
      <c r="H4" s="131"/>
      <c r="I4" s="131"/>
      <c r="J4" s="131"/>
      <c r="K4" s="131"/>
      <c r="L4" s="131"/>
      <c r="M4" s="131"/>
      <c r="N4" s="131"/>
      <c r="O4" s="131"/>
      <c r="P4" s="131"/>
      <c r="Q4" s="131"/>
      <c r="R4" s="131"/>
      <c r="S4" s="131"/>
      <c r="T4" s="131"/>
      <c r="U4" s="131"/>
      <c r="V4" s="131"/>
      <c r="W4" s="131"/>
      <c r="X4" s="131"/>
      <c r="Y4" s="131"/>
      <c r="Z4" s="131"/>
      <c r="AA4" s="131"/>
      <c r="AB4" s="131"/>
      <c r="AC4" s="131"/>
      <c r="AD4" s="131"/>
      <c r="AE4" s="131"/>
    </row>
    <row r="5" spans="1:32">
      <c r="A5" s="132" t="s">
        <v>624</v>
      </c>
      <c r="B5" s="13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134"/>
    </row>
    <row r="6" spans="1:32">
      <c r="A6" s="135" t="s">
        <v>2</v>
      </c>
      <c r="B6" s="136">
        <v>273</v>
      </c>
      <c r="C6" s="136">
        <v>130.19999999999999</v>
      </c>
      <c r="D6" s="136">
        <v>281.89999999999998</v>
      </c>
      <c r="E6" s="136">
        <v>127.8</v>
      </c>
      <c r="F6" s="137" t="s">
        <v>625</v>
      </c>
      <c r="G6" s="138">
        <v>2</v>
      </c>
      <c r="H6" s="139">
        <v>210.58295764799999</v>
      </c>
      <c r="I6" s="139">
        <v>0.41045830727999999</v>
      </c>
      <c r="J6" s="140">
        <v>8.1000000000000003E-2</v>
      </c>
      <c r="K6" s="140">
        <v>6.4999999999999997E-3</v>
      </c>
      <c r="L6" s="140">
        <v>0.16400000000000001</v>
      </c>
      <c r="M6" s="140">
        <v>1.72E-2</v>
      </c>
      <c r="N6" s="140">
        <v>0.10299999999999999</v>
      </c>
      <c r="O6" s="140">
        <v>1.11E-2</v>
      </c>
      <c r="P6" s="141">
        <v>78.260000000000005</v>
      </c>
      <c r="Q6" s="142">
        <v>9.5963487603056539</v>
      </c>
      <c r="R6" s="143">
        <v>21.944223513913919</v>
      </c>
      <c r="S6" s="139">
        <v>5.4826668760696202E-2</v>
      </c>
      <c r="T6" s="142">
        <v>8.4502998056928629</v>
      </c>
      <c r="U6" s="142">
        <v>0.33786713333336982</v>
      </c>
      <c r="V6" s="142">
        <v>17.05849270010691</v>
      </c>
      <c r="W6" s="142">
        <v>0.68697588889963479</v>
      </c>
      <c r="X6" s="142">
        <v>10.723081697467807</v>
      </c>
      <c r="Y6" s="142">
        <v>0.43183760197143234</v>
      </c>
      <c r="Z6" s="144">
        <f>T6+(0.238*V6)+(0.0012*X6)</f>
        <v>12.523088766355269</v>
      </c>
      <c r="AA6" s="145">
        <f>Z6*0.15</f>
        <v>1.8784633149532901</v>
      </c>
      <c r="AB6" s="141">
        <v>316.45340225109453</v>
      </c>
      <c r="AC6" s="143">
        <v>0.78101465771210887</v>
      </c>
      <c r="AD6" s="141">
        <v>405.18241127267413</v>
      </c>
      <c r="AE6" s="141">
        <v>19.634902157519544</v>
      </c>
      <c r="AF6" s="146"/>
    </row>
    <row r="7" spans="1:32">
      <c r="A7" s="135" t="s">
        <v>4</v>
      </c>
      <c r="B7" s="136">
        <v>172.3</v>
      </c>
      <c r="C7" s="136">
        <v>83.7</v>
      </c>
      <c r="D7" s="136">
        <v>170.9</v>
      </c>
      <c r="E7" s="136">
        <v>80.8</v>
      </c>
      <c r="F7" s="137" t="s">
        <v>625</v>
      </c>
      <c r="G7" s="138">
        <v>2</v>
      </c>
      <c r="H7" s="139">
        <v>45.105798767399996</v>
      </c>
      <c r="I7" s="139">
        <v>0.14722961022</v>
      </c>
      <c r="J7" s="140">
        <v>1.7000000000000001E-2</v>
      </c>
      <c r="K7" s="140">
        <v>3.0000000000000001E-3</v>
      </c>
      <c r="L7" s="140">
        <v>3.7999999999999999E-2</v>
      </c>
      <c r="M7" s="140">
        <v>4.3E-3</v>
      </c>
      <c r="N7" s="140">
        <v>3.4000000000000002E-2</v>
      </c>
      <c r="O7" s="140">
        <v>7.7999999999999996E-3</v>
      </c>
      <c r="P7" s="141">
        <v>49.80089609933232</v>
      </c>
      <c r="Q7" s="142">
        <v>2.412853590516749</v>
      </c>
      <c r="R7" s="143">
        <v>18.686478816584451</v>
      </c>
      <c r="S7" s="139">
        <v>7.9688396739130016E-2</v>
      </c>
      <c r="T7" s="142">
        <v>6.8869564380403787</v>
      </c>
      <c r="U7" s="142">
        <v>0.6113487899095601</v>
      </c>
      <c r="V7" s="142">
        <v>15.928804987680053</v>
      </c>
      <c r="W7" s="142">
        <v>1.4242031022744721</v>
      </c>
      <c r="X7" s="142">
        <v>13.91658755781633</v>
      </c>
      <c r="Y7" s="142">
        <v>1.2442896493645266</v>
      </c>
      <c r="Z7" s="144">
        <f t="shared" ref="Z7:Z10" si="0">T7+(0.238*V7)+(0.0012*X7)</f>
        <v>10.694711930177611</v>
      </c>
      <c r="AA7" s="145">
        <f t="shared" ref="AA7:AA10" si="1">Z7*0.15</f>
        <v>1.6042067895266416</v>
      </c>
      <c r="AB7" s="141">
        <v>314.84521080246674</v>
      </c>
      <c r="AC7" s="143">
        <v>0.66733706941126658</v>
      </c>
      <c r="AD7" s="141">
        <v>471.7933788396129</v>
      </c>
      <c r="AE7" s="141">
        <v>36.792682559828556</v>
      </c>
      <c r="AF7" s="146"/>
    </row>
    <row r="8" spans="1:32">
      <c r="A8" s="135" t="s">
        <v>3</v>
      </c>
      <c r="B8" s="136">
        <v>201.6</v>
      </c>
      <c r="C8" s="136">
        <v>71</v>
      </c>
      <c r="D8" s="136">
        <v>188.9</v>
      </c>
      <c r="E8" s="136">
        <v>73</v>
      </c>
      <c r="F8" s="137" t="s">
        <v>625</v>
      </c>
      <c r="G8" s="138">
        <v>0</v>
      </c>
      <c r="H8" s="139">
        <v>29.892072377999998</v>
      </c>
      <c r="I8" s="139">
        <v>0.12938359686000001</v>
      </c>
      <c r="J8" s="140">
        <v>1.9E-2</v>
      </c>
      <c r="K8" s="140">
        <v>1.6000000000000001E-3</v>
      </c>
      <c r="L8" s="140">
        <v>2.5000000000000001E-2</v>
      </c>
      <c r="M8" s="140">
        <v>3.3999999999999998E-3</v>
      </c>
      <c r="N8" s="140">
        <v>1.9E-2</v>
      </c>
      <c r="O8" s="140">
        <v>8.9999999999999993E-3</v>
      </c>
      <c r="P8" s="141">
        <v>45.81818181818182</v>
      </c>
      <c r="Q8" s="142">
        <v>2.1037683098422035</v>
      </c>
      <c r="R8" s="143">
        <v>14.213517684532277</v>
      </c>
      <c r="S8" s="139">
        <v>6.2590856441252909E-2</v>
      </c>
      <c r="T8" s="142">
        <v>9.2312372595635637</v>
      </c>
      <c r="U8" s="142">
        <v>0.38460546945048535</v>
      </c>
      <c r="V8" s="142">
        <v>12.039983778801407</v>
      </c>
      <c r="W8" s="142">
        <v>0.50525248210012297</v>
      </c>
      <c r="X8" s="142">
        <v>8.9346432944390148</v>
      </c>
      <c r="Y8" s="142">
        <v>0.37493827102513999</v>
      </c>
      <c r="Z8" s="144">
        <f t="shared" si="0"/>
        <v>12.107474970871626</v>
      </c>
      <c r="AA8" s="145">
        <f t="shared" si="1"/>
        <v>1.8161212456307438</v>
      </c>
      <c r="AB8" s="141">
        <v>213.43584486167785</v>
      </c>
      <c r="AC8" s="143">
        <v>0.65918543212857406</v>
      </c>
      <c r="AD8" s="141">
        <v>323.78725994060989</v>
      </c>
      <c r="AE8" s="141">
        <v>14.714339183304052</v>
      </c>
      <c r="AF8" s="146"/>
    </row>
    <row r="9" spans="1:32">
      <c r="A9" s="135" t="s">
        <v>1</v>
      </c>
      <c r="B9" s="136">
        <v>136.69999999999999</v>
      </c>
      <c r="C9" s="136">
        <v>70.3</v>
      </c>
      <c r="D9" s="136">
        <v>135.19999999999999</v>
      </c>
      <c r="E9" s="136">
        <v>73.7</v>
      </c>
      <c r="F9" s="137" t="s">
        <v>625</v>
      </c>
      <c r="G9" s="138">
        <v>1</v>
      </c>
      <c r="H9" s="139">
        <v>12.090674051400001</v>
      </c>
      <c r="I9" s="139">
        <v>4.4615033400000004E-2</v>
      </c>
      <c r="J9" s="140">
        <v>5.0000000000000001E-3</v>
      </c>
      <c r="K9" s="140">
        <v>1.1999999999999999E-3</v>
      </c>
      <c r="L9" s="140">
        <v>1.4E-2</v>
      </c>
      <c r="M9" s="140">
        <v>2E-3</v>
      </c>
      <c r="N9" s="140">
        <v>1.4999999999999999E-2</v>
      </c>
      <c r="O9" s="140">
        <v>7.1000000000000004E-3</v>
      </c>
      <c r="P9" s="141">
        <v>42.743485813549505</v>
      </c>
      <c r="Q9" s="142">
        <v>1.464826129183342</v>
      </c>
      <c r="R9" s="143">
        <v>8.2523729728214033</v>
      </c>
      <c r="S9" s="139">
        <v>3.2592643368177382E-2</v>
      </c>
      <c r="T9" s="142">
        <v>3.7343622796182743</v>
      </c>
      <c r="U9" s="142">
        <v>0.42030277899423035</v>
      </c>
      <c r="V9" s="142">
        <v>9.2369155658769273</v>
      </c>
      <c r="W9" s="142">
        <v>1.0471280629801232</v>
      </c>
      <c r="X9" s="142">
        <v>10.047985808547743</v>
      </c>
      <c r="Y9" s="142">
        <v>1.1390737353305538</v>
      </c>
      <c r="Z9" s="144">
        <f t="shared" si="0"/>
        <v>5.9448057672672405</v>
      </c>
      <c r="AA9" s="145">
        <f t="shared" si="1"/>
        <v>0.89172086509008608</v>
      </c>
      <c r="AB9" s="141">
        <v>250.65152204004193</v>
      </c>
      <c r="AC9" s="147">
        <v>0.64</v>
      </c>
      <c r="AD9" s="141">
        <v>391.65524572863887</v>
      </c>
      <c r="AE9" s="141">
        <v>36.643004855599337</v>
      </c>
      <c r="AF9" s="146"/>
    </row>
    <row r="10" spans="1:32">
      <c r="A10" s="135" t="s">
        <v>0</v>
      </c>
      <c r="B10" s="136">
        <v>146</v>
      </c>
      <c r="C10" s="136">
        <v>118</v>
      </c>
      <c r="D10" s="136">
        <v>146</v>
      </c>
      <c r="E10" s="136">
        <v>122.3</v>
      </c>
      <c r="F10" s="137" t="s">
        <v>625</v>
      </c>
      <c r="G10" s="138">
        <v>0</v>
      </c>
      <c r="H10" s="139">
        <v>128.22360599160001</v>
      </c>
      <c r="I10" s="139">
        <v>0.23199817368</v>
      </c>
      <c r="J10" s="140">
        <v>3.1E-2</v>
      </c>
      <c r="K10" s="140">
        <v>3.3999999999999998E-3</v>
      </c>
      <c r="L10" s="140">
        <v>8.1000000000000003E-2</v>
      </c>
      <c r="M10" s="140">
        <v>6.6E-3</v>
      </c>
      <c r="N10" s="140">
        <v>7.5999999999999998E-2</v>
      </c>
      <c r="O10" s="140">
        <v>1.23E-2</v>
      </c>
      <c r="P10" s="141">
        <v>63.842897003518146</v>
      </c>
      <c r="Q10" s="142">
        <v>4.3806875599971518</v>
      </c>
      <c r="R10" s="143">
        <v>29.266918624196283</v>
      </c>
      <c r="S10" s="139">
        <v>6.369766622287934E-2</v>
      </c>
      <c r="T10" s="142">
        <v>7.1724573400951561</v>
      </c>
      <c r="U10" s="142">
        <v>0.38722189891897163</v>
      </c>
      <c r="V10" s="142">
        <v>18.492914519259639</v>
      </c>
      <c r="W10" s="142">
        <v>1.0055977892000891</v>
      </c>
      <c r="X10" s="142">
        <v>17.381159187376678</v>
      </c>
      <c r="Y10" s="142">
        <v>0.94514335392388737</v>
      </c>
      <c r="Z10" s="144">
        <f t="shared" si="0"/>
        <v>11.594628386703802</v>
      </c>
      <c r="AA10" s="145">
        <f t="shared" si="1"/>
        <v>1.7391942580055701</v>
      </c>
      <c r="AB10" s="141">
        <v>450.37074509467345</v>
      </c>
      <c r="AC10" s="143">
        <v>0.7583497998467883</v>
      </c>
      <c r="AD10" s="141">
        <v>593.882592420626</v>
      </c>
      <c r="AE10" s="141">
        <v>32.027061422354599</v>
      </c>
      <c r="AF10" s="146"/>
    </row>
    <row r="11" spans="1:32">
      <c r="A11" s="148" t="s">
        <v>626</v>
      </c>
      <c r="B11" s="149"/>
      <c r="C11" s="149"/>
      <c r="D11" s="149"/>
      <c r="E11" s="149"/>
      <c r="F11" s="133"/>
      <c r="G11" s="133"/>
      <c r="H11" s="150"/>
      <c r="I11" s="150"/>
      <c r="J11" s="151"/>
      <c r="K11" s="151"/>
      <c r="L11" s="151"/>
      <c r="M11" s="151"/>
      <c r="N11" s="151"/>
      <c r="O11" s="151"/>
      <c r="P11" s="149"/>
      <c r="Q11" s="152"/>
      <c r="R11" s="150"/>
      <c r="S11" s="150"/>
      <c r="T11" s="152"/>
      <c r="U11" s="152"/>
      <c r="V11" s="152"/>
      <c r="W11" s="144"/>
      <c r="X11" s="144"/>
      <c r="Y11" s="144"/>
      <c r="Z11" s="153"/>
      <c r="AA11" s="144"/>
      <c r="AB11" s="154"/>
      <c r="AC11" s="147"/>
      <c r="AD11" s="149"/>
      <c r="AE11" s="149"/>
      <c r="AF11" s="146"/>
    </row>
    <row r="12" spans="1:32">
      <c r="A12" s="135" t="s">
        <v>2</v>
      </c>
      <c r="B12" s="136">
        <v>175</v>
      </c>
      <c r="C12" s="136">
        <v>104.5</v>
      </c>
      <c r="D12" s="136">
        <v>172.3</v>
      </c>
      <c r="E12" s="136">
        <v>88.5</v>
      </c>
      <c r="F12" s="137" t="s">
        <v>625</v>
      </c>
      <c r="G12" s="138">
        <v>0</v>
      </c>
      <c r="H12" s="139">
        <v>462.92558655839997</v>
      </c>
      <c r="I12" s="139">
        <v>1.1599908684</v>
      </c>
      <c r="J12" s="140">
        <v>0.17697133692622025</v>
      </c>
      <c r="K12" s="140">
        <v>2.0301631605163994E-3</v>
      </c>
      <c r="L12" s="140">
        <v>0.10762909206158525</v>
      </c>
      <c r="M12" s="140">
        <v>8.0352190447519631E-4</v>
      </c>
      <c r="N12" s="140">
        <v>0.10247376540580047</v>
      </c>
      <c r="O12" s="140">
        <v>1.0361739739367509E-4</v>
      </c>
      <c r="P12" s="141">
        <v>56.732922732362823</v>
      </c>
      <c r="Q12" s="142">
        <v>3.3610214778693805</v>
      </c>
      <c r="R12" s="143">
        <v>137.73941481051091</v>
      </c>
      <c r="S12" s="139">
        <v>0.41033403391045847</v>
      </c>
      <c r="T12" s="142">
        <v>52.635237396943175</v>
      </c>
      <c r="U12" s="142">
        <v>0.60826909484221514</v>
      </c>
      <c r="V12" s="142">
        <v>32.011080926069063</v>
      </c>
      <c r="W12" s="142">
        <v>0.37260314445489984</v>
      </c>
      <c r="X12" s="142">
        <v>30.460392747517563</v>
      </c>
      <c r="Y12" s="142">
        <v>0.35455341683927322</v>
      </c>
      <c r="Z12" s="144">
        <f>T12+(0.238*V12)+(0.0012*X12)</f>
        <v>60.29042712864463</v>
      </c>
      <c r="AA12" s="145">
        <f>Z12*0.15</f>
        <v>9.0435640692966945</v>
      </c>
      <c r="AB12" s="141">
        <v>408.42437335127806</v>
      </c>
      <c r="AC12" s="143">
        <v>0.73038434504215</v>
      </c>
      <c r="AD12" s="141">
        <v>559.19102883798553</v>
      </c>
      <c r="AE12" s="141">
        <v>8.0610392436426856</v>
      </c>
      <c r="AF12" s="146"/>
    </row>
    <row r="13" spans="1:32">
      <c r="A13" s="135" t="s">
        <v>4</v>
      </c>
      <c r="B13" s="136">
        <v>171.8</v>
      </c>
      <c r="C13" s="136">
        <v>114.3</v>
      </c>
      <c r="D13" s="136">
        <v>169.8</v>
      </c>
      <c r="E13" s="136">
        <v>97.3</v>
      </c>
      <c r="F13" s="137" t="s">
        <v>625</v>
      </c>
      <c r="G13" s="138">
        <v>2</v>
      </c>
      <c r="H13" s="139">
        <v>238.0658182224</v>
      </c>
      <c r="I13" s="139">
        <v>0.33015124716000005</v>
      </c>
      <c r="J13" s="140">
        <v>0.10801299839312634</v>
      </c>
      <c r="K13" s="140">
        <v>8.6157593351425608E-4</v>
      </c>
      <c r="L13" s="140">
        <v>1.8161013296000807E-2</v>
      </c>
      <c r="M13" s="140">
        <v>4.2406630590383174E-5</v>
      </c>
      <c r="N13" s="140">
        <v>6.3597554938305115E-2</v>
      </c>
      <c r="O13" s="140">
        <v>4.470957606962206E-5</v>
      </c>
      <c r="P13" s="141">
        <v>60.669025367156209</v>
      </c>
      <c r="Q13" s="142">
        <v>3.9737548882071687</v>
      </c>
      <c r="R13" s="143">
        <v>59.91237800764155</v>
      </c>
      <c r="S13" s="139">
        <v>0.13026369483542233</v>
      </c>
      <c r="T13" s="142">
        <v>27.17189257498843</v>
      </c>
      <c r="U13" s="142">
        <v>0.21833762420447617</v>
      </c>
      <c r="V13" s="142">
        <v>4.5685770272515258</v>
      </c>
      <c r="W13" s="142">
        <v>3.6975721252207001E-2</v>
      </c>
      <c r="X13" s="142">
        <v>15.989446704018459</v>
      </c>
      <c r="Y13" s="142">
        <v>0.12941038769362453</v>
      </c>
      <c r="Z13" s="144">
        <f t="shared" ref="Z13:Z16" si="2">T13+(0.238*V13)+(0.0012*X13)</f>
        <v>28.278401243519117</v>
      </c>
      <c r="AA13" s="145">
        <f t="shared" ref="AA13:AA16" si="3">Z13*0.15</f>
        <v>4.2417601865278671</v>
      </c>
      <c r="AB13" s="141">
        <v>378.63855945102677</v>
      </c>
      <c r="AC13" s="143">
        <v>0.73428352557453325</v>
      </c>
      <c r="AD13" s="141">
        <v>515.65716274890485</v>
      </c>
      <c r="AE13" s="141">
        <v>5.6684415149865037</v>
      </c>
      <c r="AF13" s="146"/>
    </row>
    <row r="14" spans="1:32">
      <c r="A14" s="135" t="s">
        <v>3</v>
      </c>
      <c r="B14" s="136">
        <v>168.5</v>
      </c>
      <c r="C14" s="136">
        <v>83.6</v>
      </c>
      <c r="D14" s="136">
        <v>163.1</v>
      </c>
      <c r="E14" s="136">
        <v>60.3</v>
      </c>
      <c r="F14" s="137" t="s">
        <v>625</v>
      </c>
      <c r="G14" s="138">
        <v>2</v>
      </c>
      <c r="H14" s="139">
        <v>82.716271923600004</v>
      </c>
      <c r="I14" s="139">
        <v>0.18738314028</v>
      </c>
      <c r="J14" s="140">
        <v>3.9402982653280599E-2</v>
      </c>
      <c r="K14" s="140">
        <v>1.632858218591979E-4</v>
      </c>
      <c r="L14" s="140">
        <v>4.7551085377988252E-2</v>
      </c>
      <c r="M14" s="140">
        <v>1.9117601673456462E-4</v>
      </c>
      <c r="N14" s="140">
        <v>5.8690609756200995E-2</v>
      </c>
      <c r="O14" s="140">
        <v>3.8931312051984605E-5</v>
      </c>
      <c r="P14" s="141">
        <v>44.468425235358843</v>
      </c>
      <c r="Q14" s="142">
        <v>1.7839718458011369</v>
      </c>
      <c r="R14" s="143">
        <v>46.369370309894578</v>
      </c>
      <c r="S14" s="139">
        <v>0.15589358309445767</v>
      </c>
      <c r="T14" s="142">
        <v>22.079337767871248</v>
      </c>
      <c r="U14" s="142">
        <v>9.2171483290786047E-2</v>
      </c>
      <c r="V14" s="142">
        <v>26.644918035445667</v>
      </c>
      <c r="W14" s="142">
        <v>0.11203453938538444</v>
      </c>
      <c r="X14" s="142">
        <v>32.868108895236169</v>
      </c>
      <c r="Y14" s="142">
        <v>0.13820134239661772</v>
      </c>
      <c r="Z14" s="144">
        <f t="shared" si="2"/>
        <v>28.460269990981601</v>
      </c>
      <c r="AA14" s="145">
        <f t="shared" si="3"/>
        <v>4.2690404986472403</v>
      </c>
      <c r="AB14" s="141">
        <v>293.46276447224102</v>
      </c>
      <c r="AC14" s="147">
        <v>0.64</v>
      </c>
      <c r="AD14" s="141">
        <v>460.51552235913147</v>
      </c>
      <c r="AE14" s="141">
        <v>2.0153718177549798</v>
      </c>
      <c r="AF14" s="146"/>
    </row>
    <row r="15" spans="1:32">
      <c r="A15" s="135" t="s">
        <v>1</v>
      </c>
      <c r="B15" s="136">
        <v>231</v>
      </c>
      <c r="C15" s="136">
        <v>184.8</v>
      </c>
      <c r="D15" s="136">
        <v>239.9</v>
      </c>
      <c r="E15" s="136">
        <v>143.80000000000001</v>
      </c>
      <c r="F15" s="137" t="s">
        <v>625</v>
      </c>
      <c r="G15" s="138">
        <v>0</v>
      </c>
      <c r="H15" s="139">
        <v>1177.3015013592001</v>
      </c>
      <c r="I15" s="139">
        <v>1.4232195654599999</v>
      </c>
      <c r="J15" s="140">
        <v>0.44831838798272378</v>
      </c>
      <c r="K15" s="140">
        <v>1.0985425424526418E-2</v>
      </c>
      <c r="L15" s="140">
        <v>0.1061489146207296</v>
      </c>
      <c r="M15" s="140">
        <v>7.8346127518377523E-4</v>
      </c>
      <c r="N15" s="140">
        <v>0.19275818322282126</v>
      </c>
      <c r="O15" s="140">
        <v>3.2969263949082046E-4</v>
      </c>
      <c r="P15" s="141">
        <v>90.898850391186343</v>
      </c>
      <c r="Q15" s="142">
        <v>13.210391700873997</v>
      </c>
      <c r="R15" s="143">
        <v>89.121226491217641</v>
      </c>
      <c r="S15" s="139">
        <v>0.14212105567782798</v>
      </c>
      <c r="T15" s="142">
        <v>33.924683060292466</v>
      </c>
      <c r="U15" s="142">
        <v>0.83740833900780454</v>
      </c>
      <c r="V15" s="142">
        <v>8.0323350023424887</v>
      </c>
      <c r="W15" s="142">
        <v>0.19970562918273166</v>
      </c>
      <c r="X15" s="142">
        <v>14.577774268734181</v>
      </c>
      <c r="Y15" s="142">
        <v>0.36244299840237942</v>
      </c>
      <c r="Z15" s="144">
        <f t="shared" si="2"/>
        <v>35.853872119972458</v>
      </c>
      <c r="AA15" s="145">
        <f t="shared" si="3"/>
        <v>5.3780808179958681</v>
      </c>
      <c r="AB15" s="141">
        <v>442.32828626623916</v>
      </c>
      <c r="AC15" s="147">
        <v>0.83</v>
      </c>
      <c r="AD15" s="141">
        <v>531.77670334075901</v>
      </c>
      <c r="AE15" s="141">
        <v>19.976409624699546</v>
      </c>
      <c r="AF15" s="146"/>
    </row>
    <row r="16" spans="1:32">
      <c r="A16" s="135" t="s">
        <v>0</v>
      </c>
      <c r="B16" s="136">
        <v>171.8</v>
      </c>
      <c r="C16" s="136">
        <v>98.2</v>
      </c>
      <c r="D16" s="136">
        <v>170.5</v>
      </c>
      <c r="E16" s="136">
        <v>91.2</v>
      </c>
      <c r="F16" s="137" t="s">
        <v>625</v>
      </c>
      <c r="G16" s="138">
        <v>0</v>
      </c>
      <c r="H16" s="139">
        <v>293.56691977200001</v>
      </c>
      <c r="I16" s="139">
        <v>2.5475184071400001</v>
      </c>
      <c r="J16" s="140">
        <v>0.13030681199244609</v>
      </c>
      <c r="K16" s="140">
        <v>1.1891687420896688E-3</v>
      </c>
      <c r="L16" s="140">
        <v>2.8263038614497724E-2</v>
      </c>
      <c r="M16" s="140">
        <v>8.236825867232215E-5</v>
      </c>
      <c r="N16" s="140">
        <v>4.6685003098298039E-2</v>
      </c>
      <c r="O16" s="140">
        <v>2.6373846633606808E-5</v>
      </c>
      <c r="P16" s="141">
        <v>55.679192334017799</v>
      </c>
      <c r="Q16" s="142">
        <v>3.1902060542645305</v>
      </c>
      <c r="R16" s="143">
        <v>92.021673997316995</v>
      </c>
      <c r="S16" s="139">
        <v>0.90445558082921929</v>
      </c>
      <c r="T16" s="142">
        <v>40.831311235726105</v>
      </c>
      <c r="U16" s="142">
        <v>0.37537111150343344</v>
      </c>
      <c r="V16" s="142">
        <v>8.8560909374054209</v>
      </c>
      <c r="W16" s="142">
        <v>8.2004294759044749E-2</v>
      </c>
      <c r="X16" s="142">
        <v>14.620180985079497</v>
      </c>
      <c r="Y16" s="142">
        <v>0.13537774616418841</v>
      </c>
      <c r="Z16" s="144">
        <f t="shared" si="2"/>
        <v>42.956605096010684</v>
      </c>
      <c r="AA16" s="145">
        <f t="shared" si="3"/>
        <v>6.4434907644016022</v>
      </c>
      <c r="AB16" s="141">
        <v>383.3770893711922</v>
      </c>
      <c r="AC16" s="143">
        <v>0.72844554953896257</v>
      </c>
      <c r="AD16" s="141">
        <v>526.29477881199739</v>
      </c>
      <c r="AE16" s="141">
        <v>7.2837935573410455</v>
      </c>
      <c r="AF16" s="146"/>
    </row>
    <row r="17" spans="1:32">
      <c r="A17" s="132" t="s">
        <v>627</v>
      </c>
      <c r="B17" s="149"/>
      <c r="C17" s="149"/>
      <c r="D17" s="149"/>
      <c r="E17" s="149"/>
      <c r="F17" s="133"/>
      <c r="G17" s="133"/>
      <c r="H17" s="150"/>
      <c r="I17" s="150"/>
      <c r="J17" s="151"/>
      <c r="K17" s="151"/>
      <c r="L17" s="151"/>
      <c r="M17" s="151"/>
      <c r="N17" s="151"/>
      <c r="O17" s="151"/>
      <c r="P17" s="149"/>
      <c r="Q17" s="152"/>
      <c r="R17" s="150"/>
      <c r="S17" s="150"/>
      <c r="T17" s="152"/>
      <c r="U17" s="152"/>
      <c r="V17" s="152"/>
      <c r="W17" s="144"/>
      <c r="X17" s="144"/>
      <c r="Y17" s="144"/>
      <c r="Z17" s="153"/>
      <c r="AA17" s="144"/>
      <c r="AB17" s="154"/>
      <c r="AC17" s="147"/>
      <c r="AD17" s="149"/>
      <c r="AE17" s="149"/>
      <c r="AF17" s="146"/>
    </row>
    <row r="18" spans="1:32">
      <c r="A18" s="135" t="s">
        <v>2</v>
      </c>
      <c r="B18" s="136">
        <v>203.8</v>
      </c>
      <c r="C18" s="136">
        <v>124.5</v>
      </c>
      <c r="D18" s="136">
        <v>200.2</v>
      </c>
      <c r="E18" s="136">
        <v>83.4</v>
      </c>
      <c r="F18" s="137" t="s">
        <v>625</v>
      </c>
      <c r="G18" s="138">
        <v>2</v>
      </c>
      <c r="H18" s="139">
        <v>145.71269908440001</v>
      </c>
      <c r="I18" s="139">
        <v>0.20076765029999999</v>
      </c>
      <c r="J18" s="140">
        <v>0.03</v>
      </c>
      <c r="K18" s="140">
        <v>3.2000000000000002E-3</v>
      </c>
      <c r="L18" s="140">
        <v>0.126</v>
      </c>
      <c r="M18" s="140">
        <v>7.9000000000000008E-3</v>
      </c>
      <c r="N18" s="140">
        <v>0.09</v>
      </c>
      <c r="O18" s="140">
        <v>1.5800000000000002E-2</v>
      </c>
      <c r="P18" s="141">
        <v>62.120056690450596</v>
      </c>
      <c r="Q18" s="142">
        <v>4.5367226548217303</v>
      </c>
      <c r="R18" s="143">
        <v>32.11824867753716</v>
      </c>
      <c r="S18" s="139">
        <v>7.4153213044089755E-2</v>
      </c>
      <c r="T18" s="142">
        <v>6.6257473954554991</v>
      </c>
      <c r="U18" s="142">
        <v>0.35600340148908993</v>
      </c>
      <c r="V18" s="142">
        <v>27.668767613150916</v>
      </c>
      <c r="W18" s="142">
        <v>0.87050715077688423</v>
      </c>
      <c r="X18" s="142">
        <v>19.830767723810713</v>
      </c>
      <c r="Y18" s="142">
        <v>1.7453796793644063</v>
      </c>
      <c r="Z18" s="144">
        <f>T18+(0.238*V18)+(0.0012*X18)</f>
        <v>13.23471100865399</v>
      </c>
      <c r="AA18" s="145">
        <f>Z18*0.15</f>
        <v>1.9852066512980984</v>
      </c>
      <c r="AB18" s="141">
        <v>435.06925767705894</v>
      </c>
      <c r="AC18" s="143">
        <v>0.72322451884426164</v>
      </c>
      <c r="AD18" s="141">
        <v>601.56873327844994</v>
      </c>
      <c r="AE18" s="141">
        <v>26.213571431712577</v>
      </c>
      <c r="AF18" s="146"/>
    </row>
    <row r="19" spans="1:32">
      <c r="A19" s="135" t="s">
        <v>4</v>
      </c>
      <c r="B19" s="136">
        <v>137.5</v>
      </c>
      <c r="C19" s="136">
        <v>105.1</v>
      </c>
      <c r="D19" s="136">
        <v>137.5</v>
      </c>
      <c r="E19" s="136">
        <v>87.6</v>
      </c>
      <c r="F19" s="137" t="s">
        <v>625</v>
      </c>
      <c r="G19" s="138">
        <v>2</v>
      </c>
      <c r="H19" s="139">
        <v>67.948695868200005</v>
      </c>
      <c r="I19" s="139">
        <v>0.19184464362</v>
      </c>
      <c r="J19" s="140">
        <v>1.7000000000000001E-2</v>
      </c>
      <c r="K19" s="140">
        <v>3.3E-3</v>
      </c>
      <c r="L19" s="140">
        <v>0.06</v>
      </c>
      <c r="M19" s="140">
        <v>2.8999999999999998E-3</v>
      </c>
      <c r="N19" s="140">
        <v>4.2999999999999997E-2</v>
      </c>
      <c r="O19" s="140">
        <v>8.8000000000000005E-3</v>
      </c>
      <c r="P19" s="141">
        <v>53.513363403796951</v>
      </c>
      <c r="Q19" s="142">
        <v>2.6530657284528094</v>
      </c>
      <c r="R19" s="143">
        <v>25.614555167712382</v>
      </c>
      <c r="S19" s="139">
        <v>0.12410732277790107</v>
      </c>
      <c r="T19" s="142">
        <v>6.2847320896176475</v>
      </c>
      <c r="U19" s="142">
        <v>0.61889858041422319</v>
      </c>
      <c r="V19" s="142">
        <v>22.763488972776894</v>
      </c>
      <c r="W19" s="142">
        <v>0.54230647915634156</v>
      </c>
      <c r="X19" s="142">
        <v>16.191789091556192</v>
      </c>
      <c r="Y19" s="142">
        <v>1.6503320784355144</v>
      </c>
      <c r="Z19" s="144">
        <f t="shared" ref="Z19:Z22" si="4">T19+(0.238*V19)+(0.0012*X19)</f>
        <v>11.721872612048415</v>
      </c>
      <c r="AA19" s="145">
        <f t="shared" ref="AA19:AA22" si="5">Z19*0.15</f>
        <v>1.7582808918072621</v>
      </c>
      <c r="AB19" s="141">
        <v>392.64860019521154</v>
      </c>
      <c r="AC19" s="143">
        <v>0.68663616107278924</v>
      </c>
      <c r="AD19" s="141">
        <v>571.84375431341061</v>
      </c>
      <c r="AE19" s="141">
        <v>40.754672758007473</v>
      </c>
      <c r="AF19" s="146"/>
    </row>
    <row r="20" spans="1:32">
      <c r="A20" s="135" t="s">
        <v>3</v>
      </c>
      <c r="B20" s="136">
        <v>131.6</v>
      </c>
      <c r="C20" s="136">
        <v>81.3</v>
      </c>
      <c r="D20" s="136">
        <v>129.30000000000001</v>
      </c>
      <c r="E20" s="136">
        <v>78.5</v>
      </c>
      <c r="F20" s="137" t="s">
        <v>625</v>
      </c>
      <c r="G20" s="138">
        <v>2</v>
      </c>
      <c r="H20" s="139">
        <v>41.848901329199997</v>
      </c>
      <c r="I20" s="139">
        <v>0.10707608015999999</v>
      </c>
      <c r="J20" s="140">
        <v>1.6E-2</v>
      </c>
      <c r="K20" s="140">
        <v>2.8E-3</v>
      </c>
      <c r="L20" s="140">
        <v>4.9000000000000002E-2</v>
      </c>
      <c r="M20" s="140">
        <v>2.2000000000000001E-3</v>
      </c>
      <c r="N20" s="140">
        <v>2.5999999999999999E-2</v>
      </c>
      <c r="O20" s="140">
        <v>6.1000000000000004E-3</v>
      </c>
      <c r="P20" s="141">
        <v>45.969863013698628</v>
      </c>
      <c r="Q20" s="142">
        <v>1.7309300414853903</v>
      </c>
      <c r="R20" s="143">
        <v>24.170479219113016</v>
      </c>
      <c r="S20" s="139">
        <v>9.11374002380098E-2</v>
      </c>
      <c r="T20" s="142">
        <v>9.4603326314174225</v>
      </c>
      <c r="U20" s="142">
        <v>0.80141529241770559</v>
      </c>
      <c r="V20" s="142">
        <v>28.565681826391767</v>
      </c>
      <c r="W20" s="142">
        <v>0.64720790265949713</v>
      </c>
      <c r="X20" s="142">
        <v>15.206885138037421</v>
      </c>
      <c r="Y20" s="142">
        <v>1.755137173357282</v>
      </c>
      <c r="Z20" s="144">
        <f t="shared" si="4"/>
        <v>16.277213168264307</v>
      </c>
      <c r="AA20" s="145">
        <f t="shared" si="5"/>
        <v>2.4415819752396462</v>
      </c>
      <c r="AB20" s="141">
        <v>269.43454292373781</v>
      </c>
      <c r="AC20" s="147">
        <v>0.64</v>
      </c>
      <c r="AD20" s="141">
        <v>419.79641556489105</v>
      </c>
      <c r="AE20" s="141">
        <v>26.068668283499939</v>
      </c>
      <c r="AF20" s="146"/>
    </row>
    <row r="21" spans="1:32">
      <c r="A21" s="135" t="s">
        <v>1</v>
      </c>
      <c r="B21" s="136">
        <v>143.9</v>
      </c>
      <c r="C21" s="136">
        <v>88.6</v>
      </c>
      <c r="D21" s="136">
        <v>145.30000000000001</v>
      </c>
      <c r="E21" s="136">
        <v>59.3</v>
      </c>
      <c r="F21" s="137" t="s">
        <v>625</v>
      </c>
      <c r="G21" s="138">
        <v>2</v>
      </c>
      <c r="H21" s="139">
        <v>33.2828149164</v>
      </c>
      <c r="I21" s="139">
        <v>0.18292163694000002</v>
      </c>
      <c r="J21" s="140">
        <v>1.0999999999999999E-2</v>
      </c>
      <c r="K21" s="140">
        <v>3.0000000000000001E-3</v>
      </c>
      <c r="L21" s="140">
        <v>3.6999999999999998E-2</v>
      </c>
      <c r="M21" s="140">
        <v>2.7000000000000001E-3</v>
      </c>
      <c r="N21" s="140">
        <v>2.4E-2</v>
      </c>
      <c r="O21" s="140">
        <v>6.3E-3</v>
      </c>
      <c r="P21" s="141">
        <v>44.12469246717346</v>
      </c>
      <c r="Q21" s="142">
        <v>1.643563632752612</v>
      </c>
      <c r="R21" s="143">
        <v>20.243132274974492</v>
      </c>
      <c r="S21" s="139">
        <v>0.18614893564188284</v>
      </c>
      <c r="T21" s="142">
        <v>6.4632476896105828</v>
      </c>
      <c r="U21" s="142">
        <v>0.90351440984930409</v>
      </c>
      <c r="V21" s="142">
        <v>22.52661110579702</v>
      </c>
      <c r="W21" s="142">
        <v>0.81799001925977088</v>
      </c>
      <c r="X21" s="142">
        <v>14.328265800306745</v>
      </c>
      <c r="Y21" s="142">
        <v>1.9146986531827834</v>
      </c>
      <c r="Z21" s="144">
        <f t="shared" si="4"/>
        <v>11.841775051750641</v>
      </c>
      <c r="AA21" s="145">
        <f t="shared" si="5"/>
        <v>1.7762662577625961</v>
      </c>
      <c r="AB21" s="141">
        <v>309.04705477344083</v>
      </c>
      <c r="AC21" s="147">
        <v>0.63</v>
      </c>
      <c r="AD21" s="141">
        <v>493.84226609214375</v>
      </c>
      <c r="AE21" s="141">
        <v>46.488319713349753</v>
      </c>
      <c r="AF21" s="146"/>
    </row>
    <row r="22" spans="1:32">
      <c r="A22" s="135" t="s">
        <v>0</v>
      </c>
      <c r="B22" s="136">
        <v>185.9</v>
      </c>
      <c r="C22" s="136">
        <v>77</v>
      </c>
      <c r="D22" s="136">
        <v>179.5</v>
      </c>
      <c r="E22" s="136">
        <v>60.2</v>
      </c>
      <c r="F22" s="137" t="s">
        <v>625</v>
      </c>
      <c r="G22" s="138">
        <v>2</v>
      </c>
      <c r="H22" s="139">
        <v>59.694914689199997</v>
      </c>
      <c r="I22" s="139">
        <v>0.20969065698000003</v>
      </c>
      <c r="J22" s="140">
        <v>1.6E-2</v>
      </c>
      <c r="K22" s="140">
        <v>3.0999999999999999E-3</v>
      </c>
      <c r="L22" s="140">
        <v>6.5000000000000002E-2</v>
      </c>
      <c r="M22" s="140">
        <v>2.3E-3</v>
      </c>
      <c r="N22" s="140">
        <v>3.2000000000000001E-2</v>
      </c>
      <c r="O22" s="140">
        <v>4.0000000000000001E-3</v>
      </c>
      <c r="P22" s="141">
        <v>43.435762942779299</v>
      </c>
      <c r="Q22" s="142">
        <v>1.787016869063129</v>
      </c>
      <c r="R22" s="143">
        <v>33.402512537056332</v>
      </c>
      <c r="S22" s="139">
        <v>0.15740177649509679</v>
      </c>
      <c r="T22" s="142">
        <v>8.7846375278487692</v>
      </c>
      <c r="U22" s="142">
        <v>0.87591548426347476</v>
      </c>
      <c r="V22" s="142">
        <v>36.402013236228676</v>
      </c>
      <c r="W22" s="142">
        <v>0.65208794142964555</v>
      </c>
      <c r="X22" s="142">
        <v>18.04427104789924</v>
      </c>
      <c r="Y22" s="142">
        <v>1.1094448937950725</v>
      </c>
      <c r="Z22" s="144">
        <f t="shared" si="4"/>
        <v>17.469969803328674</v>
      </c>
      <c r="AA22" s="145">
        <f t="shared" si="5"/>
        <v>2.6204954704993009</v>
      </c>
      <c r="AB22" s="141">
        <v>345.67236271174562</v>
      </c>
      <c r="AC22" s="147">
        <v>0.62</v>
      </c>
      <c r="AD22" s="141">
        <v>560.75782234273527</v>
      </c>
      <c r="AE22" s="141">
        <v>33.949396670805349</v>
      </c>
      <c r="AF22" s="146"/>
    </row>
    <row r="23" spans="1:32">
      <c r="A23" s="132" t="s">
        <v>628</v>
      </c>
      <c r="B23" s="149"/>
      <c r="C23" s="149"/>
      <c r="D23" s="149"/>
      <c r="E23" s="149"/>
      <c r="F23" s="133"/>
      <c r="G23" s="133"/>
      <c r="H23" s="150"/>
      <c r="I23" s="150"/>
      <c r="J23" s="151"/>
      <c r="K23" s="151"/>
      <c r="L23" s="151"/>
      <c r="M23" s="151"/>
      <c r="N23" s="151"/>
      <c r="O23" s="151"/>
      <c r="P23" s="149"/>
      <c r="Q23" s="152"/>
      <c r="R23" s="150"/>
      <c r="S23" s="150"/>
      <c r="T23" s="152"/>
      <c r="U23" s="152"/>
      <c r="V23" s="152"/>
      <c r="W23" s="144"/>
      <c r="X23" s="144"/>
      <c r="Y23" s="144"/>
      <c r="Z23" s="153"/>
      <c r="AA23" s="144"/>
      <c r="AB23" s="154"/>
      <c r="AC23" s="147"/>
      <c r="AD23" s="149"/>
      <c r="AE23" s="149"/>
      <c r="AF23" s="146"/>
    </row>
    <row r="24" spans="1:32">
      <c r="A24" s="135" t="s">
        <v>2</v>
      </c>
      <c r="B24" s="136">
        <v>286.3</v>
      </c>
      <c r="C24" s="136">
        <v>193.8</v>
      </c>
      <c r="D24" s="136">
        <v>284.7</v>
      </c>
      <c r="E24" s="136">
        <v>168.1</v>
      </c>
      <c r="F24" s="137" t="s">
        <v>625</v>
      </c>
      <c r="G24" s="138">
        <v>0</v>
      </c>
      <c r="H24" s="139">
        <v>246.67651966860001</v>
      </c>
      <c r="I24" s="139">
        <v>0.43722732732000003</v>
      </c>
      <c r="J24" s="140">
        <v>0.105</v>
      </c>
      <c r="K24" s="140">
        <v>7.4000000000000003E-3</v>
      </c>
      <c r="L24" s="140">
        <v>0.11</v>
      </c>
      <c r="M24" s="140">
        <v>1.3899999999999999E-2</v>
      </c>
      <c r="N24" s="140">
        <v>0.161</v>
      </c>
      <c r="O24" s="140">
        <v>2.0500000000000001E-2</v>
      </c>
      <c r="P24" s="141">
        <v>103.1238504412448</v>
      </c>
      <c r="Q24" s="142">
        <v>19.429658207738076</v>
      </c>
      <c r="R24" s="143">
        <v>12.696907143099228</v>
      </c>
      <c r="S24" s="139">
        <v>2.7160259209056108E-2</v>
      </c>
      <c r="T24" s="142">
        <v>5.4169102114549563</v>
      </c>
      <c r="U24" s="142">
        <v>0.19062351605574132</v>
      </c>
      <c r="V24" s="142">
        <v>5.6839486843646316</v>
      </c>
      <c r="W24" s="142">
        <v>0.20146610883018617</v>
      </c>
      <c r="X24" s="142">
        <v>8.3065969871728562</v>
      </c>
      <c r="Y24" s="142">
        <v>0.29442520781894277</v>
      </c>
      <c r="Z24" s="144">
        <f>T24+(0.238*V24)+(0.0012*X24)</f>
        <v>6.7796579147183467</v>
      </c>
      <c r="AA24" s="145">
        <f>Z24*0.15</f>
        <v>1.016948687207752</v>
      </c>
      <c r="AB24" s="141">
        <v>335.85550217772402</v>
      </c>
      <c r="AC24" s="143">
        <v>0.84636331034388923</v>
      </c>
      <c r="AD24" s="141">
        <v>396.82190623464203</v>
      </c>
      <c r="AE24" s="141">
        <v>19.98641967838584</v>
      </c>
      <c r="AF24" s="146"/>
    </row>
    <row r="25" spans="1:32">
      <c r="A25" s="135" t="s">
        <v>4</v>
      </c>
      <c r="B25" s="136">
        <v>215.7</v>
      </c>
      <c r="C25" s="136">
        <v>149.19999999999999</v>
      </c>
      <c r="D25" s="136">
        <v>217.3</v>
      </c>
      <c r="E25" s="136">
        <v>124.8</v>
      </c>
      <c r="F25" s="137" t="s">
        <v>625</v>
      </c>
      <c r="G25" s="138">
        <v>2</v>
      </c>
      <c r="H25" s="139">
        <v>168.91251645240001</v>
      </c>
      <c r="I25" s="139">
        <v>0.37476628056</v>
      </c>
      <c r="J25" s="140">
        <v>7.2999999999999995E-2</v>
      </c>
      <c r="K25" s="140">
        <v>5.4999999999999997E-3</v>
      </c>
      <c r="L25" s="140">
        <v>4.5999999999999999E-2</v>
      </c>
      <c r="M25" s="140">
        <v>4.1999999999999997E-3</v>
      </c>
      <c r="N25" s="140">
        <v>8.4000000000000005E-2</v>
      </c>
      <c r="O25" s="140">
        <v>1.95E-2</v>
      </c>
      <c r="P25" s="141">
        <v>77.984429978888102</v>
      </c>
      <c r="Q25" s="142">
        <v>8.4458022455662132</v>
      </c>
      <c r="R25" s="143">
        <v>19.998342979855479</v>
      </c>
      <c r="S25" s="139">
        <v>7.1100713791862696E-2</v>
      </c>
      <c r="T25" s="142">
        <v>8.6681958358529361</v>
      </c>
      <c r="U25" s="142">
        <v>0.32444332368476669</v>
      </c>
      <c r="V25" s="142">
        <v>5.4725609105586699</v>
      </c>
      <c r="W25" s="142">
        <v>0.20631354547483191</v>
      </c>
      <c r="X25" s="142">
        <v>9.9356887437890169</v>
      </c>
      <c r="Y25" s="142">
        <v>0.37457183299879054</v>
      </c>
      <c r="Z25" s="144">
        <f t="shared" ref="Z25:Z28" si="6">T25+(0.238*V25)+(0.0012*X25)</f>
        <v>9.9825881590584462</v>
      </c>
      <c r="AA25" s="145">
        <f t="shared" ref="AA25:AA28" si="7">Z25*0.15</f>
        <v>1.4973882238587668</v>
      </c>
      <c r="AB25" s="141">
        <v>358.51735116186472</v>
      </c>
      <c r="AC25" s="143">
        <v>0.78716006334109256</v>
      </c>
      <c r="AD25" s="141">
        <v>455.45673346300322</v>
      </c>
      <c r="AE25" s="141">
        <v>22.844377270932956</v>
      </c>
      <c r="AF25" s="146"/>
    </row>
    <row r="26" spans="1:32">
      <c r="A26" s="135" t="s">
        <v>3</v>
      </c>
      <c r="B26" s="136">
        <v>156.4</v>
      </c>
      <c r="C26" s="136">
        <v>144.9</v>
      </c>
      <c r="D26" s="136">
        <v>157.19999999999999</v>
      </c>
      <c r="E26" s="136">
        <v>132.6</v>
      </c>
      <c r="F26" s="137" t="s">
        <v>625</v>
      </c>
      <c r="G26" s="138">
        <v>0</v>
      </c>
      <c r="H26" s="139">
        <v>74.864026045200006</v>
      </c>
      <c r="I26" s="139">
        <v>0.26322869706000002</v>
      </c>
      <c r="J26" s="140">
        <v>2.7E-2</v>
      </c>
      <c r="K26" s="140">
        <v>2.0999999999999999E-3</v>
      </c>
      <c r="L26" s="140">
        <v>0.04</v>
      </c>
      <c r="M26" s="140">
        <v>4.1999999999999997E-3</v>
      </c>
      <c r="N26" s="140">
        <v>8.1000000000000003E-2</v>
      </c>
      <c r="O26" s="140">
        <v>0.01</v>
      </c>
      <c r="P26" s="141">
        <v>72.086701361975415</v>
      </c>
      <c r="Q26" s="142">
        <v>6.2741358120165041</v>
      </c>
      <c r="R26" s="143">
        <v>11.930616083848221</v>
      </c>
      <c r="S26" s="139">
        <v>5.4355251031962266E-2</v>
      </c>
      <c r="T26" s="142">
        <v>4.2892929052071009</v>
      </c>
      <c r="U26" s="142">
        <v>0.16887213239907256</v>
      </c>
      <c r="V26" s="142">
        <v>6.3922393293004349</v>
      </c>
      <c r="W26" s="142">
        <v>0.25348503281663232</v>
      </c>
      <c r="X26" s="142">
        <v>12.968510357610297</v>
      </c>
      <c r="Y26" s="142">
        <v>0.5142678651772955</v>
      </c>
      <c r="Z26" s="144">
        <f t="shared" si="6"/>
        <v>5.8262080780097367</v>
      </c>
      <c r="AA26" s="145">
        <f t="shared" si="7"/>
        <v>0.87393121170146049</v>
      </c>
      <c r="AB26" s="141">
        <v>364.52435840443633</v>
      </c>
      <c r="AC26" s="143">
        <v>0.78900525898310525</v>
      </c>
      <c r="AD26" s="141">
        <v>462.0049793764959</v>
      </c>
      <c r="AE26" s="141">
        <v>22.485564340598899</v>
      </c>
      <c r="AF26" s="146"/>
    </row>
    <row r="27" spans="1:32">
      <c r="A27" s="135" t="s">
        <v>1</v>
      </c>
      <c r="B27" s="136">
        <v>190.9</v>
      </c>
      <c r="C27" s="136">
        <v>124.3</v>
      </c>
      <c r="D27" s="136">
        <v>188.1</v>
      </c>
      <c r="E27" s="136">
        <v>124.9</v>
      </c>
      <c r="F27" s="137" t="s">
        <v>625</v>
      </c>
      <c r="G27" s="138">
        <v>0</v>
      </c>
      <c r="H27" s="139">
        <v>200.90149540020002</v>
      </c>
      <c r="I27" s="139">
        <v>0.50861138076000001</v>
      </c>
      <c r="J27" s="140">
        <v>7.6999999999999999E-2</v>
      </c>
      <c r="K27" s="140">
        <v>4.0000000000000001E-3</v>
      </c>
      <c r="L27" s="140">
        <v>4.2999999999999997E-2</v>
      </c>
      <c r="M27" s="140">
        <v>3.3E-3</v>
      </c>
      <c r="N27" s="140">
        <v>2.5000000000000001E-2</v>
      </c>
      <c r="O27" s="140">
        <v>1.0200000000000001E-2</v>
      </c>
      <c r="P27" s="141">
        <v>70.456575829383894</v>
      </c>
      <c r="Q27" s="142">
        <v>6.1148692092156338</v>
      </c>
      <c r="R27" s="143">
        <v>32.854300489981455</v>
      </c>
      <c r="S27" s="139">
        <v>9.4755613353221024E-2</v>
      </c>
      <c r="T27" s="142">
        <v>12.620138815418835</v>
      </c>
      <c r="U27" s="142">
        <v>0.32692890376935707</v>
      </c>
      <c r="V27" s="142">
        <v>7.0665029211531154</v>
      </c>
      <c r="W27" s="142">
        <v>0.18438294198802155</v>
      </c>
      <c r="X27" s="142">
        <v>4.0325234721666385</v>
      </c>
      <c r="Y27" s="142">
        <v>0.10521874111282575</v>
      </c>
      <c r="Z27" s="144">
        <f t="shared" si="6"/>
        <v>14.306805538819876</v>
      </c>
      <c r="AA27" s="145">
        <f t="shared" si="7"/>
        <v>2.1460208308229816</v>
      </c>
      <c r="AB27" s="141">
        <v>410.95761015099595</v>
      </c>
      <c r="AC27" s="143">
        <v>0.78258353725267338</v>
      </c>
      <c r="AD27" s="141">
        <v>525.12938311186292</v>
      </c>
      <c r="AE27" s="141">
        <v>18.578745333605259</v>
      </c>
      <c r="AF27" s="146"/>
    </row>
    <row r="28" spans="1:32">
      <c r="A28" s="135" t="s">
        <v>0</v>
      </c>
      <c r="B28" s="136">
        <v>174.6</v>
      </c>
      <c r="C28" s="136">
        <v>105.9</v>
      </c>
      <c r="D28" s="136">
        <v>175.3</v>
      </c>
      <c r="E28" s="136">
        <v>93.7</v>
      </c>
      <c r="F28" s="137" t="s">
        <v>625</v>
      </c>
      <c r="G28" s="138">
        <v>2</v>
      </c>
      <c r="H28" s="139">
        <v>39.127384291799999</v>
      </c>
      <c r="I28" s="139">
        <v>0.16507562358000002</v>
      </c>
      <c r="J28" s="140">
        <v>0.02</v>
      </c>
      <c r="K28" s="140">
        <v>1.6999999999999999E-3</v>
      </c>
      <c r="L28" s="140">
        <v>1.4E-2</v>
      </c>
      <c r="M28" s="140">
        <v>2.5000000000000001E-3</v>
      </c>
      <c r="N28" s="140">
        <v>3.6999999999999998E-2</v>
      </c>
      <c r="O28" s="140">
        <v>6.1000000000000004E-3</v>
      </c>
      <c r="P28" s="141">
        <v>58.212962138084642</v>
      </c>
      <c r="Q28" s="142">
        <v>3.6217369406183226</v>
      </c>
      <c r="R28" s="143">
        <v>10.802699785848525</v>
      </c>
      <c r="S28" s="139">
        <v>6.7001362920859037E-2</v>
      </c>
      <c r="T28" s="142">
        <v>5.6496936146783048</v>
      </c>
      <c r="U28" s="142">
        <v>0.23865564176639356</v>
      </c>
      <c r="V28" s="142">
        <v>3.9469387754795466</v>
      </c>
      <c r="W28" s="142">
        <v>0.16793228983385261</v>
      </c>
      <c r="X28" s="142">
        <v>10.29181745562183</v>
      </c>
      <c r="Y28" s="142">
        <v>0.4378908744700758</v>
      </c>
      <c r="Z28" s="144">
        <f t="shared" si="6"/>
        <v>6.601415224189183</v>
      </c>
      <c r="AA28" s="145">
        <f t="shared" si="7"/>
        <v>0.99021228362837743</v>
      </c>
      <c r="AB28" s="141">
        <v>293.42523135107984</v>
      </c>
      <c r="AC28" s="143">
        <v>0.71978702123276439</v>
      </c>
      <c r="AD28" s="141">
        <v>407.65562964519211</v>
      </c>
      <c r="AE28" s="141">
        <v>21.614264053487783</v>
      </c>
      <c r="AF28" s="146"/>
    </row>
    <row r="29" spans="1:32">
      <c r="A29" s="132" t="s">
        <v>629</v>
      </c>
      <c r="B29" s="149"/>
      <c r="C29" s="149"/>
      <c r="D29" s="149"/>
      <c r="E29" s="149"/>
      <c r="F29" s="133"/>
      <c r="G29" s="133"/>
      <c r="H29" s="150"/>
      <c r="I29" s="150"/>
      <c r="J29" s="151"/>
      <c r="K29" s="151"/>
      <c r="L29" s="151"/>
      <c r="M29" s="151"/>
      <c r="N29" s="151"/>
      <c r="O29" s="151"/>
      <c r="P29" s="149"/>
      <c r="Q29" s="152"/>
      <c r="R29" s="150"/>
      <c r="S29" s="150"/>
      <c r="T29" s="152"/>
      <c r="U29" s="152"/>
      <c r="V29" s="152"/>
      <c r="W29" s="144"/>
      <c r="X29" s="144"/>
      <c r="Y29" s="144"/>
      <c r="Z29" s="153"/>
      <c r="AA29" s="144"/>
      <c r="AB29" s="154"/>
      <c r="AC29" s="147"/>
      <c r="AD29" s="149"/>
      <c r="AE29" s="149"/>
      <c r="AF29" s="146"/>
    </row>
    <row r="30" spans="1:32">
      <c r="A30" s="135" t="s">
        <v>2</v>
      </c>
      <c r="B30" s="136">
        <v>143.9</v>
      </c>
      <c r="C30" s="136">
        <v>91.7</v>
      </c>
      <c r="D30" s="136">
        <v>151</v>
      </c>
      <c r="E30" s="136">
        <v>87.4</v>
      </c>
      <c r="F30" s="137" t="s">
        <v>625</v>
      </c>
      <c r="G30" s="138">
        <v>0</v>
      </c>
      <c r="H30" s="139">
        <v>79.2362993184</v>
      </c>
      <c r="I30" s="139">
        <v>0.17399863026000001</v>
      </c>
      <c r="J30" s="140">
        <v>2.9000000000000001E-2</v>
      </c>
      <c r="K30" s="140">
        <v>2.5999999999999999E-3</v>
      </c>
      <c r="L30" s="140">
        <v>2.5999999999999999E-2</v>
      </c>
      <c r="M30" s="140">
        <v>3.8999999999999998E-3</v>
      </c>
      <c r="N30" s="140">
        <v>3.7999999999999999E-2</v>
      </c>
      <c r="O30" s="140">
        <v>8.9999999999999993E-3</v>
      </c>
      <c r="P30" s="141">
        <v>51.223976414469334</v>
      </c>
      <c r="Q30" s="142">
        <v>2.457637531444484</v>
      </c>
      <c r="R30" s="143">
        <v>32.244814024638416</v>
      </c>
      <c r="S30" s="139">
        <v>8.0846944522185979E-2</v>
      </c>
      <c r="T30" s="142">
        <v>11.936706424434696</v>
      </c>
      <c r="U30" s="142">
        <v>0.5258165975066037</v>
      </c>
      <c r="V30" s="142">
        <v>10.410039002105488</v>
      </c>
      <c r="W30" s="142">
        <v>0.4618799876744808</v>
      </c>
      <c r="X30" s="142">
        <v>15.270405700186089</v>
      </c>
      <c r="Y30" s="142">
        <v>0.67752818170611517</v>
      </c>
      <c r="Z30" s="144">
        <f>T30+(0.238*V30)+(0.0012*X30)</f>
        <v>14.432620193776026</v>
      </c>
      <c r="AA30" s="145">
        <f>Z30*0.15</f>
        <v>2.1648930290664037</v>
      </c>
      <c r="AB30" s="141">
        <v>398.77692582081852</v>
      </c>
      <c r="AC30" s="143">
        <v>0.70495330971642645</v>
      </c>
      <c r="AD30" s="141">
        <v>565.67849292207734</v>
      </c>
      <c r="AE30" s="141">
        <v>29.834852134878098</v>
      </c>
      <c r="AF30" s="146"/>
    </row>
    <row r="31" spans="1:32">
      <c r="A31" s="135" t="s">
        <v>4</v>
      </c>
      <c r="B31" s="136">
        <v>102.8</v>
      </c>
      <c r="C31" s="136">
        <v>77</v>
      </c>
      <c r="D31" s="136">
        <v>107.1</v>
      </c>
      <c r="E31" s="136">
        <v>69.400000000000006</v>
      </c>
      <c r="F31" s="137" t="s">
        <v>625</v>
      </c>
      <c r="G31" s="138">
        <v>1</v>
      </c>
      <c r="H31" s="139">
        <v>79.013224151399996</v>
      </c>
      <c r="I31" s="139">
        <v>0.29445922044</v>
      </c>
      <c r="J31" s="140">
        <v>2.4E-2</v>
      </c>
      <c r="K31" s="140">
        <v>1.6000000000000001E-3</v>
      </c>
      <c r="L31" s="140">
        <v>2.5999999999999999E-2</v>
      </c>
      <c r="M31" s="140">
        <v>3.0999999999999999E-3</v>
      </c>
      <c r="N31" s="140">
        <v>2.1999999999999999E-2</v>
      </c>
      <c r="O31" s="140">
        <v>8.3000000000000001E-3</v>
      </c>
      <c r="P31" s="141">
        <v>40.485796269727402</v>
      </c>
      <c r="Q31" s="142">
        <v>1.1688168891774813</v>
      </c>
      <c r="R31" s="143">
        <v>67.589654759672896</v>
      </c>
      <c r="S31" s="139">
        <v>0.30532900838663202</v>
      </c>
      <c r="T31" s="142">
        <v>20.436555810811189</v>
      </c>
      <c r="U31" s="142">
        <v>0.66861359875868753</v>
      </c>
      <c r="V31" s="142">
        <v>22.229465565684155</v>
      </c>
      <c r="W31" s="142">
        <v>0.73252682399286273</v>
      </c>
      <c r="X31" s="142">
        <v>18.480185704854755</v>
      </c>
      <c r="Y31" s="142">
        <v>0.60897693204433645</v>
      </c>
      <c r="Z31" s="144">
        <f t="shared" ref="Z31:Z34" si="8">T31+(0.238*V31)+(0.0012*X31)</f>
        <v>25.749344838289844</v>
      </c>
      <c r="AA31" s="145">
        <f t="shared" ref="AA31:AA34" si="9">Z31*0.15</f>
        <v>3.8624017257434762</v>
      </c>
      <c r="AB31" s="141">
        <v>467.49078746945253</v>
      </c>
      <c r="AC31" s="147">
        <v>0.64</v>
      </c>
      <c r="AD31" s="141">
        <v>732.73595566798576</v>
      </c>
      <c r="AE31" s="141">
        <v>26.138734223973202</v>
      </c>
      <c r="AF31" s="146"/>
    </row>
    <row r="32" spans="1:32">
      <c r="A32" s="135" t="s">
        <v>7</v>
      </c>
      <c r="B32" s="136">
        <v>153.19999999999999</v>
      </c>
      <c r="C32" s="136">
        <v>95.2</v>
      </c>
      <c r="D32" s="136">
        <v>155.30000000000001</v>
      </c>
      <c r="E32" s="136">
        <v>98.6</v>
      </c>
      <c r="F32" s="137" t="s">
        <v>625</v>
      </c>
      <c r="G32" s="153">
        <v>0</v>
      </c>
      <c r="H32" s="139">
        <v>31.408983513599999</v>
      </c>
      <c r="I32" s="139">
        <v>0.34799726052000002</v>
      </c>
      <c r="J32" s="140">
        <v>1.4999999999999999E-2</v>
      </c>
      <c r="K32" s="140">
        <v>1.1000000000000001E-3</v>
      </c>
      <c r="L32" s="140">
        <v>1.7999999999999999E-2</v>
      </c>
      <c r="M32" s="140">
        <v>1.2999999999999999E-3</v>
      </c>
      <c r="N32" s="140">
        <v>4.5999999999999999E-2</v>
      </c>
      <c r="O32" s="140">
        <v>2.0999999999999999E-3</v>
      </c>
      <c r="P32" s="154">
        <v>51.433668408520639</v>
      </c>
      <c r="Q32" s="144">
        <v>3.3426797150856928</v>
      </c>
      <c r="R32" s="147">
        <v>9.398765140030612</v>
      </c>
      <c r="S32" s="139">
        <v>0.12884224079915602</v>
      </c>
      <c r="T32" s="144">
        <v>4.4560600396533214</v>
      </c>
      <c r="U32" s="144">
        <v>0.16061448431540812</v>
      </c>
      <c r="V32" s="144">
        <v>5.4538141798175079</v>
      </c>
      <c r="W32" s="144">
        <v>0.20183825166435032</v>
      </c>
      <c r="X32" s="144">
        <v>13.891682888207727</v>
      </c>
      <c r="Y32" s="144">
        <v>0.31198222386653768</v>
      </c>
      <c r="Z32" s="144">
        <f t="shared" si="8"/>
        <v>5.7707378339157369</v>
      </c>
      <c r="AA32" s="145">
        <f t="shared" si="9"/>
        <v>0.86561067508736056</v>
      </c>
      <c r="AB32" s="154">
        <v>290.94468820643158</v>
      </c>
      <c r="AC32" s="147">
        <v>0.7253661259383507</v>
      </c>
      <c r="AD32" s="154">
        <v>395.48892270092585</v>
      </c>
      <c r="AE32" s="154">
        <v>45.573962284284377</v>
      </c>
      <c r="AF32" s="146"/>
    </row>
    <row r="33" spans="1:33">
      <c r="A33" s="135" t="s">
        <v>6</v>
      </c>
      <c r="B33" s="136">
        <v>101</v>
      </c>
      <c r="C33" s="136">
        <v>79.900000000000006</v>
      </c>
      <c r="D33" s="136">
        <v>99</v>
      </c>
      <c r="E33" s="136">
        <v>62.5</v>
      </c>
      <c r="F33" s="137" t="s">
        <v>625</v>
      </c>
      <c r="G33" s="153">
        <v>0</v>
      </c>
      <c r="H33" s="139">
        <v>11.109143316600001</v>
      </c>
      <c r="I33" s="139">
        <v>0.16507562358000002</v>
      </c>
      <c r="J33" s="140">
        <v>6.0000000000000001E-3</v>
      </c>
      <c r="K33" s="140">
        <v>2.0000000000000001E-4</v>
      </c>
      <c r="L33" s="140">
        <v>5.0000000000000001E-3</v>
      </c>
      <c r="M33" s="140">
        <v>2.0000000000000001E-4</v>
      </c>
      <c r="N33" s="140">
        <v>1.0999999999999999E-2</v>
      </c>
      <c r="O33" s="140">
        <v>8.0000000000000004E-4</v>
      </c>
      <c r="P33" s="154">
        <v>33.740222162716506</v>
      </c>
      <c r="Q33" s="144">
        <v>1.0092372151999793</v>
      </c>
      <c r="R33" s="147">
        <v>11.025766515861756</v>
      </c>
      <c r="S33" s="139">
        <v>0.20704162885404503</v>
      </c>
      <c r="T33" s="144">
        <v>5.7094976422184001</v>
      </c>
      <c r="U33" s="144">
        <v>0.10685705713434535</v>
      </c>
      <c r="V33" s="144">
        <v>5.2009750809006743</v>
      </c>
      <c r="W33" s="144">
        <v>7.4631839738667563E-2</v>
      </c>
      <c r="X33" s="144">
        <v>10.742619458433753</v>
      </c>
      <c r="Y33" s="144">
        <v>0.39089392848042404</v>
      </c>
      <c r="Z33" s="144">
        <f t="shared" si="8"/>
        <v>6.9602208548228814</v>
      </c>
      <c r="AA33" s="145">
        <f t="shared" si="9"/>
        <v>1.0440331282234321</v>
      </c>
      <c r="AB33" s="154">
        <v>284.50203159295614</v>
      </c>
      <c r="AC33" s="147">
        <v>0.6</v>
      </c>
      <c r="AD33" s="154">
        <v>466.79161502752828</v>
      </c>
      <c r="AE33" s="154">
        <v>30.050198985650489</v>
      </c>
      <c r="AF33" s="146"/>
    </row>
    <row r="34" spans="1:33">
      <c r="A34" s="135" t="s">
        <v>5</v>
      </c>
      <c r="B34" s="136">
        <v>120.8</v>
      </c>
      <c r="C34" s="136">
        <v>74.099999999999994</v>
      </c>
      <c r="D34" s="136">
        <v>123.2</v>
      </c>
      <c r="E34" s="136">
        <v>59.2</v>
      </c>
      <c r="F34" s="137" t="s">
        <v>625</v>
      </c>
      <c r="G34" s="153">
        <v>1</v>
      </c>
      <c r="H34" s="139">
        <v>15.6598767234</v>
      </c>
      <c r="I34" s="139">
        <v>0.12938359686000001</v>
      </c>
      <c r="J34" s="140">
        <v>6.0000000000000001E-3</v>
      </c>
      <c r="K34" s="140">
        <v>5.9999999999999995E-4</v>
      </c>
      <c r="L34" s="140">
        <v>7.0000000000000001E-3</v>
      </c>
      <c r="M34" s="140">
        <v>8.0000000000000004E-4</v>
      </c>
      <c r="N34" s="140">
        <v>1.6E-2</v>
      </c>
      <c r="O34" s="140">
        <v>2E-3</v>
      </c>
      <c r="P34" s="154">
        <v>33.691071688793521</v>
      </c>
      <c r="Q34" s="144">
        <v>0.92565979732874504</v>
      </c>
      <c r="R34" s="147">
        <v>16.929375259994888</v>
      </c>
      <c r="S34" s="139">
        <v>0.14101579076636769</v>
      </c>
      <c r="T34" s="144">
        <v>6.5820452104044636</v>
      </c>
      <c r="U34" s="144">
        <v>0.3043554223865666</v>
      </c>
      <c r="V34" s="144">
        <v>8.0932666784536877</v>
      </c>
      <c r="W34" s="144">
        <v>0.42771670788159594</v>
      </c>
      <c r="X34" s="144">
        <v>17.101829270597459</v>
      </c>
      <c r="Y34" s="144">
        <v>1.0814242568972217</v>
      </c>
      <c r="Z34" s="144">
        <f t="shared" si="8"/>
        <v>8.5287648750011567</v>
      </c>
      <c r="AA34" s="145">
        <f t="shared" si="9"/>
        <v>1.2793147312501734</v>
      </c>
      <c r="AB34" s="154">
        <v>353.83552764210441</v>
      </c>
      <c r="AC34" s="147">
        <v>0.59</v>
      </c>
      <c r="AD34" s="154">
        <v>586.38298731934958</v>
      </c>
      <c r="AE34" s="154">
        <v>83.010193435681089</v>
      </c>
      <c r="AF34" s="146"/>
    </row>
    <row r="35" spans="1:33">
      <c r="A35" s="148" t="s">
        <v>630</v>
      </c>
      <c r="B35" s="149"/>
      <c r="C35" s="149"/>
      <c r="D35" s="149"/>
      <c r="E35" s="149"/>
      <c r="F35" s="133"/>
      <c r="G35" s="133"/>
      <c r="H35" s="150"/>
      <c r="I35" s="150"/>
      <c r="J35" s="151"/>
      <c r="K35" s="151"/>
      <c r="L35" s="151"/>
      <c r="M35" s="151"/>
      <c r="N35" s="151"/>
      <c r="O35" s="151"/>
      <c r="P35" s="149"/>
      <c r="Q35" s="152"/>
      <c r="R35" s="150"/>
      <c r="S35" s="150"/>
      <c r="T35" s="152"/>
      <c r="U35" s="152"/>
      <c r="V35" s="152"/>
      <c r="W35" s="144"/>
      <c r="X35" s="144"/>
      <c r="Y35" s="144"/>
      <c r="Z35" s="153"/>
      <c r="AA35" s="144"/>
      <c r="AB35" s="154"/>
      <c r="AC35" s="147"/>
      <c r="AD35" s="149"/>
      <c r="AE35" s="149"/>
      <c r="AF35" s="146"/>
    </row>
    <row r="36" spans="1:33">
      <c r="A36" s="135" t="s">
        <v>2</v>
      </c>
      <c r="B36" s="136">
        <v>248</v>
      </c>
      <c r="C36" s="136">
        <v>106</v>
      </c>
      <c r="D36" s="136">
        <v>248</v>
      </c>
      <c r="E36" s="136">
        <v>85.1</v>
      </c>
      <c r="F36" s="137" t="s">
        <v>625</v>
      </c>
      <c r="G36" s="138">
        <v>2</v>
      </c>
      <c r="H36" s="139">
        <v>205.18453860660003</v>
      </c>
      <c r="I36" s="139">
        <v>0.39707379726000003</v>
      </c>
      <c r="J36" s="140">
        <v>6.2E-2</v>
      </c>
      <c r="K36" s="140">
        <v>3.8E-3</v>
      </c>
      <c r="L36" s="140">
        <v>0.16700000000000001</v>
      </c>
      <c r="M36" s="140">
        <v>7.9000000000000008E-3</v>
      </c>
      <c r="N36" s="140">
        <v>8.2000000000000003E-2</v>
      </c>
      <c r="O36" s="140">
        <v>8.0999999999999996E-3</v>
      </c>
      <c r="P36" s="141">
        <v>60.087228467585163</v>
      </c>
      <c r="Q36" s="142">
        <v>4.7060326616174386</v>
      </c>
      <c r="R36" s="143">
        <v>43.599930428953641</v>
      </c>
      <c r="S36" s="139">
        <v>0.11211302218022151</v>
      </c>
      <c r="T36" s="142">
        <v>13.272219350577013</v>
      </c>
      <c r="U36" s="142">
        <v>0.39952210065262372</v>
      </c>
      <c r="V36" s="142">
        <v>35.573335449343361</v>
      </c>
      <c r="W36" s="142">
        <v>1.0785712920554185</v>
      </c>
      <c r="X36" s="142">
        <v>17.452236582452223</v>
      </c>
      <c r="Y36" s="142">
        <v>0.52914580885441798</v>
      </c>
      <c r="Z36" s="144">
        <f>T36+(0.238*V36)+(0.0012*X36)</f>
        <v>21.759615871419676</v>
      </c>
      <c r="AA36" s="145">
        <f>Z36*0.15</f>
        <v>3.2639423807129515</v>
      </c>
      <c r="AB36" s="141">
        <v>361.45401879942955</v>
      </c>
      <c r="AC36" s="143">
        <v>0.71700320754683278</v>
      </c>
      <c r="AD36" s="141">
        <v>504.11771522768299</v>
      </c>
      <c r="AE36" s="141">
        <v>14.404031077856807</v>
      </c>
      <c r="AF36" s="146"/>
      <c r="AG36" s="155"/>
    </row>
    <row r="37" spans="1:33">
      <c r="A37" s="135" t="s">
        <v>4</v>
      </c>
      <c r="B37" s="136">
        <v>145.69999999999999</v>
      </c>
      <c r="C37" s="136">
        <v>103.5</v>
      </c>
      <c r="D37" s="136">
        <v>148.19999999999999</v>
      </c>
      <c r="E37" s="136">
        <v>92.5</v>
      </c>
      <c r="F37" s="137" t="s">
        <v>625</v>
      </c>
      <c r="G37" s="138">
        <v>1</v>
      </c>
      <c r="H37" s="139">
        <v>265.01329839600004</v>
      </c>
      <c r="I37" s="139">
        <v>0.46399634736000001</v>
      </c>
      <c r="J37" s="140">
        <v>8.1000000000000003E-2</v>
      </c>
      <c r="K37" s="140">
        <v>5.4999999999999997E-3</v>
      </c>
      <c r="L37" s="140">
        <v>9.1999999999999998E-2</v>
      </c>
      <c r="M37" s="140">
        <v>7.7000000000000002E-3</v>
      </c>
      <c r="N37" s="140">
        <v>6.4000000000000001E-2</v>
      </c>
      <c r="O37" s="140">
        <v>1.11E-2</v>
      </c>
      <c r="P37" s="141">
        <v>55.002311248073958</v>
      </c>
      <c r="Q37" s="142">
        <v>2.9333481776619066</v>
      </c>
      <c r="R37" s="143">
        <v>90.34698417626575</v>
      </c>
      <c r="S37" s="139">
        <v>0.1903021865684518</v>
      </c>
      <c r="T37" s="142">
        <v>27.459739897933208</v>
      </c>
      <c r="U37" s="142">
        <v>0.93966875696863705</v>
      </c>
      <c r="V37" s="142">
        <v>31.259821139977991</v>
      </c>
      <c r="W37" s="142">
        <v>1.0774369565143005</v>
      </c>
      <c r="X37" s="142">
        <v>21.830091591734298</v>
      </c>
      <c r="Y37" s="142">
        <v>0.7524210500023093</v>
      </c>
      <c r="Z37" s="144">
        <f t="shared" ref="Z37:Z40" si="10">T37+(0.238*V37)+(0.0012*X37)</f>
        <v>34.92577343915805</v>
      </c>
      <c r="AA37" s="145">
        <f t="shared" ref="AA37:AA40" si="11">Z37*0.15</f>
        <v>5.2388660158737075</v>
      </c>
      <c r="AB37" s="141">
        <v>461.34074079293589</v>
      </c>
      <c r="AC37" s="143">
        <v>0.72376019815881565</v>
      </c>
      <c r="AD37" s="141">
        <v>637.42209362513643</v>
      </c>
      <c r="AE37" s="141">
        <v>25.347558356500961</v>
      </c>
      <c r="AF37" s="146"/>
      <c r="AG37" s="155"/>
    </row>
    <row r="38" spans="1:33">
      <c r="A38" s="135" t="s">
        <v>3</v>
      </c>
      <c r="B38" s="136">
        <v>166.4</v>
      </c>
      <c r="C38" s="136">
        <v>92.7</v>
      </c>
      <c r="D38" s="136">
        <v>171.7</v>
      </c>
      <c r="E38" s="136">
        <v>78.599999999999994</v>
      </c>
      <c r="F38" s="137" t="s">
        <v>625</v>
      </c>
      <c r="G38" s="138">
        <v>2</v>
      </c>
      <c r="H38" s="139">
        <v>93.646955106600018</v>
      </c>
      <c r="I38" s="139">
        <v>0.17846013360000001</v>
      </c>
      <c r="J38" s="140">
        <v>3.3000000000000002E-2</v>
      </c>
      <c r="K38" s="140">
        <v>3.5000000000000001E-3</v>
      </c>
      <c r="L38" s="140">
        <v>8.4000000000000005E-2</v>
      </c>
      <c r="M38" s="140">
        <v>5.4000000000000003E-3</v>
      </c>
      <c r="N38" s="140">
        <v>3.4000000000000002E-2</v>
      </c>
      <c r="O38" s="140">
        <v>7.7999999999999996E-3</v>
      </c>
      <c r="P38" s="141">
        <v>51.089114589556694</v>
      </c>
      <c r="Q38" s="142">
        <v>2.5775778028800493</v>
      </c>
      <c r="R38" s="143">
        <v>36.338334506150673</v>
      </c>
      <c r="S38" s="139">
        <v>9.831102106123836E-2</v>
      </c>
      <c r="T38" s="142">
        <v>12.796372813839806</v>
      </c>
      <c r="U38" s="142">
        <v>0.68204512144448548</v>
      </c>
      <c r="V38" s="142">
        <v>32.658698209082083</v>
      </c>
      <c r="W38" s="142">
        <v>1.7532833278146758</v>
      </c>
      <c r="X38" s="142">
        <v>13.32386100250771</v>
      </c>
      <c r="Y38" s="142">
        <v>0.71529193258905088</v>
      </c>
      <c r="Z38" s="144">
        <f t="shared" si="10"/>
        <v>20.585131620804351</v>
      </c>
      <c r="AA38" s="145">
        <f t="shared" si="11"/>
        <v>3.0877697431206523</v>
      </c>
      <c r="AB38" s="141">
        <v>319.58635020001731</v>
      </c>
      <c r="AC38" s="143">
        <v>0.67443798071205507</v>
      </c>
      <c r="AD38" s="141">
        <v>473.85580192652537</v>
      </c>
      <c r="AE38" s="141">
        <v>21.846408342771127</v>
      </c>
      <c r="AF38" s="146"/>
      <c r="AG38" s="155"/>
    </row>
    <row r="39" spans="1:33">
      <c r="A39" s="135" t="s">
        <v>1</v>
      </c>
      <c r="B39" s="136">
        <v>174.1</v>
      </c>
      <c r="C39" s="136">
        <v>84</v>
      </c>
      <c r="D39" s="136">
        <v>165.3</v>
      </c>
      <c r="E39" s="136">
        <v>78</v>
      </c>
      <c r="F39" s="137" t="s">
        <v>625</v>
      </c>
      <c r="G39" s="138">
        <v>1</v>
      </c>
      <c r="H39" s="139">
        <v>45.641179168199997</v>
      </c>
      <c r="I39" s="139">
        <v>9.369157014E-2</v>
      </c>
      <c r="J39" s="140">
        <v>2.1999999999999999E-2</v>
      </c>
      <c r="K39" s="140">
        <v>2.0999999999999999E-3</v>
      </c>
      <c r="L39" s="140">
        <v>5.1999999999999998E-2</v>
      </c>
      <c r="M39" s="140">
        <v>2.7000000000000001E-3</v>
      </c>
      <c r="N39" s="140">
        <v>3.3000000000000002E-2</v>
      </c>
      <c r="O39" s="140">
        <v>8.8999999999999999E-3</v>
      </c>
      <c r="P39" s="141">
        <v>49.285065237651452</v>
      </c>
      <c r="Q39" s="142">
        <v>2.3141619763602725</v>
      </c>
      <c r="R39" s="143">
        <v>19.715636814993875</v>
      </c>
      <c r="S39" s="139">
        <v>4.463235319686195E-2</v>
      </c>
      <c r="T39" s="142">
        <v>9.3525412997473705</v>
      </c>
      <c r="U39" s="142">
        <v>0.45772410863451002</v>
      </c>
      <c r="V39" s="142">
        <v>22.42912954065552</v>
      </c>
      <c r="W39" s="142">
        <v>1.1056395953120224</v>
      </c>
      <c r="X39" s="142">
        <v>14.45501881299279</v>
      </c>
      <c r="Y39" s="142">
        <v>0.71255735188722458</v>
      </c>
      <c r="Z39" s="144">
        <f t="shared" si="10"/>
        <v>14.708020152998975</v>
      </c>
      <c r="AA39" s="145">
        <f t="shared" si="11"/>
        <v>2.2062030229498459</v>
      </c>
      <c r="AB39" s="141">
        <v>243.30722861583575</v>
      </c>
      <c r="AC39" s="143">
        <v>0.68061849300598465</v>
      </c>
      <c r="AD39" s="141">
        <v>357.47960291419287</v>
      </c>
      <c r="AE39" s="141">
        <v>15.299859356901843</v>
      </c>
      <c r="AF39" s="146"/>
      <c r="AG39" s="155"/>
    </row>
    <row r="40" spans="1:33">
      <c r="A40" s="135" t="s">
        <v>0</v>
      </c>
      <c r="B40" s="136">
        <v>134.80000000000001</v>
      </c>
      <c r="C40" s="136">
        <v>88.2</v>
      </c>
      <c r="D40" s="136">
        <v>135.69999999999999</v>
      </c>
      <c r="E40" s="136">
        <v>83.6</v>
      </c>
      <c r="F40" s="137" t="s">
        <v>625</v>
      </c>
      <c r="G40" s="138">
        <v>1</v>
      </c>
      <c r="H40" s="139">
        <v>118.40829864359999</v>
      </c>
      <c r="I40" s="139">
        <v>0.20522915363999999</v>
      </c>
      <c r="J40" s="140">
        <v>3.4000000000000002E-2</v>
      </c>
      <c r="K40" s="140">
        <v>1.8E-3</v>
      </c>
      <c r="L40" s="140">
        <v>0.11799999999999999</v>
      </c>
      <c r="M40" s="140">
        <v>7.4000000000000003E-3</v>
      </c>
      <c r="N40" s="140">
        <v>4.5999999999999999E-2</v>
      </c>
      <c r="O40" s="140">
        <v>9.4000000000000004E-3</v>
      </c>
      <c r="P40" s="141">
        <v>48.857890295358658</v>
      </c>
      <c r="Q40" s="142">
        <v>2.0742709008881834</v>
      </c>
      <c r="R40" s="143">
        <v>57.082184134623347</v>
      </c>
      <c r="S40" s="139">
        <v>0.11443106866710186</v>
      </c>
      <c r="T40" s="142">
        <v>16.374834016828039</v>
      </c>
      <c r="U40" s="142">
        <v>0.43677429678349233</v>
      </c>
      <c r="V40" s="142">
        <v>56.749550223317101</v>
      </c>
      <c r="W40" s="142">
        <v>1.5246480465256342</v>
      </c>
      <c r="X40" s="142">
        <v>22.147407738616401</v>
      </c>
      <c r="Y40" s="142">
        <v>0.59501796598229451</v>
      </c>
      <c r="Z40" s="144">
        <f t="shared" si="10"/>
        <v>29.907803859263847</v>
      </c>
      <c r="AA40" s="145">
        <f t="shared" si="11"/>
        <v>4.4861705788895767</v>
      </c>
      <c r="AB40" s="141">
        <v>345.36565872182365</v>
      </c>
      <c r="AC40" s="143">
        <v>0.68173666749521333</v>
      </c>
      <c r="AD40" s="141">
        <v>506.59686531273246</v>
      </c>
      <c r="AE40" s="141">
        <v>13.751174237143831</v>
      </c>
      <c r="AF40" s="146"/>
      <c r="AG40" s="155"/>
    </row>
    <row r="41" spans="1:33">
      <c r="A41" s="148" t="s">
        <v>631</v>
      </c>
      <c r="B41" s="149"/>
      <c r="C41" s="149"/>
      <c r="D41" s="149"/>
      <c r="E41" s="149"/>
      <c r="F41" s="133"/>
      <c r="G41" s="133"/>
      <c r="H41" s="150"/>
      <c r="I41" s="150"/>
      <c r="J41" s="151"/>
      <c r="K41" s="151"/>
      <c r="L41" s="151"/>
      <c r="M41" s="151"/>
      <c r="N41" s="151"/>
      <c r="O41" s="151"/>
      <c r="P41" s="149"/>
      <c r="Q41" s="152"/>
      <c r="R41" s="150"/>
      <c r="S41" s="150"/>
      <c r="T41" s="152"/>
      <c r="U41" s="152"/>
      <c r="V41" s="152"/>
      <c r="W41" s="144"/>
      <c r="X41" s="144"/>
      <c r="Y41" s="144"/>
      <c r="Z41" s="153"/>
      <c r="AA41" s="144"/>
      <c r="AB41" s="154"/>
      <c r="AC41" s="147"/>
      <c r="AD41" s="149"/>
      <c r="AE41" s="149"/>
      <c r="AF41" s="146"/>
    </row>
    <row r="42" spans="1:33">
      <c r="A42" s="135" t="s">
        <v>2</v>
      </c>
      <c r="B42" s="136">
        <v>247.2</v>
      </c>
      <c r="C42" s="136">
        <v>122.4</v>
      </c>
      <c r="D42" s="136">
        <v>228.4</v>
      </c>
      <c r="E42" s="136">
        <v>122.3</v>
      </c>
      <c r="F42" s="137" t="s">
        <v>625</v>
      </c>
      <c r="G42" s="138">
        <v>1</v>
      </c>
      <c r="H42" s="139">
        <v>459.57945905339994</v>
      </c>
      <c r="I42" s="139">
        <v>0.74060955443999998</v>
      </c>
      <c r="J42" s="140">
        <v>0.307</v>
      </c>
      <c r="K42" s="140">
        <v>8.0000000000000002E-3</v>
      </c>
      <c r="L42" s="140">
        <v>5.3999999999999999E-2</v>
      </c>
      <c r="M42" s="140">
        <v>2.5999999999999999E-3</v>
      </c>
      <c r="N42" s="140">
        <v>0.123</v>
      </c>
      <c r="O42" s="140">
        <v>1.2E-2</v>
      </c>
      <c r="P42" s="141">
        <v>73.558783948115121</v>
      </c>
      <c r="Q42" s="142">
        <v>7.3988065279605779</v>
      </c>
      <c r="R42" s="143">
        <v>62.118101590798943</v>
      </c>
      <c r="S42" s="139">
        <v>0.1083849131075991</v>
      </c>
      <c r="T42" s="142">
        <v>41.444760097228432</v>
      </c>
      <c r="U42" s="142">
        <v>0.54221720219766878</v>
      </c>
      <c r="V42" s="142">
        <v>7.2546027912883346</v>
      </c>
      <c r="W42" s="142">
        <v>0.17468703645203953</v>
      </c>
      <c r="X42" s="142">
        <v>16.639483211055506</v>
      </c>
      <c r="Y42" s="142">
        <v>0.81388409796801731</v>
      </c>
      <c r="Z42" s="144">
        <f>T42+(0.238*V42)+(0.0012*X42)</f>
        <v>43.191322941408323</v>
      </c>
      <c r="AA42" s="145">
        <f>Z42*0.15</f>
        <v>6.4786984412112485</v>
      </c>
      <c r="AB42" s="141">
        <v>260.15923703990558</v>
      </c>
      <c r="AC42" s="143">
        <v>0.78898913127140879</v>
      </c>
      <c r="AD42" s="141">
        <v>329.73741554674461</v>
      </c>
      <c r="AE42" s="141">
        <v>6.3468896559965433</v>
      </c>
      <c r="AF42" s="146"/>
    </row>
    <row r="43" spans="1:33">
      <c r="A43" s="135" t="s">
        <v>4</v>
      </c>
      <c r="B43" s="136">
        <v>183.4</v>
      </c>
      <c r="C43" s="136">
        <v>93.3</v>
      </c>
      <c r="D43" s="136">
        <v>185.1</v>
      </c>
      <c r="E43" s="136">
        <v>87</v>
      </c>
      <c r="F43" s="137" t="s">
        <v>625</v>
      </c>
      <c r="G43" s="138">
        <v>2</v>
      </c>
      <c r="H43" s="139">
        <v>701.70524531520005</v>
      </c>
      <c r="I43" s="139">
        <v>1.7756783293200002</v>
      </c>
      <c r="J43" s="140">
        <v>0.30599999999999999</v>
      </c>
      <c r="K43" s="140">
        <v>1.4500000000000001E-2</v>
      </c>
      <c r="L43" s="140">
        <v>9.2999999999999999E-2</v>
      </c>
      <c r="M43" s="140">
        <v>1.9E-3</v>
      </c>
      <c r="N43" s="140">
        <v>0.09</v>
      </c>
      <c r="O43" s="140">
        <v>8.6999999999999994E-3</v>
      </c>
      <c r="P43" s="141">
        <v>54.273476310318415</v>
      </c>
      <c r="Q43" s="142">
        <v>3.1122955520088773</v>
      </c>
      <c r="R43" s="143">
        <v>225.46601066040026</v>
      </c>
      <c r="S43" s="139">
        <v>0.76232672289826298</v>
      </c>
      <c r="T43" s="142">
        <v>98.473663298612067</v>
      </c>
      <c r="U43" s="142">
        <v>2.3247871013770585</v>
      </c>
      <c r="V43" s="142">
        <v>29.855670336455752</v>
      </c>
      <c r="W43" s="142">
        <v>0.30225547048891283</v>
      </c>
      <c r="X43" s="142">
        <v>28.825872646150273</v>
      </c>
      <c r="Y43" s="142">
        <v>1.3949748629983851</v>
      </c>
      <c r="Z43" s="144">
        <f t="shared" ref="Z43:Z46" si="12">T43+(0.238*V43)+(0.0012*X43)</f>
        <v>105.61390388586392</v>
      </c>
      <c r="AA43" s="145">
        <f t="shared" ref="AA43:AA46" si="13">Z43*0.15</f>
        <v>15.842085582879587</v>
      </c>
      <c r="AB43" s="141">
        <v>382.45845320880522</v>
      </c>
      <c r="AC43" s="143">
        <v>0.70325269545789837</v>
      </c>
      <c r="AD43" s="141">
        <v>543.84214334191893</v>
      </c>
      <c r="AE43" s="141">
        <v>16.323206372887736</v>
      </c>
      <c r="AF43" s="146"/>
    </row>
    <row r="44" spans="1:33">
      <c r="A44" s="135" t="s">
        <v>3</v>
      </c>
      <c r="B44" s="136">
        <v>144.1</v>
      </c>
      <c r="C44" s="136">
        <v>91.1</v>
      </c>
      <c r="D44" s="136">
        <v>144.1</v>
      </c>
      <c r="E44" s="136">
        <v>89.2</v>
      </c>
      <c r="F44" s="137" t="s">
        <v>625</v>
      </c>
      <c r="G44" s="138">
        <v>1</v>
      </c>
      <c r="H44" s="139">
        <v>211.25218314900002</v>
      </c>
      <c r="I44" s="139">
        <v>1.2224519151600002</v>
      </c>
      <c r="J44" s="140">
        <v>0.121</v>
      </c>
      <c r="K44" s="140">
        <v>8.0999999999999996E-3</v>
      </c>
      <c r="L44" s="140">
        <v>0.03</v>
      </c>
      <c r="M44" s="140">
        <v>2.8E-3</v>
      </c>
      <c r="N44" s="140">
        <v>3.5999999999999997E-2</v>
      </c>
      <c r="O44" s="140">
        <v>5.7000000000000002E-3</v>
      </c>
      <c r="P44" s="141">
        <v>51.502372142196378</v>
      </c>
      <c r="Q44" s="142">
        <v>2.4340938347054504</v>
      </c>
      <c r="R44" s="143">
        <v>86.796955052962161</v>
      </c>
      <c r="S44" s="139">
        <v>0.57097137890766347</v>
      </c>
      <c r="T44" s="142">
        <v>49.755803321926557</v>
      </c>
      <c r="U44" s="142">
        <v>1.6680292169340192</v>
      </c>
      <c r="V44" s="142">
        <v>12.314059378785419</v>
      </c>
      <c r="W44" s="142">
        <v>0.5807084150606624</v>
      </c>
      <c r="X44" s="142">
        <v>14.904250545723841</v>
      </c>
      <c r="Y44" s="142">
        <v>1.1675426601191679</v>
      </c>
      <c r="Z44" s="144">
        <f t="shared" si="12"/>
        <v>52.704434554732352</v>
      </c>
      <c r="AA44" s="145">
        <f t="shared" si="13"/>
        <v>7.9056651832098526</v>
      </c>
      <c r="AB44" s="141">
        <v>297.20785040080801</v>
      </c>
      <c r="AC44" s="143">
        <v>0.71087872672026897</v>
      </c>
      <c r="AD44" s="141">
        <v>418.08516590729181</v>
      </c>
      <c r="AE44" s="141">
        <v>18.342228572065597</v>
      </c>
      <c r="AF44" s="146"/>
    </row>
    <row r="45" spans="1:33">
      <c r="A45" s="135" t="s">
        <v>1</v>
      </c>
      <c r="B45" s="136">
        <v>155.19999999999999</v>
      </c>
      <c r="C45" s="136">
        <v>73.099999999999994</v>
      </c>
      <c r="D45" s="136">
        <v>155.19999999999999</v>
      </c>
      <c r="E45" s="136">
        <v>66.599999999999994</v>
      </c>
      <c r="F45" s="137" t="s">
        <v>625</v>
      </c>
      <c r="G45" s="138">
        <v>2</v>
      </c>
      <c r="H45" s="139">
        <v>226.42129450500002</v>
      </c>
      <c r="I45" s="139">
        <v>0.34353575718000001</v>
      </c>
      <c r="J45" s="140">
        <v>0.14499999999999999</v>
      </c>
      <c r="K45" s="140">
        <v>8.8999999999999999E-3</v>
      </c>
      <c r="L45" s="140">
        <v>0.03</v>
      </c>
      <c r="M45" s="140">
        <v>3.8E-3</v>
      </c>
      <c r="N45" s="140">
        <v>5.5E-2</v>
      </c>
      <c r="O45" s="140">
        <v>1.12E-2</v>
      </c>
      <c r="P45" s="141">
        <v>42.764181459566068</v>
      </c>
      <c r="Q45" s="142">
        <v>1.5738611357632453</v>
      </c>
      <c r="R45" s="143">
        <v>143.87640336928195</v>
      </c>
      <c r="S45" s="139">
        <v>0.28515079847382369</v>
      </c>
      <c r="T45" s="142">
        <v>92.271331874093164</v>
      </c>
      <c r="U45" s="142">
        <v>2.8230462791215105</v>
      </c>
      <c r="V45" s="142">
        <v>19.276145184171682</v>
      </c>
      <c r="W45" s="142">
        <v>1.1947528202735318</v>
      </c>
      <c r="X45" s="142">
        <v>34.741677871189594</v>
      </c>
      <c r="Y45" s="142">
        <v>3.5696348191960809</v>
      </c>
      <c r="Z45" s="144">
        <f t="shared" si="12"/>
        <v>96.900744441371458</v>
      </c>
      <c r="AA45" s="145">
        <f t="shared" si="13"/>
        <v>14.535111666205719</v>
      </c>
      <c r="AB45" s="141">
        <v>268.46947100103404</v>
      </c>
      <c r="AC45" s="147">
        <v>0.63</v>
      </c>
      <c r="AD45" s="141">
        <v>424.15905265322181</v>
      </c>
      <c r="AE45" s="141">
        <v>15.208444554643847</v>
      </c>
      <c r="AF45" s="146"/>
    </row>
    <row r="46" spans="1:33">
      <c r="A46" s="135" t="s">
        <v>0</v>
      </c>
      <c r="B46" s="136">
        <v>145.30000000000001</v>
      </c>
      <c r="C46" s="136">
        <v>83.8</v>
      </c>
      <c r="D46" s="136">
        <v>145.30000000000001</v>
      </c>
      <c r="E46" s="136">
        <v>77.900000000000006</v>
      </c>
      <c r="F46" s="137" t="s">
        <v>625</v>
      </c>
      <c r="G46" s="138">
        <v>2</v>
      </c>
      <c r="H46" s="139">
        <v>130.05282236100001</v>
      </c>
      <c r="I46" s="139">
        <v>0.28553621376000005</v>
      </c>
      <c r="J46" s="140">
        <v>8.7999999999999995E-2</v>
      </c>
      <c r="K46" s="140">
        <v>5.5999999999999999E-3</v>
      </c>
      <c r="L46" s="140">
        <v>3.1E-2</v>
      </c>
      <c r="M46" s="140">
        <v>1.6999999999999999E-3</v>
      </c>
      <c r="N46" s="140">
        <v>3.2000000000000001E-2</v>
      </c>
      <c r="O46" s="140">
        <v>5.1999999999999998E-3</v>
      </c>
      <c r="P46" s="141">
        <v>47.439110243639782</v>
      </c>
      <c r="Q46" s="142">
        <v>1.9740926711608779</v>
      </c>
      <c r="R46" s="143">
        <v>65.884352080343277</v>
      </c>
      <c r="S46" s="139">
        <v>0.20531230058078298</v>
      </c>
      <c r="T46" s="142">
        <v>44.755771257375926</v>
      </c>
      <c r="U46" s="142">
        <v>1.4229749846268915</v>
      </c>
      <c r="V46" s="142">
        <v>15.745268269758295</v>
      </c>
      <c r="W46" s="142">
        <v>0.43630272789730734</v>
      </c>
      <c r="X46" s="142">
        <v>16.398138858077527</v>
      </c>
      <c r="Y46" s="142">
        <v>1.3201786428901296</v>
      </c>
      <c r="Z46" s="144">
        <f t="shared" si="12"/>
        <v>48.522822872208089</v>
      </c>
      <c r="AA46" s="145">
        <f t="shared" si="13"/>
        <v>7.2784234308312126</v>
      </c>
      <c r="AB46" s="141">
        <v>246.17989405670139</v>
      </c>
      <c r="AC46" s="143">
        <v>0.66538462060163739</v>
      </c>
      <c r="AD46" s="141">
        <v>369.9813407681512</v>
      </c>
      <c r="AE46" s="141">
        <v>14.010192261298831</v>
      </c>
      <c r="AF46" s="146"/>
    </row>
    <row r="47" spans="1:33">
      <c r="A47" s="135"/>
      <c r="B47" s="136"/>
      <c r="C47" s="136"/>
      <c r="D47" s="136"/>
      <c r="E47" s="136"/>
      <c r="F47" s="137"/>
      <c r="G47" s="133"/>
      <c r="H47" s="139"/>
      <c r="I47" s="139"/>
      <c r="J47" s="140"/>
      <c r="K47" s="140"/>
      <c r="L47" s="140"/>
      <c r="M47" s="140"/>
      <c r="N47" s="140"/>
      <c r="O47" s="140"/>
      <c r="P47" s="149"/>
      <c r="Q47" s="152"/>
      <c r="R47" s="150"/>
      <c r="S47" s="139"/>
      <c r="T47" s="152"/>
      <c r="U47" s="152"/>
      <c r="V47" s="152"/>
      <c r="W47" s="144"/>
      <c r="X47" s="144"/>
      <c r="Y47" s="144"/>
      <c r="Z47" s="153"/>
      <c r="AA47" s="145"/>
      <c r="AB47" s="154"/>
      <c r="AC47" s="147"/>
      <c r="AD47" s="149"/>
      <c r="AE47" s="149"/>
      <c r="AF47" s="146"/>
    </row>
    <row r="48" spans="1:33">
      <c r="A48" s="156" t="s">
        <v>632</v>
      </c>
      <c r="B48" s="136"/>
      <c r="C48" s="136"/>
      <c r="D48" s="136"/>
      <c r="E48" s="136"/>
      <c r="F48" s="137"/>
      <c r="G48" s="138"/>
      <c r="H48" s="139"/>
      <c r="I48" s="139"/>
      <c r="J48" s="140"/>
      <c r="K48" s="140"/>
      <c r="L48" s="140"/>
      <c r="M48" s="140"/>
      <c r="N48" s="140"/>
      <c r="O48" s="140"/>
      <c r="P48" s="141"/>
      <c r="Q48" s="142"/>
      <c r="R48" s="143"/>
      <c r="S48" s="139"/>
      <c r="T48" s="142"/>
      <c r="U48" s="142"/>
      <c r="V48" s="142"/>
      <c r="W48" s="142"/>
      <c r="X48" s="142"/>
      <c r="Y48" s="142"/>
      <c r="Z48" s="142"/>
      <c r="AA48" s="145"/>
      <c r="AB48" s="141"/>
      <c r="AC48" s="143"/>
      <c r="AD48" s="141"/>
      <c r="AE48" s="141"/>
      <c r="AF48" s="146"/>
    </row>
    <row r="49" spans="1:32">
      <c r="A49" s="148" t="s">
        <v>633</v>
      </c>
      <c r="B49" s="149"/>
      <c r="C49" s="149"/>
      <c r="D49" s="149"/>
      <c r="E49" s="149"/>
      <c r="F49" s="133"/>
      <c r="G49" s="133"/>
      <c r="H49" s="150"/>
      <c r="I49" s="150"/>
      <c r="J49" s="151"/>
      <c r="K49" s="151"/>
      <c r="L49" s="151"/>
      <c r="M49" s="151"/>
      <c r="N49" s="151"/>
      <c r="O49" s="151"/>
      <c r="P49" s="149"/>
      <c r="Q49" s="152"/>
      <c r="R49" s="150"/>
      <c r="S49" s="150"/>
      <c r="T49" s="152"/>
      <c r="U49" s="152"/>
      <c r="V49" s="152"/>
      <c r="W49" s="144"/>
      <c r="X49" s="144"/>
      <c r="Y49" s="144"/>
      <c r="Z49" s="153"/>
      <c r="AA49" s="144"/>
      <c r="AB49" s="154"/>
      <c r="AC49" s="147"/>
      <c r="AD49" s="149"/>
      <c r="AE49" s="149"/>
      <c r="AF49" s="146"/>
    </row>
    <row r="50" spans="1:32">
      <c r="A50" s="135" t="s">
        <v>634</v>
      </c>
      <c r="B50" s="136">
        <v>150.9</v>
      </c>
      <c r="C50" s="136">
        <v>85.8</v>
      </c>
      <c r="D50" s="136">
        <v>150.69999999999999</v>
      </c>
      <c r="E50" s="136">
        <v>71.8</v>
      </c>
      <c r="F50" s="137" t="s">
        <v>625</v>
      </c>
      <c r="G50" s="138">
        <v>2</v>
      </c>
      <c r="H50" s="139">
        <v>30.115147545000003</v>
      </c>
      <c r="I50" s="139">
        <v>0.14722961022</v>
      </c>
      <c r="J50" s="140">
        <v>1.7778627920171947E-2</v>
      </c>
      <c r="K50" s="140">
        <v>4.6898942702945312E-5</v>
      </c>
      <c r="L50" s="140">
        <v>3.7049902857479292E-2</v>
      </c>
      <c r="M50" s="140">
        <v>1.2664528967210896E-4</v>
      </c>
      <c r="N50" s="140">
        <v>6.0131075295662114E-3</v>
      </c>
      <c r="O50" s="140">
        <v>1.1084255402160175E-6</v>
      </c>
      <c r="P50" s="141">
        <v>46.863846558066214</v>
      </c>
      <c r="Q50" s="142">
        <v>1.9462366649229763</v>
      </c>
      <c r="R50" s="143">
        <v>15.480431126007405</v>
      </c>
      <c r="S50" s="139">
        <v>0.10966811077841478</v>
      </c>
      <c r="T50" s="142">
        <v>9.1316137421591836</v>
      </c>
      <c r="U50" s="142">
        <v>2.4266296418476795E-2</v>
      </c>
      <c r="V50" s="142">
        <v>19.029762761587666</v>
      </c>
      <c r="W50" s="142">
        <v>5.0935004697750225E-2</v>
      </c>
      <c r="X50" s="142">
        <v>3.0867212518799021</v>
      </c>
      <c r="Y50" s="142">
        <v>8.2619086446262726E-3</v>
      </c>
      <c r="Z50" s="144">
        <f>T50+(0.238*V50)+(0.0012*X50)</f>
        <v>13.664401344919302</v>
      </c>
      <c r="AA50" s="145">
        <f>Z50*0.15</f>
        <v>2.0496602017378951</v>
      </c>
      <c r="AB50" s="141">
        <v>207.11954141655889</v>
      </c>
      <c r="AC50" s="143">
        <v>0.65043513060695368</v>
      </c>
      <c r="AD50" s="141">
        <v>318.4322796698961</v>
      </c>
      <c r="AE50" s="141">
        <v>1.3310966729334279</v>
      </c>
      <c r="AF50" s="146"/>
    </row>
    <row r="51" spans="1:32">
      <c r="A51" s="135" t="s">
        <v>635</v>
      </c>
      <c r="B51" s="136">
        <v>179.4</v>
      </c>
      <c r="C51" s="136">
        <v>106.3</v>
      </c>
      <c r="D51" s="136">
        <v>181.3</v>
      </c>
      <c r="E51" s="136">
        <v>69.099999999999994</v>
      </c>
      <c r="F51" s="137" t="s">
        <v>625</v>
      </c>
      <c r="G51" s="138">
        <v>2</v>
      </c>
      <c r="H51" s="139">
        <v>104.176102989</v>
      </c>
      <c r="I51" s="139">
        <v>0.34799726052000002</v>
      </c>
      <c r="J51" s="140">
        <v>5.3165970694215213E-2</v>
      </c>
      <c r="K51" s="140">
        <v>2.6467216401956277E-4</v>
      </c>
      <c r="L51" s="140">
        <v>6.8327958860281063E-2</v>
      </c>
      <c r="M51" s="140">
        <v>3.5611857522830753E-4</v>
      </c>
      <c r="N51" s="140">
        <v>1.6589066182450072E-2</v>
      </c>
      <c r="O51" s="140">
        <v>4.9675601230496141E-6</v>
      </c>
      <c r="P51" s="141">
        <v>52.855699888017917</v>
      </c>
      <c r="Q51" s="142">
        <v>2.8830834081646417</v>
      </c>
      <c r="R51" s="143">
        <v>36.132667055109472</v>
      </c>
      <c r="S51" s="139">
        <v>0.20290702395548008</v>
      </c>
      <c r="T51" s="142">
        <v>18.434080631123592</v>
      </c>
      <c r="U51" s="142">
        <v>9.2445794172369311E-2</v>
      </c>
      <c r="V51" s="142">
        <v>23.690988994064725</v>
      </c>
      <c r="W51" s="142">
        <v>0.11966740599863787</v>
      </c>
      <c r="X51" s="142">
        <v>5.7485567719300565</v>
      </c>
      <c r="Y51" s="142">
        <v>2.9036984370095976E-2</v>
      </c>
      <c r="Z51" s="144">
        <f t="shared" ref="Z51:Z54" si="14">T51+(0.238*V51)+(0.0012*X51)</f>
        <v>24.079434279837312</v>
      </c>
      <c r="AA51" s="145">
        <f t="shared" ref="AA51:AA54" si="15">Z51*0.15</f>
        <v>3.6119151419755964</v>
      </c>
      <c r="AB51" s="141">
        <v>272.49300866758949</v>
      </c>
      <c r="AC51" s="143">
        <v>0.68949355584967775</v>
      </c>
      <c r="AD51" s="141">
        <v>395.20747707611349</v>
      </c>
      <c r="AE51" s="141">
        <v>2.3190106152808916</v>
      </c>
      <c r="AF51" s="146"/>
    </row>
    <row r="52" spans="1:32">
      <c r="A52" s="135" t="s">
        <v>636</v>
      </c>
      <c r="B52" s="136">
        <v>234.8</v>
      </c>
      <c r="C52" s="136">
        <v>144.4</v>
      </c>
      <c r="D52" s="136">
        <v>235.5</v>
      </c>
      <c r="E52" s="136">
        <v>130.4</v>
      </c>
      <c r="F52" s="137" t="s">
        <v>625</v>
      </c>
      <c r="G52" s="138">
        <v>2</v>
      </c>
      <c r="H52" s="139">
        <v>273.5793848088</v>
      </c>
      <c r="I52" s="139">
        <v>1.3339894986600001</v>
      </c>
      <c r="J52" s="140">
        <v>0.13091915282016114</v>
      </c>
      <c r="K52" s="140">
        <v>1.198847566205859E-3</v>
      </c>
      <c r="L52" s="140">
        <v>0.15167576669949723</v>
      </c>
      <c r="M52" s="140">
        <v>1.5154760277438816E-3</v>
      </c>
      <c r="N52" s="140">
        <v>2.904593482010754E-2</v>
      </c>
      <c r="O52" s="140">
        <v>1.2042901363805551E-5</v>
      </c>
      <c r="P52" s="141">
        <v>79.72369028006591</v>
      </c>
      <c r="Q52" s="142">
        <v>9.2269957789702257</v>
      </c>
      <c r="R52" s="143">
        <v>29.649326869062726</v>
      </c>
      <c r="S52" s="139">
        <v>0.21321557457664259</v>
      </c>
      <c r="T52" s="142">
        <v>14.183643482981759</v>
      </c>
      <c r="U52" s="142">
        <v>0.13083976041766676</v>
      </c>
      <c r="V52" s="142">
        <v>16.432280031945577</v>
      </c>
      <c r="W52" s="142">
        <v>0.15267810899863171</v>
      </c>
      <c r="X52" s="142">
        <v>3.1449889819013994</v>
      </c>
      <c r="Y52" s="142">
        <v>2.9221201783608208E-2</v>
      </c>
      <c r="Z52" s="144">
        <f t="shared" si="14"/>
        <v>18.098300117363088</v>
      </c>
      <c r="AA52" s="145">
        <f t="shared" si="15"/>
        <v>2.714745017604463</v>
      </c>
      <c r="AB52" s="141">
        <v>296.9407116026</v>
      </c>
      <c r="AC52" s="143">
        <v>0.78875452287417602</v>
      </c>
      <c r="AD52" s="141">
        <v>376.46784010894186</v>
      </c>
      <c r="AE52" s="141">
        <v>4.583904594000372</v>
      </c>
      <c r="AF52" s="146"/>
    </row>
    <row r="53" spans="1:32">
      <c r="A53" s="135" t="s">
        <v>637</v>
      </c>
      <c r="B53" s="136">
        <v>183.9</v>
      </c>
      <c r="C53" s="136">
        <v>100.6</v>
      </c>
      <c r="D53" s="136">
        <v>183.9</v>
      </c>
      <c r="E53" s="136">
        <v>92.6</v>
      </c>
      <c r="F53" s="137" t="s">
        <v>625</v>
      </c>
      <c r="G53" s="138">
        <v>0</v>
      </c>
      <c r="H53" s="139">
        <v>60.542600323800002</v>
      </c>
      <c r="I53" s="139">
        <v>0.21861366366000001</v>
      </c>
      <c r="J53" s="140">
        <v>3.1933510818903381E-2</v>
      </c>
      <c r="K53" s="140">
        <v>1.1691083088044683E-4</v>
      </c>
      <c r="L53" s="140">
        <v>3.7796042584857678E-2</v>
      </c>
      <c r="M53" s="140">
        <v>1.3081298778598485E-4</v>
      </c>
      <c r="N53" s="140">
        <v>9.8931332755454789E-3</v>
      </c>
      <c r="O53" s="140">
        <v>2.275491021199353E-6</v>
      </c>
      <c r="P53" s="141">
        <v>57.379651162790694</v>
      </c>
      <c r="Q53" s="142">
        <v>3.5667925879560718</v>
      </c>
      <c r="R53" s="143">
        <v>16.970676467057153</v>
      </c>
      <c r="S53" s="139">
        <v>6.9012201122421443E-2</v>
      </c>
      <c r="T53" s="142">
        <v>8.9498087458587143</v>
      </c>
      <c r="U53" s="142">
        <v>3.3007527042153026E-2</v>
      </c>
      <c r="V53" s="142">
        <v>10.592791512069789</v>
      </c>
      <c r="W53" s="142">
        <v>3.9349268997773114E-2</v>
      </c>
      <c r="X53" s="142">
        <v>2.7710865857029496</v>
      </c>
      <c r="Y53" s="142">
        <v>1.0293814558013519E-2</v>
      </c>
      <c r="Z53" s="144">
        <f t="shared" si="14"/>
        <v>11.474218429634167</v>
      </c>
      <c r="AA53" s="145">
        <f t="shared" si="15"/>
        <v>1.7211327644451251</v>
      </c>
      <c r="AB53" s="141">
        <v>268.58036938629141</v>
      </c>
      <c r="AC53" s="143">
        <v>0.72901565406837709</v>
      </c>
      <c r="AD53" s="141">
        <v>368.41509216906371</v>
      </c>
      <c r="AE53" s="141">
        <v>1.832144796921849</v>
      </c>
      <c r="AF53" s="146"/>
    </row>
    <row r="54" spans="1:32">
      <c r="A54" s="135" t="s">
        <v>638</v>
      </c>
      <c r="B54" s="136">
        <v>155.6</v>
      </c>
      <c r="C54" s="136">
        <v>121.9</v>
      </c>
      <c r="D54" s="136">
        <v>151.30000000000001</v>
      </c>
      <c r="E54" s="136">
        <v>84.8</v>
      </c>
      <c r="F54" s="137" t="s">
        <v>625</v>
      </c>
      <c r="G54" s="138">
        <v>0</v>
      </c>
      <c r="H54" s="139">
        <v>64.379493196200002</v>
      </c>
      <c r="I54" s="139">
        <v>0.15169111356000001</v>
      </c>
      <c r="J54" s="140">
        <v>3.6688232584080264E-2</v>
      </c>
      <c r="K54" s="140">
        <v>1.4570992561254624E-4</v>
      </c>
      <c r="L54" s="140">
        <v>6.3431961838747164E-2</v>
      </c>
      <c r="M54" s="140">
        <v>3.1279164834958738E-4</v>
      </c>
      <c r="N54" s="140">
        <v>1.3956852506481614E-2</v>
      </c>
      <c r="O54" s="140">
        <v>3.8119248951047624E-6</v>
      </c>
      <c r="P54" s="141">
        <v>58.188131709082143</v>
      </c>
      <c r="Q54" s="142">
        <v>3.4066673492863786</v>
      </c>
      <c r="R54" s="143">
        <v>18.897166697077086</v>
      </c>
      <c r="S54" s="139">
        <v>6.3275798538906622E-2</v>
      </c>
      <c r="T54" s="142">
        <v>10.765693332494619</v>
      </c>
      <c r="U54" s="142">
        <v>4.3072046253035297E-2</v>
      </c>
      <c r="V54" s="142">
        <v>18.613170940696286</v>
      </c>
      <c r="W54" s="142">
        <v>7.5006841353107728E-2</v>
      </c>
      <c r="X54" s="142">
        <v>4.0930952636926987</v>
      </c>
      <c r="Y54" s="142">
        <v>1.6494242064671556E-2</v>
      </c>
      <c r="Z54" s="144">
        <f t="shared" si="14"/>
        <v>15.200539730696766</v>
      </c>
      <c r="AA54" s="145">
        <f t="shared" si="15"/>
        <v>2.2800809596045148</v>
      </c>
      <c r="AB54" s="141">
        <v>226.73990842987055</v>
      </c>
      <c r="AC54" s="143">
        <v>0.73477585784576016</v>
      </c>
      <c r="AD54" s="141">
        <v>308.58377559468818</v>
      </c>
      <c r="AE54" s="141">
        <v>1.5031007106501506</v>
      </c>
      <c r="AF54" s="146"/>
    </row>
    <row r="55" spans="1:32">
      <c r="A55" s="132" t="s">
        <v>639</v>
      </c>
      <c r="B55" s="149"/>
      <c r="C55" s="149"/>
      <c r="D55" s="149"/>
      <c r="E55" s="149"/>
      <c r="F55" s="133"/>
      <c r="G55" s="133"/>
      <c r="H55" s="150"/>
      <c r="I55" s="150"/>
      <c r="J55" s="151"/>
      <c r="K55" s="151"/>
      <c r="L55" s="151"/>
      <c r="M55" s="151"/>
      <c r="N55" s="151"/>
      <c r="O55" s="151"/>
      <c r="P55" s="149"/>
      <c r="Q55" s="152"/>
      <c r="R55" s="150"/>
      <c r="S55" s="150"/>
      <c r="T55" s="152"/>
      <c r="U55" s="152"/>
      <c r="V55" s="152"/>
      <c r="W55" s="144"/>
      <c r="X55" s="144"/>
      <c r="Y55" s="144"/>
      <c r="Z55" s="153"/>
      <c r="AA55" s="144"/>
      <c r="AB55" s="154"/>
      <c r="AC55" s="147"/>
      <c r="AD55" s="149"/>
      <c r="AE55" s="149"/>
      <c r="AF55" s="146"/>
    </row>
    <row r="56" spans="1:32">
      <c r="A56" s="135" t="s">
        <v>2</v>
      </c>
      <c r="B56" s="136">
        <v>302.2</v>
      </c>
      <c r="C56" s="136">
        <v>132.4</v>
      </c>
      <c r="D56" s="136">
        <v>295.60000000000002</v>
      </c>
      <c r="E56" s="136">
        <v>132.30000000000001</v>
      </c>
      <c r="F56" s="137" t="s">
        <v>625</v>
      </c>
      <c r="G56" s="138">
        <v>2</v>
      </c>
      <c r="H56" s="139">
        <v>715.0005252684</v>
      </c>
      <c r="I56" s="139">
        <v>1.2492209352000001</v>
      </c>
      <c r="J56" s="140">
        <v>0.40100000000000002</v>
      </c>
      <c r="K56" s="140">
        <v>2.8199999999999999E-2</v>
      </c>
      <c r="L56" s="140">
        <v>2.4E-2</v>
      </c>
      <c r="M56" s="140">
        <v>2.3999999999999998E-3</v>
      </c>
      <c r="N56" s="140">
        <v>7.6999999999999999E-2</v>
      </c>
      <c r="O56" s="140">
        <v>1.2699999999999999E-2</v>
      </c>
      <c r="P56" s="141">
        <v>81.430953512046159</v>
      </c>
      <c r="Q56" s="142">
        <v>10.882174349929089</v>
      </c>
      <c r="R56" s="143">
        <v>65.706396752221991</v>
      </c>
      <c r="S56" s="139">
        <v>0.14348341064120237</v>
      </c>
      <c r="T56" s="142">
        <v>36.861449339283887</v>
      </c>
      <c r="U56" s="142">
        <v>1.2941095295101539</v>
      </c>
      <c r="V56" s="142">
        <v>2.247122369217299</v>
      </c>
      <c r="W56" s="142">
        <v>7.9460695559700575E-2</v>
      </c>
      <c r="X56" s="142">
        <v>7.0437358172855209</v>
      </c>
      <c r="Y56" s="142">
        <v>0.2490741737287917</v>
      </c>
      <c r="Z56" s="144">
        <f>T56+(0.238*V56)+(0.0012*X56)</f>
        <v>37.40471694613835</v>
      </c>
      <c r="AA56" s="145">
        <f>Z56*0.15</f>
        <v>5.6107075419207524</v>
      </c>
      <c r="AB56" s="141">
        <v>316.36392528150157</v>
      </c>
      <c r="AC56" s="143">
        <v>0.79718866844237191</v>
      </c>
      <c r="AD56" s="141">
        <v>396.84950100914693</v>
      </c>
      <c r="AE56" s="141">
        <v>21.196646130295186</v>
      </c>
      <c r="AF56" s="146"/>
    </row>
    <row r="57" spans="1:32">
      <c r="A57" s="135" t="s">
        <v>4</v>
      </c>
      <c r="B57" s="136">
        <v>238.6</v>
      </c>
      <c r="C57" s="136">
        <v>179.1</v>
      </c>
      <c r="D57" s="136">
        <v>237.6</v>
      </c>
      <c r="E57" s="136">
        <v>153.19999999999999</v>
      </c>
      <c r="F57" s="137" t="s">
        <v>625</v>
      </c>
      <c r="G57" s="138">
        <v>2</v>
      </c>
      <c r="H57" s="139">
        <v>244.13346276480002</v>
      </c>
      <c r="I57" s="139">
        <v>0.4550733406800001</v>
      </c>
      <c r="J57" s="140">
        <v>0.12</v>
      </c>
      <c r="K57" s="140">
        <v>1.3100000000000001E-2</v>
      </c>
      <c r="L57" s="140">
        <v>4.4999999999999998E-2</v>
      </c>
      <c r="M57" s="140">
        <v>5.4999999999999997E-3</v>
      </c>
      <c r="N57" s="140">
        <v>0.23499999999999999</v>
      </c>
      <c r="O57" s="140">
        <v>1.7000000000000001E-2</v>
      </c>
      <c r="P57" s="141">
        <v>92.430380041967823</v>
      </c>
      <c r="Q57" s="142">
        <v>13.661612413848905</v>
      </c>
      <c r="R57" s="143">
        <v>17.869453871905197</v>
      </c>
      <c r="S57" s="139">
        <v>5.6268766275531568E-2</v>
      </c>
      <c r="T57" s="142">
        <v>8.7885159187872208</v>
      </c>
      <c r="U57" s="142">
        <v>0.47979825744870136</v>
      </c>
      <c r="V57" s="142">
        <v>3.3156144582059852</v>
      </c>
      <c r="W57" s="142">
        <v>0.1823199355090806</v>
      </c>
      <c r="X57" s="142">
        <v>17.214531054177769</v>
      </c>
      <c r="Y57" s="142">
        <v>0.94659745008922602</v>
      </c>
      <c r="Z57" s="144">
        <f t="shared" ref="Z57:Z60" si="16">T57+(0.238*V57)+(0.0012*X57)</f>
        <v>9.5982895971052589</v>
      </c>
      <c r="AA57" s="145">
        <f t="shared" ref="AA57:AA60" si="17">Z57*0.15</f>
        <v>1.4397434395657889</v>
      </c>
      <c r="AB57" s="141">
        <v>331.74395829389135</v>
      </c>
      <c r="AC57" s="143">
        <v>0.82026592031321</v>
      </c>
      <c r="AD57" s="141">
        <v>404.43464744606041</v>
      </c>
      <c r="AE57" s="141">
        <v>31.916151330117994</v>
      </c>
      <c r="AF57" s="146"/>
    </row>
    <row r="58" spans="1:32">
      <c r="A58" s="135" t="s">
        <v>3</v>
      </c>
      <c r="B58" s="136">
        <v>251.5</v>
      </c>
      <c r="C58" s="136">
        <v>144.6</v>
      </c>
      <c r="D58" s="136">
        <v>245.8</v>
      </c>
      <c r="E58" s="136">
        <v>128.30000000000001</v>
      </c>
      <c r="F58" s="137" t="s">
        <v>625</v>
      </c>
      <c r="G58" s="138">
        <v>2</v>
      </c>
      <c r="H58" s="139">
        <v>583.29694667160004</v>
      </c>
      <c r="I58" s="139">
        <v>0.56214942083999997</v>
      </c>
      <c r="J58" s="140">
        <v>0.33500000000000002</v>
      </c>
      <c r="K58" s="140">
        <v>1.6500000000000001E-2</v>
      </c>
      <c r="L58" s="140">
        <v>2.1999999999999999E-2</v>
      </c>
      <c r="M58" s="140">
        <v>3.2000000000000002E-3</v>
      </c>
      <c r="N58" s="140">
        <v>5.8999999999999997E-2</v>
      </c>
      <c r="O58" s="140">
        <v>1.6500000000000001E-2</v>
      </c>
      <c r="P58" s="141">
        <v>80.500058644147302</v>
      </c>
      <c r="Q58" s="142">
        <v>9.62226729667527</v>
      </c>
      <c r="R58" s="143">
        <v>60.620846622058991</v>
      </c>
      <c r="S58" s="139">
        <v>8.4105300262858215E-2</v>
      </c>
      <c r="T58" s="142">
        <v>34.856792576497604</v>
      </c>
      <c r="U58" s="142">
        <v>0.85703640366493949</v>
      </c>
      <c r="V58" s="142">
        <v>2.2798951852704956</v>
      </c>
      <c r="W58" s="142">
        <v>5.6461672681809849E-2</v>
      </c>
      <c r="X58" s="142">
        <v>6.1516470273687922</v>
      </c>
      <c r="Y58" s="142">
        <v>0.1523457232408324</v>
      </c>
      <c r="Z58" s="144">
        <f t="shared" si="16"/>
        <v>35.40678960702482</v>
      </c>
      <c r="AA58" s="145">
        <f t="shared" si="17"/>
        <v>5.3110184410537231</v>
      </c>
      <c r="AB58" s="141">
        <v>308.60940615752799</v>
      </c>
      <c r="AC58" s="143">
        <v>0.79584927684153528</v>
      </c>
      <c r="AD58" s="141">
        <v>387.77368421103239</v>
      </c>
      <c r="AE58" s="141">
        <v>14.479615777603064</v>
      </c>
      <c r="AF58" s="146"/>
    </row>
    <row r="59" spans="1:32">
      <c r="A59" s="135" t="s">
        <v>1</v>
      </c>
      <c r="B59" s="136">
        <v>194.9</v>
      </c>
      <c r="C59" s="136">
        <v>145.19999999999999</v>
      </c>
      <c r="D59" s="136">
        <v>228.7</v>
      </c>
      <c r="E59" s="136">
        <v>98.5</v>
      </c>
      <c r="F59" s="137" t="s">
        <v>625</v>
      </c>
      <c r="G59" s="138">
        <v>1</v>
      </c>
      <c r="H59" s="139">
        <v>216.47214205680001</v>
      </c>
      <c r="I59" s="139">
        <v>0.46845785070000007</v>
      </c>
      <c r="J59" s="140">
        <v>0.13500000000000001</v>
      </c>
      <c r="K59" s="140">
        <v>9.4000000000000004E-3</v>
      </c>
      <c r="L59" s="140">
        <v>1.4999999999999999E-2</v>
      </c>
      <c r="M59" s="140">
        <v>3.7000000000000002E-3</v>
      </c>
      <c r="N59" s="140">
        <v>5.6000000000000001E-2</v>
      </c>
      <c r="O59" s="140">
        <v>8.0000000000000002E-3</v>
      </c>
      <c r="P59" s="141">
        <v>69.623468191146287</v>
      </c>
      <c r="Q59" s="142">
        <v>6.536103131807125</v>
      </c>
      <c r="R59" s="143">
        <v>33.118200857474847</v>
      </c>
      <c r="S59" s="139">
        <v>0.10055645058815574</v>
      </c>
      <c r="T59" s="142">
        <v>20.694442027632586</v>
      </c>
      <c r="U59" s="142">
        <v>0.71624883364907022</v>
      </c>
      <c r="V59" s="142">
        <v>2.3088556180281432</v>
      </c>
      <c r="W59" s="142">
        <v>8.0488529537349265E-2</v>
      </c>
      <c r="X59" s="142">
        <v>8.5298671675415658</v>
      </c>
      <c r="Y59" s="142">
        <v>0.2973579032415557</v>
      </c>
      <c r="Z59" s="144">
        <f t="shared" si="16"/>
        <v>21.254185505324337</v>
      </c>
      <c r="AA59" s="145">
        <f t="shared" si="17"/>
        <v>3.1881278257986505</v>
      </c>
      <c r="AB59" s="141">
        <v>281.20767730857892</v>
      </c>
      <c r="AC59" s="143">
        <v>0.78206665656239904</v>
      </c>
      <c r="AD59" s="141">
        <v>359.56996113942125</v>
      </c>
      <c r="AE59" s="141">
        <v>18.408879977610979</v>
      </c>
      <c r="AF59" s="146"/>
    </row>
    <row r="60" spans="1:32">
      <c r="A60" s="135" t="s">
        <v>0</v>
      </c>
      <c r="B60" s="136">
        <v>199.7</v>
      </c>
      <c r="C60" s="136">
        <v>125.1</v>
      </c>
      <c r="D60" s="136">
        <v>200</v>
      </c>
      <c r="E60" s="136">
        <v>100.4</v>
      </c>
      <c r="F60" s="137" t="s">
        <v>625</v>
      </c>
      <c r="G60" s="138">
        <v>2</v>
      </c>
      <c r="H60" s="139">
        <v>519.63129400980006</v>
      </c>
      <c r="I60" s="139">
        <v>0.70045602437999999</v>
      </c>
      <c r="J60" s="140">
        <v>0.28299999999999997</v>
      </c>
      <c r="K60" s="140">
        <v>1.32E-2</v>
      </c>
      <c r="L60" s="140">
        <v>8.4000000000000005E-2</v>
      </c>
      <c r="M60" s="140">
        <v>3.8999999999999998E-3</v>
      </c>
      <c r="N60" s="140">
        <v>0.152</v>
      </c>
      <c r="O60" s="140">
        <v>1.3100000000000001E-2</v>
      </c>
      <c r="P60" s="141">
        <v>65.94603631748511</v>
      </c>
      <c r="Q60" s="142">
        <v>5.2805496099087659</v>
      </c>
      <c r="R60" s="143">
        <v>98.406225458822931</v>
      </c>
      <c r="S60" s="139">
        <v>0.20421109525415329</v>
      </c>
      <c r="T60" s="142">
        <v>53.656095789177357</v>
      </c>
      <c r="U60" s="142">
        <v>1.2500769502311828</v>
      </c>
      <c r="V60" s="142">
        <v>15.9506321245159</v>
      </c>
      <c r="W60" s="142">
        <v>0.37430238016508594</v>
      </c>
      <c r="X60" s="142">
        <v>28.705718802529152</v>
      </c>
      <c r="Y60" s="142">
        <v>0.67361711988968731</v>
      </c>
      <c r="Z60" s="144">
        <f t="shared" si="16"/>
        <v>57.486793097375177</v>
      </c>
      <c r="AA60" s="145">
        <f t="shared" si="17"/>
        <v>8.6230189646062758</v>
      </c>
      <c r="AB60" s="141">
        <v>308.23884502056819</v>
      </c>
      <c r="AC60" s="143">
        <v>0.75259723103871434</v>
      </c>
      <c r="AD60" s="141">
        <v>409.56680719532449</v>
      </c>
      <c r="AE60" s="141">
        <v>12.987379767321716</v>
      </c>
      <c r="AF60" s="146"/>
    </row>
    <row r="61" spans="1:32">
      <c r="A61" s="148" t="s">
        <v>640</v>
      </c>
      <c r="B61" s="149"/>
      <c r="C61" s="149"/>
      <c r="D61" s="149"/>
      <c r="E61" s="149"/>
      <c r="F61" s="133"/>
      <c r="G61" s="133"/>
      <c r="H61" s="150"/>
      <c r="I61" s="150"/>
      <c r="J61" s="151"/>
      <c r="K61" s="151"/>
      <c r="L61" s="151"/>
      <c r="M61" s="151"/>
      <c r="N61" s="151"/>
      <c r="O61" s="151"/>
      <c r="P61" s="149"/>
      <c r="Q61" s="152"/>
      <c r="R61" s="150"/>
      <c r="S61" s="150"/>
      <c r="T61" s="152"/>
      <c r="U61" s="152"/>
      <c r="V61" s="152"/>
      <c r="W61" s="144"/>
      <c r="X61" s="144"/>
      <c r="Y61" s="144"/>
      <c r="Z61" s="153"/>
      <c r="AA61" s="144"/>
      <c r="AB61" s="154"/>
      <c r="AC61" s="147"/>
      <c r="AD61" s="149"/>
      <c r="AE61" s="149"/>
      <c r="AF61" s="146"/>
    </row>
    <row r="62" spans="1:32">
      <c r="A62" s="135" t="s">
        <v>2</v>
      </c>
      <c r="B62" s="136">
        <v>250.3</v>
      </c>
      <c r="C62" s="136">
        <v>154.4</v>
      </c>
      <c r="D62" s="136">
        <v>256.3</v>
      </c>
      <c r="E62" s="136">
        <v>146.4</v>
      </c>
      <c r="F62" s="137" t="s">
        <v>625</v>
      </c>
      <c r="G62" s="138">
        <v>2</v>
      </c>
      <c r="H62" s="139">
        <v>145.93577425140001</v>
      </c>
      <c r="I62" s="139">
        <v>0.21861366366000001</v>
      </c>
      <c r="J62" s="140">
        <v>9.5000000000000001E-2</v>
      </c>
      <c r="K62" s="140">
        <v>6.4000000000000003E-3</v>
      </c>
      <c r="L62" s="140">
        <v>6.9000000000000006E-2</v>
      </c>
      <c r="M62" s="140">
        <v>5.8999999999999999E-3</v>
      </c>
      <c r="N62" s="140">
        <v>0.17399999999999999</v>
      </c>
      <c r="O62" s="140">
        <v>1.77E-2</v>
      </c>
      <c r="P62" s="141">
        <v>86.739907834101388</v>
      </c>
      <c r="Q62" s="142">
        <v>11.908929813526703</v>
      </c>
      <c r="R62" s="143">
        <v>12.252760546439216</v>
      </c>
      <c r="S62" s="139">
        <v>2.6753419612151708E-2</v>
      </c>
      <c r="T62" s="142">
        <v>7.9702835928992437</v>
      </c>
      <c r="U62" s="142">
        <v>0.26884669122718036</v>
      </c>
      <c r="V62" s="142">
        <v>5.7657004658143416</v>
      </c>
      <c r="W62" s="142">
        <v>0.24626262937060542</v>
      </c>
      <c r="X62" s="142">
        <v>14.570907282794328</v>
      </c>
      <c r="Y62" s="142">
        <v>0.74501103543717739</v>
      </c>
      <c r="Z62" s="144">
        <f>T62+(0.238*V62)+(0.0012*X62)</f>
        <v>9.3600053925024085</v>
      </c>
      <c r="AA62" s="145">
        <f>Z62*0.15</f>
        <v>1.4040008088753613</v>
      </c>
      <c r="AB62" s="141">
        <v>235.87657687026464</v>
      </c>
      <c r="AC62" s="143">
        <v>0.80677443096325341</v>
      </c>
      <c r="AD62" s="141">
        <v>292.36992127853921</v>
      </c>
      <c r="AE62" s="141">
        <v>13.322447330632</v>
      </c>
      <c r="AF62" s="146"/>
    </row>
    <row r="63" spans="1:32">
      <c r="A63" s="135" t="s">
        <v>4</v>
      </c>
      <c r="B63" s="136">
        <v>204.5</v>
      </c>
      <c r="C63" s="136">
        <v>118.6</v>
      </c>
      <c r="D63" s="136">
        <v>213.1</v>
      </c>
      <c r="E63" s="136">
        <v>82.2</v>
      </c>
      <c r="F63" s="137" t="s">
        <v>625</v>
      </c>
      <c r="G63" s="138">
        <v>2</v>
      </c>
      <c r="H63" s="139">
        <v>152.67264429480002</v>
      </c>
      <c r="I63" s="139">
        <v>0.43276582398000002</v>
      </c>
      <c r="J63" s="140">
        <v>0.11799999999999999</v>
      </c>
      <c r="K63" s="140">
        <v>4.8999999999999998E-3</v>
      </c>
      <c r="L63" s="140">
        <v>0.08</v>
      </c>
      <c r="M63" s="140">
        <v>3.3E-3</v>
      </c>
      <c r="N63" s="140">
        <v>0.19700000000000001</v>
      </c>
      <c r="O63" s="140">
        <v>1.46E-2</v>
      </c>
      <c r="P63" s="141">
        <v>60.458775029446421</v>
      </c>
      <c r="Q63" s="142">
        <v>4.3746145526961913</v>
      </c>
      <c r="R63" s="143">
        <v>34.900407286234824</v>
      </c>
      <c r="S63" s="139">
        <v>0.1570257418196753</v>
      </c>
      <c r="T63" s="142">
        <v>27.070412044657242</v>
      </c>
      <c r="U63" s="142">
        <v>0.55901331146845246</v>
      </c>
      <c r="V63" s="142">
        <v>18.249142952585331</v>
      </c>
      <c r="W63" s="142">
        <v>0.3806880896631632</v>
      </c>
      <c r="X63" s="142">
        <v>44.966989330816887</v>
      </c>
      <c r="Y63" s="142">
        <v>1.6663555133203212</v>
      </c>
      <c r="Z63" s="144">
        <f t="shared" ref="Z63:Z66" si="18">T63+(0.238*V63)+(0.0012*X63)</f>
        <v>31.46766845456953</v>
      </c>
      <c r="AA63" s="145">
        <f t="shared" ref="AA63:AA66" si="19">Z63*0.15</f>
        <v>4.7201502681854297</v>
      </c>
      <c r="AB63" s="141">
        <v>200.58011034904223</v>
      </c>
      <c r="AC63" s="143">
        <v>0.7286263071585366</v>
      </c>
      <c r="AD63" s="141">
        <v>275.28529834621992</v>
      </c>
      <c r="AE63" s="141">
        <v>6.9581329994881589</v>
      </c>
      <c r="AF63" s="146"/>
    </row>
    <row r="64" spans="1:32">
      <c r="A64" s="135" t="s">
        <v>3</v>
      </c>
      <c r="B64" s="136">
        <v>162</v>
      </c>
      <c r="C64" s="136">
        <v>94.4</v>
      </c>
      <c r="D64" s="136">
        <v>157.9</v>
      </c>
      <c r="E64" s="136">
        <v>93.5</v>
      </c>
      <c r="F64" s="137" t="s">
        <v>625</v>
      </c>
      <c r="G64" s="138">
        <v>2</v>
      </c>
      <c r="H64" s="139">
        <v>95.476171476000005</v>
      </c>
      <c r="I64" s="139">
        <v>0.19630614696000001</v>
      </c>
      <c r="J64" s="140">
        <v>6.0999999999999999E-2</v>
      </c>
      <c r="K64" s="140">
        <v>5.1000000000000004E-3</v>
      </c>
      <c r="L64" s="140">
        <v>0.04</v>
      </c>
      <c r="M64" s="140">
        <v>2.8999999999999998E-3</v>
      </c>
      <c r="N64" s="140">
        <v>0.11899999999999999</v>
      </c>
      <c r="O64" s="140">
        <v>1.44E-2</v>
      </c>
      <c r="P64" s="141">
        <v>54.623399928221076</v>
      </c>
      <c r="Q64" s="142">
        <v>2.9344025182978855</v>
      </c>
      <c r="R64" s="143">
        <v>32.543455824737478</v>
      </c>
      <c r="S64" s="139">
        <v>9.5342033712741969E-2</v>
      </c>
      <c r="T64" s="142">
        <v>20.883997950676498</v>
      </c>
      <c r="U64" s="142">
        <v>0.87604201699782114</v>
      </c>
      <c r="V64" s="142">
        <v>13.659239877136296</v>
      </c>
      <c r="W64" s="142">
        <v>0.50239459543642495</v>
      </c>
      <c r="X64" s="142">
        <v>40.623403788908647</v>
      </c>
      <c r="Y64" s="142">
        <v>2.4472944786853459</v>
      </c>
      <c r="Z64" s="144">
        <f t="shared" si="18"/>
        <v>24.183645125981627</v>
      </c>
      <c r="AA64" s="145">
        <f t="shared" si="19"/>
        <v>3.6275467688972438</v>
      </c>
      <c r="AB64" s="141">
        <v>242.09355041755765</v>
      </c>
      <c r="AC64" s="143">
        <v>0.70344012207542328</v>
      </c>
      <c r="AD64" s="141">
        <v>344.15658535837713</v>
      </c>
      <c r="AE64" s="141">
        <v>16.977690118056721</v>
      </c>
      <c r="AF64" s="146"/>
    </row>
    <row r="65" spans="1:32">
      <c r="A65" s="135" t="s">
        <v>1</v>
      </c>
      <c r="B65" s="136">
        <v>193.8</v>
      </c>
      <c r="C65" s="136">
        <v>107.2</v>
      </c>
      <c r="D65" s="136">
        <v>192.9</v>
      </c>
      <c r="E65" s="136">
        <v>98.8</v>
      </c>
      <c r="F65" s="137" t="s">
        <v>625</v>
      </c>
      <c r="G65" s="138">
        <v>2</v>
      </c>
      <c r="H65" s="139">
        <v>87.311620363800003</v>
      </c>
      <c r="I65" s="139">
        <v>0.15169111356000001</v>
      </c>
      <c r="J65" s="140">
        <v>5.3999999999999999E-2</v>
      </c>
      <c r="K65" s="140">
        <v>3.2000000000000002E-3</v>
      </c>
      <c r="L65" s="140">
        <v>4.1000000000000002E-2</v>
      </c>
      <c r="M65" s="140">
        <v>1.8E-3</v>
      </c>
      <c r="N65" s="140">
        <v>9.5000000000000001E-2</v>
      </c>
      <c r="O65" s="140">
        <v>8.0999999999999996E-3</v>
      </c>
      <c r="P65" s="141">
        <v>61.031593966571549</v>
      </c>
      <c r="Q65" s="142">
        <v>4.2634433745999383</v>
      </c>
      <c r="R65" s="143">
        <v>20.479480252007157</v>
      </c>
      <c r="S65" s="139">
        <v>4.9624051273478388E-2</v>
      </c>
      <c r="T65" s="142">
        <v>12.654991848156168</v>
      </c>
      <c r="U65" s="142">
        <v>0.38075397037724446</v>
      </c>
      <c r="V65" s="142">
        <v>9.5201683868903579</v>
      </c>
      <c r="W65" s="142">
        <v>0.20663603507409203</v>
      </c>
      <c r="X65" s="142">
        <v>22.254739980167439</v>
      </c>
      <c r="Y65" s="142">
        <v>0.94689385773756962</v>
      </c>
      <c r="Z65" s="144">
        <f t="shared" si="18"/>
        <v>14.947497612212274</v>
      </c>
      <c r="AA65" s="145">
        <f t="shared" si="19"/>
        <v>2.242124641831841</v>
      </c>
      <c r="AB65" s="141">
        <v>246.78867098720329</v>
      </c>
      <c r="AC65" s="143">
        <v>0.73093146969619971</v>
      </c>
      <c r="AD65" s="141">
        <v>337.63585400116534</v>
      </c>
      <c r="AE65" s="141">
        <v>12.175845102997563</v>
      </c>
      <c r="AF65" s="146"/>
    </row>
    <row r="66" spans="1:32">
      <c r="A66" s="135" t="s">
        <v>0</v>
      </c>
      <c r="B66" s="136">
        <v>188.9</v>
      </c>
      <c r="C66" s="136">
        <v>86.4</v>
      </c>
      <c r="D66" s="136">
        <v>190.2</v>
      </c>
      <c r="E66" s="136">
        <v>75.3</v>
      </c>
      <c r="F66" s="137" t="s">
        <v>625</v>
      </c>
      <c r="G66" s="138">
        <v>2</v>
      </c>
      <c r="H66" s="139">
        <v>80.530135286999993</v>
      </c>
      <c r="I66" s="139">
        <v>0.20969065698000003</v>
      </c>
      <c r="J66" s="140">
        <v>6.3E-2</v>
      </c>
      <c r="K66" s="140">
        <v>5.1999999999999998E-3</v>
      </c>
      <c r="L66" s="140">
        <v>3.5999999999999997E-2</v>
      </c>
      <c r="M66" s="140">
        <v>1.9E-3</v>
      </c>
      <c r="N66" s="140">
        <v>0.105</v>
      </c>
      <c r="O66" s="140">
        <v>0.01</v>
      </c>
      <c r="P66" s="141">
        <v>49.948430175515092</v>
      </c>
      <c r="Q66" s="142">
        <v>2.5752874454132444</v>
      </c>
      <c r="R66" s="143">
        <v>31.26624988581937</v>
      </c>
      <c r="S66" s="139">
        <v>0.10664962906989778</v>
      </c>
      <c r="T66" s="142">
        <v>24.284831550786301</v>
      </c>
      <c r="U66" s="142">
        <v>1.0175162280707688</v>
      </c>
      <c r="V66" s="142">
        <v>13.822925602128691</v>
      </c>
      <c r="W66" s="142">
        <v>0.37042905469406578</v>
      </c>
      <c r="X66" s="142">
        <v>40.611410572375959</v>
      </c>
      <c r="Y66" s="142">
        <v>1.9398010404167567</v>
      </c>
      <c r="Z66" s="144">
        <f t="shared" si="18"/>
        <v>27.62342153677978</v>
      </c>
      <c r="AA66" s="145">
        <f t="shared" si="19"/>
        <v>4.1435132305169668</v>
      </c>
      <c r="AB66" s="141">
        <v>204.51509553617166</v>
      </c>
      <c r="AC66" s="143">
        <v>0.67714450668556314</v>
      </c>
      <c r="AD66" s="141">
        <v>302.02577665027076</v>
      </c>
      <c r="AE66" s="141">
        <v>14.521946508892212</v>
      </c>
      <c r="AF66" s="146"/>
    </row>
    <row r="67" spans="1:32">
      <c r="A67" s="135"/>
      <c r="B67" s="136"/>
      <c r="C67" s="136"/>
      <c r="D67" s="136"/>
      <c r="E67" s="136"/>
      <c r="F67" s="137"/>
      <c r="G67" s="138"/>
      <c r="H67" s="139"/>
      <c r="I67" s="139"/>
      <c r="J67" s="140"/>
      <c r="K67" s="140"/>
      <c r="L67" s="140"/>
      <c r="M67" s="140"/>
      <c r="N67" s="140"/>
      <c r="O67" s="140"/>
      <c r="P67" s="141"/>
      <c r="Q67" s="143"/>
      <c r="R67" s="143"/>
      <c r="S67" s="139"/>
      <c r="T67" s="143"/>
      <c r="U67" s="143"/>
      <c r="V67" s="143"/>
      <c r="W67" s="143"/>
      <c r="X67" s="143"/>
      <c r="Y67" s="143"/>
      <c r="Z67" s="142"/>
      <c r="AA67" s="145"/>
      <c r="AB67" s="143"/>
      <c r="AC67" s="157"/>
      <c r="AD67" s="143"/>
      <c r="AE67" s="149"/>
      <c r="AF67" s="146"/>
    </row>
    <row r="68" spans="1:32">
      <c r="A68" s="156" t="s">
        <v>641</v>
      </c>
      <c r="B68" s="136"/>
      <c r="C68" s="136"/>
      <c r="D68" s="136"/>
      <c r="E68" s="136"/>
      <c r="F68" s="137"/>
      <c r="G68" s="138"/>
      <c r="H68" s="139"/>
      <c r="I68" s="139"/>
      <c r="J68" s="140"/>
      <c r="K68" s="140"/>
      <c r="L68" s="140"/>
      <c r="M68" s="140"/>
      <c r="N68" s="140"/>
      <c r="O68" s="140"/>
      <c r="P68" s="141"/>
      <c r="Q68" s="143"/>
      <c r="R68" s="143"/>
      <c r="S68" s="139"/>
      <c r="T68" s="143"/>
      <c r="U68" s="143"/>
      <c r="V68" s="143"/>
      <c r="W68" s="143"/>
      <c r="X68" s="143"/>
      <c r="Y68" s="143"/>
      <c r="Z68" s="142"/>
      <c r="AA68" s="145"/>
      <c r="AB68" s="143"/>
      <c r="AC68" s="157"/>
      <c r="AD68" s="143"/>
      <c r="AE68" s="149"/>
      <c r="AF68" s="146"/>
    </row>
    <row r="69" spans="1:32">
      <c r="A69" s="132" t="s">
        <v>642</v>
      </c>
      <c r="B69" s="149"/>
      <c r="C69" s="149"/>
      <c r="D69" s="149"/>
      <c r="E69" s="149"/>
      <c r="F69" s="133"/>
      <c r="G69" s="138"/>
      <c r="H69" s="150"/>
      <c r="I69" s="150"/>
      <c r="J69" s="151"/>
      <c r="K69" s="151"/>
      <c r="L69" s="151"/>
      <c r="M69" s="151"/>
      <c r="N69" s="151"/>
      <c r="O69" s="151"/>
      <c r="P69" s="149"/>
      <c r="Q69" s="152"/>
      <c r="R69" s="150"/>
      <c r="S69" s="150"/>
      <c r="T69" s="152"/>
      <c r="U69" s="152"/>
      <c r="V69" s="152"/>
      <c r="W69" s="144"/>
      <c r="X69" s="144"/>
      <c r="Y69" s="144"/>
      <c r="Z69" s="153"/>
      <c r="AA69" s="144"/>
      <c r="AB69" s="154"/>
      <c r="AC69" s="147"/>
      <c r="AD69" s="149"/>
      <c r="AE69" s="149"/>
      <c r="AF69" s="146"/>
    </row>
    <row r="70" spans="1:32">
      <c r="A70" s="135" t="s">
        <v>634</v>
      </c>
      <c r="B70" s="136">
        <v>157.1</v>
      </c>
      <c r="C70" s="136">
        <v>82.3</v>
      </c>
      <c r="D70" s="136">
        <v>157.6</v>
      </c>
      <c r="E70" s="136">
        <v>60.9</v>
      </c>
      <c r="F70" s="137" t="s">
        <v>625</v>
      </c>
      <c r="G70" s="138">
        <v>2</v>
      </c>
      <c r="H70" s="139">
        <v>42.562741863600003</v>
      </c>
      <c r="I70" s="139">
        <v>0.18738314028</v>
      </c>
      <c r="J70" s="140">
        <v>3.840743709486192E-2</v>
      </c>
      <c r="K70" s="140">
        <v>1.5674588302024811E-4</v>
      </c>
      <c r="L70" s="140">
        <v>4.0008723189877476E-3</v>
      </c>
      <c r="M70" s="140">
        <v>6.0933761815452062E-6</v>
      </c>
      <c r="N70" s="140">
        <v>2.0164909385852969E-2</v>
      </c>
      <c r="O70" s="140">
        <v>6.7313876418866809E-6</v>
      </c>
      <c r="P70" s="154">
        <v>43.73390357698289</v>
      </c>
      <c r="Q70" s="144">
        <v>1.676620088111658</v>
      </c>
      <c r="R70" s="143">
        <v>25.387947101671244</v>
      </c>
      <c r="S70" s="139">
        <v>0.16551616908901115</v>
      </c>
      <c r="T70" s="142">
        <v>22.899479164066943</v>
      </c>
      <c r="U70" s="142">
        <v>9.4145068051880124E-2</v>
      </c>
      <c r="V70" s="142">
        <v>2.3854041855702128</v>
      </c>
      <c r="W70" s="142">
        <v>9.877816570851905E-3</v>
      </c>
      <c r="X70" s="142">
        <v>12.01588328674042</v>
      </c>
      <c r="Y70" s="142">
        <v>4.975705658654022E-2</v>
      </c>
      <c r="Z70" s="144">
        <f>T70+(0.238*V70)+(0.0012*X70)</f>
        <v>23.481624420176743</v>
      </c>
      <c r="AA70" s="145">
        <f>Z70*0.15</f>
        <v>3.5222436630265115</v>
      </c>
      <c r="AB70" s="141">
        <v>196.49685841275132</v>
      </c>
      <c r="AC70" s="147">
        <v>0.64</v>
      </c>
      <c r="AD70" s="141">
        <v>306.41838119898893</v>
      </c>
      <c r="AE70" s="141">
        <v>1.7542345183753334</v>
      </c>
      <c r="AF70" s="146"/>
    </row>
    <row r="71" spans="1:32">
      <c r="A71" s="135" t="s">
        <v>635</v>
      </c>
      <c r="B71" s="136">
        <v>143</v>
      </c>
      <c r="C71" s="136">
        <v>88</v>
      </c>
      <c r="D71" s="136">
        <v>137.9</v>
      </c>
      <c r="E71" s="136">
        <v>62.3</v>
      </c>
      <c r="F71" s="137" t="s">
        <v>625</v>
      </c>
      <c r="G71" s="138">
        <v>0</v>
      </c>
      <c r="H71" s="139">
        <v>22.798282067400002</v>
      </c>
      <c r="I71" s="139">
        <v>0.15169111356000001</v>
      </c>
      <c r="J71" s="140">
        <v>2.3817981814217671E-2</v>
      </c>
      <c r="K71" s="140">
        <v>7.378395087322652E-5</v>
      </c>
      <c r="L71" s="140">
        <v>9.206569292803609E-3</v>
      </c>
      <c r="M71" s="140">
        <v>1.6770104387763509E-5</v>
      </c>
      <c r="N71" s="140">
        <v>1.9901135645403693E-2</v>
      </c>
      <c r="O71" s="140">
        <v>6.5937830844214729E-6</v>
      </c>
      <c r="P71" s="154">
        <v>44.634293229959859</v>
      </c>
      <c r="Q71" s="144">
        <v>1.6486238821469721</v>
      </c>
      <c r="R71" s="143">
        <v>13.837264203998146</v>
      </c>
      <c r="S71" s="139">
        <v>0.12284633374929407</v>
      </c>
      <c r="T71" s="142">
        <v>14.442032385768231</v>
      </c>
      <c r="U71" s="142">
        <v>4.5068843705765152E-2</v>
      </c>
      <c r="V71" s="142">
        <v>5.582364493717991</v>
      </c>
      <c r="W71" s="142">
        <v>1.754661318954406E-2</v>
      </c>
      <c r="X71" s="142">
        <v>12.060084891204108</v>
      </c>
      <c r="Y71" s="142">
        <v>3.7907529122678835E-2</v>
      </c>
      <c r="Z71" s="144">
        <f t="shared" ref="Z71:Z74" si="20">T71+(0.238*V71)+(0.0012*X71)</f>
        <v>15.785107237142558</v>
      </c>
      <c r="AA71" s="145">
        <f t="shared" ref="AA71:AA74" si="21">Z71*0.15</f>
        <v>2.3677660855713838</v>
      </c>
      <c r="AB71" s="141">
        <v>159.69978328020616</v>
      </c>
      <c r="AC71" s="143">
        <v>0.66553837444487363</v>
      </c>
      <c r="AD71" s="141">
        <v>239.9557852894838</v>
      </c>
      <c r="AE71" s="141">
        <v>1.3823128603806425</v>
      </c>
      <c r="AF71" s="146"/>
    </row>
    <row r="72" spans="1:32">
      <c r="A72" s="135" t="s">
        <v>636</v>
      </c>
      <c r="B72" s="136">
        <v>170.6</v>
      </c>
      <c r="C72" s="136">
        <v>115.5</v>
      </c>
      <c r="D72" s="136">
        <v>170.3</v>
      </c>
      <c r="E72" s="136">
        <v>82.9</v>
      </c>
      <c r="F72" s="137" t="s">
        <v>625</v>
      </c>
      <c r="G72" s="138">
        <v>2</v>
      </c>
      <c r="H72" s="139">
        <v>74.596335844799995</v>
      </c>
      <c r="I72" s="139">
        <v>0.19630614696000001</v>
      </c>
      <c r="J72" s="140">
        <v>5.465617763827909E-2</v>
      </c>
      <c r="K72" s="140">
        <v>2.7685577093850564E-4</v>
      </c>
      <c r="L72" s="140">
        <v>5.1438151102273883E-3</v>
      </c>
      <c r="M72" s="140">
        <v>8.1712325432105942E-6</v>
      </c>
      <c r="N72" s="140">
        <v>2.7537990584201734E-2</v>
      </c>
      <c r="O72" s="140">
        <v>1.1049339228054041E-5</v>
      </c>
      <c r="P72" s="154">
        <v>57.641416893732973</v>
      </c>
      <c r="Q72" s="144">
        <v>3.4862796694027542</v>
      </c>
      <c r="R72" s="143">
        <v>21.394514093524485</v>
      </c>
      <c r="S72" s="139">
        <v>9.466841107863995E-2</v>
      </c>
      <c r="T72" s="142">
        <v>15.671911658740692</v>
      </c>
      <c r="U72" s="142">
        <v>7.9970065833864956E-2</v>
      </c>
      <c r="V72" s="142">
        <v>1.4749084948792077</v>
      </c>
      <c r="W72" s="142">
        <v>7.5804950199011168E-3</v>
      </c>
      <c r="X72" s="142">
        <v>7.8915827638288212</v>
      </c>
      <c r="Y72" s="142">
        <v>4.0559874763784032E-2</v>
      </c>
      <c r="Z72" s="144">
        <f t="shared" si="20"/>
        <v>16.032409779838538</v>
      </c>
      <c r="AA72" s="145">
        <f t="shared" si="21"/>
        <v>2.4048614669757806</v>
      </c>
      <c r="AB72" s="141">
        <v>241.54370284647922</v>
      </c>
      <c r="AC72" s="143">
        <v>0.72174643532301797</v>
      </c>
      <c r="AD72" s="141">
        <v>334.66559864390075</v>
      </c>
      <c r="AE72" s="141">
        <v>2.4117643086299685</v>
      </c>
      <c r="AF72" s="146"/>
    </row>
    <row r="73" spans="1:32">
      <c r="A73" s="135" t="s">
        <v>637</v>
      </c>
      <c r="B73" s="136">
        <v>160</v>
      </c>
      <c r="C73" s="136">
        <v>89.7</v>
      </c>
      <c r="D73" s="136">
        <v>161.6</v>
      </c>
      <c r="E73" s="136">
        <v>66.599999999999994</v>
      </c>
      <c r="F73" s="137" t="s">
        <v>625</v>
      </c>
      <c r="G73" s="138">
        <v>2</v>
      </c>
      <c r="H73" s="139">
        <v>42.250436629799999</v>
      </c>
      <c r="I73" s="139">
        <v>0.24092118036000004</v>
      </c>
      <c r="J73" s="140">
        <v>4.2716362789877858E-2</v>
      </c>
      <c r="K73" s="140">
        <v>1.8583368922956732E-4</v>
      </c>
      <c r="L73" s="140">
        <v>6.7364506024494009E-3</v>
      </c>
      <c r="M73" s="140">
        <v>1.1316467861731294E-5</v>
      </c>
      <c r="N73" s="140">
        <v>3.1152726779306594E-2</v>
      </c>
      <c r="O73" s="140">
        <v>1.3492925438987777E-5</v>
      </c>
      <c r="P73" s="154">
        <v>47.107873916865508</v>
      </c>
      <c r="Q73" s="144">
        <v>2.0412015175019098</v>
      </c>
      <c r="R73" s="143">
        <v>20.703345116017189</v>
      </c>
      <c r="S73" s="139">
        <v>0.1787595961181507</v>
      </c>
      <c r="T73" s="142">
        <v>20.919597572016574</v>
      </c>
      <c r="U73" s="142">
        <v>9.1680012197397076E-2</v>
      </c>
      <c r="V73" s="142">
        <v>3.2990370836561342</v>
      </c>
      <c r="W73" s="142">
        <v>1.4562486813641138E-2</v>
      </c>
      <c r="X73" s="142">
        <v>15.247697782310176</v>
      </c>
      <c r="Y73" s="142">
        <v>6.7305820535729796E-2</v>
      </c>
      <c r="Z73" s="144">
        <f t="shared" si="20"/>
        <v>21.723065635265506</v>
      </c>
      <c r="AA73" s="145">
        <f t="shared" si="21"/>
        <v>3.2584598452898259</v>
      </c>
      <c r="AB73" s="141">
        <v>173.38079535287841</v>
      </c>
      <c r="AC73" s="143">
        <v>0.66414759050340844</v>
      </c>
      <c r="AD73" s="141">
        <v>261.05762910539175</v>
      </c>
      <c r="AE73" s="141">
        <v>1.7207643428915143</v>
      </c>
      <c r="AF73" s="146"/>
    </row>
    <row r="74" spans="1:32">
      <c r="A74" s="135" t="s">
        <v>638</v>
      </c>
      <c r="B74" s="136">
        <v>146.69999999999999</v>
      </c>
      <c r="C74" s="136">
        <v>112</v>
      </c>
      <c r="D74" s="136">
        <v>178.9</v>
      </c>
      <c r="E74" s="136">
        <v>94.6</v>
      </c>
      <c r="F74" s="137" t="s">
        <v>625</v>
      </c>
      <c r="G74" s="138">
        <v>0</v>
      </c>
      <c r="H74" s="139">
        <v>81.243975821399999</v>
      </c>
      <c r="I74" s="139">
        <v>0.17846013360000001</v>
      </c>
      <c r="J74" s="140">
        <v>6.2040727456553514E-2</v>
      </c>
      <c r="K74" s="140">
        <v>3.4063708696273863E-4</v>
      </c>
      <c r="L74" s="140">
        <v>1.2620488124900839E-2</v>
      </c>
      <c r="M74" s="140">
        <v>2.5459445544427993E-5</v>
      </c>
      <c r="N74" s="140">
        <v>3.7646435436813334E-2</v>
      </c>
      <c r="O74" s="140">
        <v>1.8411750543439095E-5</v>
      </c>
      <c r="P74" s="154">
        <v>57.300642803125783</v>
      </c>
      <c r="Q74" s="144">
        <v>3.6107458186969503</v>
      </c>
      <c r="R74" s="143">
        <v>22.50012627183855</v>
      </c>
      <c r="S74" s="139">
        <v>6.0553185220257315E-2</v>
      </c>
      <c r="T74" s="142">
        <v>17.176113706873284</v>
      </c>
      <c r="U74" s="142">
        <v>9.5001641492337391E-2</v>
      </c>
      <c r="V74" s="142">
        <v>3.4939862046172054</v>
      </c>
      <c r="W74" s="142">
        <v>1.946499963488851E-2</v>
      </c>
      <c r="X74" s="142">
        <v>10.416481238114915</v>
      </c>
      <c r="Y74" s="142">
        <v>5.8030224397793095E-2</v>
      </c>
      <c r="Z74" s="144">
        <f t="shared" si="20"/>
        <v>18.020182201057917</v>
      </c>
      <c r="AA74" s="145">
        <f t="shared" si="21"/>
        <v>2.7030273301586876</v>
      </c>
      <c r="AB74" s="141">
        <v>226.28564052628496</v>
      </c>
      <c r="AC74" s="143">
        <v>0.74064729773548443</v>
      </c>
      <c r="AD74" s="141">
        <v>305.52415598915866</v>
      </c>
      <c r="AE74" s="141">
        <v>2.3565441539298821</v>
      </c>
      <c r="AF74" s="146"/>
    </row>
    <row r="75" spans="1:32">
      <c r="A75" s="132" t="s">
        <v>643</v>
      </c>
      <c r="B75" s="149"/>
      <c r="C75" s="149"/>
      <c r="D75" s="149"/>
      <c r="E75" s="149"/>
      <c r="F75" s="133"/>
      <c r="G75" s="133"/>
      <c r="H75" s="150"/>
      <c r="I75" s="150"/>
      <c r="J75" s="151"/>
      <c r="K75" s="151"/>
      <c r="L75" s="151"/>
      <c r="M75" s="151"/>
      <c r="N75" s="151"/>
      <c r="O75" s="151"/>
      <c r="P75" s="149"/>
      <c r="Q75" s="152"/>
      <c r="R75" s="150"/>
      <c r="S75" s="150"/>
      <c r="T75" s="152"/>
      <c r="U75" s="152"/>
      <c r="V75" s="152"/>
      <c r="W75" s="144"/>
      <c r="X75" s="144"/>
      <c r="Y75" s="144"/>
      <c r="Z75" s="153"/>
      <c r="AA75" s="144"/>
      <c r="AB75" s="154"/>
      <c r="AC75" s="147"/>
      <c r="AD75" s="149"/>
      <c r="AE75" s="149"/>
      <c r="AF75" s="146"/>
    </row>
    <row r="76" spans="1:32">
      <c r="A76" s="135" t="s">
        <v>2</v>
      </c>
      <c r="B76" s="136">
        <v>211.6</v>
      </c>
      <c r="C76" s="136">
        <v>118.8</v>
      </c>
      <c r="D76" s="136">
        <v>203.4</v>
      </c>
      <c r="E76" s="136">
        <v>106.6</v>
      </c>
      <c r="F76" s="137" t="s">
        <v>625</v>
      </c>
      <c r="G76" s="138">
        <v>2</v>
      </c>
      <c r="H76" s="139">
        <v>77.808618249600002</v>
      </c>
      <c r="I76" s="139">
        <v>0.53538040080000004</v>
      </c>
      <c r="J76" s="140">
        <v>5.8000000000000003E-2</v>
      </c>
      <c r="K76" s="140">
        <v>5.4000000000000003E-3</v>
      </c>
      <c r="L76" s="140">
        <v>5.0999999999999997E-2</v>
      </c>
      <c r="M76" s="140">
        <v>2.3E-3</v>
      </c>
      <c r="N76" s="140">
        <v>2.9000000000000001E-2</v>
      </c>
      <c r="O76" s="140">
        <v>6.3E-3</v>
      </c>
      <c r="P76" s="141">
        <v>66.749356223175965</v>
      </c>
      <c r="Q76" s="142">
        <v>5.4778206208149589</v>
      </c>
      <c r="R76" s="143">
        <v>14.206668099366505</v>
      </c>
      <c r="S76" s="139">
        <v>0.13925822855794767</v>
      </c>
      <c r="T76" s="142">
        <v>10.6404371436148</v>
      </c>
      <c r="U76" s="142">
        <v>0.49108030287465987</v>
      </c>
      <c r="V76" s="142">
        <v>9.2983115444596756</v>
      </c>
      <c r="W76" s="142">
        <v>0.20864911515557361</v>
      </c>
      <c r="X76" s="142">
        <v>5.3573769685181718</v>
      </c>
      <c r="Y76" s="142">
        <v>0.57710891232804762</v>
      </c>
      <c r="Z76" s="144">
        <f>T76+(0.238*V76)+(0.0012*X76)</f>
        <v>12.859864143558424</v>
      </c>
      <c r="AA76" s="145">
        <f>Z76*0.15</f>
        <v>1.9289796215337636</v>
      </c>
      <c r="AB76" s="141">
        <v>201.28386016607831</v>
      </c>
      <c r="AC76" s="143">
        <v>0.75162072279416292</v>
      </c>
      <c r="AD76" s="141">
        <v>267.79977462276736</v>
      </c>
      <c r="AE76" s="141">
        <v>15.002269854625556</v>
      </c>
      <c r="AF76" s="146"/>
    </row>
    <row r="77" spans="1:32">
      <c r="A77" s="135" t="s">
        <v>3</v>
      </c>
      <c r="B77" s="136">
        <v>163</v>
      </c>
      <c r="C77" s="136">
        <v>116.7</v>
      </c>
      <c r="D77" s="136">
        <v>159.30000000000001</v>
      </c>
      <c r="E77" s="136">
        <v>98.9</v>
      </c>
      <c r="F77" s="137" t="s">
        <v>625</v>
      </c>
      <c r="G77" s="138">
        <v>2</v>
      </c>
      <c r="H77" s="139">
        <v>74.417875711199997</v>
      </c>
      <c r="I77" s="139">
        <v>0.17399863026000001</v>
      </c>
      <c r="J77" s="140">
        <v>4.7E-2</v>
      </c>
      <c r="K77" s="140">
        <v>4.0000000000000001E-3</v>
      </c>
      <c r="L77" s="140">
        <v>3.5999999999999997E-2</v>
      </c>
      <c r="M77" s="140">
        <v>3.2000000000000002E-3</v>
      </c>
      <c r="N77" s="140">
        <v>1.7000000000000001E-2</v>
      </c>
      <c r="O77" s="140">
        <v>4.7000000000000002E-3</v>
      </c>
      <c r="P77" s="141">
        <v>60.758644536652838</v>
      </c>
      <c r="Q77" s="142">
        <v>3.8923304605958604</v>
      </c>
      <c r="R77" s="143">
        <v>19.120685975916746</v>
      </c>
      <c r="S77" s="139">
        <v>7.3690837569459045E-2</v>
      </c>
      <c r="T77" s="142">
        <v>11.96446010364669</v>
      </c>
      <c r="U77" s="142">
        <v>0.51618057430217579</v>
      </c>
      <c r="V77" s="142">
        <v>9.3044263167286037</v>
      </c>
      <c r="W77" s="142">
        <v>0.41233389134504622</v>
      </c>
      <c r="X77" s="142">
        <v>4.3017548007668465</v>
      </c>
      <c r="Y77" s="142">
        <v>0.60159663720931034</v>
      </c>
      <c r="Z77" s="144">
        <f t="shared" ref="Z77:Z79" si="22">T77+(0.238*V77)+(0.0012*X77)</f>
        <v>14.184075672789017</v>
      </c>
      <c r="AA77" s="145">
        <f t="shared" ref="AA77:AA79" si="23">Z77*0.15</f>
        <v>2.1276113509183525</v>
      </c>
      <c r="AB77" s="141">
        <v>244.85720510915922</v>
      </c>
      <c r="AC77" s="143">
        <v>0.73099282084521988</v>
      </c>
      <c r="AD77" s="141">
        <v>334.96526658913001</v>
      </c>
      <c r="AE77" s="141">
        <v>17.574303569057939</v>
      </c>
      <c r="AF77" s="146"/>
    </row>
    <row r="78" spans="1:32">
      <c r="A78" s="135" t="s">
        <v>1</v>
      </c>
      <c r="B78" s="136">
        <v>173.8</v>
      </c>
      <c r="C78" s="136">
        <v>98.6</v>
      </c>
      <c r="D78" s="136">
        <v>166.1</v>
      </c>
      <c r="E78" s="136">
        <v>82.9</v>
      </c>
      <c r="F78" s="137" t="s">
        <v>625</v>
      </c>
      <c r="G78" s="138">
        <v>2</v>
      </c>
      <c r="H78" s="139">
        <v>15.436801556399999</v>
      </c>
      <c r="I78" s="139">
        <v>8.0307060119999996E-2</v>
      </c>
      <c r="J78" s="140">
        <v>1.6E-2</v>
      </c>
      <c r="K78" s="140">
        <v>2.8E-3</v>
      </c>
      <c r="L78" s="140">
        <v>1.7999999999999999E-2</v>
      </c>
      <c r="M78" s="140">
        <v>2E-3</v>
      </c>
      <c r="N78" s="140">
        <v>7.0000000000000001E-3</v>
      </c>
      <c r="O78" s="140">
        <v>4.0000000000000001E-3</v>
      </c>
      <c r="P78" s="141">
        <v>53.971769134253449</v>
      </c>
      <c r="Q78" s="142">
        <v>2.9090843217366933</v>
      </c>
      <c r="R78" s="143">
        <v>5.3042186587333831</v>
      </c>
      <c r="S78" s="139">
        <v>4.0315587345541304E-2</v>
      </c>
      <c r="T78" s="142">
        <v>5.3826147215761528</v>
      </c>
      <c r="U78" s="142">
        <v>0.4760697789758086</v>
      </c>
      <c r="V78" s="142">
        <v>6.2786952725149741</v>
      </c>
      <c r="W78" s="142">
        <v>0.33545912041920184</v>
      </c>
      <c r="X78" s="142">
        <v>2.3332294471210431</v>
      </c>
      <c r="Y78" s="142">
        <v>0.68943018962002423</v>
      </c>
      <c r="Z78" s="144">
        <f t="shared" si="22"/>
        <v>6.8797440717712615</v>
      </c>
      <c r="AA78" s="145">
        <f t="shared" si="23"/>
        <v>1.0319616107656893</v>
      </c>
      <c r="AB78" s="141">
        <v>141.31681854569416</v>
      </c>
      <c r="AC78" s="143">
        <v>0.6963577153754561</v>
      </c>
      <c r="AD78" s="141">
        <v>202.93710463091543</v>
      </c>
      <c r="AE78" s="141">
        <v>19.208688316917865</v>
      </c>
      <c r="AF78" s="146"/>
    </row>
    <row r="79" spans="1:32">
      <c r="A79" s="135" t="s">
        <v>0</v>
      </c>
      <c r="B79" s="136">
        <v>165.4</v>
      </c>
      <c r="C79" s="136">
        <v>114.9</v>
      </c>
      <c r="D79" s="136">
        <v>160.4</v>
      </c>
      <c r="E79" s="136">
        <v>92.6</v>
      </c>
      <c r="F79" s="137" t="s">
        <v>625</v>
      </c>
      <c r="G79" s="138">
        <v>2</v>
      </c>
      <c r="H79" s="139">
        <v>25.742874271799998</v>
      </c>
      <c r="I79" s="139">
        <v>7.1384053440000012E-2</v>
      </c>
      <c r="J79" s="140">
        <v>1.7999999999999999E-2</v>
      </c>
      <c r="K79" s="140">
        <v>2.7000000000000001E-3</v>
      </c>
      <c r="L79" s="140">
        <v>2.1000000000000001E-2</v>
      </c>
      <c r="M79" s="140">
        <v>1.1999999999999999E-3</v>
      </c>
      <c r="N79" s="140">
        <v>1.4E-2</v>
      </c>
      <c r="O79" s="140">
        <v>5.5999999999999999E-3</v>
      </c>
      <c r="P79" s="141">
        <v>59.234552985847429</v>
      </c>
      <c r="Q79" s="142">
        <v>3.6445101869501459</v>
      </c>
      <c r="R79" s="143">
        <v>7.0689444170375211</v>
      </c>
      <c r="S79" s="139">
        <v>3.2152175347136082E-2</v>
      </c>
      <c r="T79" s="142">
        <v>5.0230206645872082</v>
      </c>
      <c r="U79" s="142">
        <v>0.36943674356933281</v>
      </c>
      <c r="V79" s="142">
        <v>5.6377159500819038</v>
      </c>
      <c r="W79" s="142">
        <v>0.17006501244364036</v>
      </c>
      <c r="X79" s="142">
        <v>3.7989150294322558</v>
      </c>
      <c r="Y79" s="142">
        <v>0.76346292507143776</v>
      </c>
      <c r="Z79" s="144">
        <f t="shared" si="22"/>
        <v>6.36935575874202</v>
      </c>
      <c r="AA79" s="145">
        <f t="shared" si="23"/>
        <v>0.95540336381130297</v>
      </c>
      <c r="AB79" s="141">
        <v>202.07250227193882</v>
      </c>
      <c r="AC79" s="143">
        <v>0.72237077485366008</v>
      </c>
      <c r="AD79" s="141">
        <v>279.73515721600899</v>
      </c>
      <c r="AE79" s="141">
        <v>22.781575760384293</v>
      </c>
      <c r="AF79" s="146"/>
    </row>
    <row r="80" spans="1:32">
      <c r="A80" s="135"/>
      <c r="B80" s="136"/>
      <c r="C80" s="136"/>
      <c r="D80" s="136"/>
      <c r="E80" s="136"/>
      <c r="F80" s="137"/>
      <c r="G80" s="138"/>
      <c r="H80" s="139"/>
      <c r="I80" s="139"/>
      <c r="J80" s="140"/>
      <c r="K80" s="140"/>
      <c r="L80" s="140"/>
      <c r="M80" s="140"/>
      <c r="N80" s="140"/>
      <c r="O80" s="140"/>
      <c r="P80" s="141"/>
      <c r="Q80" s="142"/>
      <c r="R80" s="143"/>
      <c r="S80" s="139"/>
      <c r="T80" s="142"/>
      <c r="U80" s="142"/>
      <c r="V80" s="142"/>
      <c r="W80" s="142"/>
      <c r="X80" s="142"/>
      <c r="Y80" s="142"/>
      <c r="Z80" s="144"/>
      <c r="AA80" s="145"/>
      <c r="AB80" s="141"/>
      <c r="AC80" s="143"/>
      <c r="AD80" s="141"/>
      <c r="AE80" s="141"/>
      <c r="AF80" s="146"/>
    </row>
    <row r="81" spans="1:32">
      <c r="A81" s="132" t="s">
        <v>644</v>
      </c>
      <c r="B81" s="149"/>
      <c r="C81" s="149"/>
      <c r="D81" s="149"/>
      <c r="E81" s="149"/>
      <c r="F81" s="133"/>
      <c r="G81" s="134"/>
      <c r="H81" s="150"/>
      <c r="I81" s="150"/>
      <c r="J81" s="151"/>
      <c r="K81" s="151"/>
      <c r="L81" s="151"/>
      <c r="M81" s="151"/>
      <c r="N81" s="151"/>
      <c r="O81" s="151"/>
      <c r="P81" s="149"/>
      <c r="Q81" s="152"/>
      <c r="R81" s="150"/>
      <c r="S81" s="150"/>
      <c r="T81" s="152"/>
      <c r="U81" s="152"/>
      <c r="V81" s="152"/>
      <c r="W81" s="144"/>
      <c r="X81" s="144"/>
      <c r="Y81" s="144"/>
      <c r="Z81" s="153"/>
      <c r="AA81" s="144"/>
      <c r="AB81" s="154"/>
      <c r="AC81" s="147"/>
      <c r="AD81" s="149"/>
      <c r="AE81" s="149"/>
      <c r="AF81" s="146"/>
    </row>
    <row r="82" spans="1:32">
      <c r="A82" s="135" t="s">
        <v>2</v>
      </c>
      <c r="B82" s="136">
        <v>234.6</v>
      </c>
      <c r="C82" s="136">
        <v>130.19999999999999</v>
      </c>
      <c r="D82" s="136">
        <v>230.5</v>
      </c>
      <c r="E82" s="136">
        <v>98.9</v>
      </c>
      <c r="F82" s="137" t="s">
        <v>625</v>
      </c>
      <c r="G82" s="138">
        <v>1</v>
      </c>
      <c r="H82" s="139">
        <v>99.134604214800007</v>
      </c>
      <c r="I82" s="139">
        <v>0.24092118036000004</v>
      </c>
      <c r="J82" s="140">
        <v>0.108</v>
      </c>
      <c r="K82" s="140">
        <v>8.0000000000000002E-3</v>
      </c>
      <c r="L82" s="140">
        <v>3.7999999999999999E-2</v>
      </c>
      <c r="M82" s="140">
        <v>2.7000000000000001E-3</v>
      </c>
      <c r="N82" s="140">
        <v>0.115</v>
      </c>
      <c r="O82" s="140">
        <v>1.06E-2</v>
      </c>
      <c r="P82" s="141">
        <v>69.053781584582453</v>
      </c>
      <c r="Q82" s="142">
        <v>6.3423237072178997</v>
      </c>
      <c r="R82" s="143">
        <v>15.630255389564345</v>
      </c>
      <c r="S82" s="139">
        <v>4.7372750055914507E-2</v>
      </c>
      <c r="T82" s="142">
        <v>17.072340361586306</v>
      </c>
      <c r="U82" s="142">
        <v>0.63078372402086669</v>
      </c>
      <c r="V82" s="142">
        <v>6.0224512491305777</v>
      </c>
      <c r="W82" s="142">
        <v>0.21598676800044084</v>
      </c>
      <c r="X82" s="142">
        <v>18.119610114157325</v>
      </c>
      <c r="Y82" s="142">
        <v>0.83312915946960364</v>
      </c>
      <c r="Z82" s="144">
        <f>T82+(0.238*V82)+(0.0012*X82)</f>
        <v>18.527427291016373</v>
      </c>
      <c r="AA82" s="145">
        <f>Z82*0.15</f>
        <v>2.7791140936524559</v>
      </c>
      <c r="AB82" s="141">
        <v>153.53551598284463</v>
      </c>
      <c r="AC82" s="143">
        <v>0.77479264603760145</v>
      </c>
      <c r="AD82" s="141">
        <v>198.16336250485449</v>
      </c>
      <c r="AE82" s="141">
        <v>10.105159215237194</v>
      </c>
      <c r="AF82" s="146"/>
    </row>
    <row r="83" spans="1:32">
      <c r="A83" s="135" t="s">
        <v>4</v>
      </c>
      <c r="B83" s="136">
        <v>205</v>
      </c>
      <c r="C83" s="136">
        <v>92.5</v>
      </c>
      <c r="D83" s="136">
        <v>198.4</v>
      </c>
      <c r="E83" s="136">
        <v>73.900000000000006</v>
      </c>
      <c r="F83" s="137" t="s">
        <v>625</v>
      </c>
      <c r="G83" s="138">
        <v>2</v>
      </c>
      <c r="H83" s="139">
        <v>27.973625941800002</v>
      </c>
      <c r="I83" s="139">
        <v>0.11599908684</v>
      </c>
      <c r="J83" s="140">
        <v>2.7E-2</v>
      </c>
      <c r="K83" s="140">
        <v>3.3999999999999998E-3</v>
      </c>
      <c r="L83" s="140">
        <v>0.01</v>
      </c>
      <c r="M83" s="140">
        <v>1.2999999999999999E-3</v>
      </c>
      <c r="N83" s="140">
        <v>3.2000000000000001E-2</v>
      </c>
      <c r="O83" s="140">
        <v>5.8999999999999999E-3</v>
      </c>
      <c r="P83" s="141">
        <v>51.873479318734795</v>
      </c>
      <c r="Q83" s="142">
        <v>2.9019800613441999</v>
      </c>
      <c r="R83" s="143">
        <v>9.6440842915704934</v>
      </c>
      <c r="S83" s="139">
        <v>5.4405282319374297E-2</v>
      </c>
      <c r="T83" s="142">
        <v>9.3213352713546573</v>
      </c>
      <c r="U83" s="142">
        <v>0.58372279901813284</v>
      </c>
      <c r="V83" s="142">
        <v>3.5260808295894255</v>
      </c>
      <c r="W83" s="142">
        <v>0.22987397642164575</v>
      </c>
      <c r="X83" s="142">
        <v>10.894379404719176</v>
      </c>
      <c r="Y83" s="142">
        <v>1.0126771300873458</v>
      </c>
      <c r="Z83" s="144">
        <f t="shared" ref="Z83:Z86" si="24">T83+(0.238*V83)+(0.0012*X83)</f>
        <v>10.173615764082603</v>
      </c>
      <c r="AA83" s="145">
        <f t="shared" ref="AA83:AA86" si="25">Z83*0.15</f>
        <v>1.5260423646123904</v>
      </c>
      <c r="AB83" s="141">
        <v>172.14106053849207</v>
      </c>
      <c r="AC83" s="143">
        <v>0.68912435640619063</v>
      </c>
      <c r="AD83" s="141">
        <v>249.79680218562316</v>
      </c>
      <c r="AE83" s="141">
        <v>19.104602467883467</v>
      </c>
      <c r="AF83" s="146"/>
    </row>
    <row r="84" spans="1:32">
      <c r="A84" s="135" t="s">
        <v>3</v>
      </c>
      <c r="B84" s="136">
        <v>166.9</v>
      </c>
      <c r="C84" s="136">
        <v>103.3</v>
      </c>
      <c r="D84" s="136">
        <v>163.30000000000001</v>
      </c>
      <c r="E84" s="136">
        <v>105.5</v>
      </c>
      <c r="F84" s="137" t="s">
        <v>625</v>
      </c>
      <c r="G84" s="138">
        <v>1</v>
      </c>
      <c r="H84" s="139">
        <v>104.08687292220002</v>
      </c>
      <c r="I84" s="139">
        <v>0.18738314028</v>
      </c>
      <c r="J84" s="140">
        <v>0.109</v>
      </c>
      <c r="K84" s="140">
        <v>5.8999999999999999E-3</v>
      </c>
      <c r="L84" s="140">
        <v>0.06</v>
      </c>
      <c r="M84" s="140">
        <v>3.5000000000000001E-3</v>
      </c>
      <c r="N84" s="140">
        <v>3.4000000000000002E-2</v>
      </c>
      <c r="O84" s="140">
        <v>8.0000000000000002E-3</v>
      </c>
      <c r="P84" s="141">
        <v>59.645230488361477</v>
      </c>
      <c r="Q84" s="142">
        <v>3.7401579568516166</v>
      </c>
      <c r="R84" s="143">
        <v>27.831045780411173</v>
      </c>
      <c r="S84" s="139">
        <v>5.6200116259630034E-2</v>
      </c>
      <c r="T84" s="142">
        <v>29.143099212347366</v>
      </c>
      <c r="U84" s="142">
        <v>0.7858204116766252</v>
      </c>
      <c r="V84" s="142">
        <v>16.100591208326094</v>
      </c>
      <c r="W84" s="142">
        <v>0.47018292246935589</v>
      </c>
      <c r="X84" s="142">
        <v>9.0257590712426925</v>
      </c>
      <c r="Y84" s="142">
        <v>1.0683810300777465</v>
      </c>
      <c r="Z84" s="144">
        <f t="shared" si="24"/>
        <v>32.985870830814463</v>
      </c>
      <c r="AA84" s="145">
        <f t="shared" si="25"/>
        <v>4.9478806246221696</v>
      </c>
      <c r="AB84" s="141">
        <v>154.36681456287445</v>
      </c>
      <c r="AC84" s="143">
        <v>0.74531625519276401</v>
      </c>
      <c r="AD84" s="141">
        <v>207.11585650704743</v>
      </c>
      <c r="AE84" s="141">
        <v>7.1965716176623307</v>
      </c>
      <c r="AF84" s="146"/>
    </row>
    <row r="85" spans="1:32">
      <c r="A85" s="135" t="s">
        <v>1</v>
      </c>
      <c r="B85" s="136">
        <v>142</v>
      </c>
      <c r="C85" s="136">
        <v>102</v>
      </c>
      <c r="D85" s="136">
        <v>141.80000000000001</v>
      </c>
      <c r="E85" s="136">
        <v>102.5</v>
      </c>
      <c r="F85" s="137" t="s">
        <v>625</v>
      </c>
      <c r="G85" s="138">
        <v>1</v>
      </c>
      <c r="H85" s="139">
        <v>99.313064348400005</v>
      </c>
      <c r="I85" s="139">
        <v>0.23645967701999998</v>
      </c>
      <c r="J85" s="140">
        <v>7.6999999999999999E-2</v>
      </c>
      <c r="K85" s="140">
        <v>3.8E-3</v>
      </c>
      <c r="L85" s="140">
        <v>7.9000000000000001E-2</v>
      </c>
      <c r="M85" s="140">
        <v>2.5000000000000001E-3</v>
      </c>
      <c r="N85" s="140">
        <v>2.5000000000000001E-2</v>
      </c>
      <c r="O85" s="140">
        <v>4.1000000000000003E-3</v>
      </c>
      <c r="P85" s="141">
        <v>56.386407766990288</v>
      </c>
      <c r="Q85" s="142">
        <v>3.0835493417173403</v>
      </c>
      <c r="R85" s="143">
        <v>32.201404185828622</v>
      </c>
      <c r="S85" s="139">
        <v>8.9503827764528213E-2</v>
      </c>
      <c r="T85" s="142">
        <v>25.117073264769346</v>
      </c>
      <c r="U85" s="142">
        <v>0.61780032328763723</v>
      </c>
      <c r="V85" s="142">
        <v>25.648470196514406</v>
      </c>
      <c r="W85" s="142">
        <v>0.40605739767785448</v>
      </c>
      <c r="X85" s="142">
        <v>8.0049562193296762</v>
      </c>
      <c r="Y85" s="142">
        <v>0.66474060841599392</v>
      </c>
      <c r="Z85" s="144">
        <f t="shared" si="24"/>
        <v>31.231015119002972</v>
      </c>
      <c r="AA85" s="145">
        <f t="shared" si="25"/>
        <v>4.6846522678504456</v>
      </c>
      <c r="AB85" s="141">
        <v>188.33632221010384</v>
      </c>
      <c r="AC85" s="143">
        <v>0.7321248749575876</v>
      </c>
      <c r="AD85" s="141">
        <v>257.24617295787726</v>
      </c>
      <c r="AE85" s="141">
        <v>7.3167998840137143</v>
      </c>
      <c r="AF85" s="146"/>
    </row>
    <row r="86" spans="1:32">
      <c r="A86" s="135" t="s">
        <v>0</v>
      </c>
      <c r="B86" s="136">
        <v>204.5</v>
      </c>
      <c r="C86" s="136">
        <v>95.3</v>
      </c>
      <c r="D86" s="136">
        <v>203.6</v>
      </c>
      <c r="E86" s="136">
        <v>98.1</v>
      </c>
      <c r="F86" s="137" t="s">
        <v>625</v>
      </c>
      <c r="G86" s="138">
        <v>0</v>
      </c>
      <c r="H86" s="139">
        <v>136.4327721372</v>
      </c>
      <c r="I86" s="139">
        <v>0.28107471041999998</v>
      </c>
      <c r="J86" s="140">
        <v>0.183</v>
      </c>
      <c r="K86" s="140">
        <v>1.5100000000000001E-2</v>
      </c>
      <c r="L86" s="140">
        <v>1.9E-2</v>
      </c>
      <c r="M86" s="140">
        <v>2.0999999999999999E-3</v>
      </c>
      <c r="N86" s="140">
        <v>7.6999999999999999E-2</v>
      </c>
      <c r="O86" s="140">
        <v>8.9999999999999993E-3</v>
      </c>
      <c r="P86" s="141">
        <v>58.656762902906863</v>
      </c>
      <c r="Q86" s="142">
        <v>3.9658055907963563</v>
      </c>
      <c r="R86" s="143">
        <v>34.397329989056253</v>
      </c>
      <c r="S86" s="139">
        <v>7.4803679809734652E-2</v>
      </c>
      <c r="T86" s="142">
        <v>46.202840333944245</v>
      </c>
      <c r="U86" s="142">
        <v>1.8978210417805199</v>
      </c>
      <c r="V86" s="142">
        <v>4.7455113188751072</v>
      </c>
      <c r="W86" s="142">
        <v>0.25906784466060712</v>
      </c>
      <c r="X86" s="142">
        <v>19.444154451684724</v>
      </c>
      <c r="Y86" s="142">
        <v>1.1363193811089225</v>
      </c>
      <c r="Z86" s="144">
        <f t="shared" si="24"/>
        <v>47.355605013178547</v>
      </c>
      <c r="AA86" s="145">
        <f t="shared" si="25"/>
        <v>7.1033407519767815</v>
      </c>
      <c r="AB86" s="141">
        <v>132.87892082791316</v>
      </c>
      <c r="AC86" s="143">
        <v>0.73926738460012065</v>
      </c>
      <c r="AD86" s="141">
        <v>179.74405958649061</v>
      </c>
      <c r="AE86" s="141">
        <v>10.300509121973073</v>
      </c>
      <c r="AF86" s="146"/>
    </row>
    <row r="87" spans="1:32">
      <c r="A87" s="132" t="s">
        <v>645</v>
      </c>
      <c r="B87" s="149"/>
      <c r="C87" s="149"/>
      <c r="D87" s="149"/>
      <c r="E87" s="149"/>
      <c r="F87" s="133"/>
      <c r="G87" s="133"/>
      <c r="H87" s="150"/>
      <c r="I87" s="150"/>
      <c r="J87" s="151"/>
      <c r="K87" s="151"/>
      <c r="L87" s="151"/>
      <c r="M87" s="151"/>
      <c r="N87" s="151"/>
      <c r="O87" s="151"/>
      <c r="P87" s="149"/>
      <c r="Q87" s="152"/>
      <c r="R87" s="150"/>
      <c r="S87" s="150"/>
      <c r="T87" s="152"/>
      <c r="U87" s="152"/>
      <c r="V87" s="152"/>
      <c r="W87" s="144"/>
      <c r="X87" s="144"/>
      <c r="Y87" s="144"/>
      <c r="Z87" s="153"/>
      <c r="AA87" s="144"/>
      <c r="AB87" s="154"/>
      <c r="AC87" s="147"/>
      <c r="AD87" s="149"/>
      <c r="AE87" s="149"/>
      <c r="AF87" s="146"/>
    </row>
    <row r="88" spans="1:32">
      <c r="A88" s="135" t="s">
        <v>2</v>
      </c>
      <c r="B88" s="136">
        <v>359.3</v>
      </c>
      <c r="C88" s="136">
        <v>109.5</v>
      </c>
      <c r="D88" s="136">
        <v>355.4</v>
      </c>
      <c r="E88" s="136">
        <v>79.099999999999994</v>
      </c>
      <c r="F88" s="137" t="s">
        <v>625</v>
      </c>
      <c r="G88" s="138">
        <v>2</v>
      </c>
      <c r="H88" s="139">
        <v>74.551720811400003</v>
      </c>
      <c r="I88" s="139">
        <v>0.15169111356000001</v>
      </c>
      <c r="J88" s="140">
        <v>6.9000000000000006E-2</v>
      </c>
      <c r="K88" s="140">
        <v>4.7000000000000002E-3</v>
      </c>
      <c r="L88" s="140">
        <v>3.6999999999999998E-2</v>
      </c>
      <c r="M88" s="140">
        <v>2.7000000000000001E-3</v>
      </c>
      <c r="N88" s="140">
        <v>0.112</v>
      </c>
      <c r="O88" s="140">
        <v>1.26E-2</v>
      </c>
      <c r="P88" s="141">
        <v>62.520586788042813</v>
      </c>
      <c r="Q88" s="142">
        <v>6.6047904803999682</v>
      </c>
      <c r="R88" s="143">
        <v>11.289740050107556</v>
      </c>
      <c r="S88" s="139">
        <v>3.0099858925689515E-2</v>
      </c>
      <c r="T88" s="142">
        <v>10.400643597368548</v>
      </c>
      <c r="U88" s="142">
        <v>0.35583891673148021</v>
      </c>
      <c r="V88" s="142">
        <v>5.5552414700699417</v>
      </c>
      <c r="W88" s="142">
        <v>0.20730758116940179</v>
      </c>
      <c r="X88" s="142">
        <v>16.998847182292845</v>
      </c>
      <c r="Y88" s="142">
        <v>0.95647481655100108</v>
      </c>
      <c r="Z88" s="144">
        <f>T88+(0.238*V88)+(0.0012*X88)</f>
        <v>11.743189683863944</v>
      </c>
      <c r="AA88" s="145">
        <f>Z88*0.15</f>
        <v>1.7614784525795917</v>
      </c>
      <c r="AB88" s="141">
        <v>174.16968723492255</v>
      </c>
      <c r="AC88" s="143">
        <v>0.73503689872810274</v>
      </c>
      <c r="AD88" s="141">
        <v>236.95366523272949</v>
      </c>
      <c r="AE88" s="141">
        <v>10.237966376687805</v>
      </c>
      <c r="AF88" s="146"/>
    </row>
    <row r="89" spans="1:32">
      <c r="A89" s="135" t="s">
        <v>4</v>
      </c>
      <c r="B89" s="136">
        <v>189.7</v>
      </c>
      <c r="C89" s="136">
        <v>95.3</v>
      </c>
      <c r="D89" s="136">
        <v>183.3</v>
      </c>
      <c r="E89" s="136">
        <v>69.8</v>
      </c>
      <c r="F89" s="137" t="s">
        <v>625</v>
      </c>
      <c r="G89" s="138">
        <v>2</v>
      </c>
      <c r="H89" s="139">
        <v>23.467507568400002</v>
      </c>
      <c r="I89" s="139">
        <v>8.0307060119999996E-2</v>
      </c>
      <c r="J89" s="140">
        <v>2.1999999999999999E-2</v>
      </c>
      <c r="K89" s="140">
        <v>2.8E-3</v>
      </c>
      <c r="L89" s="140">
        <v>3.0000000000000001E-3</v>
      </c>
      <c r="M89" s="140">
        <v>1E-3</v>
      </c>
      <c r="N89" s="140">
        <v>1.9E-2</v>
      </c>
      <c r="O89" s="140">
        <v>5.5999999999999999E-3</v>
      </c>
      <c r="P89" s="141">
        <v>50.848798571273946</v>
      </c>
      <c r="Q89" s="142">
        <v>2.6415258481486887</v>
      </c>
      <c r="R89" s="143">
        <v>8.8917159469155589</v>
      </c>
      <c r="S89" s="139">
        <v>4.49166685596495E-2</v>
      </c>
      <c r="T89" s="142">
        <v>8.3023252068157536</v>
      </c>
      <c r="U89" s="142">
        <v>0.52506525023921768</v>
      </c>
      <c r="V89" s="142">
        <v>1.1627254101977018</v>
      </c>
      <c r="W89" s="142">
        <v>0.18215127767259509</v>
      </c>
      <c r="X89" s="142">
        <v>7.2929178474094707</v>
      </c>
      <c r="Y89" s="142">
        <v>1.0571890118169454</v>
      </c>
      <c r="Z89" s="144">
        <f t="shared" ref="Z89:Z92" si="26">T89+(0.238*V89)+(0.0012*X89)</f>
        <v>8.5878053558596985</v>
      </c>
      <c r="AA89" s="145">
        <f t="shared" ref="AA89:AA96" si="27">Z89*0.15</f>
        <v>1.2881708033789547</v>
      </c>
      <c r="AB89" s="141">
        <v>187.90766983174566</v>
      </c>
      <c r="AC89" s="143">
        <v>0.68590164150184429</v>
      </c>
      <c r="AD89" s="141">
        <v>273.9571659579421</v>
      </c>
      <c r="AE89" s="141">
        <v>22.22675030233879</v>
      </c>
      <c r="AF89" s="146"/>
    </row>
    <row r="90" spans="1:32">
      <c r="A90" s="135" t="s">
        <v>3</v>
      </c>
      <c r="B90" s="136">
        <v>159.80000000000001</v>
      </c>
      <c r="C90" s="136">
        <v>105.8</v>
      </c>
      <c r="D90" s="136">
        <v>158.19999999999999</v>
      </c>
      <c r="E90" s="136">
        <v>83.6</v>
      </c>
      <c r="F90" s="137" t="s">
        <v>625</v>
      </c>
      <c r="G90" s="138">
        <v>2</v>
      </c>
      <c r="H90" s="139">
        <v>29.668997211000001</v>
      </c>
      <c r="I90" s="139">
        <v>0.12492209352</v>
      </c>
      <c r="J90" s="140">
        <v>2.9000000000000001E-2</v>
      </c>
      <c r="K90" s="140">
        <v>3.8999999999999998E-3</v>
      </c>
      <c r="L90" s="140">
        <v>0.01</v>
      </c>
      <c r="M90" s="140">
        <v>1.2999999999999999E-3</v>
      </c>
      <c r="N90" s="140">
        <v>3.4000000000000002E-2</v>
      </c>
      <c r="O90" s="140">
        <v>6.7999999999999996E-3</v>
      </c>
      <c r="P90" s="141">
        <v>54.7902244750181</v>
      </c>
      <c r="Q90" s="142">
        <v>2.963732180123051</v>
      </c>
      <c r="R90" s="143">
        <v>10.005269768140307</v>
      </c>
      <c r="S90" s="139">
        <v>6.73602914783894E-2</v>
      </c>
      <c r="T90" s="142">
        <v>9.9338983968310455</v>
      </c>
      <c r="U90" s="142">
        <v>0.65128678331358036</v>
      </c>
      <c r="V90" s="142">
        <v>3.4579574354881961</v>
      </c>
      <c r="W90" s="142">
        <v>0.21812801670988283</v>
      </c>
      <c r="X90" s="142">
        <v>11.56038348815143</v>
      </c>
      <c r="Y90" s="142">
        <v>1.1496460434292888</v>
      </c>
      <c r="Z90" s="144">
        <f t="shared" si="26"/>
        <v>10.770764726663018</v>
      </c>
      <c r="AA90" s="145">
        <f t="shared" si="27"/>
        <v>1.6156147089994526</v>
      </c>
      <c r="AB90" s="141">
        <v>168.72084252657407</v>
      </c>
      <c r="AC90" s="143">
        <v>0.70660450374821648</v>
      </c>
      <c r="AD90" s="141">
        <v>238.77691357978404</v>
      </c>
      <c r="AE90" s="141">
        <v>19.706604903281807</v>
      </c>
      <c r="AF90" s="146"/>
    </row>
    <row r="91" spans="1:32">
      <c r="A91" s="135" t="s">
        <v>1</v>
      </c>
      <c r="B91" s="136">
        <v>139.69999999999999</v>
      </c>
      <c r="C91" s="136">
        <v>98.6</v>
      </c>
      <c r="D91" s="136">
        <v>146.80000000000001</v>
      </c>
      <c r="E91" s="136">
        <v>80</v>
      </c>
      <c r="F91" s="137" t="s">
        <v>625</v>
      </c>
      <c r="G91" s="138">
        <v>1</v>
      </c>
      <c r="H91" s="139">
        <v>16.5967924248</v>
      </c>
      <c r="I91" s="139">
        <v>8.0307060119999996E-2</v>
      </c>
      <c r="J91" s="140">
        <v>2.1000000000000001E-2</v>
      </c>
      <c r="K91" s="140">
        <v>2.5999999999999999E-3</v>
      </c>
      <c r="L91" s="140">
        <v>0.01</v>
      </c>
      <c r="M91" s="140">
        <v>1.1999999999999999E-3</v>
      </c>
      <c r="N91" s="140">
        <v>7.5999999999999998E-2</v>
      </c>
      <c r="O91" s="140">
        <v>8.9999999999999993E-3</v>
      </c>
      <c r="P91" s="141">
        <v>50.753498779495523</v>
      </c>
      <c r="Q91" s="142">
        <v>2.3743209350609442</v>
      </c>
      <c r="R91" s="143">
        <v>6.9869146402612516</v>
      </c>
      <c r="S91" s="139">
        <v>4.2268490643356832E-2</v>
      </c>
      <c r="T91" s="142">
        <v>8.708222306843977</v>
      </c>
      <c r="U91" s="142">
        <v>0.5577890897815786</v>
      </c>
      <c r="V91" s="142">
        <v>4.1495540519288578</v>
      </c>
      <c r="W91" s="142">
        <v>0.25641966264001675</v>
      </c>
      <c r="X91" s="142">
        <v>32.052745442316812</v>
      </c>
      <c r="Y91" s="142">
        <v>1.8960032566644627</v>
      </c>
      <c r="Z91" s="144">
        <f t="shared" si="26"/>
        <v>9.7342794657338256</v>
      </c>
      <c r="AA91" s="145">
        <f t="shared" si="27"/>
        <v>1.4601419198600738</v>
      </c>
      <c r="AB91" s="141">
        <v>128.88007958557915</v>
      </c>
      <c r="AC91" s="143">
        <v>0.70573750537842761</v>
      </c>
      <c r="AD91" s="141">
        <v>182.61758600525505</v>
      </c>
      <c r="AE91" s="141">
        <v>14.097725261400853</v>
      </c>
      <c r="AF91" s="146"/>
    </row>
    <row r="92" spans="1:32">
      <c r="A92" s="135" t="s">
        <v>0</v>
      </c>
      <c r="B92" s="136">
        <v>206.6</v>
      </c>
      <c r="C92" s="136">
        <v>154</v>
      </c>
      <c r="D92" s="136">
        <v>213.9</v>
      </c>
      <c r="E92" s="136">
        <v>78</v>
      </c>
      <c r="F92" s="137" t="s">
        <v>625</v>
      </c>
      <c r="G92" s="138">
        <v>0</v>
      </c>
      <c r="H92" s="139">
        <v>74.953256112000005</v>
      </c>
      <c r="I92" s="139">
        <v>0.13384510020000001</v>
      </c>
      <c r="J92" s="140">
        <v>0.11899999999999999</v>
      </c>
      <c r="K92" s="140">
        <v>1.04E-2</v>
      </c>
      <c r="L92" s="140">
        <v>1.7000000000000001E-2</v>
      </c>
      <c r="M92" s="140">
        <v>1.6000000000000001E-3</v>
      </c>
      <c r="N92" s="140">
        <v>6.2E-2</v>
      </c>
      <c r="O92" s="140">
        <v>5.7000000000000002E-3</v>
      </c>
      <c r="P92" s="141">
        <v>67.929705215419489</v>
      </c>
      <c r="Q92" s="142">
        <v>5.8802238106949885</v>
      </c>
      <c r="R92" s="143">
        <v>12.747864691175019</v>
      </c>
      <c r="S92" s="139">
        <v>4.4241137084006961E-2</v>
      </c>
      <c r="T92" s="142">
        <v>20.261920885398716</v>
      </c>
      <c r="U92" s="142">
        <v>0.88376361213298027</v>
      </c>
      <c r="V92" s="142">
        <v>2.906834497841936</v>
      </c>
      <c r="W92" s="142">
        <v>0.1341710325580566</v>
      </c>
      <c r="X92" s="142">
        <v>10.606117532305159</v>
      </c>
      <c r="Y92" s="142">
        <v>0.4863474017703267</v>
      </c>
      <c r="Z92" s="144">
        <f t="shared" si="26"/>
        <v>20.966474836923862</v>
      </c>
      <c r="AA92" s="145">
        <f t="shared" si="27"/>
        <v>3.1449712255385793</v>
      </c>
      <c r="AB92" s="141">
        <v>111.38415232143642</v>
      </c>
      <c r="AC92" s="143">
        <v>0.77491527882458866</v>
      </c>
      <c r="AD92" s="141">
        <v>143.73719987865869</v>
      </c>
      <c r="AE92" s="141">
        <v>9.0756550129503069</v>
      </c>
      <c r="AF92" s="146"/>
    </row>
    <row r="93" spans="1:32">
      <c r="A93" s="148" t="s">
        <v>646</v>
      </c>
      <c r="B93" s="149"/>
      <c r="C93" s="149"/>
      <c r="D93" s="149"/>
      <c r="E93" s="149"/>
      <c r="F93" s="133"/>
      <c r="G93" s="133"/>
      <c r="H93" s="150"/>
      <c r="I93" s="150"/>
      <c r="J93" s="151"/>
      <c r="K93" s="151"/>
      <c r="L93" s="151"/>
      <c r="M93" s="151"/>
      <c r="N93" s="151"/>
      <c r="O93" s="151"/>
      <c r="P93" s="149"/>
      <c r="Q93" s="152"/>
      <c r="R93" s="150"/>
      <c r="S93" s="150"/>
      <c r="T93" s="152"/>
      <c r="U93" s="152"/>
      <c r="V93" s="152"/>
      <c r="W93" s="144"/>
      <c r="X93" s="144"/>
      <c r="Y93" s="144"/>
      <c r="Z93" s="153"/>
      <c r="AA93" s="144"/>
      <c r="AB93" s="154"/>
      <c r="AC93" s="147"/>
      <c r="AD93" s="149"/>
      <c r="AE93" s="149"/>
      <c r="AF93" s="146"/>
    </row>
    <row r="94" spans="1:32">
      <c r="A94" s="135" t="s">
        <v>2</v>
      </c>
      <c r="B94" s="136">
        <v>249.6</v>
      </c>
      <c r="C94" s="136">
        <v>141.6</v>
      </c>
      <c r="D94" s="136">
        <v>247.5</v>
      </c>
      <c r="E94" s="136">
        <v>122.1</v>
      </c>
      <c r="F94" s="137" t="s">
        <v>625</v>
      </c>
      <c r="G94" s="138">
        <v>2</v>
      </c>
      <c r="H94" s="139">
        <v>100.38382515000001</v>
      </c>
      <c r="I94" s="139">
        <v>0.20522915363999999</v>
      </c>
      <c r="J94" s="140">
        <v>0.12</v>
      </c>
      <c r="K94" s="140">
        <v>5.7000000000000002E-3</v>
      </c>
      <c r="L94" s="140">
        <v>8.0000000000000002E-3</v>
      </c>
      <c r="M94" s="140">
        <v>1.6999999999999999E-3</v>
      </c>
      <c r="N94" s="140">
        <v>0.14499999999999999</v>
      </c>
      <c r="O94" s="140">
        <v>7.4999999999999997E-3</v>
      </c>
      <c r="P94" s="141">
        <v>78.226194437841684</v>
      </c>
      <c r="Q94" s="142">
        <v>8.9808182858004439</v>
      </c>
      <c r="R94" s="143">
        <v>11.179466868184237</v>
      </c>
      <c r="S94" s="139">
        <v>3.2831893769271779E-2</v>
      </c>
      <c r="T94" s="142">
        <v>13.335799440053707</v>
      </c>
      <c r="U94" s="142">
        <v>0.32008353191041161</v>
      </c>
      <c r="V94" s="142">
        <v>0.92063174022486038</v>
      </c>
      <c r="W94" s="142">
        <v>9.3526798543889178E-2</v>
      </c>
      <c r="X94" s="142">
        <v>16.150127558179957</v>
      </c>
      <c r="Y94" s="142">
        <v>0.41811114003585886</v>
      </c>
      <c r="Z94" s="144">
        <f>T94+(0.238*V94)+(0.0012*X94)</f>
        <v>13.574289947297039</v>
      </c>
      <c r="AA94" s="145">
        <f t="shared" si="27"/>
        <v>2.0361434920945558</v>
      </c>
      <c r="AB94" s="141">
        <v>149.60924826823697</v>
      </c>
      <c r="AC94" s="143">
        <v>0.79013101012452924</v>
      </c>
      <c r="AD94" s="141">
        <v>189.34739473730778</v>
      </c>
      <c r="AE94" s="141">
        <v>6.8047523730240043</v>
      </c>
      <c r="AF94" s="146"/>
    </row>
    <row r="95" spans="1:32">
      <c r="A95" s="135" t="s">
        <v>1</v>
      </c>
      <c r="B95" s="136">
        <v>170.3</v>
      </c>
      <c r="C95" s="136">
        <v>128.1</v>
      </c>
      <c r="D95" s="136">
        <v>178.2</v>
      </c>
      <c r="E95" s="136">
        <v>120.4</v>
      </c>
      <c r="F95" s="137" t="s">
        <v>625</v>
      </c>
      <c r="G95" s="138">
        <v>2</v>
      </c>
      <c r="H95" s="139">
        <v>42.161206563</v>
      </c>
      <c r="I95" s="139">
        <v>8.9230066800000007E-2</v>
      </c>
      <c r="J95" s="140">
        <v>5.6000000000000001E-2</v>
      </c>
      <c r="K95" s="140">
        <v>4.1000000000000003E-3</v>
      </c>
      <c r="L95" s="140">
        <v>6.0000000000000001E-3</v>
      </c>
      <c r="M95" s="140">
        <v>1.1000000000000001E-3</v>
      </c>
      <c r="N95" s="140">
        <v>0.104</v>
      </c>
      <c r="O95" s="140">
        <v>1.18E-2</v>
      </c>
      <c r="P95" s="141">
        <v>68.279364311068093</v>
      </c>
      <c r="Q95" s="142">
        <v>5.5912312525306174</v>
      </c>
      <c r="R95" s="143">
        <v>7.5383325757512951</v>
      </c>
      <c r="S95" s="139">
        <v>2.6291467638434117E-2</v>
      </c>
      <c r="T95" s="142">
        <v>9.9960720882309406</v>
      </c>
      <c r="U95" s="142">
        <v>0.36696923479829435</v>
      </c>
      <c r="V95" s="142">
        <v>1.1528816074609625</v>
      </c>
      <c r="W95" s="142">
        <v>9.4417103864241764E-2</v>
      </c>
      <c r="X95" s="142">
        <v>18.547587854743885</v>
      </c>
      <c r="Y95" s="142">
        <v>1.0591716876574011</v>
      </c>
      <c r="Z95" s="144">
        <f t="shared" ref="Z95:Z96" si="28">T95+(0.238*V95)+(0.0012*X95)</f>
        <v>10.292715016232343</v>
      </c>
      <c r="AA95" s="145">
        <f t="shared" si="27"/>
        <v>1.5439072524348514</v>
      </c>
      <c r="AB95" s="141">
        <v>132.70654672789846</v>
      </c>
      <c r="AC95" s="143">
        <v>0.76314460830821362</v>
      </c>
      <c r="AD95" s="141">
        <v>173.89436455836406</v>
      </c>
      <c r="AE95" s="141">
        <v>9.0797768600692983</v>
      </c>
      <c r="AF95" s="146"/>
    </row>
    <row r="96" spans="1:32">
      <c r="A96" s="135" t="s">
        <v>0</v>
      </c>
      <c r="B96" s="136">
        <v>192.4</v>
      </c>
      <c r="C96" s="136">
        <v>144.5</v>
      </c>
      <c r="D96" s="136">
        <v>205.2</v>
      </c>
      <c r="E96" s="136">
        <v>99.8</v>
      </c>
      <c r="F96" s="137" t="s">
        <v>625</v>
      </c>
      <c r="G96" s="138">
        <v>2</v>
      </c>
      <c r="H96" s="139">
        <v>91.996198870800001</v>
      </c>
      <c r="I96" s="139">
        <v>0.18292163694000002</v>
      </c>
      <c r="J96" s="140">
        <v>0.113</v>
      </c>
      <c r="K96" s="140">
        <v>7.1000000000000004E-3</v>
      </c>
      <c r="L96" s="140">
        <v>6.0000000000000001E-3</v>
      </c>
      <c r="M96" s="140">
        <v>1.5E-3</v>
      </c>
      <c r="N96" s="140">
        <v>0.13500000000000001</v>
      </c>
      <c r="O96" s="140">
        <v>1.4500000000000001E-2</v>
      </c>
      <c r="P96" s="141">
        <v>69.5383962915475</v>
      </c>
      <c r="Q96" s="142">
        <v>6.1651719823324873</v>
      </c>
      <c r="R96" s="143">
        <v>14.924408579907015</v>
      </c>
      <c r="S96" s="139">
        <v>5.2776751265638515E-2</v>
      </c>
      <c r="T96" s="142">
        <v>18.401721951740797</v>
      </c>
      <c r="U96" s="142">
        <v>0.57920897621533862</v>
      </c>
      <c r="V96" s="142">
        <v>0.99672836713986379</v>
      </c>
      <c r="W96" s="142">
        <v>0.12423868801918857</v>
      </c>
      <c r="X96" s="142">
        <v>21.931440067924637</v>
      </c>
      <c r="Y96" s="142">
        <v>1.1771610978141602</v>
      </c>
      <c r="Z96" s="144">
        <f t="shared" si="28"/>
        <v>18.665261031201592</v>
      </c>
      <c r="AA96" s="145">
        <f t="shared" si="27"/>
        <v>2.7997891546802385</v>
      </c>
      <c r="AB96" s="141">
        <v>145.31684849484643</v>
      </c>
      <c r="AC96" s="143">
        <v>0.7667800865069837</v>
      </c>
      <c r="AD96" s="141">
        <v>189.51567868282518</v>
      </c>
      <c r="AE96" s="141">
        <v>8.6855972837900879</v>
      </c>
      <c r="AF96" s="146"/>
    </row>
    <row r="97" spans="1:32">
      <c r="A97" s="135"/>
      <c r="B97" s="136"/>
      <c r="C97" s="136"/>
      <c r="D97" s="136"/>
      <c r="E97" s="136"/>
      <c r="F97" s="137"/>
      <c r="G97" s="134"/>
      <c r="H97" s="139"/>
      <c r="I97" s="139"/>
      <c r="J97" s="140"/>
      <c r="K97" s="140"/>
      <c r="L97" s="140"/>
      <c r="M97" s="140"/>
      <c r="N97" s="140"/>
      <c r="O97" s="140"/>
      <c r="P97" s="141"/>
      <c r="Q97" s="142"/>
      <c r="R97" s="143"/>
      <c r="S97" s="139"/>
      <c r="T97" s="142"/>
      <c r="U97" s="142"/>
      <c r="V97" s="142"/>
      <c r="W97" s="142"/>
      <c r="X97" s="142"/>
      <c r="Y97" s="142"/>
      <c r="Z97" s="142"/>
      <c r="AA97" s="145"/>
      <c r="AB97" s="141"/>
      <c r="AC97" s="143"/>
      <c r="AD97" s="141"/>
      <c r="AE97" s="141"/>
      <c r="AF97" s="146"/>
    </row>
    <row r="98" spans="1:32">
      <c r="A98" s="156" t="s">
        <v>9</v>
      </c>
      <c r="B98" s="136"/>
      <c r="C98" s="136"/>
      <c r="D98" s="136"/>
      <c r="E98" s="136"/>
      <c r="F98" s="137"/>
      <c r="G98" s="138"/>
      <c r="H98" s="139"/>
      <c r="I98" s="139"/>
      <c r="J98" s="140"/>
      <c r="K98" s="140"/>
      <c r="L98" s="140"/>
      <c r="M98" s="140"/>
      <c r="N98" s="140"/>
      <c r="O98" s="140"/>
      <c r="P98" s="141"/>
      <c r="Q98" s="142"/>
      <c r="R98" s="143"/>
      <c r="S98" s="139"/>
      <c r="T98" s="142"/>
      <c r="U98" s="142"/>
      <c r="V98" s="142"/>
      <c r="W98" s="142"/>
      <c r="X98" s="142"/>
      <c r="Y98" s="142"/>
      <c r="Z98" s="142"/>
      <c r="AA98" s="145"/>
      <c r="AB98" s="141"/>
      <c r="AC98" s="143"/>
      <c r="AD98" s="141"/>
      <c r="AE98" s="141"/>
      <c r="AF98" s="146"/>
    </row>
    <row r="99" spans="1:32">
      <c r="A99" s="148" t="s">
        <v>647</v>
      </c>
      <c r="B99" s="149"/>
      <c r="C99" s="149"/>
      <c r="D99" s="149"/>
      <c r="E99" s="149"/>
      <c r="F99" s="133"/>
      <c r="G99" s="138"/>
      <c r="H99" s="150"/>
      <c r="I99" s="150"/>
      <c r="J99" s="151"/>
      <c r="K99" s="151"/>
      <c r="L99" s="151"/>
      <c r="M99" s="151"/>
      <c r="N99" s="151"/>
      <c r="O99" s="151"/>
      <c r="P99" s="149"/>
      <c r="Q99" s="133"/>
      <c r="R99" s="150"/>
      <c r="S99" s="150"/>
      <c r="T99" s="133"/>
      <c r="U99" s="133"/>
      <c r="V99" s="133"/>
      <c r="W99" s="153"/>
      <c r="X99" s="153"/>
      <c r="Y99" s="153"/>
      <c r="Z99" s="153"/>
      <c r="AA99" s="144"/>
      <c r="AB99" s="153"/>
      <c r="AC99" s="153"/>
      <c r="AD99" s="133"/>
      <c r="AE99" s="133"/>
      <c r="AF99" s="146"/>
    </row>
    <row r="100" spans="1:32">
      <c r="A100" s="135" t="s">
        <v>2</v>
      </c>
      <c r="B100" s="136">
        <v>157.80000000000001</v>
      </c>
      <c r="C100" s="136">
        <v>49.3</v>
      </c>
      <c r="D100" s="136">
        <v>175.5</v>
      </c>
      <c r="E100" s="136">
        <v>62.5</v>
      </c>
      <c r="F100" s="137" t="s">
        <v>625</v>
      </c>
      <c r="G100" s="153">
        <v>0</v>
      </c>
      <c r="H100" s="139">
        <v>6.2461046760000007</v>
      </c>
      <c r="I100" s="139">
        <v>0.10707608015999999</v>
      </c>
      <c r="J100" s="140">
        <v>8.9999999999999993E-3</v>
      </c>
      <c r="K100" s="140">
        <v>1.1000000000000001E-3</v>
      </c>
      <c r="L100" s="140">
        <v>0</v>
      </c>
      <c r="M100" s="140">
        <v>2.0000000000000001E-4</v>
      </c>
      <c r="N100" s="140">
        <v>2E-3</v>
      </c>
      <c r="O100" s="140">
        <v>1.1000000000000001E-3</v>
      </c>
      <c r="P100" s="154">
        <v>33.936372160304813</v>
      </c>
      <c r="Q100" s="144">
        <v>1.2705956452606502</v>
      </c>
      <c r="R100" s="147">
        <v>4.9289253486395772</v>
      </c>
      <c r="S100" s="139">
        <v>9.4291478890165564E-2</v>
      </c>
      <c r="T100" s="144">
        <v>6.8245722713750849</v>
      </c>
      <c r="U100" s="144">
        <v>0.43833908857958298</v>
      </c>
      <c r="V100" s="144">
        <v>0</v>
      </c>
      <c r="W100" s="144">
        <v>0</v>
      </c>
      <c r="X100" s="144">
        <v>1.6722996081374342</v>
      </c>
      <c r="Y100" s="144">
        <v>0.42532430438395658</v>
      </c>
      <c r="Z100" s="144">
        <f>T100+(0.238*V100)+(0.0012*X100)</f>
        <v>6.82657903090485</v>
      </c>
      <c r="AA100" s="145">
        <f t="shared" ref="AA100:AA102" si="29">Z100*0.15</f>
        <v>1.0239868546357274</v>
      </c>
      <c r="AB100" s="154">
        <v>132.20042421349532</v>
      </c>
      <c r="AC100" s="147">
        <v>0.58792873845953519</v>
      </c>
      <c r="AD100" s="154">
        <v>218.14436171517951</v>
      </c>
      <c r="AE100" s="154">
        <v>16.604900909939325</v>
      </c>
      <c r="AF100" s="146"/>
    </row>
    <row r="101" spans="1:32">
      <c r="A101" s="135" t="s">
        <v>4</v>
      </c>
      <c r="B101" s="136">
        <v>106.9</v>
      </c>
      <c r="C101" s="136">
        <v>47.1</v>
      </c>
      <c r="D101" s="136">
        <v>105.9</v>
      </c>
      <c r="E101" s="136">
        <v>66.599999999999994</v>
      </c>
      <c r="F101" s="137" t="s">
        <v>625</v>
      </c>
      <c r="G101" s="153">
        <v>0</v>
      </c>
      <c r="H101" s="139">
        <v>5.5768791750000002</v>
      </c>
      <c r="I101" s="139">
        <v>8.4768563460000002E-2</v>
      </c>
      <c r="J101" s="140">
        <v>8.0000000000000002E-3</v>
      </c>
      <c r="K101" s="140">
        <v>5.9999999999999995E-4</v>
      </c>
      <c r="L101" s="140">
        <v>1E-3</v>
      </c>
      <c r="M101" s="140">
        <v>2.9999999999999997E-4</v>
      </c>
      <c r="N101" s="140">
        <v>2E-3</v>
      </c>
      <c r="O101" s="140">
        <v>1.1999999999999999E-3</v>
      </c>
      <c r="P101" s="154">
        <v>31.922834569618896</v>
      </c>
      <c r="Q101" s="144">
        <v>0.84913804838480333</v>
      </c>
      <c r="R101" s="147">
        <v>6.5589026423812218</v>
      </c>
      <c r="S101" s="139">
        <v>0.12019574221174448</v>
      </c>
      <c r="T101" s="144">
        <v>9.0294711626657218</v>
      </c>
      <c r="U101" s="144">
        <v>0.35467600450506309</v>
      </c>
      <c r="V101" s="144">
        <v>1.5392978070094403</v>
      </c>
      <c r="W101" s="144">
        <v>0.14884632563779382</v>
      </c>
      <c r="X101" s="144">
        <v>2.1343332497637721</v>
      </c>
      <c r="Y101" s="144">
        <v>0.73513830023617677</v>
      </c>
      <c r="Z101" s="144">
        <f t="shared" ref="Z101:Z102" si="30">T101+(0.238*V101)+(0.0012*X101)</f>
        <v>9.3983852406336847</v>
      </c>
      <c r="AA101" s="145">
        <f t="shared" si="29"/>
        <v>1.4097577860950528</v>
      </c>
      <c r="AB101" s="154">
        <v>127.90048059928787</v>
      </c>
      <c r="AC101" s="147">
        <v>0.58046217751899709</v>
      </c>
      <c r="AD101" s="154">
        <v>218.23675980305259</v>
      </c>
      <c r="AE101" s="154">
        <v>9.5983435881492554</v>
      </c>
      <c r="AF101" s="146"/>
    </row>
    <row r="102" spans="1:32">
      <c r="A102" s="165" t="s">
        <v>3</v>
      </c>
      <c r="B102" s="166">
        <v>135.6</v>
      </c>
      <c r="C102" s="166">
        <v>57.5</v>
      </c>
      <c r="D102" s="166">
        <v>135.4</v>
      </c>
      <c r="E102" s="166">
        <v>70.3</v>
      </c>
      <c r="F102" s="167" t="s">
        <v>625</v>
      </c>
      <c r="G102" s="158">
        <v>1</v>
      </c>
      <c r="H102" s="168">
        <v>7.7184007781999995</v>
      </c>
      <c r="I102" s="168">
        <v>8.4768563460000002E-2</v>
      </c>
      <c r="J102" s="169">
        <v>0.01</v>
      </c>
      <c r="K102" s="169">
        <v>8.0000000000000004E-4</v>
      </c>
      <c r="L102" s="169">
        <v>0</v>
      </c>
      <c r="M102" s="169">
        <v>2.0000000000000001E-4</v>
      </c>
      <c r="N102" s="169">
        <v>2E-3</v>
      </c>
      <c r="O102" s="169">
        <v>1.4E-3</v>
      </c>
      <c r="P102" s="170">
        <v>36.530186300372264</v>
      </c>
      <c r="Q102" s="171">
        <v>1.1431350360092147</v>
      </c>
      <c r="R102" s="172">
        <v>6.7387677745153214</v>
      </c>
      <c r="S102" s="168">
        <v>7.422823296070967E-2</v>
      </c>
      <c r="T102" s="171">
        <v>8.4011524954150048</v>
      </c>
      <c r="U102" s="171">
        <v>0.33488291455311053</v>
      </c>
      <c r="V102" s="171">
        <v>0.17833058724280421</v>
      </c>
      <c r="W102" s="171">
        <v>0.10881538691043598</v>
      </c>
      <c r="X102" s="171">
        <v>1.8587625544996309</v>
      </c>
      <c r="Y102" s="171">
        <v>0.6241256525738732</v>
      </c>
      <c r="Z102" s="171">
        <f t="shared" si="30"/>
        <v>8.4458256902441917</v>
      </c>
      <c r="AA102" s="173">
        <f t="shared" si="29"/>
        <v>1.2668738535366286</v>
      </c>
      <c r="AB102" s="170">
        <v>145.93374964123495</v>
      </c>
      <c r="AC102" s="172">
        <v>0.62896256956756202</v>
      </c>
      <c r="AD102" s="170">
        <v>229.97055518307096</v>
      </c>
      <c r="AE102" s="170">
        <v>11.345829613626464</v>
      </c>
      <c r="AF102" s="146"/>
    </row>
    <row r="103" spans="1:32">
      <c r="A103" s="133" t="s">
        <v>667</v>
      </c>
      <c r="B103" s="133"/>
      <c r="C103" s="133"/>
      <c r="D103" s="133"/>
      <c r="E103" s="133"/>
      <c r="F103" s="137"/>
      <c r="G103" s="133"/>
      <c r="H103" s="133"/>
      <c r="I103" s="133"/>
      <c r="J103" s="151"/>
      <c r="K103" s="151"/>
      <c r="L103" s="151"/>
      <c r="M103" s="151"/>
      <c r="N103" s="151"/>
      <c r="O103" s="151"/>
      <c r="P103" s="149"/>
      <c r="Q103" s="150"/>
      <c r="R103" s="150"/>
      <c r="S103" s="150"/>
      <c r="T103" s="133"/>
      <c r="U103" s="133"/>
      <c r="V103" s="133"/>
      <c r="W103" s="153"/>
      <c r="X103" s="153"/>
      <c r="Y103" s="153"/>
      <c r="Z103" s="153"/>
      <c r="AA103" s="153"/>
      <c r="AB103" s="154"/>
      <c r="AC103" s="147"/>
      <c r="AD103" s="149"/>
      <c r="AE103" s="133"/>
      <c r="AF103" s="134"/>
    </row>
    <row r="104" spans="1:32">
      <c r="A104" s="133" t="s">
        <v>648</v>
      </c>
      <c r="B104" s="133"/>
      <c r="C104" s="133"/>
      <c r="D104" s="133"/>
      <c r="E104" s="133"/>
      <c r="F104" s="133"/>
      <c r="G104" s="133"/>
      <c r="H104" s="133"/>
      <c r="I104" s="133"/>
      <c r="J104" s="151"/>
      <c r="K104" s="151"/>
      <c r="L104" s="151"/>
      <c r="M104" s="151"/>
      <c r="N104" s="151"/>
      <c r="O104" s="151"/>
      <c r="P104" s="149"/>
      <c r="Q104" s="150"/>
      <c r="R104" s="150"/>
      <c r="S104" s="150"/>
      <c r="T104" s="133"/>
      <c r="U104" s="133"/>
      <c r="V104" s="133"/>
      <c r="W104" s="153"/>
      <c r="X104" s="153"/>
      <c r="Y104" s="153"/>
      <c r="Z104" s="153"/>
      <c r="AA104" s="153"/>
      <c r="AB104" s="154"/>
      <c r="AC104" s="147"/>
      <c r="AD104" s="149"/>
      <c r="AE104" s="133"/>
      <c r="AF104" s="134"/>
    </row>
    <row r="105" spans="1:32">
      <c r="A105" s="133" t="s">
        <v>649</v>
      </c>
      <c r="B105" s="133"/>
      <c r="C105" s="133"/>
      <c r="D105" s="133"/>
      <c r="E105" s="133"/>
      <c r="F105" s="133"/>
      <c r="G105" s="133"/>
      <c r="H105" s="133"/>
      <c r="I105" s="133"/>
      <c r="J105" s="151"/>
      <c r="K105" s="151"/>
      <c r="L105" s="151"/>
      <c r="M105" s="151"/>
      <c r="N105" s="151"/>
      <c r="O105" s="151"/>
      <c r="P105" s="149"/>
      <c r="Q105" s="150"/>
      <c r="R105" s="150"/>
      <c r="S105" s="150"/>
      <c r="T105" s="133"/>
      <c r="U105" s="133"/>
      <c r="V105" s="133"/>
      <c r="W105" s="153"/>
      <c r="X105" s="153"/>
      <c r="Y105" s="153"/>
      <c r="Z105" s="153"/>
      <c r="AA105" s="153"/>
      <c r="AB105" s="154"/>
      <c r="AC105" s="147"/>
      <c r="AD105" s="149"/>
      <c r="AE105" s="133"/>
      <c r="AF105" s="134"/>
    </row>
    <row r="106" spans="1:32">
      <c r="A106" s="133" t="s">
        <v>650</v>
      </c>
      <c r="B106" s="133"/>
      <c r="C106" s="133"/>
      <c r="D106" s="133"/>
      <c r="E106" s="133"/>
      <c r="F106" s="133"/>
      <c r="G106" s="133"/>
      <c r="H106" s="133"/>
      <c r="I106" s="133"/>
      <c r="J106" s="151"/>
      <c r="K106" s="151"/>
      <c r="L106" s="151"/>
      <c r="M106" s="151"/>
      <c r="N106" s="151"/>
      <c r="O106" s="151"/>
      <c r="P106" s="149"/>
      <c r="Q106" s="150"/>
      <c r="R106" s="150"/>
      <c r="S106" s="150"/>
      <c r="T106" s="133"/>
      <c r="U106" s="133"/>
      <c r="V106" s="133"/>
      <c r="W106" s="153"/>
      <c r="X106" s="153"/>
      <c r="Y106" s="153"/>
      <c r="Z106" s="153"/>
      <c r="AA106" s="153"/>
      <c r="AB106" s="154"/>
      <c r="AC106" s="147"/>
      <c r="AD106" s="149"/>
      <c r="AE106" s="133"/>
      <c r="AF106" s="134"/>
    </row>
    <row r="107" spans="1:32">
      <c r="A107" s="133" t="s">
        <v>651</v>
      </c>
      <c r="B107" s="133"/>
      <c r="C107" s="133"/>
      <c r="D107" s="133"/>
      <c r="E107" s="133"/>
      <c r="F107" s="133"/>
      <c r="G107" s="133"/>
      <c r="H107" s="133"/>
      <c r="I107" s="133"/>
      <c r="J107" s="151"/>
      <c r="K107" s="151"/>
      <c r="L107" s="151"/>
      <c r="M107" s="151"/>
      <c r="N107" s="151"/>
      <c r="O107" s="151"/>
      <c r="P107" s="149"/>
      <c r="Q107" s="150"/>
      <c r="R107" s="150"/>
      <c r="S107" s="150"/>
      <c r="T107" s="133"/>
      <c r="U107" s="133"/>
      <c r="V107" s="133"/>
      <c r="W107" s="153"/>
      <c r="X107" s="153"/>
      <c r="Y107" s="153"/>
      <c r="Z107" s="153"/>
      <c r="AA107" s="153"/>
      <c r="AB107" s="154"/>
      <c r="AC107" s="147"/>
      <c r="AD107" s="149"/>
      <c r="AE107" s="133"/>
      <c r="AF107" s="134"/>
    </row>
    <row r="108" spans="1:32">
      <c r="A108" s="133" t="s">
        <v>652</v>
      </c>
      <c r="B108" s="133"/>
      <c r="C108" s="133"/>
      <c r="D108" s="133"/>
      <c r="E108" s="133"/>
      <c r="F108" s="133"/>
      <c r="G108" s="133"/>
      <c r="H108" s="133"/>
      <c r="I108" s="133"/>
      <c r="J108" s="151"/>
      <c r="K108" s="151"/>
      <c r="L108" s="151"/>
      <c r="M108" s="151"/>
      <c r="N108" s="151"/>
      <c r="O108" s="151"/>
      <c r="P108" s="149"/>
      <c r="Q108" s="150"/>
      <c r="R108" s="150"/>
      <c r="S108" s="150"/>
      <c r="T108" s="133"/>
      <c r="U108" s="133"/>
      <c r="V108" s="133"/>
      <c r="W108" s="153"/>
      <c r="X108" s="153"/>
      <c r="Y108" s="153"/>
      <c r="Z108" s="153"/>
      <c r="AA108" s="153"/>
      <c r="AB108" s="154"/>
      <c r="AC108" s="147"/>
      <c r="AD108" s="149"/>
      <c r="AE108" s="133"/>
      <c r="AF108" s="134"/>
    </row>
    <row r="109" spans="1:32">
      <c r="A109" s="133" t="s">
        <v>653</v>
      </c>
      <c r="B109" s="133"/>
      <c r="C109" s="133"/>
      <c r="D109" s="133"/>
      <c r="E109" s="133"/>
      <c r="F109" s="133"/>
      <c r="G109" s="133"/>
      <c r="H109" s="133"/>
      <c r="I109" s="133"/>
      <c r="J109" s="151"/>
      <c r="K109" s="151"/>
      <c r="L109" s="151"/>
      <c r="M109" s="151"/>
      <c r="N109" s="151"/>
      <c r="O109" s="151"/>
      <c r="P109" s="149"/>
      <c r="Q109" s="150"/>
      <c r="R109" s="150"/>
      <c r="S109" s="150"/>
      <c r="T109" s="133"/>
      <c r="U109" s="133"/>
      <c r="V109" s="133"/>
      <c r="W109" s="153"/>
      <c r="X109" s="153"/>
      <c r="Y109" s="153"/>
      <c r="Z109" s="153"/>
      <c r="AA109" s="153"/>
      <c r="AB109" s="154"/>
      <c r="AC109" s="147"/>
      <c r="AD109" s="149"/>
      <c r="AE109" s="133"/>
      <c r="AF109" s="134"/>
    </row>
    <row r="110" spans="1:32">
      <c r="A110" s="133" t="s">
        <v>654</v>
      </c>
      <c r="B110" s="133"/>
      <c r="C110" s="133"/>
      <c r="D110" s="133"/>
      <c r="E110" s="133"/>
      <c r="F110" s="133"/>
      <c r="G110" s="133"/>
      <c r="H110" s="133"/>
      <c r="I110" s="133"/>
      <c r="J110" s="151"/>
      <c r="K110" s="151"/>
      <c r="L110" s="151"/>
      <c r="M110" s="151"/>
      <c r="N110" s="151"/>
      <c r="O110" s="151"/>
      <c r="P110" s="149"/>
      <c r="Q110" s="150"/>
      <c r="R110" s="150"/>
      <c r="S110" s="150"/>
      <c r="T110" s="133"/>
      <c r="U110" s="133"/>
      <c r="V110" s="133"/>
      <c r="W110" s="153"/>
      <c r="X110" s="153"/>
      <c r="Y110" s="153"/>
      <c r="Z110" s="153"/>
      <c r="AA110" s="153"/>
      <c r="AB110" s="154"/>
      <c r="AC110" s="147"/>
      <c r="AD110" s="149"/>
      <c r="AE110" s="133"/>
      <c r="AF110" s="134"/>
    </row>
    <row r="111" spans="1:32">
      <c r="A111" s="133" t="s">
        <v>655</v>
      </c>
      <c r="B111" s="133"/>
      <c r="C111" s="133"/>
      <c r="D111" s="133"/>
      <c r="E111" s="133"/>
      <c r="F111" s="133"/>
      <c r="G111" s="133"/>
      <c r="H111" s="133"/>
      <c r="I111" s="133"/>
      <c r="J111" s="151"/>
      <c r="K111" s="151"/>
      <c r="L111" s="151"/>
      <c r="M111" s="151"/>
      <c r="N111" s="151"/>
      <c r="O111" s="151"/>
      <c r="P111" s="149"/>
      <c r="Q111" s="150"/>
      <c r="R111" s="150"/>
      <c r="S111" s="150"/>
      <c r="T111" s="133"/>
      <c r="U111" s="133"/>
      <c r="V111" s="133"/>
      <c r="W111" s="153"/>
      <c r="X111" s="153"/>
      <c r="Y111" s="153"/>
      <c r="Z111" s="153"/>
      <c r="AA111" s="153"/>
      <c r="AB111" s="154"/>
      <c r="AC111" s="147"/>
      <c r="AD111" s="149"/>
      <c r="AE111" s="133"/>
      <c r="AF111" s="134"/>
    </row>
    <row r="112" spans="1:32">
      <c r="A112" s="133" t="s">
        <v>656</v>
      </c>
      <c r="B112" s="133"/>
      <c r="C112" s="133"/>
      <c r="D112" s="133"/>
      <c r="E112" s="133"/>
      <c r="F112" s="133"/>
      <c r="G112" s="133"/>
      <c r="H112" s="133"/>
      <c r="I112" s="133"/>
      <c r="J112" s="151"/>
      <c r="K112" s="151"/>
      <c r="L112" s="151"/>
      <c r="M112" s="151"/>
      <c r="N112" s="151"/>
      <c r="O112" s="151"/>
      <c r="P112" s="149"/>
      <c r="Q112" s="150"/>
      <c r="R112" s="150"/>
      <c r="S112" s="150"/>
      <c r="T112" s="133"/>
      <c r="U112" s="133"/>
      <c r="V112" s="133"/>
      <c r="W112" s="153"/>
      <c r="X112" s="153"/>
      <c r="Y112" s="153"/>
      <c r="Z112" s="153"/>
      <c r="AA112" s="153"/>
      <c r="AB112" s="154"/>
      <c r="AC112" s="147"/>
      <c r="AD112" s="149"/>
      <c r="AE112" s="133"/>
      <c r="AF112" s="134"/>
    </row>
    <row r="113" spans="1:32">
      <c r="A113" s="133" t="s">
        <v>657</v>
      </c>
      <c r="B113" s="133"/>
      <c r="C113" s="133"/>
      <c r="D113" s="133"/>
      <c r="E113" s="133"/>
      <c r="F113" s="133"/>
      <c r="G113" s="133"/>
      <c r="H113" s="133"/>
      <c r="I113" s="133"/>
      <c r="J113" s="151"/>
      <c r="K113" s="151"/>
      <c r="L113" s="151"/>
      <c r="M113" s="151"/>
      <c r="N113" s="151"/>
      <c r="O113" s="151"/>
      <c r="P113" s="149"/>
      <c r="Q113" s="150"/>
      <c r="R113" s="150"/>
      <c r="S113" s="150"/>
      <c r="T113" s="133"/>
      <c r="U113" s="133"/>
      <c r="V113" s="133"/>
      <c r="W113" s="153"/>
      <c r="X113" s="153"/>
      <c r="Y113" s="153"/>
      <c r="Z113" s="153"/>
      <c r="AA113" s="153"/>
      <c r="AB113" s="154"/>
      <c r="AC113" s="147"/>
      <c r="AD113" s="149"/>
      <c r="AE113" s="133"/>
      <c r="AF113" s="134"/>
    </row>
    <row r="114" spans="1:32">
      <c r="A114" s="133" t="s">
        <v>658</v>
      </c>
      <c r="B114" s="133"/>
      <c r="C114" s="133"/>
      <c r="D114" s="133"/>
      <c r="E114" s="133"/>
      <c r="F114" s="133"/>
      <c r="G114" s="133"/>
      <c r="H114" s="133"/>
      <c r="I114" s="133"/>
      <c r="J114" s="151"/>
      <c r="K114" s="151"/>
      <c r="L114" s="151"/>
      <c r="M114" s="151"/>
      <c r="N114" s="151"/>
      <c r="O114" s="151"/>
      <c r="P114" s="149"/>
      <c r="Q114" s="150"/>
      <c r="R114" s="150"/>
      <c r="S114" s="150"/>
      <c r="T114" s="133"/>
      <c r="U114" s="133"/>
      <c r="V114" s="133"/>
      <c r="W114" s="153"/>
      <c r="X114" s="153"/>
      <c r="Y114" s="153"/>
      <c r="Z114" s="153"/>
      <c r="AA114" s="153"/>
      <c r="AB114" s="154"/>
      <c r="AC114" s="147"/>
      <c r="AD114" s="149"/>
      <c r="AE114" s="133"/>
      <c r="AF114" s="134"/>
    </row>
    <row r="115" spans="1:32">
      <c r="A115" s="133" t="s">
        <v>659</v>
      </c>
      <c r="B115" s="133"/>
      <c r="C115" s="133"/>
      <c r="D115" s="133"/>
      <c r="E115" s="133"/>
      <c r="F115" s="133"/>
      <c r="G115" s="133"/>
      <c r="H115" s="133"/>
      <c r="I115" s="133"/>
      <c r="J115" s="151"/>
      <c r="K115" s="151"/>
      <c r="L115" s="151"/>
      <c r="M115" s="151"/>
      <c r="N115" s="151"/>
      <c r="O115" s="151"/>
      <c r="P115" s="149"/>
      <c r="Q115" s="150"/>
      <c r="R115" s="150"/>
      <c r="S115" s="150"/>
      <c r="T115" s="133"/>
      <c r="U115" s="133"/>
      <c r="V115" s="133"/>
      <c r="W115" s="153"/>
      <c r="X115" s="153"/>
      <c r="Y115" s="153"/>
      <c r="Z115" s="153"/>
      <c r="AA115" s="153"/>
      <c r="AB115" s="154"/>
      <c r="AC115" s="147"/>
      <c r="AD115" s="149"/>
      <c r="AE115" s="133"/>
      <c r="AF115" s="134"/>
    </row>
    <row r="116" spans="1:32">
      <c r="A116" s="133" t="s">
        <v>660</v>
      </c>
      <c r="B116" s="133"/>
      <c r="C116" s="133"/>
      <c r="D116" s="133"/>
      <c r="E116" s="133"/>
      <c r="F116" s="133"/>
      <c r="G116" s="133"/>
      <c r="H116" s="133"/>
      <c r="I116" s="133"/>
      <c r="J116" s="151"/>
      <c r="K116" s="151"/>
      <c r="L116" s="151"/>
      <c r="M116" s="151"/>
      <c r="N116" s="151"/>
      <c r="O116" s="151"/>
      <c r="P116" s="149"/>
      <c r="Q116" s="152"/>
      <c r="R116" s="150"/>
      <c r="S116" s="150"/>
      <c r="T116" s="133"/>
      <c r="U116" s="133"/>
      <c r="V116" s="133"/>
      <c r="W116" s="153"/>
      <c r="X116" s="153"/>
      <c r="Y116" s="153"/>
      <c r="Z116" s="153"/>
      <c r="AA116" s="153"/>
      <c r="AB116" s="154"/>
      <c r="AC116" s="147"/>
      <c r="AD116" s="149"/>
      <c r="AE116" s="133"/>
      <c r="AF116" s="134"/>
    </row>
    <row r="117" spans="1:32">
      <c r="A117" s="133" t="s">
        <v>661</v>
      </c>
      <c r="B117" s="133"/>
      <c r="C117" s="133"/>
      <c r="D117" s="133"/>
      <c r="E117" s="133"/>
      <c r="F117" s="133"/>
      <c r="G117" s="133"/>
      <c r="H117" s="133"/>
      <c r="I117" s="133"/>
      <c r="J117" s="151"/>
      <c r="K117" s="151"/>
      <c r="L117" s="151"/>
      <c r="M117" s="151"/>
      <c r="N117" s="151"/>
      <c r="O117" s="151"/>
      <c r="P117" s="149"/>
      <c r="Q117" s="152"/>
      <c r="R117" s="150"/>
      <c r="S117" s="150"/>
      <c r="T117" s="133"/>
      <c r="U117" s="133"/>
      <c r="V117" s="133"/>
      <c r="W117" s="153"/>
      <c r="X117" s="153"/>
      <c r="Y117" s="153"/>
      <c r="Z117" s="153"/>
      <c r="AA117" s="153"/>
      <c r="AB117" s="154"/>
      <c r="AC117" s="147"/>
      <c r="AD117" s="149"/>
      <c r="AE117" s="133"/>
      <c r="AF117" s="134"/>
    </row>
    <row r="118" spans="1:32">
      <c r="A118" s="133" t="s">
        <v>662</v>
      </c>
      <c r="B118" s="133"/>
      <c r="C118" s="133"/>
      <c r="D118" s="133"/>
      <c r="E118" s="133"/>
      <c r="F118" s="133"/>
      <c r="G118" s="133"/>
      <c r="H118" s="133"/>
      <c r="I118" s="133"/>
      <c r="J118" s="151"/>
      <c r="K118" s="151"/>
      <c r="L118" s="151"/>
      <c r="M118" s="151"/>
      <c r="N118" s="151"/>
      <c r="O118" s="151"/>
      <c r="P118" s="149"/>
      <c r="Q118" s="152"/>
      <c r="R118" s="150"/>
      <c r="S118" s="150"/>
      <c r="T118" s="133"/>
      <c r="U118" s="133"/>
      <c r="V118" s="133"/>
      <c r="W118" s="153"/>
      <c r="X118" s="153"/>
      <c r="Y118" s="153"/>
      <c r="Z118" s="153"/>
      <c r="AA118" s="153"/>
      <c r="AB118" s="154"/>
      <c r="AC118" s="147"/>
      <c r="AD118" s="149"/>
      <c r="AE118" s="133"/>
      <c r="AF118" s="134"/>
    </row>
    <row r="119" spans="1:32">
      <c r="A119" s="133" t="s">
        <v>663</v>
      </c>
      <c r="B119" s="133"/>
      <c r="C119" s="133"/>
      <c r="D119" s="133"/>
      <c r="E119" s="133"/>
      <c r="F119" s="133"/>
      <c r="G119" s="133"/>
      <c r="H119" s="133"/>
      <c r="I119" s="133"/>
      <c r="J119" s="151"/>
      <c r="K119" s="151"/>
      <c r="L119" s="151"/>
      <c r="M119" s="151"/>
      <c r="N119" s="151"/>
      <c r="O119" s="151"/>
      <c r="P119" s="149"/>
      <c r="Q119" s="152"/>
      <c r="R119" s="150"/>
      <c r="S119" s="150"/>
      <c r="T119" s="133"/>
      <c r="U119" s="133"/>
      <c r="V119" s="133"/>
      <c r="W119" s="153"/>
      <c r="X119" s="153"/>
      <c r="Y119" s="153"/>
      <c r="Z119" s="153"/>
      <c r="AA119" s="153"/>
      <c r="AB119" s="154"/>
      <c r="AC119" s="147"/>
      <c r="AD119" s="149"/>
      <c r="AE119" s="133"/>
      <c r="AF119" s="134"/>
    </row>
    <row r="120" spans="1:32">
      <c r="A120" s="133" t="s">
        <v>668</v>
      </c>
      <c r="B120" s="133"/>
      <c r="C120" s="133"/>
      <c r="D120" s="133"/>
      <c r="E120" s="133"/>
      <c r="F120" s="133"/>
      <c r="G120" s="133"/>
      <c r="H120" s="133"/>
      <c r="I120" s="133"/>
      <c r="J120" s="151"/>
      <c r="K120" s="151"/>
      <c r="L120" s="151"/>
      <c r="M120" s="151"/>
      <c r="N120" s="151"/>
      <c r="O120" s="151"/>
      <c r="P120" s="149"/>
      <c r="Q120" s="152"/>
      <c r="R120" s="150"/>
      <c r="S120" s="150"/>
      <c r="T120" s="133"/>
      <c r="U120" s="133"/>
      <c r="V120" s="133"/>
      <c r="W120" s="153"/>
      <c r="X120" s="153"/>
      <c r="Y120" s="153"/>
      <c r="Z120" s="153"/>
      <c r="AA120" s="153"/>
      <c r="AB120" s="154"/>
      <c r="AC120" s="147"/>
      <c r="AD120" s="149"/>
      <c r="AE120" s="133"/>
      <c r="AF120" s="134"/>
    </row>
    <row r="121" spans="1:32">
      <c r="A121" s="133" t="s">
        <v>664</v>
      </c>
      <c r="B121" s="133"/>
      <c r="C121" s="133"/>
      <c r="D121" s="133"/>
      <c r="E121" s="133"/>
      <c r="F121" s="133"/>
      <c r="G121" s="133"/>
      <c r="H121" s="133"/>
      <c r="I121" s="133"/>
      <c r="J121" s="151"/>
      <c r="K121" s="151"/>
      <c r="L121" s="151"/>
      <c r="M121" s="151"/>
      <c r="N121" s="151"/>
      <c r="O121" s="151"/>
      <c r="P121" s="149"/>
      <c r="Q121" s="152"/>
      <c r="R121" s="150"/>
      <c r="S121" s="150"/>
      <c r="T121" s="133"/>
      <c r="U121" s="133"/>
      <c r="V121" s="133"/>
      <c r="W121" s="153"/>
      <c r="X121" s="153"/>
      <c r="Y121" s="153"/>
      <c r="Z121" s="153"/>
      <c r="AA121" s="153"/>
      <c r="AB121" s="154"/>
      <c r="AC121" s="147"/>
      <c r="AD121" s="149"/>
      <c r="AE121" s="133"/>
      <c r="AF121" s="134"/>
    </row>
    <row r="122" spans="1:32">
      <c r="A122" s="133" t="s">
        <v>665</v>
      </c>
      <c r="B122" s="133"/>
      <c r="C122" s="133"/>
      <c r="D122" s="133"/>
      <c r="E122" s="133"/>
      <c r="F122" s="133"/>
      <c r="G122" s="133"/>
      <c r="H122" s="133"/>
      <c r="I122" s="133"/>
      <c r="J122" s="151"/>
      <c r="K122" s="151"/>
      <c r="L122" s="151"/>
      <c r="M122" s="151"/>
      <c r="N122" s="151"/>
      <c r="O122" s="151"/>
      <c r="P122" s="149"/>
      <c r="Q122" s="152"/>
      <c r="R122" s="150"/>
      <c r="S122" s="150"/>
      <c r="T122" s="133"/>
      <c r="U122" s="133"/>
      <c r="V122" s="133"/>
      <c r="W122" s="153"/>
      <c r="X122" s="153"/>
      <c r="Y122" s="153"/>
      <c r="Z122" s="153"/>
      <c r="AA122" s="153"/>
      <c r="AB122" s="154"/>
      <c r="AC122" s="147"/>
      <c r="AD122" s="149"/>
      <c r="AE122" s="133"/>
      <c r="AF122" s="134"/>
    </row>
    <row r="123" spans="1:32">
      <c r="A123" s="133" t="s">
        <v>666</v>
      </c>
      <c r="B123" s="133"/>
      <c r="C123" s="133"/>
      <c r="D123" s="133"/>
      <c r="E123" s="133"/>
      <c r="F123" s="133"/>
      <c r="G123" s="133"/>
      <c r="H123" s="133"/>
      <c r="I123" s="133"/>
      <c r="J123" s="151"/>
      <c r="K123" s="151"/>
      <c r="L123" s="151"/>
      <c r="M123" s="151"/>
      <c r="N123" s="151"/>
      <c r="O123" s="151"/>
      <c r="P123" s="149"/>
      <c r="Q123" s="152"/>
      <c r="R123" s="133"/>
      <c r="S123" s="133"/>
      <c r="T123" s="133"/>
      <c r="U123" s="133"/>
      <c r="V123" s="133"/>
      <c r="W123" s="153"/>
      <c r="X123" s="153"/>
      <c r="Y123" s="153"/>
      <c r="Z123" s="153"/>
      <c r="AA123" s="153"/>
      <c r="AB123" s="154"/>
      <c r="AC123" s="147"/>
      <c r="AD123" s="149"/>
      <c r="AE123" s="133"/>
      <c r="AF123" s="134"/>
    </row>
    <row r="124" spans="1:32">
      <c r="A124" s="133" t="s">
        <v>669</v>
      </c>
      <c r="B124" s="133"/>
      <c r="C124" s="133"/>
      <c r="D124" s="133"/>
      <c r="E124" s="133"/>
      <c r="F124" s="133"/>
      <c r="G124" s="133"/>
      <c r="H124" s="133"/>
      <c r="I124" s="133"/>
      <c r="J124" s="133"/>
      <c r="K124" s="133"/>
      <c r="L124" s="133"/>
      <c r="M124" s="133"/>
      <c r="N124" s="133"/>
      <c r="O124" s="133"/>
      <c r="P124" s="149"/>
      <c r="Q124" s="152"/>
      <c r="R124" s="133"/>
      <c r="S124" s="133"/>
      <c r="T124" s="133"/>
      <c r="U124" s="133"/>
      <c r="V124" s="133"/>
      <c r="W124" s="153"/>
      <c r="X124" s="153"/>
      <c r="Y124" s="153"/>
      <c r="Z124" s="153"/>
      <c r="AA124" s="153"/>
      <c r="AB124" s="154"/>
      <c r="AC124" s="147"/>
      <c r="AD124" s="149"/>
      <c r="AE124" s="133"/>
      <c r="AF124" s="134"/>
    </row>
    <row r="125" spans="1:32">
      <c r="A125" s="133"/>
      <c r="B125" s="133"/>
      <c r="C125" s="133"/>
      <c r="D125" s="133"/>
      <c r="E125" s="133"/>
      <c r="F125" s="133"/>
      <c r="G125" s="133"/>
      <c r="H125" s="133"/>
      <c r="I125" s="133"/>
      <c r="J125" s="133"/>
      <c r="K125" s="133"/>
      <c r="L125" s="133"/>
      <c r="M125" s="133"/>
      <c r="N125" s="133"/>
      <c r="O125" s="133"/>
      <c r="P125" s="149"/>
      <c r="Q125" s="152"/>
      <c r="R125" s="133"/>
      <c r="S125" s="133"/>
      <c r="T125" s="133"/>
      <c r="U125" s="133"/>
      <c r="V125" s="133"/>
      <c r="W125" s="153"/>
      <c r="X125" s="153"/>
      <c r="Y125" s="153"/>
      <c r="Z125" s="153"/>
      <c r="AA125" s="153"/>
      <c r="AB125" s="154"/>
      <c r="AC125" s="147"/>
      <c r="AD125" s="149"/>
      <c r="AE125" s="133"/>
      <c r="AF125" s="134"/>
    </row>
    <row r="126" spans="1:32">
      <c r="A126" s="133"/>
      <c r="B126" s="133"/>
      <c r="C126" s="133"/>
      <c r="D126" s="133"/>
      <c r="E126" s="133"/>
      <c r="F126" s="133"/>
      <c r="G126" s="133"/>
      <c r="H126" s="133"/>
      <c r="I126" s="133"/>
      <c r="J126" s="133"/>
      <c r="K126" s="133"/>
      <c r="L126" s="133"/>
      <c r="M126" s="133"/>
      <c r="N126" s="133"/>
      <c r="O126" s="133"/>
      <c r="P126" s="149"/>
      <c r="Q126" s="152"/>
      <c r="R126" s="133"/>
      <c r="S126" s="133"/>
      <c r="T126" s="133"/>
      <c r="U126" s="133"/>
      <c r="V126" s="133"/>
      <c r="W126" s="153"/>
      <c r="X126" s="153"/>
      <c r="Y126" s="153"/>
      <c r="Z126" s="153"/>
      <c r="AA126" s="153"/>
      <c r="AB126" s="154"/>
      <c r="AC126" s="147"/>
      <c r="AD126" s="149"/>
      <c r="AE126" s="133"/>
      <c r="AF126" s="134"/>
    </row>
    <row r="127" spans="1:32">
      <c r="A127" s="133"/>
      <c r="B127" s="133"/>
      <c r="C127" s="133"/>
      <c r="D127" s="133"/>
      <c r="E127" s="133"/>
      <c r="F127" s="133"/>
      <c r="G127" s="133"/>
      <c r="H127" s="133"/>
      <c r="I127" s="133"/>
      <c r="J127" s="133"/>
      <c r="K127" s="133"/>
      <c r="L127" s="133"/>
      <c r="M127" s="133"/>
      <c r="N127" s="133"/>
      <c r="O127" s="133"/>
      <c r="P127" s="149"/>
      <c r="Q127" s="152"/>
      <c r="R127" s="133"/>
      <c r="S127" s="133"/>
      <c r="T127" s="133"/>
      <c r="U127" s="133"/>
      <c r="V127" s="133"/>
      <c r="W127" s="153"/>
      <c r="X127" s="153"/>
      <c r="Y127" s="153"/>
      <c r="Z127" s="153"/>
      <c r="AA127" s="153"/>
      <c r="AB127" s="154"/>
      <c r="AC127" s="147"/>
      <c r="AD127" s="149"/>
      <c r="AE127" s="133"/>
      <c r="AF127" s="134"/>
    </row>
    <row r="128" spans="1:32">
      <c r="A128" s="133"/>
      <c r="B128" s="133"/>
      <c r="C128" s="133"/>
      <c r="D128" s="133"/>
      <c r="E128" s="133"/>
      <c r="F128" s="133"/>
      <c r="G128" s="133"/>
      <c r="H128" s="133"/>
      <c r="I128" s="133"/>
      <c r="J128" s="133"/>
      <c r="K128" s="133"/>
      <c r="L128" s="133"/>
      <c r="M128" s="133"/>
      <c r="N128" s="133"/>
      <c r="O128" s="133"/>
      <c r="P128" s="149"/>
      <c r="Q128" s="152"/>
      <c r="R128" s="133"/>
      <c r="S128" s="133"/>
      <c r="T128" s="133"/>
      <c r="U128" s="133"/>
      <c r="V128" s="133"/>
      <c r="W128" s="153"/>
      <c r="X128" s="153"/>
      <c r="Y128" s="153"/>
      <c r="Z128" s="153"/>
      <c r="AA128" s="153"/>
      <c r="AB128" s="154"/>
      <c r="AC128" s="147"/>
      <c r="AD128" s="149"/>
      <c r="AE128" s="133"/>
      <c r="AF128" s="134"/>
    </row>
    <row r="129" spans="1:32">
      <c r="A129" s="134"/>
      <c r="B129" s="134"/>
      <c r="C129" s="134"/>
      <c r="D129" s="134"/>
      <c r="E129" s="134"/>
      <c r="F129" s="134"/>
      <c r="G129" s="134"/>
      <c r="H129" s="134"/>
      <c r="I129" s="134"/>
      <c r="J129" s="134"/>
      <c r="K129" s="134"/>
      <c r="L129" s="134"/>
      <c r="M129" s="134"/>
      <c r="N129" s="134"/>
      <c r="O129" s="134"/>
      <c r="P129" s="159"/>
      <c r="Q129" s="146"/>
      <c r="R129" s="134"/>
      <c r="S129" s="134"/>
      <c r="T129" s="134"/>
      <c r="U129" s="134"/>
      <c r="V129" s="134"/>
      <c r="W129" s="160"/>
      <c r="X129" s="160"/>
      <c r="Y129" s="160"/>
      <c r="Z129" s="160"/>
      <c r="AA129" s="160"/>
      <c r="AB129" s="161"/>
      <c r="AC129" s="162"/>
      <c r="AD129" s="134"/>
      <c r="AE129" s="134"/>
      <c r="AF129" s="134"/>
    </row>
    <row r="130" spans="1:32">
      <c r="A130" s="134"/>
      <c r="B130" s="134"/>
      <c r="C130" s="134"/>
      <c r="D130" s="134"/>
      <c r="E130" s="134"/>
      <c r="F130" s="134"/>
      <c r="G130" s="134"/>
      <c r="H130" s="134"/>
      <c r="I130" s="134"/>
      <c r="J130" s="134"/>
      <c r="K130" s="134"/>
      <c r="L130" s="134"/>
      <c r="M130" s="134"/>
      <c r="N130" s="134"/>
      <c r="O130" s="134"/>
      <c r="P130" s="159"/>
      <c r="Q130" s="146"/>
      <c r="R130" s="134"/>
      <c r="S130" s="134"/>
      <c r="T130" s="134"/>
      <c r="U130" s="134"/>
      <c r="V130" s="134"/>
      <c r="W130" s="134"/>
      <c r="X130" s="134"/>
      <c r="Y130" s="134"/>
      <c r="Z130" s="134"/>
      <c r="AA130" s="134"/>
      <c r="AB130" s="159"/>
      <c r="AC130" s="163"/>
      <c r="AD130" s="134"/>
      <c r="AE130" s="134"/>
      <c r="AF130" s="134"/>
    </row>
    <row r="131" spans="1:32">
      <c r="A131" s="134"/>
      <c r="B131" s="134"/>
      <c r="C131" s="134"/>
      <c r="D131" s="134"/>
      <c r="E131" s="134"/>
      <c r="F131" s="134"/>
      <c r="G131" s="134"/>
      <c r="H131" s="134"/>
      <c r="I131" s="134"/>
      <c r="J131" s="134"/>
      <c r="K131" s="134"/>
      <c r="L131" s="134"/>
      <c r="M131" s="134"/>
      <c r="N131" s="134"/>
      <c r="O131" s="134"/>
      <c r="P131" s="159"/>
      <c r="Q131" s="146"/>
      <c r="R131" s="134"/>
      <c r="S131" s="134"/>
      <c r="T131" s="134"/>
      <c r="U131" s="134"/>
      <c r="V131" s="134"/>
      <c r="W131" s="134"/>
      <c r="X131" s="134"/>
      <c r="Y131" s="134"/>
      <c r="Z131" s="134"/>
      <c r="AA131" s="134"/>
      <c r="AB131" s="159"/>
      <c r="AC131" s="163"/>
      <c r="AD131" s="134"/>
      <c r="AE131" s="134"/>
      <c r="AF131" s="134"/>
    </row>
    <row r="132" spans="1:32">
      <c r="A132" s="134"/>
      <c r="B132" s="134"/>
      <c r="C132" s="134"/>
      <c r="D132" s="134"/>
      <c r="E132" s="134"/>
      <c r="F132" s="134"/>
      <c r="G132" s="134"/>
      <c r="H132" s="134"/>
      <c r="I132" s="134"/>
      <c r="J132" s="134"/>
      <c r="K132" s="134"/>
      <c r="L132" s="134"/>
      <c r="M132" s="134"/>
      <c r="N132" s="134"/>
      <c r="O132" s="134"/>
      <c r="P132" s="159"/>
      <c r="Q132" s="146"/>
      <c r="R132" s="134"/>
      <c r="S132" s="134"/>
      <c r="T132" s="134"/>
      <c r="U132" s="134"/>
      <c r="V132" s="134"/>
      <c r="W132" s="134"/>
      <c r="X132" s="134"/>
      <c r="Y132" s="134"/>
      <c r="Z132" s="134"/>
      <c r="AA132" s="134"/>
      <c r="AB132" s="159"/>
      <c r="AC132" s="163"/>
      <c r="AD132" s="134"/>
      <c r="AE132" s="134"/>
      <c r="AF132" s="134"/>
    </row>
    <row r="133" spans="1:32">
      <c r="A133" s="134"/>
      <c r="B133" s="134"/>
      <c r="C133" s="134"/>
      <c r="D133" s="134"/>
      <c r="E133" s="134"/>
      <c r="F133" s="134"/>
      <c r="G133" s="134"/>
      <c r="H133" s="134"/>
      <c r="I133" s="134"/>
      <c r="J133" s="134"/>
      <c r="K133" s="134"/>
      <c r="L133" s="134"/>
      <c r="M133" s="134"/>
      <c r="N133" s="134"/>
      <c r="O133" s="134"/>
      <c r="P133" s="159"/>
      <c r="Q133" s="146"/>
      <c r="R133" s="134"/>
      <c r="S133" s="134"/>
      <c r="T133" s="134"/>
      <c r="U133" s="134"/>
      <c r="V133" s="134"/>
      <c r="W133" s="134"/>
      <c r="X133" s="134"/>
      <c r="Y133" s="134"/>
      <c r="Z133" s="134"/>
      <c r="AA133" s="134"/>
      <c r="AB133" s="159"/>
      <c r="AC133" s="163"/>
      <c r="AD133" s="134"/>
      <c r="AE133" s="134"/>
      <c r="AF133" s="134"/>
    </row>
    <row r="134" spans="1:32">
      <c r="A134" s="134"/>
      <c r="B134" s="134"/>
      <c r="C134" s="134"/>
      <c r="D134" s="134"/>
      <c r="E134" s="134"/>
      <c r="F134" s="134"/>
      <c r="G134" s="134"/>
      <c r="H134" s="134"/>
      <c r="I134" s="134"/>
      <c r="J134" s="134"/>
      <c r="K134" s="134"/>
      <c r="L134" s="134"/>
      <c r="M134" s="134"/>
      <c r="N134" s="134"/>
      <c r="O134" s="134"/>
      <c r="P134" s="159"/>
      <c r="Q134" s="146"/>
      <c r="R134" s="134"/>
      <c r="S134" s="134"/>
      <c r="T134" s="134"/>
      <c r="U134" s="134"/>
      <c r="V134" s="134"/>
      <c r="W134" s="134"/>
      <c r="X134" s="134"/>
      <c r="Y134" s="134"/>
      <c r="Z134" s="134"/>
      <c r="AA134" s="134"/>
      <c r="AB134" s="159"/>
      <c r="AC134" s="163"/>
      <c r="AD134" s="134"/>
      <c r="AE134" s="134"/>
      <c r="AF134" s="134"/>
    </row>
    <row r="135" spans="1:32">
      <c r="A135" s="134"/>
      <c r="B135" s="134"/>
      <c r="C135" s="134"/>
      <c r="D135" s="134"/>
      <c r="E135" s="134"/>
      <c r="F135" s="134"/>
      <c r="G135" s="134"/>
      <c r="H135" s="134"/>
      <c r="I135" s="134"/>
      <c r="J135" s="134"/>
      <c r="K135" s="134"/>
      <c r="L135" s="134"/>
      <c r="M135" s="134"/>
      <c r="N135" s="134"/>
      <c r="O135" s="134"/>
      <c r="P135" s="159"/>
      <c r="Q135" s="134"/>
      <c r="R135" s="134"/>
      <c r="S135" s="134"/>
      <c r="T135" s="134"/>
      <c r="U135" s="134"/>
      <c r="V135" s="134"/>
      <c r="W135" s="134"/>
      <c r="X135" s="134"/>
      <c r="Y135" s="134"/>
      <c r="Z135" s="134"/>
      <c r="AA135" s="134"/>
      <c r="AB135" s="159"/>
      <c r="AC135" s="163"/>
      <c r="AD135" s="134"/>
      <c r="AE135" s="134"/>
      <c r="AF135" s="134"/>
    </row>
    <row r="136" spans="1:32">
      <c r="A136" s="134"/>
      <c r="B136" s="134"/>
      <c r="C136" s="134"/>
      <c r="D136" s="134"/>
      <c r="E136" s="134"/>
      <c r="F136" s="134"/>
      <c r="G136" s="134"/>
      <c r="H136" s="134"/>
      <c r="I136" s="134"/>
      <c r="J136" s="134"/>
      <c r="K136" s="134"/>
      <c r="L136" s="134"/>
      <c r="M136" s="134"/>
      <c r="N136" s="134"/>
      <c r="O136" s="134"/>
      <c r="P136" s="159"/>
      <c r="Q136" s="134"/>
      <c r="R136" s="134"/>
      <c r="S136" s="134"/>
      <c r="T136" s="134"/>
      <c r="U136" s="134"/>
      <c r="V136" s="134"/>
      <c r="W136" s="134"/>
      <c r="X136" s="134"/>
      <c r="Y136" s="134"/>
      <c r="Z136" s="134"/>
      <c r="AA136" s="134"/>
      <c r="AB136" s="159"/>
      <c r="AC136" s="163"/>
      <c r="AD136" s="134"/>
      <c r="AE136" s="134"/>
      <c r="AF136" s="134"/>
    </row>
    <row r="137" spans="1:32">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59"/>
      <c r="AC137" s="163"/>
      <c r="AD137" s="134"/>
      <c r="AE137" s="134"/>
      <c r="AF137" s="134"/>
    </row>
    <row r="138" spans="1:32">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59"/>
      <c r="AC138" s="163"/>
      <c r="AD138" s="134"/>
      <c r="AE138" s="134"/>
      <c r="AF138" s="134"/>
    </row>
    <row r="139" spans="1:32">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59"/>
      <c r="AC139" s="163"/>
      <c r="AD139" s="134"/>
      <c r="AE139" s="134"/>
      <c r="AF139" s="134"/>
    </row>
    <row r="140" spans="1:32">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59"/>
      <c r="AC140" s="163"/>
      <c r="AD140" s="134"/>
      <c r="AE140" s="134"/>
      <c r="AF140" s="134"/>
    </row>
    <row r="141" spans="1:32">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59"/>
      <c r="AC141" s="163"/>
      <c r="AD141" s="134"/>
      <c r="AE141" s="134"/>
      <c r="AF141" s="134"/>
    </row>
    <row r="142" spans="1:3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59"/>
      <c r="AC142" s="163"/>
      <c r="AD142" s="134"/>
      <c r="AE142" s="134"/>
      <c r="AF142" s="134"/>
    </row>
    <row r="143" spans="1:32">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59"/>
      <c r="AC143" s="163"/>
      <c r="AD143" s="134"/>
      <c r="AE143" s="134"/>
      <c r="AF143" s="134"/>
    </row>
    <row r="144" spans="1:32">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59"/>
      <c r="AC144" s="163"/>
      <c r="AD144" s="134"/>
      <c r="AE144" s="134"/>
      <c r="AF144" s="134"/>
    </row>
    <row r="145" spans="1:32">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59"/>
      <c r="AC145" s="163"/>
      <c r="AD145" s="134"/>
      <c r="AE145" s="134"/>
      <c r="AF145" s="134"/>
    </row>
    <row r="146" spans="1:32">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59"/>
      <c r="AC146" s="163"/>
      <c r="AD146" s="134"/>
      <c r="AE146" s="134"/>
      <c r="AF146" s="134"/>
    </row>
    <row r="147" spans="1:32">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59"/>
      <c r="AC147" s="163"/>
      <c r="AD147" s="134"/>
      <c r="AE147" s="134"/>
      <c r="AF147" s="134"/>
    </row>
    <row r="148" spans="1:32">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59"/>
      <c r="AC148" s="163"/>
      <c r="AD148" s="134"/>
      <c r="AE148" s="134"/>
      <c r="AF148" s="134"/>
    </row>
    <row r="149" spans="1:32">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59"/>
      <c r="AC149" s="163"/>
      <c r="AD149" s="134"/>
      <c r="AE149" s="134"/>
      <c r="AF149" s="134"/>
    </row>
    <row r="150" spans="1:32">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59"/>
      <c r="AC150" s="163"/>
      <c r="AD150" s="134"/>
      <c r="AE150" s="134"/>
      <c r="AF150" s="134"/>
    </row>
    <row r="151" spans="1:32">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59"/>
      <c r="AC151" s="163"/>
      <c r="AD151" s="134"/>
      <c r="AE151" s="134"/>
      <c r="AF151" s="134"/>
    </row>
    <row r="152" spans="1:3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59"/>
      <c r="AC152" s="163"/>
      <c r="AD152" s="134"/>
      <c r="AE152" s="134"/>
      <c r="AF152" s="134"/>
    </row>
    <row r="153" spans="1:32">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59"/>
      <c r="AC153" s="163"/>
      <c r="AD153" s="134"/>
      <c r="AE153" s="134"/>
      <c r="AF153" s="134"/>
    </row>
    <row r="154" spans="1:32">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59"/>
      <c r="AC154" s="163"/>
      <c r="AD154" s="134"/>
      <c r="AE154" s="134"/>
      <c r="AF154" s="134"/>
    </row>
    <row r="155" spans="1:32">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59"/>
      <c r="AC155" s="163"/>
      <c r="AD155" s="134"/>
      <c r="AE155" s="134"/>
      <c r="AF155" s="134"/>
    </row>
    <row r="156" spans="1:32">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59"/>
      <c r="AC156" s="163"/>
      <c r="AD156" s="134"/>
      <c r="AE156" s="134"/>
      <c r="AF156" s="134"/>
    </row>
    <row r="157" spans="1:32">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59"/>
      <c r="AC157" s="163"/>
      <c r="AD157" s="134"/>
      <c r="AE157" s="134"/>
      <c r="AF157" s="134"/>
    </row>
    <row r="158" spans="1:32">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59"/>
      <c r="AC158" s="163"/>
      <c r="AD158" s="134"/>
      <c r="AE158" s="134"/>
      <c r="AF158" s="134"/>
    </row>
    <row r="159" spans="1:32">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59"/>
      <c r="AC159" s="163"/>
      <c r="AD159" s="134"/>
      <c r="AE159" s="134"/>
      <c r="AF159" s="134"/>
    </row>
    <row r="160" spans="1:32">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59"/>
      <c r="AC160" s="163"/>
      <c r="AD160" s="134"/>
      <c r="AE160" s="134"/>
      <c r="AF160" s="134"/>
    </row>
    <row r="161" spans="1:32">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59"/>
      <c r="AC161" s="163"/>
      <c r="AD161" s="134"/>
      <c r="AE161" s="134"/>
      <c r="AF161" s="134"/>
    </row>
    <row r="162" spans="1:3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59"/>
      <c r="AC162" s="163"/>
      <c r="AD162" s="134"/>
      <c r="AE162" s="134"/>
      <c r="AF162" s="134"/>
    </row>
    <row r="163" spans="1:32">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c r="AC163" s="163"/>
      <c r="AD163" s="134"/>
      <c r="AE163" s="134"/>
      <c r="AF163" s="134"/>
    </row>
    <row r="164" spans="1:32">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c r="AC164" s="163"/>
      <c r="AD164" s="134"/>
      <c r="AE164" s="134"/>
      <c r="AF164" s="134"/>
    </row>
    <row r="165" spans="1:32">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c r="AC165" s="163"/>
      <c r="AD165" s="134"/>
      <c r="AE165" s="134"/>
      <c r="AF165" s="134"/>
    </row>
    <row r="166" spans="1:32">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c r="AC166" s="163"/>
      <c r="AD166" s="134"/>
      <c r="AE166" s="134"/>
      <c r="AF166" s="134"/>
    </row>
    <row r="167" spans="1:32">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c r="AC167" s="163"/>
      <c r="AD167" s="134"/>
      <c r="AE167" s="134"/>
      <c r="AF167" s="134"/>
    </row>
    <row r="168" spans="1:32">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c r="AC168" s="163"/>
      <c r="AD168" s="134"/>
      <c r="AE168" s="134"/>
      <c r="AF168" s="134"/>
    </row>
    <row r="169" spans="1:32">
      <c r="AC169" s="164"/>
    </row>
    <row r="170" spans="1:32">
      <c r="AC170" s="164"/>
    </row>
    <row r="171" spans="1:32">
      <c r="AC171" s="164"/>
    </row>
    <row r="172" spans="1:32">
      <c r="AC172" s="164"/>
    </row>
    <row r="173" spans="1:32">
      <c r="AC173" s="164"/>
    </row>
    <row r="174" spans="1:32">
      <c r="AC174" s="164"/>
    </row>
  </sheetData>
  <conditionalFormatting sqref="AC6:AC8 AC10 AC12:AC13 AC16 AC62:AC68 AC76:AC80">
    <cfRule type="cellIs" dxfId="13" priority="14" stopIfTrue="1" operator="lessThan">
      <formula>0.65</formula>
    </cfRule>
  </conditionalFormatting>
  <conditionalFormatting sqref="AC18:AC19">
    <cfRule type="cellIs" dxfId="12" priority="12" stopIfTrue="1" operator="lessThan">
      <formula>0.65</formula>
    </cfRule>
  </conditionalFormatting>
  <conditionalFormatting sqref="AC24:AC28">
    <cfRule type="cellIs" dxfId="11" priority="3" stopIfTrue="1" operator="lessThan">
      <formula>0.65</formula>
    </cfRule>
  </conditionalFormatting>
  <conditionalFormatting sqref="AC30">
    <cfRule type="cellIs" dxfId="10" priority="1" stopIfTrue="1" operator="lessThan">
      <formula>0.65</formula>
    </cfRule>
  </conditionalFormatting>
  <conditionalFormatting sqref="AC32">
    <cfRule type="cellIs" dxfId="9" priority="2" stopIfTrue="1" operator="lessThan">
      <formula>0.65</formula>
    </cfRule>
  </conditionalFormatting>
  <conditionalFormatting sqref="AC36:AC40">
    <cfRule type="cellIs" dxfId="8" priority="13" stopIfTrue="1" operator="lessThan">
      <formula>0.65</formula>
    </cfRule>
  </conditionalFormatting>
  <conditionalFormatting sqref="AC42:AC44 AC46">
    <cfRule type="cellIs" dxfId="7" priority="8" stopIfTrue="1" operator="lessThan">
      <formula>0.65</formula>
    </cfRule>
  </conditionalFormatting>
  <conditionalFormatting sqref="AC48">
    <cfRule type="cellIs" dxfId="6" priority="11" stopIfTrue="1" operator="lessThan">
      <formula>0.65</formula>
    </cfRule>
  </conditionalFormatting>
  <conditionalFormatting sqref="AC50:AC54">
    <cfRule type="cellIs" dxfId="5" priority="10" stopIfTrue="1" operator="lessThan">
      <formula>0.65</formula>
    </cfRule>
  </conditionalFormatting>
  <conditionalFormatting sqref="AC56:AC60">
    <cfRule type="cellIs" dxfId="4" priority="9" stopIfTrue="1" operator="lessThan">
      <formula>0.65</formula>
    </cfRule>
  </conditionalFormatting>
  <conditionalFormatting sqref="AC71:AC74">
    <cfRule type="cellIs" dxfId="3" priority="7" stopIfTrue="1" operator="lessThan">
      <formula>0.65</formula>
    </cfRule>
  </conditionalFormatting>
  <conditionalFormatting sqref="AC82:AC86">
    <cfRule type="cellIs" dxfId="2" priority="5" stopIfTrue="1" operator="lessThan">
      <formula>0.65</formula>
    </cfRule>
  </conditionalFormatting>
  <conditionalFormatting sqref="AC88:AC92">
    <cfRule type="cellIs" dxfId="1" priority="6" stopIfTrue="1" operator="lessThan">
      <formula>0.65</formula>
    </cfRule>
  </conditionalFormatting>
  <conditionalFormatting sqref="AC94:AC98">
    <cfRule type="cellIs" dxfId="0" priority="4" stopIfTrue="1" operator="lessThan">
      <formula>0.65</formula>
    </cfRule>
  </conditionalFormatting>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B245-7772-7047-A185-46C735A00369}">
  <dimension ref="A1:O33"/>
  <sheetViews>
    <sheetView zoomScaleNormal="100" zoomScalePageLayoutView="107" workbookViewId="0"/>
  </sheetViews>
  <sheetFormatPr baseColWidth="10" defaultRowHeight="12"/>
  <cols>
    <col min="1" max="1" width="7.5" style="1" customWidth="1"/>
    <col min="2" max="2" width="4.6640625" style="1" customWidth="1"/>
    <col min="3" max="3" width="8.83203125" style="1" bestFit="1" customWidth="1"/>
    <col min="4" max="4" width="9.5" style="1" bestFit="1" customWidth="1"/>
    <col min="5" max="5" width="8" style="1" bestFit="1" customWidth="1"/>
    <col min="6" max="8" width="4.5" style="1" bestFit="1" customWidth="1"/>
    <col min="9" max="9" width="9.5" style="1" bestFit="1" customWidth="1"/>
    <col min="10" max="10" width="12.33203125" style="1" bestFit="1" customWidth="1"/>
    <col min="11" max="11" width="5.33203125" style="1" bestFit="1" customWidth="1"/>
    <col min="12" max="13" width="6" style="1" bestFit="1" customWidth="1"/>
    <col min="14" max="14" width="6.33203125" style="1" bestFit="1" customWidth="1"/>
    <col min="15" max="16384" width="10.83203125" style="1"/>
  </cols>
  <sheetData>
    <row r="1" spans="1:15">
      <c r="A1" s="13" t="s">
        <v>11</v>
      </c>
      <c r="B1" s="2"/>
      <c r="C1" s="2"/>
      <c r="D1" s="2"/>
      <c r="E1" s="2"/>
      <c r="F1" s="2"/>
      <c r="G1" s="2"/>
      <c r="H1" s="2"/>
      <c r="I1" s="2"/>
      <c r="J1" s="2"/>
      <c r="K1" s="2"/>
      <c r="L1" s="2"/>
      <c r="M1" s="3"/>
      <c r="N1" s="2"/>
      <c r="O1" s="2"/>
    </row>
    <row r="2" spans="1:15" s="17" customFormat="1" ht="13">
      <c r="A2" s="16" t="s">
        <v>8</v>
      </c>
      <c r="B2" s="16" t="s">
        <v>12</v>
      </c>
      <c r="C2" s="16" t="s">
        <v>13</v>
      </c>
      <c r="D2" s="16" t="s">
        <v>14</v>
      </c>
      <c r="E2" s="16" t="s">
        <v>15</v>
      </c>
      <c r="F2" s="16" t="s">
        <v>16</v>
      </c>
      <c r="G2" s="16" t="s">
        <v>17</v>
      </c>
      <c r="H2" s="16" t="s">
        <v>18</v>
      </c>
      <c r="I2" s="16" t="s">
        <v>19</v>
      </c>
      <c r="J2" s="16" t="s">
        <v>20</v>
      </c>
      <c r="K2" s="16" t="s">
        <v>21</v>
      </c>
      <c r="L2" s="16" t="s">
        <v>22</v>
      </c>
      <c r="M2" s="16" t="s">
        <v>23</v>
      </c>
      <c r="N2" s="16" t="s">
        <v>24</v>
      </c>
    </row>
    <row r="3" spans="1:15" s="19" customFormat="1" ht="13">
      <c r="A3" s="18"/>
      <c r="B3" s="18" t="s">
        <v>25</v>
      </c>
      <c r="C3" s="18" t="s">
        <v>26</v>
      </c>
      <c r="D3" s="18" t="s">
        <v>26</v>
      </c>
      <c r="E3" s="18" t="s">
        <v>26</v>
      </c>
      <c r="F3" s="18" t="s">
        <v>27</v>
      </c>
      <c r="G3" s="18" t="s">
        <v>28</v>
      </c>
      <c r="H3" s="18" t="s">
        <v>28</v>
      </c>
      <c r="I3" s="18" t="s">
        <v>29</v>
      </c>
      <c r="J3" s="18" t="s">
        <v>30</v>
      </c>
      <c r="K3" s="18" t="s">
        <v>31</v>
      </c>
      <c r="L3" s="18" t="s">
        <v>32</v>
      </c>
      <c r="M3" s="18" t="s">
        <v>32</v>
      </c>
      <c r="N3" s="14" t="s">
        <v>32</v>
      </c>
    </row>
    <row r="4" spans="1:15" s="19" customFormat="1">
      <c r="A4" s="20"/>
      <c r="B4" s="20"/>
      <c r="C4" s="21"/>
      <c r="D4" s="20"/>
      <c r="E4" s="20"/>
      <c r="F4" s="9"/>
      <c r="G4" s="20"/>
      <c r="H4" s="20"/>
      <c r="I4" s="22"/>
      <c r="J4" s="20"/>
      <c r="K4" s="7"/>
      <c r="L4" s="1"/>
    </row>
    <row r="5" spans="1:15" s="19" customFormat="1">
      <c r="A5" s="23" t="s">
        <v>33</v>
      </c>
      <c r="B5" s="8">
        <v>20</v>
      </c>
      <c r="C5" s="21" t="s">
        <v>34</v>
      </c>
      <c r="D5" s="20" t="s">
        <v>35</v>
      </c>
      <c r="E5" s="20" t="s">
        <v>36</v>
      </c>
      <c r="F5" s="9">
        <v>5.6</v>
      </c>
      <c r="G5" s="20">
        <v>64.900000000000006</v>
      </c>
      <c r="H5" s="20">
        <v>2.1</v>
      </c>
      <c r="I5" s="20" t="s">
        <v>37</v>
      </c>
      <c r="J5" s="20" t="s">
        <v>38</v>
      </c>
      <c r="K5" s="7">
        <v>1.69</v>
      </c>
      <c r="L5" s="3">
        <v>0</v>
      </c>
      <c r="M5" s="3">
        <v>0.03</v>
      </c>
      <c r="N5" s="7">
        <v>0.1</v>
      </c>
    </row>
    <row r="6" spans="1:15" s="19" customFormat="1">
      <c r="A6" s="1" t="s">
        <v>39</v>
      </c>
      <c r="B6" s="2">
        <v>20</v>
      </c>
      <c r="C6" s="2" t="s">
        <v>40</v>
      </c>
      <c r="D6" s="2" t="s">
        <v>41</v>
      </c>
      <c r="E6" s="2" t="s">
        <v>42</v>
      </c>
      <c r="F6" s="2">
        <v>10.4</v>
      </c>
      <c r="G6" s="2">
        <v>74.599999999999994</v>
      </c>
      <c r="H6" s="2">
        <v>0.5</v>
      </c>
      <c r="I6" s="20" t="s">
        <v>43</v>
      </c>
      <c r="J6" s="2" t="s">
        <v>44</v>
      </c>
      <c r="K6" s="2">
        <v>2.41</v>
      </c>
      <c r="L6" s="3">
        <v>0</v>
      </c>
      <c r="M6" s="3">
        <v>0</v>
      </c>
      <c r="N6" s="7">
        <v>0</v>
      </c>
    </row>
    <row r="7" spans="1:15" s="19" customFormat="1">
      <c r="A7" s="1" t="s">
        <v>45</v>
      </c>
      <c r="B7" s="2">
        <v>20</v>
      </c>
      <c r="C7" s="2" t="s">
        <v>46</v>
      </c>
      <c r="D7" s="2" t="s">
        <v>47</v>
      </c>
      <c r="E7" s="2" t="s">
        <v>48</v>
      </c>
      <c r="F7" s="2">
        <v>9.4</v>
      </c>
      <c r="G7" s="2">
        <v>25.9</v>
      </c>
      <c r="H7" s="2">
        <v>12.5</v>
      </c>
      <c r="I7" s="20" t="s">
        <v>49</v>
      </c>
      <c r="J7" s="2" t="s">
        <v>50</v>
      </c>
      <c r="K7" s="2">
        <v>1.55</v>
      </c>
      <c r="L7" s="3">
        <v>0</v>
      </c>
      <c r="M7" s="3">
        <v>0.01</v>
      </c>
      <c r="N7" s="7">
        <v>0.01</v>
      </c>
    </row>
    <row r="8" spans="1:15" s="19" customFormat="1">
      <c r="A8" s="19" t="s">
        <v>51</v>
      </c>
      <c r="B8" s="8">
        <v>20</v>
      </c>
      <c r="C8" s="20" t="s">
        <v>52</v>
      </c>
      <c r="D8" s="20" t="s">
        <v>53</v>
      </c>
      <c r="E8" s="20" t="s">
        <v>54</v>
      </c>
      <c r="F8" s="20">
        <v>9.8000000000000007</v>
      </c>
      <c r="G8" s="20">
        <v>74.7</v>
      </c>
      <c r="H8" s="20">
        <v>0.5</v>
      </c>
      <c r="I8" s="20" t="s">
        <v>55</v>
      </c>
      <c r="J8" s="20" t="s">
        <v>56</v>
      </c>
      <c r="K8" s="7">
        <v>1.45</v>
      </c>
      <c r="L8" s="3"/>
      <c r="M8" s="7"/>
      <c r="N8" s="7"/>
    </row>
    <row r="9" spans="1:15" s="19" customFormat="1">
      <c r="A9" s="1" t="s">
        <v>57</v>
      </c>
      <c r="B9" s="2">
        <v>20</v>
      </c>
      <c r="C9" s="2" t="s">
        <v>58</v>
      </c>
      <c r="D9" s="2" t="s">
        <v>59</v>
      </c>
      <c r="E9" s="2" t="s">
        <v>60</v>
      </c>
      <c r="F9" s="2">
        <v>3.6</v>
      </c>
      <c r="G9" s="2">
        <v>78.7</v>
      </c>
      <c r="H9" s="2">
        <v>0.6</v>
      </c>
      <c r="I9" s="20" t="s">
        <v>61</v>
      </c>
      <c r="J9" s="2" t="s">
        <v>62</v>
      </c>
      <c r="K9" s="2">
        <v>2.08</v>
      </c>
      <c r="L9" s="3"/>
      <c r="M9" s="7"/>
      <c r="N9" s="7"/>
    </row>
    <row r="10" spans="1:15" s="19" customFormat="1">
      <c r="A10" s="19" t="s">
        <v>63</v>
      </c>
      <c r="B10" s="8">
        <v>20</v>
      </c>
      <c r="C10" s="20" t="s">
        <v>64</v>
      </c>
      <c r="D10" s="20" t="s">
        <v>65</v>
      </c>
      <c r="E10" s="20" t="s">
        <v>66</v>
      </c>
      <c r="F10" s="20">
        <v>3.9</v>
      </c>
      <c r="G10" s="20">
        <v>66.7</v>
      </c>
      <c r="H10" s="20">
        <v>2.2999999999999998</v>
      </c>
      <c r="I10" s="20" t="s">
        <v>67</v>
      </c>
      <c r="J10" s="20" t="s">
        <v>68</v>
      </c>
      <c r="K10" s="7">
        <v>1.83</v>
      </c>
      <c r="L10" s="3">
        <v>0</v>
      </c>
      <c r="M10" s="3">
        <v>0.03</v>
      </c>
      <c r="N10" s="7">
        <v>0.01</v>
      </c>
    </row>
    <row r="11" spans="1:15" s="19" customFormat="1">
      <c r="A11" s="23" t="s">
        <v>69</v>
      </c>
      <c r="B11" s="8">
        <v>20</v>
      </c>
      <c r="C11" s="20" t="s">
        <v>70</v>
      </c>
      <c r="D11" s="20" t="s">
        <v>71</v>
      </c>
      <c r="E11" s="20" t="s">
        <v>72</v>
      </c>
      <c r="F11" s="20">
        <v>6</v>
      </c>
      <c r="G11" s="20">
        <v>49.2</v>
      </c>
      <c r="H11" s="20">
        <v>6.7</v>
      </c>
      <c r="I11" s="20" t="s">
        <v>73</v>
      </c>
      <c r="J11" s="20" t="s">
        <v>74</v>
      </c>
      <c r="K11" s="7">
        <v>1.98</v>
      </c>
      <c r="L11" s="3"/>
      <c r="M11" s="7"/>
      <c r="N11" s="7"/>
    </row>
    <row r="12" spans="1:15" s="19" customFormat="1">
      <c r="A12" s="1" t="s">
        <v>75</v>
      </c>
      <c r="B12" s="2">
        <v>20</v>
      </c>
      <c r="C12" s="2" t="s">
        <v>76</v>
      </c>
      <c r="D12" s="2" t="s">
        <v>77</v>
      </c>
      <c r="E12" s="2" t="s">
        <v>78</v>
      </c>
      <c r="F12" s="2">
        <v>5.6</v>
      </c>
      <c r="G12" s="2">
        <v>22.1</v>
      </c>
      <c r="H12" s="2">
        <v>16.3</v>
      </c>
      <c r="I12" s="20" t="s">
        <v>79</v>
      </c>
      <c r="J12" s="2" t="s">
        <v>80</v>
      </c>
      <c r="K12" s="2">
        <v>1.96</v>
      </c>
    </row>
    <row r="13" spans="1:15" s="19" customFormat="1">
      <c r="A13" s="1" t="s">
        <v>81</v>
      </c>
      <c r="B13" s="2">
        <v>20</v>
      </c>
      <c r="C13" s="2" t="s">
        <v>82</v>
      </c>
      <c r="D13" s="2" t="s">
        <v>83</v>
      </c>
      <c r="E13" s="2" t="s">
        <v>84</v>
      </c>
      <c r="F13" s="2">
        <v>18.600000000000001</v>
      </c>
      <c r="G13" s="2">
        <v>70.599999999999994</v>
      </c>
      <c r="H13" s="2">
        <v>0.2</v>
      </c>
      <c r="I13" s="20" t="s">
        <v>85</v>
      </c>
      <c r="J13" s="2" t="s">
        <v>86</v>
      </c>
      <c r="K13" s="2">
        <v>2.25</v>
      </c>
      <c r="L13" s="3"/>
      <c r="M13" s="3"/>
      <c r="N13" s="24"/>
    </row>
    <row r="14" spans="1:15">
      <c r="A14" s="1" t="s">
        <v>87</v>
      </c>
      <c r="B14" s="2">
        <v>20</v>
      </c>
      <c r="C14" s="2" t="s">
        <v>88</v>
      </c>
      <c r="D14" s="2" t="s">
        <v>89</v>
      </c>
      <c r="E14" s="2" t="s">
        <v>90</v>
      </c>
      <c r="F14" s="2">
        <v>8.1</v>
      </c>
      <c r="G14" s="2">
        <v>5.8</v>
      </c>
      <c r="H14" s="2">
        <v>19.63</v>
      </c>
      <c r="I14" s="20" t="s">
        <v>91</v>
      </c>
      <c r="J14" s="2" t="s">
        <v>92</v>
      </c>
      <c r="K14" s="2">
        <v>2.54</v>
      </c>
      <c r="L14" s="2"/>
      <c r="M14" s="2"/>
      <c r="N14" s="2"/>
    </row>
    <row r="15" spans="1:15" s="19" customFormat="1">
      <c r="A15" s="1" t="s">
        <v>93</v>
      </c>
      <c r="B15" s="2">
        <v>20</v>
      </c>
      <c r="C15" s="2" t="s">
        <v>94</v>
      </c>
      <c r="D15" s="2" t="s">
        <v>95</v>
      </c>
      <c r="E15" s="2" t="s">
        <v>96</v>
      </c>
      <c r="F15" s="2">
        <v>8.1</v>
      </c>
      <c r="G15" s="2">
        <v>92.3</v>
      </c>
      <c r="H15" s="2">
        <v>0.6</v>
      </c>
      <c r="I15" s="20" t="s">
        <v>97</v>
      </c>
      <c r="J15" s="2" t="s">
        <v>98</v>
      </c>
      <c r="K15" s="2">
        <v>1.33</v>
      </c>
      <c r="L15" s="3">
        <v>0</v>
      </c>
      <c r="M15" s="3">
        <v>0.03</v>
      </c>
      <c r="N15" s="7">
        <v>0.1</v>
      </c>
    </row>
    <row r="16" spans="1:15" s="19" customFormat="1">
      <c r="A16" s="1" t="s">
        <v>99</v>
      </c>
      <c r="B16" s="2">
        <v>20</v>
      </c>
      <c r="C16" s="2" t="s">
        <v>100</v>
      </c>
      <c r="D16" s="2" t="s">
        <v>101</v>
      </c>
      <c r="E16" s="2" t="s">
        <v>102</v>
      </c>
      <c r="F16" s="2">
        <v>14.5</v>
      </c>
      <c r="G16" s="2">
        <v>59.6</v>
      </c>
      <c r="H16" s="2">
        <v>2.1</v>
      </c>
      <c r="I16" s="20" t="s">
        <v>103</v>
      </c>
      <c r="J16" s="2" t="s">
        <v>104</v>
      </c>
      <c r="K16" s="2">
        <v>1.28</v>
      </c>
      <c r="L16" s="20"/>
      <c r="M16" s="2"/>
      <c r="N16" s="20"/>
    </row>
    <row r="17" spans="1:14" s="20" customFormat="1" ht="12" customHeight="1">
      <c r="A17" s="1" t="s">
        <v>105</v>
      </c>
      <c r="B17" s="2">
        <v>20</v>
      </c>
      <c r="C17" s="2" t="s">
        <v>106</v>
      </c>
      <c r="D17" s="2" t="s">
        <v>107</v>
      </c>
      <c r="E17" s="2" t="s">
        <v>108</v>
      </c>
      <c r="F17" s="2">
        <v>4.9000000000000004</v>
      </c>
      <c r="G17" s="2">
        <v>98.9</v>
      </c>
      <c r="H17" s="2">
        <v>0</v>
      </c>
      <c r="I17" s="20" t="s">
        <v>109</v>
      </c>
      <c r="J17" s="2" t="s">
        <v>110</v>
      </c>
      <c r="K17" s="2">
        <v>2.46</v>
      </c>
    </row>
    <row r="18" spans="1:14" s="25" customFormat="1" ht="16" customHeight="1">
      <c r="A18" s="23" t="s">
        <v>111</v>
      </c>
      <c r="B18" s="8">
        <v>20</v>
      </c>
      <c r="C18" s="21" t="s">
        <v>112</v>
      </c>
      <c r="D18" s="20" t="s">
        <v>113</v>
      </c>
      <c r="E18" s="20" t="s">
        <v>114</v>
      </c>
      <c r="F18" s="9">
        <v>9.4</v>
      </c>
      <c r="G18" s="20">
        <v>73.5</v>
      </c>
      <c r="H18" s="20">
        <v>0.1</v>
      </c>
      <c r="I18" s="20" t="s">
        <v>115</v>
      </c>
      <c r="J18" s="20" t="s">
        <v>116</v>
      </c>
      <c r="K18" s="7">
        <v>1.93</v>
      </c>
      <c r="L18" s="3">
        <v>0</v>
      </c>
      <c r="M18" s="3">
        <v>0.01</v>
      </c>
      <c r="N18" s="7">
        <v>0.01</v>
      </c>
    </row>
    <row r="19" spans="1:14" customFormat="1" ht="16">
      <c r="A19" s="1" t="s">
        <v>117</v>
      </c>
      <c r="B19" s="2">
        <v>20</v>
      </c>
      <c r="C19" s="2" t="s">
        <v>118</v>
      </c>
      <c r="D19" s="2" t="s">
        <v>119</v>
      </c>
      <c r="E19" s="2" t="s">
        <v>120</v>
      </c>
      <c r="F19" s="2">
        <v>11.8</v>
      </c>
      <c r="G19" s="2">
        <v>59.1</v>
      </c>
      <c r="H19" s="2">
        <v>0.1</v>
      </c>
      <c r="I19" s="20" t="s">
        <v>121</v>
      </c>
      <c r="J19" s="2" t="s">
        <v>122</v>
      </c>
      <c r="K19" s="2">
        <v>1.57</v>
      </c>
    </row>
    <row r="20" spans="1:14" s="27" customFormat="1" ht="16">
      <c r="A20" s="26" t="s">
        <v>123</v>
      </c>
      <c r="B20" s="17" t="s">
        <v>124</v>
      </c>
      <c r="C20" s="17"/>
      <c r="D20" s="17"/>
      <c r="E20" s="17"/>
      <c r="F20" s="17"/>
      <c r="G20" s="17"/>
      <c r="H20" s="17"/>
      <c r="I20" s="17"/>
      <c r="J20" s="26"/>
      <c r="K20" s="17"/>
    </row>
    <row r="21" spans="1:14" customFormat="1" ht="16">
      <c r="A21" s="19"/>
      <c r="B21" s="10" t="s">
        <v>125</v>
      </c>
      <c r="C21" s="19"/>
      <c r="D21" s="19"/>
      <c r="E21" s="19"/>
      <c r="F21" s="19"/>
      <c r="G21" s="19"/>
      <c r="H21" s="19"/>
      <c r="I21" s="19"/>
      <c r="J21" s="28"/>
      <c r="K21" s="19"/>
    </row>
    <row r="22" spans="1:14" customFormat="1" ht="16">
      <c r="A22" s="19"/>
      <c r="B22" s="19" t="s">
        <v>126</v>
      </c>
      <c r="C22" s="19"/>
      <c r="D22" s="19"/>
      <c r="E22" s="19"/>
      <c r="F22" s="19"/>
      <c r="G22" s="19"/>
      <c r="H22" s="19"/>
      <c r="I22" s="19"/>
      <c r="J22" s="28"/>
      <c r="K22" s="19"/>
    </row>
    <row r="23" spans="1:14" s="32" customFormat="1" ht="16">
      <c r="A23" s="29"/>
      <c r="B23" s="30" t="s">
        <v>127</v>
      </c>
      <c r="C23" s="29"/>
      <c r="D23" s="29"/>
      <c r="E23" s="29"/>
      <c r="F23" s="29"/>
      <c r="G23" s="29"/>
      <c r="H23" s="29"/>
      <c r="I23" s="29"/>
      <c r="J23" s="31"/>
      <c r="K23" s="29"/>
    </row>
    <row r="24" spans="1:14" customFormat="1" ht="16">
      <c r="A24" s="25"/>
      <c r="B24" s="25"/>
      <c r="C24" s="33"/>
      <c r="D24" s="33"/>
      <c r="E24" s="33"/>
      <c r="F24" s="25"/>
      <c r="G24" s="25"/>
      <c r="H24" s="25"/>
      <c r="I24" s="25"/>
      <c r="J24" s="25"/>
      <c r="K24" s="25"/>
    </row>
    <row r="25" spans="1:14" customFormat="1" ht="16">
      <c r="A25" s="25"/>
      <c r="B25" s="25"/>
      <c r="C25" s="25"/>
      <c r="D25" s="25"/>
      <c r="E25" s="25"/>
      <c r="F25" s="25"/>
      <c r="G25" s="25"/>
      <c r="H25" s="25"/>
      <c r="I25" s="25"/>
      <c r="J25" s="33"/>
      <c r="K25" s="33"/>
    </row>
    <row r="26" spans="1:14" ht="16">
      <c r="A26"/>
      <c r="B26"/>
      <c r="C26"/>
      <c r="D26"/>
      <c r="E26"/>
      <c r="F26"/>
      <c r="G26"/>
      <c r="H26"/>
      <c r="I26" s="34"/>
      <c r="J26"/>
      <c r="K26"/>
    </row>
    <row r="27" spans="1:14" ht="16">
      <c r="A27"/>
      <c r="B27"/>
      <c r="C27"/>
      <c r="D27"/>
      <c r="E27"/>
      <c r="F27"/>
      <c r="G27"/>
      <c r="H27"/>
      <c r="I27" s="34"/>
      <c r="J27"/>
      <c r="K27"/>
    </row>
    <row r="28" spans="1:14" ht="16">
      <c r="A28"/>
      <c r="B28"/>
      <c r="C28"/>
      <c r="D28"/>
      <c r="E28"/>
      <c r="F28"/>
      <c r="G28"/>
      <c r="H28"/>
      <c r="I28" s="34"/>
      <c r="J28"/>
      <c r="K28"/>
    </row>
    <row r="29" spans="1:14" ht="16">
      <c r="A29"/>
      <c r="B29"/>
      <c r="C29"/>
      <c r="D29"/>
      <c r="E29"/>
      <c r="F29"/>
      <c r="G29"/>
      <c r="H29"/>
      <c r="I29" s="34"/>
      <c r="J29"/>
      <c r="K29"/>
    </row>
    <row r="30" spans="1:14" ht="16">
      <c r="A30"/>
      <c r="B30"/>
      <c r="C30"/>
      <c r="D30"/>
      <c r="E30"/>
      <c r="F30"/>
      <c r="G30"/>
      <c r="H30"/>
      <c r="I30" s="34"/>
      <c r="J30"/>
      <c r="K30"/>
    </row>
    <row r="31" spans="1:14" ht="16">
      <c r="A31"/>
      <c r="B31"/>
      <c r="C31"/>
      <c r="D31"/>
      <c r="E31"/>
      <c r="F31"/>
      <c r="G31"/>
      <c r="H31"/>
      <c r="I31" s="34"/>
      <c r="J31"/>
      <c r="K31"/>
    </row>
    <row r="32" spans="1:14" ht="16">
      <c r="A32"/>
      <c r="B32"/>
      <c r="C32"/>
      <c r="D32"/>
      <c r="E32"/>
      <c r="F32"/>
      <c r="G32"/>
      <c r="H32"/>
      <c r="I32" s="34"/>
      <c r="J32"/>
      <c r="K32"/>
    </row>
    <row r="33" spans="1:11" ht="16">
      <c r="A33"/>
      <c r="B33"/>
      <c r="C33"/>
      <c r="D33"/>
      <c r="E33"/>
      <c r="F33"/>
      <c r="G33"/>
      <c r="H33"/>
      <c r="I33" s="34"/>
      <c r="J33"/>
      <c r="K33"/>
    </row>
  </sheetData>
  <pageMargins left="0.7" right="0.7" top="0.75" bottom="0.75" header="0.3" footer="0.3"/>
  <pageSetup orientation="landscape"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40D2-BA15-534A-8634-B34C73D50346}">
  <dimension ref="A1:BH31"/>
  <sheetViews>
    <sheetView topLeftCell="B1" zoomScaleNormal="100" workbookViewId="0">
      <selection activeCell="G46" sqref="G46"/>
    </sheetView>
  </sheetViews>
  <sheetFormatPr baseColWidth="10" defaultRowHeight="16"/>
  <cols>
    <col min="1" max="1" width="3.33203125" customWidth="1"/>
    <col min="2" max="2" width="4.5" bestFit="1" customWidth="1"/>
    <col min="3" max="3" width="3.6640625" bestFit="1" customWidth="1"/>
    <col min="5" max="5" width="3.33203125" customWidth="1"/>
    <col min="6" max="6" width="5.33203125" bestFit="1" customWidth="1"/>
    <col min="7" max="7" width="3.6640625" bestFit="1" customWidth="1"/>
    <col min="8" max="8" width="11" customWidth="1"/>
    <col min="9" max="9" width="3.83203125" customWidth="1"/>
    <col min="10" max="10" width="4.5" bestFit="1" customWidth="1"/>
    <col min="11" max="11" width="3.6640625" bestFit="1" customWidth="1"/>
    <col min="12" max="12" width="10.6640625" customWidth="1"/>
    <col min="13" max="13" width="3.6640625" customWidth="1"/>
    <col min="14" max="15" width="3.6640625" bestFit="1" customWidth="1"/>
    <col min="16" max="16" width="12.33203125" customWidth="1"/>
    <col min="17" max="17" width="3.33203125" customWidth="1"/>
    <col min="18" max="19" width="3.6640625" bestFit="1" customWidth="1"/>
    <col min="20" max="20" width="11.5" customWidth="1"/>
    <col min="21" max="21" width="3.33203125" customWidth="1"/>
    <col min="22" max="22" width="4.5" bestFit="1" customWidth="1"/>
    <col min="23" max="23" width="3.6640625" bestFit="1" customWidth="1"/>
    <col min="24" max="24" width="10.6640625" bestFit="1" customWidth="1"/>
    <col min="25" max="27" width="3.6640625" bestFit="1" customWidth="1"/>
    <col min="28" max="28" width="11.5" customWidth="1"/>
    <col min="29" max="31" width="3.6640625" bestFit="1" customWidth="1"/>
    <col min="32" max="32" width="11.1640625" customWidth="1"/>
    <col min="33" max="33" width="3.6640625" bestFit="1" customWidth="1"/>
    <col min="34" max="34" width="4.5" bestFit="1" customWidth="1"/>
    <col min="35" max="35" width="3.6640625" bestFit="1" customWidth="1"/>
    <col min="36" max="36" width="10.6640625" bestFit="1" customWidth="1"/>
    <col min="37" max="37" width="3.6640625" bestFit="1" customWidth="1"/>
    <col min="38" max="38" width="4.5" bestFit="1" customWidth="1"/>
    <col min="39" max="39" width="3.6640625" bestFit="1" customWidth="1"/>
    <col min="40" max="40" width="10.83203125" customWidth="1"/>
    <col min="41" max="41" width="3.6640625" bestFit="1" customWidth="1"/>
    <col min="42" max="42" width="4.5" bestFit="1" customWidth="1"/>
    <col min="43" max="43" width="3.6640625" bestFit="1" customWidth="1"/>
    <col min="44" max="44" width="10.6640625" bestFit="1" customWidth="1"/>
    <col min="45" max="47" width="3.6640625" bestFit="1" customWidth="1"/>
    <col min="48" max="48" width="11.33203125" customWidth="1"/>
    <col min="49" max="49" width="3.5" customWidth="1"/>
    <col min="50" max="51" width="3.6640625" bestFit="1" customWidth="1"/>
    <col min="52" max="52" width="11.83203125" customWidth="1"/>
    <col min="53" max="55" width="3.6640625" bestFit="1" customWidth="1"/>
    <col min="56" max="56" width="11.1640625" bestFit="1" customWidth="1"/>
    <col min="57" max="59" width="3.6640625" bestFit="1" customWidth="1"/>
    <col min="60" max="60" width="11" customWidth="1"/>
  </cols>
  <sheetData>
    <row r="1" spans="1:60">
      <c r="A1" s="71" t="s">
        <v>461</v>
      </c>
    </row>
    <row r="2" spans="1:60">
      <c r="A2" s="70" t="s">
        <v>111</v>
      </c>
      <c r="B2" s="63"/>
      <c r="C2" s="63"/>
      <c r="D2" s="62"/>
      <c r="E2" s="67" t="s">
        <v>460</v>
      </c>
      <c r="F2" s="63"/>
      <c r="G2" s="63"/>
      <c r="H2" s="62"/>
      <c r="I2" s="66" t="s">
        <v>33</v>
      </c>
      <c r="J2" s="68"/>
      <c r="K2" s="68"/>
      <c r="L2" s="69"/>
      <c r="M2" s="66" t="s">
        <v>69</v>
      </c>
      <c r="N2" s="68"/>
      <c r="O2" s="68"/>
      <c r="P2" s="68"/>
      <c r="Q2" s="67" t="s">
        <v>63</v>
      </c>
      <c r="R2" s="63"/>
      <c r="S2" s="63"/>
      <c r="T2" s="62"/>
      <c r="U2" s="65" t="s">
        <v>459</v>
      </c>
      <c r="V2" s="63"/>
      <c r="W2" s="63"/>
      <c r="X2" s="62"/>
      <c r="Y2" s="65" t="s">
        <v>458</v>
      </c>
      <c r="Z2" s="63"/>
      <c r="AA2" s="63"/>
      <c r="AB2" s="62"/>
      <c r="AC2" s="67" t="s">
        <v>457</v>
      </c>
      <c r="AD2" s="63"/>
      <c r="AE2" s="63"/>
      <c r="AF2" s="62"/>
      <c r="AG2" s="66" t="s">
        <v>51</v>
      </c>
      <c r="AH2" s="63"/>
      <c r="AI2" s="63"/>
      <c r="AJ2" s="62"/>
      <c r="AK2" s="65" t="s">
        <v>456</v>
      </c>
      <c r="AL2" s="63"/>
      <c r="AM2" s="63"/>
      <c r="AN2" s="62"/>
      <c r="AO2" s="65" t="s">
        <v>45</v>
      </c>
      <c r="AP2" s="63"/>
      <c r="AQ2" s="63"/>
      <c r="AR2" s="62"/>
      <c r="AS2" s="64" t="s">
        <v>455</v>
      </c>
      <c r="AT2" s="63"/>
      <c r="AU2" s="63"/>
      <c r="AV2" s="62"/>
      <c r="AW2" s="65" t="s">
        <v>454</v>
      </c>
      <c r="AX2" s="63"/>
      <c r="AY2" s="63"/>
      <c r="AZ2" s="62"/>
      <c r="BA2" s="64" t="s">
        <v>453</v>
      </c>
      <c r="BB2" s="63"/>
      <c r="BC2" s="63"/>
      <c r="BD2" s="62"/>
      <c r="BE2" s="64" t="s">
        <v>452</v>
      </c>
      <c r="BF2" s="63"/>
      <c r="BG2" s="63"/>
      <c r="BH2" s="62"/>
    </row>
    <row r="3" spans="1:60" ht="17">
      <c r="A3" s="61" t="s">
        <v>451</v>
      </c>
      <c r="B3" s="60" t="s">
        <v>450</v>
      </c>
      <c r="C3" s="60" t="s">
        <v>449</v>
      </c>
      <c r="D3" s="59" t="s">
        <v>448</v>
      </c>
      <c r="E3" s="61" t="s">
        <v>451</v>
      </c>
      <c r="F3" s="60" t="s">
        <v>450</v>
      </c>
      <c r="G3" s="60" t="s">
        <v>449</v>
      </c>
      <c r="H3" s="59" t="s">
        <v>448</v>
      </c>
      <c r="I3" s="61" t="s">
        <v>451</v>
      </c>
      <c r="J3" s="60" t="s">
        <v>450</v>
      </c>
      <c r="K3" s="60" t="s">
        <v>449</v>
      </c>
      <c r="L3" s="59" t="s">
        <v>448</v>
      </c>
      <c r="M3" s="61" t="s">
        <v>451</v>
      </c>
      <c r="N3" s="60" t="s">
        <v>450</v>
      </c>
      <c r="O3" s="60" t="s">
        <v>449</v>
      </c>
      <c r="P3" s="59" t="s">
        <v>448</v>
      </c>
      <c r="Q3" s="61" t="s">
        <v>451</v>
      </c>
      <c r="R3" s="60" t="s">
        <v>450</v>
      </c>
      <c r="S3" s="60" t="s">
        <v>449</v>
      </c>
      <c r="T3" s="59" t="s">
        <v>448</v>
      </c>
      <c r="U3" s="61" t="s">
        <v>451</v>
      </c>
      <c r="V3" s="60" t="s">
        <v>450</v>
      </c>
      <c r="W3" s="60" t="s">
        <v>449</v>
      </c>
      <c r="X3" s="59" t="s">
        <v>448</v>
      </c>
      <c r="Y3" s="61" t="s">
        <v>451</v>
      </c>
      <c r="Z3" s="60" t="s">
        <v>450</v>
      </c>
      <c r="AA3" s="60" t="s">
        <v>449</v>
      </c>
      <c r="AB3" s="59" t="s">
        <v>448</v>
      </c>
      <c r="AC3" s="61" t="s">
        <v>451</v>
      </c>
      <c r="AD3" s="60" t="s">
        <v>450</v>
      </c>
      <c r="AE3" s="60" t="s">
        <v>449</v>
      </c>
      <c r="AF3" s="59" t="s">
        <v>448</v>
      </c>
      <c r="AG3" s="61" t="s">
        <v>451</v>
      </c>
      <c r="AH3" s="60" t="s">
        <v>450</v>
      </c>
      <c r="AI3" s="60" t="s">
        <v>449</v>
      </c>
      <c r="AJ3" s="59" t="s">
        <v>448</v>
      </c>
      <c r="AK3" s="61" t="s">
        <v>451</v>
      </c>
      <c r="AL3" s="60" t="s">
        <v>450</v>
      </c>
      <c r="AM3" s="60" t="s">
        <v>449</v>
      </c>
      <c r="AN3" s="59" t="s">
        <v>448</v>
      </c>
      <c r="AO3" s="61" t="s">
        <v>451</v>
      </c>
      <c r="AP3" s="60" t="s">
        <v>450</v>
      </c>
      <c r="AQ3" s="60" t="s">
        <v>449</v>
      </c>
      <c r="AR3" s="59" t="s">
        <v>448</v>
      </c>
      <c r="AS3" s="61" t="s">
        <v>451</v>
      </c>
      <c r="AT3" s="60" t="s">
        <v>450</v>
      </c>
      <c r="AU3" s="60" t="s">
        <v>449</v>
      </c>
      <c r="AV3" s="59" t="s">
        <v>448</v>
      </c>
      <c r="AW3" s="61" t="s">
        <v>451</v>
      </c>
      <c r="AX3" s="60" t="s">
        <v>450</v>
      </c>
      <c r="AY3" s="60" t="s">
        <v>449</v>
      </c>
      <c r="AZ3" s="59" t="s">
        <v>448</v>
      </c>
      <c r="BA3" s="61" t="s">
        <v>451</v>
      </c>
      <c r="BB3" s="60" t="s">
        <v>450</v>
      </c>
      <c r="BC3" s="60" t="s">
        <v>449</v>
      </c>
      <c r="BD3" s="59" t="s">
        <v>448</v>
      </c>
      <c r="BE3" s="61" t="s">
        <v>451</v>
      </c>
      <c r="BF3" s="60" t="s">
        <v>450</v>
      </c>
      <c r="BG3" s="60" t="s">
        <v>449</v>
      </c>
      <c r="BH3" s="59" t="s">
        <v>448</v>
      </c>
    </row>
    <row r="4" spans="1:60">
      <c r="A4" s="55">
        <v>1</v>
      </c>
      <c r="B4" s="37">
        <v>142</v>
      </c>
      <c r="C4" s="37">
        <v>73</v>
      </c>
      <c r="D4" s="37" t="s">
        <v>447</v>
      </c>
      <c r="E4" s="55">
        <v>1</v>
      </c>
      <c r="F4" s="37">
        <v>100</v>
      </c>
      <c r="G4" s="37">
        <v>33</v>
      </c>
      <c r="H4" s="54" t="s">
        <v>446</v>
      </c>
      <c r="I4" s="38">
        <v>1</v>
      </c>
      <c r="J4" s="38">
        <v>115</v>
      </c>
      <c r="K4" s="38">
        <v>42</v>
      </c>
      <c r="L4" s="56" t="s">
        <v>445</v>
      </c>
      <c r="M4" s="55">
        <v>1</v>
      </c>
      <c r="N4" s="37">
        <v>47</v>
      </c>
      <c r="O4" s="37">
        <v>18</v>
      </c>
      <c r="P4" s="58" t="s">
        <v>444</v>
      </c>
      <c r="Q4" s="37">
        <v>1</v>
      </c>
      <c r="R4" s="37">
        <v>17</v>
      </c>
      <c r="S4" s="37">
        <v>6</v>
      </c>
      <c r="T4" s="54" t="s">
        <v>443</v>
      </c>
      <c r="U4" s="57">
        <v>1</v>
      </c>
      <c r="V4" s="37">
        <v>119</v>
      </c>
      <c r="W4" s="37">
        <v>67</v>
      </c>
      <c r="X4" s="54" t="s">
        <v>442</v>
      </c>
      <c r="Y4" s="37">
        <v>1</v>
      </c>
      <c r="Z4" s="37">
        <v>20</v>
      </c>
      <c r="AA4" s="37">
        <v>9</v>
      </c>
      <c r="AB4" s="54" t="s">
        <v>441</v>
      </c>
      <c r="AC4" s="55">
        <v>1</v>
      </c>
      <c r="AD4" s="37">
        <v>45</v>
      </c>
      <c r="AE4" s="37">
        <v>18</v>
      </c>
      <c r="AF4" s="54" t="s">
        <v>440</v>
      </c>
      <c r="AG4" s="37">
        <v>1</v>
      </c>
      <c r="AH4" s="37">
        <v>54</v>
      </c>
      <c r="AI4" s="37">
        <v>24</v>
      </c>
      <c r="AJ4" s="54" t="s">
        <v>439</v>
      </c>
      <c r="AK4" s="37">
        <v>1</v>
      </c>
      <c r="AL4" s="37">
        <v>174</v>
      </c>
      <c r="AM4" s="37">
        <v>96</v>
      </c>
      <c r="AN4" s="54" t="s">
        <v>438</v>
      </c>
      <c r="AO4" s="55">
        <v>1</v>
      </c>
      <c r="AP4" s="37">
        <v>32</v>
      </c>
      <c r="AQ4" s="37">
        <v>15</v>
      </c>
      <c r="AR4" s="54" t="s">
        <v>437</v>
      </c>
      <c r="AS4" s="37">
        <v>1</v>
      </c>
      <c r="AT4" s="37">
        <v>12</v>
      </c>
      <c r="AU4" s="37">
        <v>8</v>
      </c>
      <c r="AV4" s="54" t="s">
        <v>436</v>
      </c>
      <c r="AW4" s="55">
        <v>1</v>
      </c>
      <c r="AX4" s="37">
        <v>26</v>
      </c>
      <c r="AY4" s="37">
        <v>20</v>
      </c>
      <c r="AZ4" s="54" t="s">
        <v>435</v>
      </c>
      <c r="BA4" s="37">
        <v>1</v>
      </c>
      <c r="BB4" s="37">
        <v>29</v>
      </c>
      <c r="BC4" s="37">
        <v>46</v>
      </c>
      <c r="BD4" s="54" t="s">
        <v>434</v>
      </c>
      <c r="BE4" s="37">
        <v>1</v>
      </c>
      <c r="BF4" s="37">
        <v>37</v>
      </c>
      <c r="BG4" s="37">
        <v>54</v>
      </c>
      <c r="BH4" s="54" t="s">
        <v>433</v>
      </c>
    </row>
    <row r="5" spans="1:60">
      <c r="A5" s="55">
        <v>2</v>
      </c>
      <c r="B5" s="37">
        <v>100</v>
      </c>
      <c r="C5" s="37">
        <v>38</v>
      </c>
      <c r="D5" s="37" t="s">
        <v>432</v>
      </c>
      <c r="E5" s="55">
        <v>2</v>
      </c>
      <c r="F5" s="37">
        <v>61</v>
      </c>
      <c r="G5" s="37">
        <v>32</v>
      </c>
      <c r="H5" s="54" t="s">
        <v>431</v>
      </c>
      <c r="I5" s="38">
        <v>2</v>
      </c>
      <c r="J5" s="38">
        <v>110</v>
      </c>
      <c r="K5" s="38">
        <v>33</v>
      </c>
      <c r="L5" s="56" t="s">
        <v>430</v>
      </c>
      <c r="M5" s="55">
        <v>2</v>
      </c>
      <c r="N5" s="37">
        <v>88</v>
      </c>
      <c r="O5" s="37">
        <v>27</v>
      </c>
      <c r="P5" s="54" t="s">
        <v>429</v>
      </c>
      <c r="Q5" s="37">
        <v>2</v>
      </c>
      <c r="R5" s="37">
        <v>12</v>
      </c>
      <c r="S5" s="37">
        <v>10</v>
      </c>
      <c r="T5" s="54" t="s">
        <v>428</v>
      </c>
      <c r="U5" s="55">
        <v>2</v>
      </c>
      <c r="V5" s="37">
        <v>31</v>
      </c>
      <c r="W5" s="37">
        <v>15</v>
      </c>
      <c r="X5" s="54" t="s">
        <v>427</v>
      </c>
      <c r="Y5" s="37">
        <v>2</v>
      </c>
      <c r="Z5" s="37">
        <v>37</v>
      </c>
      <c r="AA5" s="37">
        <v>13</v>
      </c>
      <c r="AB5" s="54" t="s">
        <v>426</v>
      </c>
      <c r="AC5" s="55">
        <v>2</v>
      </c>
      <c r="AD5" s="37">
        <v>54</v>
      </c>
      <c r="AE5" s="37">
        <v>22</v>
      </c>
      <c r="AF5" s="54" t="s">
        <v>425</v>
      </c>
      <c r="AG5" s="37">
        <v>2</v>
      </c>
      <c r="AH5" s="37">
        <v>182</v>
      </c>
      <c r="AI5" s="37">
        <v>86</v>
      </c>
      <c r="AJ5" s="54" t="s">
        <v>424</v>
      </c>
      <c r="AK5" s="37">
        <v>2</v>
      </c>
      <c r="AL5" s="37">
        <v>126</v>
      </c>
      <c r="AM5" s="37">
        <v>84</v>
      </c>
      <c r="AN5" s="54" t="s">
        <v>423</v>
      </c>
      <c r="AO5" s="55">
        <v>2</v>
      </c>
      <c r="AP5" s="37">
        <v>25</v>
      </c>
      <c r="AQ5" s="37">
        <v>14</v>
      </c>
      <c r="AR5" s="54" t="s">
        <v>422</v>
      </c>
      <c r="AS5" s="37">
        <v>2</v>
      </c>
      <c r="AT5" s="37">
        <v>13</v>
      </c>
      <c r="AU5" s="37">
        <v>5</v>
      </c>
      <c r="AV5" s="54" t="s">
        <v>421</v>
      </c>
      <c r="AW5" s="55">
        <v>2</v>
      </c>
      <c r="AX5" s="37">
        <v>27</v>
      </c>
      <c r="AY5" s="37">
        <v>25</v>
      </c>
      <c r="AZ5" s="54" t="s">
        <v>420</v>
      </c>
      <c r="BA5" s="37">
        <v>2</v>
      </c>
      <c r="BB5" s="37">
        <v>54</v>
      </c>
      <c r="BC5" s="37">
        <v>71</v>
      </c>
      <c r="BD5" s="54" t="s">
        <v>419</v>
      </c>
      <c r="BE5" s="37">
        <v>2</v>
      </c>
      <c r="BF5" s="37">
        <v>11</v>
      </c>
      <c r="BG5" s="37">
        <v>12</v>
      </c>
      <c r="BH5" s="54" t="s">
        <v>418</v>
      </c>
    </row>
    <row r="6" spans="1:60">
      <c r="A6" s="55">
        <v>3</v>
      </c>
      <c r="B6" s="37">
        <v>82</v>
      </c>
      <c r="C6" s="37">
        <v>25</v>
      </c>
      <c r="D6" s="37" t="s">
        <v>417</v>
      </c>
      <c r="E6" s="55">
        <v>3</v>
      </c>
      <c r="F6" s="37">
        <v>67</v>
      </c>
      <c r="G6" s="37">
        <v>25</v>
      </c>
      <c r="H6" s="54" t="s">
        <v>416</v>
      </c>
      <c r="I6" s="38">
        <v>3</v>
      </c>
      <c r="J6" s="38">
        <v>87</v>
      </c>
      <c r="K6" s="38">
        <v>29</v>
      </c>
      <c r="L6" s="56" t="s">
        <v>415</v>
      </c>
      <c r="M6" s="55">
        <v>3</v>
      </c>
      <c r="N6" s="37">
        <v>42</v>
      </c>
      <c r="O6" s="37">
        <v>28</v>
      </c>
      <c r="P6" s="54" t="s">
        <v>414</v>
      </c>
      <c r="Q6" s="37">
        <v>3</v>
      </c>
      <c r="R6" s="37">
        <v>12</v>
      </c>
      <c r="S6" s="37">
        <v>6</v>
      </c>
      <c r="T6" s="54" t="s">
        <v>413</v>
      </c>
      <c r="U6" s="55">
        <v>3</v>
      </c>
      <c r="V6" s="37">
        <v>65</v>
      </c>
      <c r="W6" s="37">
        <v>28</v>
      </c>
      <c r="X6" s="54" t="s">
        <v>412</v>
      </c>
      <c r="Y6" s="37">
        <v>3</v>
      </c>
      <c r="Z6" s="37">
        <v>16</v>
      </c>
      <c r="AA6" s="37">
        <v>7</v>
      </c>
      <c r="AB6" s="54" t="s">
        <v>411</v>
      </c>
      <c r="AC6" s="55">
        <v>3</v>
      </c>
      <c r="AD6" s="37">
        <v>46</v>
      </c>
      <c r="AE6" s="37">
        <v>18</v>
      </c>
      <c r="AF6" s="54" t="s">
        <v>410</v>
      </c>
      <c r="AG6" s="37">
        <v>3</v>
      </c>
      <c r="AH6" s="37">
        <v>32</v>
      </c>
      <c r="AI6" s="37">
        <v>20</v>
      </c>
      <c r="AJ6" s="54" t="s">
        <v>409</v>
      </c>
      <c r="AK6" s="37">
        <v>3</v>
      </c>
      <c r="AL6" s="37">
        <v>66</v>
      </c>
      <c r="AM6" s="37">
        <v>36</v>
      </c>
      <c r="AN6" s="54" t="s">
        <v>408</v>
      </c>
      <c r="AO6" s="55">
        <v>3</v>
      </c>
      <c r="AP6" s="37">
        <v>84</v>
      </c>
      <c r="AQ6" s="37">
        <v>53</v>
      </c>
      <c r="AR6" s="54" t="s">
        <v>407</v>
      </c>
      <c r="AS6" s="37">
        <v>3</v>
      </c>
      <c r="AT6" s="37">
        <v>18</v>
      </c>
      <c r="AU6" s="37">
        <v>13</v>
      </c>
      <c r="AV6" s="54" t="s">
        <v>406</v>
      </c>
      <c r="AW6" s="55">
        <v>3</v>
      </c>
      <c r="AX6" s="37">
        <v>33</v>
      </c>
      <c r="AY6" s="37">
        <v>60</v>
      </c>
      <c r="AZ6" s="54" t="s">
        <v>405</v>
      </c>
      <c r="BA6" s="37">
        <v>3</v>
      </c>
      <c r="BB6" s="37">
        <v>17</v>
      </c>
      <c r="BC6" s="37">
        <v>26</v>
      </c>
      <c r="BD6" s="54" t="s">
        <v>404</v>
      </c>
      <c r="BE6" s="37">
        <v>3</v>
      </c>
      <c r="BF6" s="37">
        <v>31</v>
      </c>
      <c r="BG6" s="37">
        <v>49</v>
      </c>
      <c r="BH6" s="54" t="s">
        <v>403</v>
      </c>
    </row>
    <row r="7" spans="1:60">
      <c r="A7" s="55">
        <v>4</v>
      </c>
      <c r="B7" s="37">
        <v>45</v>
      </c>
      <c r="C7" s="37">
        <v>27</v>
      </c>
      <c r="D7" s="37" t="s">
        <v>402</v>
      </c>
      <c r="E7" s="55">
        <v>4</v>
      </c>
      <c r="F7" s="37">
        <v>143</v>
      </c>
      <c r="G7" s="37">
        <v>60</v>
      </c>
      <c r="H7" s="54" t="s">
        <v>401</v>
      </c>
      <c r="I7" s="38">
        <v>4</v>
      </c>
      <c r="J7" s="38">
        <v>109</v>
      </c>
      <c r="K7" s="38">
        <v>54</v>
      </c>
      <c r="L7" s="56" t="s">
        <v>400</v>
      </c>
      <c r="M7" s="55">
        <v>4</v>
      </c>
      <c r="N7" s="37">
        <v>32</v>
      </c>
      <c r="O7" s="37">
        <v>12</v>
      </c>
      <c r="P7" s="54" t="s">
        <v>399</v>
      </c>
      <c r="Q7" s="37">
        <v>4</v>
      </c>
      <c r="R7" s="37">
        <v>10</v>
      </c>
      <c r="S7" s="37">
        <v>5</v>
      </c>
      <c r="T7" s="54" t="s">
        <v>398</v>
      </c>
      <c r="U7" s="55">
        <v>4</v>
      </c>
      <c r="V7" s="37">
        <v>23</v>
      </c>
      <c r="W7" s="37">
        <v>15</v>
      </c>
      <c r="X7" s="54" t="s">
        <v>397</v>
      </c>
      <c r="Y7" s="37">
        <v>4</v>
      </c>
      <c r="Z7" s="37">
        <v>20</v>
      </c>
      <c r="AA7" s="37">
        <v>18</v>
      </c>
      <c r="AB7" s="54" t="s">
        <v>396</v>
      </c>
      <c r="AC7" s="55">
        <v>4</v>
      </c>
      <c r="AD7" s="37">
        <v>31</v>
      </c>
      <c r="AE7" s="37">
        <v>18</v>
      </c>
      <c r="AF7" s="54" t="s">
        <v>395</v>
      </c>
      <c r="AG7" s="37">
        <v>4</v>
      </c>
      <c r="AH7" s="37">
        <v>97</v>
      </c>
      <c r="AI7" s="37">
        <v>58</v>
      </c>
      <c r="AJ7" s="54" t="s">
        <v>394</v>
      </c>
      <c r="AK7" s="37">
        <v>4</v>
      </c>
      <c r="AL7" s="37">
        <v>75</v>
      </c>
      <c r="AM7" s="37">
        <v>38</v>
      </c>
      <c r="AN7" s="54" t="s">
        <v>393</v>
      </c>
      <c r="AO7" s="55">
        <v>4</v>
      </c>
      <c r="AP7" s="37">
        <v>96</v>
      </c>
      <c r="AQ7" s="37">
        <v>59</v>
      </c>
      <c r="AR7" s="54" t="s">
        <v>392</v>
      </c>
      <c r="AS7" s="37">
        <v>4</v>
      </c>
      <c r="AT7" s="37">
        <v>6</v>
      </c>
      <c r="AU7" s="37">
        <v>9</v>
      </c>
      <c r="AV7" s="54" t="s">
        <v>391</v>
      </c>
      <c r="AW7" s="55">
        <v>4</v>
      </c>
      <c r="AX7" s="37">
        <v>77</v>
      </c>
      <c r="AY7" s="37">
        <v>64</v>
      </c>
      <c r="AZ7" s="54" t="s">
        <v>390</v>
      </c>
      <c r="BA7" s="37">
        <v>4</v>
      </c>
      <c r="BB7" s="37">
        <v>29</v>
      </c>
      <c r="BC7" s="37">
        <v>53</v>
      </c>
      <c r="BD7" s="54" t="s">
        <v>389</v>
      </c>
      <c r="BE7" s="37">
        <v>4</v>
      </c>
      <c r="BF7" s="37">
        <v>24</v>
      </c>
      <c r="BG7" s="37">
        <v>25</v>
      </c>
      <c r="BH7" s="54" t="s">
        <v>388</v>
      </c>
    </row>
    <row r="8" spans="1:60">
      <c r="A8" s="55">
        <v>5</v>
      </c>
      <c r="B8" s="37">
        <v>123</v>
      </c>
      <c r="C8" s="37">
        <v>63</v>
      </c>
      <c r="D8" s="37" t="s">
        <v>387</v>
      </c>
      <c r="E8" s="55">
        <v>5</v>
      </c>
      <c r="F8" s="37">
        <v>73</v>
      </c>
      <c r="G8" s="37">
        <v>36</v>
      </c>
      <c r="H8" s="54" t="s">
        <v>386</v>
      </c>
      <c r="I8" s="38">
        <v>5</v>
      </c>
      <c r="J8" s="38">
        <v>72</v>
      </c>
      <c r="K8" s="38">
        <v>33</v>
      </c>
      <c r="L8" s="56" t="s">
        <v>385</v>
      </c>
      <c r="M8" s="55">
        <v>5</v>
      </c>
      <c r="N8" s="37">
        <v>19</v>
      </c>
      <c r="O8" s="37">
        <v>13</v>
      </c>
      <c r="P8" s="54" t="s">
        <v>384</v>
      </c>
      <c r="Q8" s="37">
        <v>5</v>
      </c>
      <c r="R8" s="37">
        <v>18</v>
      </c>
      <c r="S8" s="37">
        <v>10</v>
      </c>
      <c r="T8" s="54" t="s">
        <v>383</v>
      </c>
      <c r="U8" s="55">
        <v>5</v>
      </c>
      <c r="V8" s="37">
        <v>55</v>
      </c>
      <c r="W8" s="37">
        <v>30</v>
      </c>
      <c r="X8" s="54" t="s">
        <v>382</v>
      </c>
      <c r="Y8" s="37">
        <v>5</v>
      </c>
      <c r="Z8" s="37">
        <v>17</v>
      </c>
      <c r="AA8" s="37">
        <v>24</v>
      </c>
      <c r="AB8" s="54" t="s">
        <v>381</v>
      </c>
      <c r="AC8" s="55">
        <v>5</v>
      </c>
      <c r="AD8" s="37">
        <v>36</v>
      </c>
      <c r="AE8" s="37">
        <v>21</v>
      </c>
      <c r="AF8" s="54" t="s">
        <v>336</v>
      </c>
      <c r="AG8" s="37">
        <v>5</v>
      </c>
      <c r="AH8" s="37">
        <v>171</v>
      </c>
      <c r="AI8" s="37">
        <v>102</v>
      </c>
      <c r="AJ8" s="54" t="s">
        <v>380</v>
      </c>
      <c r="AK8" s="37">
        <v>5</v>
      </c>
      <c r="AL8" s="37">
        <v>155</v>
      </c>
      <c r="AM8" s="37">
        <v>84</v>
      </c>
      <c r="AN8" s="54" t="s">
        <v>379</v>
      </c>
      <c r="AO8" s="55">
        <v>5</v>
      </c>
      <c r="AP8" s="37">
        <v>48</v>
      </c>
      <c r="AQ8" s="37">
        <v>25</v>
      </c>
      <c r="AR8" s="54" t="s">
        <v>378</v>
      </c>
      <c r="AS8" s="37">
        <v>5</v>
      </c>
      <c r="AT8" s="37">
        <v>27</v>
      </c>
      <c r="AU8" s="37">
        <v>20</v>
      </c>
      <c r="AV8" s="54" t="s">
        <v>377</v>
      </c>
      <c r="AW8" s="55">
        <v>5</v>
      </c>
      <c r="AX8" s="37">
        <v>20</v>
      </c>
      <c r="AY8" s="37">
        <v>18</v>
      </c>
      <c r="AZ8" s="54" t="s">
        <v>376</v>
      </c>
      <c r="BA8" s="37">
        <v>5</v>
      </c>
      <c r="BB8" s="37">
        <v>51</v>
      </c>
      <c r="BC8" s="37">
        <v>56</v>
      </c>
      <c r="BD8" s="54" t="s">
        <v>375</v>
      </c>
      <c r="BE8" s="37">
        <v>5</v>
      </c>
      <c r="BF8" s="37">
        <v>13</v>
      </c>
      <c r="BG8" s="37">
        <v>15</v>
      </c>
      <c r="BH8" s="54" t="s">
        <v>374</v>
      </c>
    </row>
    <row r="9" spans="1:60">
      <c r="A9" s="55">
        <v>6</v>
      </c>
      <c r="B9" s="37">
        <v>98</v>
      </c>
      <c r="C9" s="37">
        <v>49</v>
      </c>
      <c r="D9" s="37" t="s">
        <v>373</v>
      </c>
      <c r="E9" s="55">
        <v>6</v>
      </c>
      <c r="F9" s="37">
        <v>57</v>
      </c>
      <c r="G9" s="37">
        <v>24</v>
      </c>
      <c r="H9" s="54" t="s">
        <v>372</v>
      </c>
      <c r="I9" s="38">
        <v>5</v>
      </c>
      <c r="J9" s="38">
        <v>62</v>
      </c>
      <c r="K9" s="38">
        <v>24</v>
      </c>
      <c r="L9" s="56" t="s">
        <v>371</v>
      </c>
      <c r="M9" s="55">
        <v>6</v>
      </c>
      <c r="N9" s="37">
        <v>39</v>
      </c>
      <c r="O9" s="37">
        <v>17</v>
      </c>
      <c r="P9" s="54" t="s">
        <v>370</v>
      </c>
      <c r="Q9" s="37">
        <v>6</v>
      </c>
      <c r="R9" s="37">
        <v>10</v>
      </c>
      <c r="S9" s="37">
        <v>4</v>
      </c>
      <c r="T9" s="54" t="s">
        <v>369</v>
      </c>
      <c r="U9" s="55">
        <v>6</v>
      </c>
      <c r="V9" s="37">
        <v>43</v>
      </c>
      <c r="W9" s="37">
        <v>40</v>
      </c>
      <c r="X9" s="54" t="s">
        <v>368</v>
      </c>
      <c r="Y9" s="37">
        <v>6</v>
      </c>
      <c r="Z9" s="37">
        <v>27</v>
      </c>
      <c r="AA9" s="37">
        <v>16</v>
      </c>
      <c r="AB9" s="54" t="s">
        <v>367</v>
      </c>
      <c r="AC9" s="55">
        <v>6</v>
      </c>
      <c r="AD9" s="37">
        <v>35</v>
      </c>
      <c r="AE9" s="37">
        <v>25</v>
      </c>
      <c r="AF9" s="54" t="s">
        <v>366</v>
      </c>
      <c r="AG9" s="37">
        <v>6</v>
      </c>
      <c r="AH9" s="37">
        <v>85</v>
      </c>
      <c r="AI9" s="37">
        <v>39</v>
      </c>
      <c r="AJ9" s="54" t="s">
        <v>365</v>
      </c>
      <c r="AK9" s="37">
        <v>6</v>
      </c>
      <c r="AL9" s="37">
        <v>131</v>
      </c>
      <c r="AM9" s="37">
        <v>74</v>
      </c>
      <c r="AN9" s="54" t="s">
        <v>364</v>
      </c>
      <c r="AO9" s="55">
        <v>6</v>
      </c>
      <c r="AP9" s="37">
        <v>43</v>
      </c>
      <c r="AQ9" s="37">
        <v>28</v>
      </c>
      <c r="AR9" s="54" t="s">
        <v>363</v>
      </c>
      <c r="AS9" s="37">
        <v>6</v>
      </c>
      <c r="AT9" s="37">
        <v>12</v>
      </c>
      <c r="AU9" s="37">
        <v>10</v>
      </c>
      <c r="AV9" s="54" t="s">
        <v>362</v>
      </c>
      <c r="AW9" s="55">
        <v>6</v>
      </c>
      <c r="AX9" s="37">
        <v>35</v>
      </c>
      <c r="AY9" s="37">
        <v>28</v>
      </c>
      <c r="AZ9" s="54" t="s">
        <v>361</v>
      </c>
      <c r="BA9" s="37">
        <v>6</v>
      </c>
      <c r="BB9" s="37">
        <v>30</v>
      </c>
      <c r="BC9" s="37">
        <v>41</v>
      </c>
      <c r="BD9" s="54" t="s">
        <v>360</v>
      </c>
      <c r="BE9" s="37">
        <v>6</v>
      </c>
      <c r="BF9" s="37">
        <v>29</v>
      </c>
      <c r="BG9" s="37">
        <v>34</v>
      </c>
      <c r="BH9" s="54" t="s">
        <v>359</v>
      </c>
    </row>
    <row r="10" spans="1:60">
      <c r="A10" s="55">
        <v>7</v>
      </c>
      <c r="B10" s="37">
        <v>58</v>
      </c>
      <c r="C10" s="37">
        <v>33</v>
      </c>
      <c r="D10" s="37" t="s">
        <v>358</v>
      </c>
      <c r="E10" s="55">
        <v>7</v>
      </c>
      <c r="F10" s="37">
        <v>48</v>
      </c>
      <c r="G10" s="37">
        <v>12</v>
      </c>
      <c r="H10" s="54" t="s">
        <v>357</v>
      </c>
      <c r="I10" s="38">
        <v>5</v>
      </c>
      <c r="J10" s="38">
        <v>58</v>
      </c>
      <c r="K10" s="38">
        <v>21</v>
      </c>
      <c r="L10" s="56" t="s">
        <v>356</v>
      </c>
      <c r="M10" s="55">
        <v>7</v>
      </c>
      <c r="N10" s="37">
        <v>26</v>
      </c>
      <c r="O10" s="37">
        <v>9</v>
      </c>
      <c r="P10" s="54" t="s">
        <v>355</v>
      </c>
      <c r="Q10" s="37">
        <v>7</v>
      </c>
      <c r="R10" s="37">
        <v>10</v>
      </c>
      <c r="S10" s="37">
        <v>6</v>
      </c>
      <c r="T10" s="54" t="s">
        <v>354</v>
      </c>
      <c r="U10" s="55">
        <v>7</v>
      </c>
      <c r="V10" s="37">
        <v>39</v>
      </c>
      <c r="W10" s="37">
        <v>16</v>
      </c>
      <c r="X10" s="54" t="s">
        <v>353</v>
      </c>
      <c r="Y10" s="37">
        <v>7</v>
      </c>
      <c r="Z10" s="37">
        <v>29</v>
      </c>
      <c r="AA10" s="37">
        <v>19</v>
      </c>
      <c r="AB10" s="54" t="s">
        <v>352</v>
      </c>
      <c r="AC10" s="55">
        <v>7</v>
      </c>
      <c r="AD10" s="37">
        <v>96</v>
      </c>
      <c r="AE10" s="37">
        <v>38</v>
      </c>
      <c r="AF10" s="54" t="s">
        <v>351</v>
      </c>
      <c r="AG10" s="37">
        <v>7</v>
      </c>
      <c r="AH10" s="37">
        <v>122</v>
      </c>
      <c r="AI10" s="37">
        <v>53</v>
      </c>
      <c r="AJ10" s="54" t="s">
        <v>350</v>
      </c>
      <c r="AK10" s="37">
        <v>7</v>
      </c>
      <c r="AL10" s="37">
        <v>36</v>
      </c>
      <c r="AM10" s="37">
        <v>20</v>
      </c>
      <c r="AN10" s="54" t="s">
        <v>349</v>
      </c>
      <c r="AO10" s="55">
        <v>7</v>
      </c>
      <c r="AP10" s="37">
        <v>88</v>
      </c>
      <c r="AQ10" s="37">
        <v>69</v>
      </c>
      <c r="AR10" s="54" t="s">
        <v>348</v>
      </c>
      <c r="AS10" s="37">
        <v>7</v>
      </c>
      <c r="AT10" s="37">
        <v>40</v>
      </c>
      <c r="AU10" s="37">
        <v>27</v>
      </c>
      <c r="AV10" s="54" t="s">
        <v>347</v>
      </c>
      <c r="AW10" s="55">
        <v>7</v>
      </c>
      <c r="AX10" s="37">
        <v>57</v>
      </c>
      <c r="AY10" s="37">
        <v>45</v>
      </c>
      <c r="AZ10" s="54" t="s">
        <v>346</v>
      </c>
      <c r="BA10" s="37">
        <v>7</v>
      </c>
      <c r="BB10" s="37">
        <v>38</v>
      </c>
      <c r="BC10" s="37">
        <v>40</v>
      </c>
      <c r="BD10" s="54" t="s">
        <v>345</v>
      </c>
      <c r="BE10" s="37">
        <v>7</v>
      </c>
      <c r="BF10" s="37">
        <v>14</v>
      </c>
      <c r="BG10" s="37">
        <v>16</v>
      </c>
      <c r="BH10" s="54" t="s">
        <v>344</v>
      </c>
    </row>
    <row r="11" spans="1:60">
      <c r="A11" s="55">
        <v>8</v>
      </c>
      <c r="B11" s="37">
        <v>65</v>
      </c>
      <c r="C11" s="37">
        <v>34</v>
      </c>
      <c r="D11" s="37" t="s">
        <v>343</v>
      </c>
      <c r="E11" s="55">
        <v>8</v>
      </c>
      <c r="F11" s="37">
        <v>147</v>
      </c>
      <c r="G11" s="37">
        <v>55</v>
      </c>
      <c r="H11" s="54" t="s">
        <v>342</v>
      </c>
      <c r="I11" s="38">
        <v>5</v>
      </c>
      <c r="J11" s="38">
        <v>35</v>
      </c>
      <c r="K11" s="38">
        <v>16</v>
      </c>
      <c r="L11" s="56" t="s">
        <v>341</v>
      </c>
      <c r="M11" s="55">
        <v>8</v>
      </c>
      <c r="N11" s="37">
        <v>48</v>
      </c>
      <c r="O11" s="37">
        <v>29</v>
      </c>
      <c r="P11" s="54" t="s">
        <v>340</v>
      </c>
      <c r="Q11" s="37">
        <v>8</v>
      </c>
      <c r="R11" s="37">
        <v>24</v>
      </c>
      <c r="S11" s="37">
        <v>11</v>
      </c>
      <c r="T11" s="54" t="s">
        <v>339</v>
      </c>
      <c r="U11" s="55">
        <v>8</v>
      </c>
      <c r="V11" s="37">
        <v>110</v>
      </c>
      <c r="W11" s="37">
        <v>49</v>
      </c>
      <c r="X11" s="54" t="s">
        <v>338</v>
      </c>
      <c r="Y11" s="37">
        <v>8</v>
      </c>
      <c r="Z11" s="37">
        <v>40</v>
      </c>
      <c r="AA11" s="37">
        <v>14</v>
      </c>
      <c r="AB11" s="54" t="s">
        <v>337</v>
      </c>
      <c r="AC11" s="55">
        <v>8</v>
      </c>
      <c r="AD11" s="37">
        <v>36</v>
      </c>
      <c r="AE11" s="37">
        <v>21</v>
      </c>
      <c r="AF11" s="54" t="s">
        <v>336</v>
      </c>
      <c r="AG11" s="37">
        <v>8</v>
      </c>
      <c r="AH11" s="37">
        <v>156</v>
      </c>
      <c r="AI11" s="37">
        <v>70</v>
      </c>
      <c r="AJ11" s="54" t="s">
        <v>335</v>
      </c>
      <c r="AK11" s="37">
        <v>8</v>
      </c>
      <c r="AL11" s="37">
        <v>67</v>
      </c>
      <c r="AM11" s="37">
        <v>45</v>
      </c>
      <c r="AN11" s="54" t="s">
        <v>334</v>
      </c>
      <c r="AO11" s="55">
        <v>8</v>
      </c>
      <c r="AP11" s="37">
        <v>24</v>
      </c>
      <c r="AQ11" s="37">
        <v>14</v>
      </c>
      <c r="AR11" s="54" t="s">
        <v>333</v>
      </c>
      <c r="AS11" s="37">
        <v>8</v>
      </c>
      <c r="AT11" s="37">
        <v>34</v>
      </c>
      <c r="AU11" s="37">
        <v>26</v>
      </c>
      <c r="AV11" s="54" t="s">
        <v>332</v>
      </c>
      <c r="AW11" s="55">
        <v>8</v>
      </c>
      <c r="AX11" s="37">
        <v>24</v>
      </c>
      <c r="AY11" s="37">
        <v>17</v>
      </c>
      <c r="AZ11" s="54" t="s">
        <v>331</v>
      </c>
      <c r="BA11" s="37">
        <v>8</v>
      </c>
      <c r="BB11" s="37">
        <v>61</v>
      </c>
      <c r="BC11" s="37">
        <v>63</v>
      </c>
      <c r="BD11" s="54" t="s">
        <v>330</v>
      </c>
      <c r="BE11" s="37">
        <v>8</v>
      </c>
      <c r="BF11" s="37">
        <v>42</v>
      </c>
      <c r="BG11" s="37">
        <v>41</v>
      </c>
      <c r="BH11" s="54" t="s">
        <v>329</v>
      </c>
    </row>
    <row r="12" spans="1:60">
      <c r="A12" s="55">
        <v>9</v>
      </c>
      <c r="B12" s="37">
        <v>51</v>
      </c>
      <c r="C12" s="37">
        <v>16</v>
      </c>
      <c r="D12" s="37" t="s">
        <v>328</v>
      </c>
      <c r="E12" s="55">
        <v>9</v>
      </c>
      <c r="F12" s="37">
        <v>34</v>
      </c>
      <c r="G12" s="37">
        <v>9</v>
      </c>
      <c r="H12" s="54" t="s">
        <v>327</v>
      </c>
      <c r="I12" s="38">
        <v>5</v>
      </c>
      <c r="J12" s="38">
        <v>27</v>
      </c>
      <c r="K12" s="38">
        <v>7</v>
      </c>
      <c r="L12" s="56" t="s">
        <v>326</v>
      </c>
      <c r="M12" s="55">
        <v>9</v>
      </c>
      <c r="N12" s="37">
        <v>67</v>
      </c>
      <c r="O12" s="37">
        <v>32</v>
      </c>
      <c r="P12" s="54" t="s">
        <v>325</v>
      </c>
      <c r="Q12" s="37">
        <v>9</v>
      </c>
      <c r="R12" s="37">
        <v>18</v>
      </c>
      <c r="S12" s="37">
        <v>7</v>
      </c>
      <c r="T12" s="54" t="s">
        <v>324</v>
      </c>
      <c r="U12" s="55">
        <v>9</v>
      </c>
      <c r="V12" s="37">
        <v>73</v>
      </c>
      <c r="W12" s="37">
        <v>39</v>
      </c>
      <c r="X12" s="54" t="s">
        <v>323</v>
      </c>
      <c r="Y12" s="37">
        <v>9</v>
      </c>
      <c r="Z12" s="37">
        <v>24</v>
      </c>
      <c r="AA12" s="37">
        <v>14</v>
      </c>
      <c r="AB12" s="54" t="s">
        <v>322</v>
      </c>
      <c r="AC12" s="55">
        <v>9</v>
      </c>
      <c r="AD12" s="37">
        <v>32</v>
      </c>
      <c r="AE12" s="37">
        <v>14</v>
      </c>
      <c r="AF12" s="54" t="s">
        <v>321</v>
      </c>
      <c r="AG12" s="37">
        <v>9</v>
      </c>
      <c r="AH12" s="37">
        <v>76</v>
      </c>
      <c r="AI12" s="37">
        <v>37</v>
      </c>
      <c r="AJ12" s="54" t="s">
        <v>320</v>
      </c>
      <c r="AK12" s="37">
        <v>9</v>
      </c>
      <c r="AL12" s="37">
        <v>85</v>
      </c>
      <c r="AM12" s="37">
        <v>46</v>
      </c>
      <c r="AN12" s="54" t="s">
        <v>319</v>
      </c>
      <c r="AO12" s="55">
        <v>9</v>
      </c>
      <c r="AP12" s="37">
        <v>80</v>
      </c>
      <c r="AQ12" s="37">
        <v>39</v>
      </c>
      <c r="AR12" s="54" t="s">
        <v>318</v>
      </c>
      <c r="AS12" s="37">
        <v>9</v>
      </c>
      <c r="AT12" s="37">
        <v>18</v>
      </c>
      <c r="AU12" s="37">
        <v>9</v>
      </c>
      <c r="AV12" s="54" t="s">
        <v>317</v>
      </c>
      <c r="AW12" s="55">
        <v>9</v>
      </c>
      <c r="AX12" s="37">
        <v>16</v>
      </c>
      <c r="AY12" s="37">
        <v>22</v>
      </c>
      <c r="AZ12" s="54" t="s">
        <v>316</v>
      </c>
      <c r="BA12" s="37">
        <v>9</v>
      </c>
      <c r="BB12" s="37">
        <v>23</v>
      </c>
      <c r="BC12" s="37">
        <v>26</v>
      </c>
      <c r="BD12" s="54" t="s">
        <v>315</v>
      </c>
      <c r="BE12" s="37">
        <v>9</v>
      </c>
      <c r="BF12" s="37">
        <v>22</v>
      </c>
      <c r="BG12" s="37">
        <v>30</v>
      </c>
      <c r="BH12" s="54" t="s">
        <v>314</v>
      </c>
    </row>
    <row r="13" spans="1:60">
      <c r="A13" s="55">
        <v>10</v>
      </c>
      <c r="B13" s="37">
        <v>87</v>
      </c>
      <c r="C13" s="37">
        <v>39</v>
      </c>
      <c r="D13" s="37" t="s">
        <v>313</v>
      </c>
      <c r="E13" s="55">
        <v>10</v>
      </c>
      <c r="F13" s="37">
        <v>84</v>
      </c>
      <c r="G13" s="37">
        <v>31</v>
      </c>
      <c r="H13" s="54" t="s">
        <v>312</v>
      </c>
      <c r="I13" s="38">
        <v>5</v>
      </c>
      <c r="J13" s="38">
        <v>49</v>
      </c>
      <c r="K13" s="38">
        <v>29</v>
      </c>
      <c r="L13" s="56" t="s">
        <v>311</v>
      </c>
      <c r="M13" s="55">
        <v>10</v>
      </c>
      <c r="N13" s="37">
        <v>35</v>
      </c>
      <c r="O13" s="37">
        <v>17</v>
      </c>
      <c r="P13" s="54" t="s">
        <v>310</v>
      </c>
      <c r="Q13" s="37">
        <v>10</v>
      </c>
      <c r="R13" s="37">
        <v>24</v>
      </c>
      <c r="S13" s="37">
        <v>8</v>
      </c>
      <c r="T13" s="54" t="s">
        <v>309</v>
      </c>
      <c r="U13" s="55">
        <v>10</v>
      </c>
      <c r="V13" s="37">
        <v>40</v>
      </c>
      <c r="W13" s="37">
        <v>28</v>
      </c>
      <c r="X13" s="54" t="s">
        <v>308</v>
      </c>
      <c r="Y13" s="37">
        <v>10</v>
      </c>
      <c r="Z13" s="37">
        <v>17</v>
      </c>
      <c r="AA13" s="37">
        <v>9</v>
      </c>
      <c r="AB13" s="54" t="s">
        <v>307</v>
      </c>
      <c r="AC13" s="55">
        <v>10</v>
      </c>
      <c r="AD13" s="37">
        <v>32</v>
      </c>
      <c r="AE13" s="37">
        <v>18</v>
      </c>
      <c r="AF13" s="54" t="s">
        <v>306</v>
      </c>
      <c r="AG13" s="37">
        <v>10</v>
      </c>
      <c r="AH13" s="37">
        <v>34</v>
      </c>
      <c r="AI13" s="37">
        <v>14</v>
      </c>
      <c r="AJ13" s="54" t="s">
        <v>305</v>
      </c>
      <c r="AK13" s="37">
        <v>10</v>
      </c>
      <c r="AL13" s="37">
        <v>77</v>
      </c>
      <c r="AM13" s="37">
        <v>30</v>
      </c>
      <c r="AN13" s="54" t="s">
        <v>304</v>
      </c>
      <c r="AO13" s="55">
        <v>10</v>
      </c>
      <c r="AP13" s="37">
        <v>204</v>
      </c>
      <c r="AQ13" s="37">
        <v>82</v>
      </c>
      <c r="AR13" s="54" t="s">
        <v>303</v>
      </c>
      <c r="AS13" s="37">
        <v>10</v>
      </c>
      <c r="AT13" s="37">
        <v>14</v>
      </c>
      <c r="AU13" s="37">
        <v>7</v>
      </c>
      <c r="AV13" s="54" t="s">
        <v>302</v>
      </c>
      <c r="AW13" s="55">
        <v>10</v>
      </c>
      <c r="AX13" s="37">
        <v>44</v>
      </c>
      <c r="AY13" s="37">
        <v>31</v>
      </c>
      <c r="AZ13" s="54" t="s">
        <v>301</v>
      </c>
      <c r="BA13" s="37">
        <v>10</v>
      </c>
      <c r="BB13" s="37">
        <v>77</v>
      </c>
      <c r="BC13" s="37">
        <v>106</v>
      </c>
      <c r="BD13" s="54" t="s">
        <v>300</v>
      </c>
      <c r="BE13" s="37">
        <v>10</v>
      </c>
      <c r="BF13" s="37">
        <v>33</v>
      </c>
      <c r="BG13" s="37">
        <v>33</v>
      </c>
      <c r="BH13" s="54" t="s">
        <v>299</v>
      </c>
    </row>
    <row r="14" spans="1:60">
      <c r="A14" s="55">
        <v>11</v>
      </c>
      <c r="B14" s="37">
        <v>45</v>
      </c>
      <c r="C14" s="37">
        <v>16</v>
      </c>
      <c r="D14" s="37" t="s">
        <v>298</v>
      </c>
      <c r="E14" s="55">
        <v>11</v>
      </c>
      <c r="F14" s="37">
        <v>83</v>
      </c>
      <c r="G14" s="37">
        <v>40</v>
      </c>
      <c r="H14" s="54" t="s">
        <v>297</v>
      </c>
      <c r="I14" s="38">
        <v>5</v>
      </c>
      <c r="J14" s="38">
        <v>63</v>
      </c>
      <c r="K14" s="38">
        <v>23</v>
      </c>
      <c r="L14" s="56" t="s">
        <v>296</v>
      </c>
      <c r="M14" s="55">
        <v>11</v>
      </c>
      <c r="N14" s="37">
        <v>31</v>
      </c>
      <c r="O14" s="37">
        <v>21</v>
      </c>
      <c r="P14" s="54" t="s">
        <v>295</v>
      </c>
      <c r="Q14" s="37">
        <v>11</v>
      </c>
      <c r="R14" s="37">
        <v>16</v>
      </c>
      <c r="S14" s="37">
        <v>6</v>
      </c>
      <c r="T14" s="54" t="s">
        <v>294</v>
      </c>
      <c r="U14" s="55">
        <v>11</v>
      </c>
      <c r="V14" s="37">
        <v>10</v>
      </c>
      <c r="W14" s="37">
        <v>5</v>
      </c>
      <c r="X14" s="54" t="s">
        <v>293</v>
      </c>
      <c r="Y14" s="37">
        <v>11</v>
      </c>
      <c r="Z14" s="37">
        <v>22</v>
      </c>
      <c r="AA14" s="37">
        <v>8</v>
      </c>
      <c r="AB14" s="54" t="s">
        <v>292</v>
      </c>
      <c r="AC14" s="55">
        <v>11</v>
      </c>
      <c r="AD14" s="37">
        <v>59</v>
      </c>
      <c r="AE14" s="37">
        <v>31</v>
      </c>
      <c r="AF14" s="54" t="s">
        <v>291</v>
      </c>
      <c r="AG14" s="37">
        <v>11</v>
      </c>
      <c r="AH14" s="37">
        <v>110</v>
      </c>
      <c r="AI14" s="37">
        <v>53</v>
      </c>
      <c r="AJ14" s="54" t="s">
        <v>290</v>
      </c>
      <c r="AK14" s="37">
        <v>11</v>
      </c>
      <c r="AL14" s="37">
        <v>83</v>
      </c>
      <c r="AM14" s="37">
        <v>46</v>
      </c>
      <c r="AN14" s="54" t="s">
        <v>289</v>
      </c>
      <c r="AO14" s="55">
        <v>11</v>
      </c>
      <c r="AP14" s="37">
        <v>18</v>
      </c>
      <c r="AQ14" s="37">
        <v>8</v>
      </c>
      <c r="AR14" s="54" t="s">
        <v>288</v>
      </c>
      <c r="AS14" s="37">
        <v>11</v>
      </c>
      <c r="AT14" s="37">
        <v>11</v>
      </c>
      <c r="AU14" s="37">
        <v>7</v>
      </c>
      <c r="AV14" s="54" t="s">
        <v>287</v>
      </c>
      <c r="AW14" s="55">
        <v>11</v>
      </c>
      <c r="AX14" s="37">
        <v>22</v>
      </c>
      <c r="AY14" s="37">
        <v>23</v>
      </c>
      <c r="AZ14" s="54" t="s">
        <v>286</v>
      </c>
      <c r="BA14" s="37">
        <v>11</v>
      </c>
      <c r="BB14" s="37">
        <v>61</v>
      </c>
      <c r="BC14" s="37">
        <v>82</v>
      </c>
      <c r="BD14" s="54" t="s">
        <v>285</v>
      </c>
      <c r="BE14" s="37">
        <v>11</v>
      </c>
      <c r="BF14" s="37">
        <v>126</v>
      </c>
      <c r="BG14" s="37">
        <v>171</v>
      </c>
      <c r="BH14" s="54" t="s">
        <v>284</v>
      </c>
    </row>
    <row r="15" spans="1:60">
      <c r="A15" s="55">
        <v>12</v>
      </c>
      <c r="B15" s="37">
        <v>75</v>
      </c>
      <c r="C15" s="37">
        <v>36</v>
      </c>
      <c r="D15" s="37" t="s">
        <v>283</v>
      </c>
      <c r="E15" s="55">
        <v>12</v>
      </c>
      <c r="F15" s="37">
        <v>52</v>
      </c>
      <c r="G15" s="37">
        <v>13</v>
      </c>
      <c r="H15" s="54" t="s">
        <v>282</v>
      </c>
      <c r="I15" s="38">
        <v>5</v>
      </c>
      <c r="J15" s="38">
        <v>80</v>
      </c>
      <c r="K15" s="38">
        <v>23</v>
      </c>
      <c r="L15" s="56" t="s">
        <v>281</v>
      </c>
      <c r="M15" s="55">
        <v>12</v>
      </c>
      <c r="N15" s="37">
        <v>50</v>
      </c>
      <c r="O15" s="37">
        <v>28</v>
      </c>
      <c r="P15" s="54" t="s">
        <v>280</v>
      </c>
      <c r="Q15" s="37">
        <v>12</v>
      </c>
      <c r="R15" s="37">
        <v>30</v>
      </c>
      <c r="S15" s="37">
        <v>14</v>
      </c>
      <c r="T15" s="54" t="s">
        <v>279</v>
      </c>
      <c r="U15" s="55">
        <v>12</v>
      </c>
      <c r="V15" s="37">
        <v>61</v>
      </c>
      <c r="W15" s="37">
        <v>38</v>
      </c>
      <c r="X15" s="54" t="s">
        <v>278</v>
      </c>
      <c r="Y15" s="37">
        <v>12</v>
      </c>
      <c r="Z15" s="37">
        <v>40</v>
      </c>
      <c r="AA15" s="37">
        <v>21</v>
      </c>
      <c r="AB15" s="54" t="s">
        <v>277</v>
      </c>
      <c r="AC15" s="55">
        <v>12</v>
      </c>
      <c r="AD15" s="37">
        <v>18</v>
      </c>
      <c r="AE15" s="37">
        <v>12</v>
      </c>
      <c r="AF15" s="54" t="s">
        <v>276</v>
      </c>
      <c r="AG15" s="37">
        <v>12</v>
      </c>
      <c r="AH15" s="37">
        <v>43</v>
      </c>
      <c r="AI15" s="37">
        <v>22</v>
      </c>
      <c r="AJ15" s="54" t="s">
        <v>275</v>
      </c>
      <c r="AK15" s="37">
        <v>12</v>
      </c>
      <c r="AL15" s="37">
        <v>95</v>
      </c>
      <c r="AM15" s="37">
        <v>48</v>
      </c>
      <c r="AN15" s="54" t="s">
        <v>274</v>
      </c>
      <c r="AO15" s="55">
        <v>12</v>
      </c>
      <c r="AP15" s="37">
        <v>42</v>
      </c>
      <c r="AQ15" s="37">
        <v>12</v>
      </c>
      <c r="AR15" s="54" t="s">
        <v>273</v>
      </c>
      <c r="AS15" s="37">
        <v>12</v>
      </c>
      <c r="AT15" s="37">
        <v>26</v>
      </c>
      <c r="AU15" s="37">
        <v>21</v>
      </c>
      <c r="AV15" s="54" t="s">
        <v>272</v>
      </c>
      <c r="AW15" s="55">
        <v>12</v>
      </c>
      <c r="AX15" s="37">
        <v>33</v>
      </c>
      <c r="AY15" s="37">
        <v>28</v>
      </c>
      <c r="AZ15" s="54" t="s">
        <v>271</v>
      </c>
      <c r="BA15" s="37">
        <v>12</v>
      </c>
      <c r="BB15" s="37">
        <v>50</v>
      </c>
      <c r="BC15" s="37">
        <v>56</v>
      </c>
      <c r="BD15" s="54" t="s">
        <v>270</v>
      </c>
      <c r="BE15" s="37">
        <v>12</v>
      </c>
      <c r="BF15" s="37">
        <v>49</v>
      </c>
      <c r="BG15" s="37">
        <v>67</v>
      </c>
      <c r="BH15" s="54" t="s">
        <v>269</v>
      </c>
    </row>
    <row r="16" spans="1:60">
      <c r="A16" s="55">
        <v>13</v>
      </c>
      <c r="B16" s="37">
        <v>64</v>
      </c>
      <c r="C16" s="37">
        <v>30</v>
      </c>
      <c r="D16" s="37" t="s">
        <v>268</v>
      </c>
      <c r="E16" s="55">
        <v>13</v>
      </c>
      <c r="F16" s="37">
        <v>72</v>
      </c>
      <c r="G16" s="37">
        <v>31</v>
      </c>
      <c r="H16" s="54" t="s">
        <v>267</v>
      </c>
      <c r="I16" s="38">
        <v>5</v>
      </c>
      <c r="J16" s="38">
        <v>70</v>
      </c>
      <c r="K16" s="38">
        <v>22</v>
      </c>
      <c r="L16" s="56" t="s">
        <v>266</v>
      </c>
      <c r="M16" s="55">
        <v>13</v>
      </c>
      <c r="N16" s="37">
        <v>31</v>
      </c>
      <c r="O16" s="37">
        <v>13</v>
      </c>
      <c r="P16" s="54" t="s">
        <v>265</v>
      </c>
      <c r="Q16" s="37">
        <v>13</v>
      </c>
      <c r="R16" s="37">
        <v>14</v>
      </c>
      <c r="S16" s="37">
        <v>8</v>
      </c>
      <c r="T16" s="54" t="s">
        <v>264</v>
      </c>
      <c r="U16" s="55">
        <v>13</v>
      </c>
      <c r="V16" s="37">
        <v>72</v>
      </c>
      <c r="W16" s="37">
        <v>36</v>
      </c>
      <c r="X16" s="54" t="s">
        <v>263</v>
      </c>
      <c r="Y16" s="37">
        <v>13</v>
      </c>
      <c r="Z16" s="37">
        <v>30</v>
      </c>
      <c r="AA16" s="37">
        <v>11</v>
      </c>
      <c r="AB16" s="54" t="s">
        <v>262</v>
      </c>
      <c r="AC16" s="55">
        <v>13</v>
      </c>
      <c r="AD16" s="37">
        <v>40</v>
      </c>
      <c r="AE16" s="37">
        <v>27</v>
      </c>
      <c r="AF16" s="54" t="s">
        <v>261</v>
      </c>
      <c r="AG16" s="37">
        <v>13</v>
      </c>
      <c r="AH16" s="37">
        <v>58</v>
      </c>
      <c r="AI16" s="37">
        <v>38</v>
      </c>
      <c r="AJ16" s="54" t="s">
        <v>260</v>
      </c>
      <c r="AK16" s="37">
        <v>13</v>
      </c>
      <c r="AL16" s="37">
        <v>79</v>
      </c>
      <c r="AM16" s="37">
        <v>55</v>
      </c>
      <c r="AN16" s="54" t="s">
        <v>259</v>
      </c>
      <c r="AO16" s="55">
        <v>13</v>
      </c>
      <c r="AP16" s="37">
        <v>49</v>
      </c>
      <c r="AQ16" s="37">
        <v>21</v>
      </c>
      <c r="AR16" s="54" t="s">
        <v>258</v>
      </c>
      <c r="AS16" s="37">
        <v>13</v>
      </c>
      <c r="AT16" s="37">
        <v>12</v>
      </c>
      <c r="AU16" s="37">
        <v>9</v>
      </c>
      <c r="AV16" s="54" t="s">
        <v>257</v>
      </c>
      <c r="AW16" s="55">
        <v>13</v>
      </c>
      <c r="AX16" s="37">
        <v>23</v>
      </c>
      <c r="AY16" s="37">
        <v>35</v>
      </c>
      <c r="AZ16" s="54" t="s">
        <v>256</v>
      </c>
      <c r="BA16" s="37">
        <v>13</v>
      </c>
      <c r="BB16" s="37">
        <v>34</v>
      </c>
      <c r="BC16" s="37">
        <v>47</v>
      </c>
      <c r="BD16" s="54" t="s">
        <v>255</v>
      </c>
      <c r="BE16" s="37">
        <v>13</v>
      </c>
      <c r="BF16" s="37">
        <v>57</v>
      </c>
      <c r="BG16" s="37">
        <v>47</v>
      </c>
      <c r="BH16" s="54" t="s">
        <v>254</v>
      </c>
    </row>
    <row r="17" spans="1:60">
      <c r="A17" s="55">
        <v>14</v>
      </c>
      <c r="B17" s="37">
        <v>71</v>
      </c>
      <c r="C17" s="37">
        <v>39</v>
      </c>
      <c r="D17" s="37" t="s">
        <v>253</v>
      </c>
      <c r="E17" s="55">
        <v>14</v>
      </c>
      <c r="F17" s="37">
        <v>44</v>
      </c>
      <c r="G17" s="37">
        <v>14</v>
      </c>
      <c r="H17" s="54" t="s">
        <v>252</v>
      </c>
      <c r="I17" s="38">
        <v>5</v>
      </c>
      <c r="J17" s="38">
        <v>100</v>
      </c>
      <c r="K17" s="38">
        <v>36</v>
      </c>
      <c r="L17" s="56" t="s">
        <v>251</v>
      </c>
      <c r="M17" s="55">
        <v>14</v>
      </c>
      <c r="N17" s="37">
        <v>31</v>
      </c>
      <c r="O17" s="37">
        <v>24</v>
      </c>
      <c r="P17" s="54" t="s">
        <v>250</v>
      </c>
      <c r="Q17" s="37">
        <v>14</v>
      </c>
      <c r="R17" s="37">
        <v>18</v>
      </c>
      <c r="S17" s="37">
        <v>9</v>
      </c>
      <c r="T17" s="54" t="s">
        <v>249</v>
      </c>
      <c r="U17" s="55">
        <v>14</v>
      </c>
      <c r="V17" s="37">
        <v>70</v>
      </c>
      <c r="W17" s="37">
        <v>40</v>
      </c>
      <c r="X17" s="54" t="s">
        <v>248</v>
      </c>
      <c r="Y17" s="37">
        <v>14</v>
      </c>
      <c r="Z17" s="37">
        <v>25</v>
      </c>
      <c r="AA17" s="37">
        <v>14</v>
      </c>
      <c r="AB17" s="54" t="s">
        <v>247</v>
      </c>
      <c r="AC17" s="55">
        <v>14</v>
      </c>
      <c r="AD17" s="37">
        <v>49</v>
      </c>
      <c r="AE17" s="37">
        <v>23</v>
      </c>
      <c r="AF17" s="54" t="s">
        <v>246</v>
      </c>
      <c r="AG17" s="37">
        <v>14</v>
      </c>
      <c r="AH17" s="37">
        <v>46</v>
      </c>
      <c r="AI17" s="37">
        <v>21</v>
      </c>
      <c r="AJ17" s="54" t="s">
        <v>245</v>
      </c>
      <c r="AK17" s="37">
        <v>14</v>
      </c>
      <c r="AL17" s="37">
        <v>132</v>
      </c>
      <c r="AM17" s="37">
        <v>70</v>
      </c>
      <c r="AN17" s="54" t="s">
        <v>244</v>
      </c>
      <c r="AO17" s="55">
        <v>14</v>
      </c>
      <c r="AP17" s="37">
        <v>51</v>
      </c>
      <c r="AQ17" s="37">
        <v>24</v>
      </c>
      <c r="AR17" s="54" t="s">
        <v>243</v>
      </c>
      <c r="AS17" s="37">
        <v>14</v>
      </c>
      <c r="AT17" s="37">
        <v>19</v>
      </c>
      <c r="AU17" s="37">
        <v>15</v>
      </c>
      <c r="AV17" s="54" t="s">
        <v>242</v>
      </c>
      <c r="AW17" s="55">
        <v>14</v>
      </c>
      <c r="AX17" s="37">
        <v>22</v>
      </c>
      <c r="AY17" s="37">
        <v>18</v>
      </c>
      <c r="AZ17" s="54" t="s">
        <v>241</v>
      </c>
      <c r="BA17" s="37">
        <v>14</v>
      </c>
      <c r="BB17" s="37">
        <v>15</v>
      </c>
      <c r="BC17" s="37">
        <v>14</v>
      </c>
      <c r="BD17" s="54" t="s">
        <v>240</v>
      </c>
      <c r="BE17" s="37">
        <v>14</v>
      </c>
      <c r="BF17" s="37">
        <v>6</v>
      </c>
      <c r="BG17" s="37">
        <v>8</v>
      </c>
      <c r="BH17" s="54" t="s">
        <v>239</v>
      </c>
    </row>
    <row r="18" spans="1:60">
      <c r="A18" s="55">
        <v>15</v>
      </c>
      <c r="B18" s="37">
        <v>69</v>
      </c>
      <c r="C18" s="37">
        <v>39</v>
      </c>
      <c r="D18" s="37" t="s">
        <v>238</v>
      </c>
      <c r="E18" s="55">
        <v>15</v>
      </c>
      <c r="F18" s="37">
        <v>104</v>
      </c>
      <c r="G18" s="37">
        <v>45</v>
      </c>
      <c r="H18" s="54" t="s">
        <v>237</v>
      </c>
      <c r="I18" s="38">
        <v>5</v>
      </c>
      <c r="J18" s="38">
        <v>59</v>
      </c>
      <c r="K18" s="38">
        <v>21</v>
      </c>
      <c r="L18" s="56" t="s">
        <v>236</v>
      </c>
      <c r="M18" s="55">
        <v>15</v>
      </c>
      <c r="N18" s="37">
        <v>28</v>
      </c>
      <c r="O18" s="37">
        <v>12</v>
      </c>
      <c r="P18" s="54" t="s">
        <v>235</v>
      </c>
      <c r="Q18" s="37">
        <v>15</v>
      </c>
      <c r="R18" s="37">
        <v>11</v>
      </c>
      <c r="S18" s="37">
        <v>13</v>
      </c>
      <c r="T18" s="54" t="s">
        <v>234</v>
      </c>
      <c r="U18" s="55">
        <v>15</v>
      </c>
      <c r="V18" s="37">
        <v>18</v>
      </c>
      <c r="W18" s="37">
        <v>10</v>
      </c>
      <c r="X18" s="54" t="s">
        <v>233</v>
      </c>
      <c r="Y18" s="37">
        <v>15</v>
      </c>
      <c r="Z18" s="37">
        <v>19</v>
      </c>
      <c r="AA18" s="37">
        <v>10</v>
      </c>
      <c r="AB18" s="54" t="s">
        <v>232</v>
      </c>
      <c r="AC18" s="55">
        <v>15</v>
      </c>
      <c r="AD18" s="37">
        <v>66</v>
      </c>
      <c r="AE18" s="37">
        <v>21</v>
      </c>
      <c r="AF18" s="54" t="s">
        <v>231</v>
      </c>
      <c r="AG18" s="37">
        <v>15</v>
      </c>
      <c r="AH18" s="37">
        <v>72</v>
      </c>
      <c r="AI18" s="37">
        <v>39</v>
      </c>
      <c r="AJ18" s="54" t="s">
        <v>230</v>
      </c>
      <c r="AK18" s="37">
        <v>15</v>
      </c>
      <c r="AL18" s="37">
        <v>101</v>
      </c>
      <c r="AM18" s="37">
        <v>39</v>
      </c>
      <c r="AN18" s="54" t="s">
        <v>229</v>
      </c>
      <c r="AO18" s="55">
        <v>15</v>
      </c>
      <c r="AP18" s="37">
        <v>55</v>
      </c>
      <c r="AQ18" s="37">
        <v>18</v>
      </c>
      <c r="AR18" s="54" t="s">
        <v>228</v>
      </c>
      <c r="AS18" s="37">
        <v>15</v>
      </c>
      <c r="AT18" s="37">
        <v>22</v>
      </c>
      <c r="AU18" s="37">
        <v>14</v>
      </c>
      <c r="AV18" s="54" t="s">
        <v>227</v>
      </c>
      <c r="AW18" s="55">
        <v>15</v>
      </c>
      <c r="AX18" s="37">
        <v>51</v>
      </c>
      <c r="AY18" s="37">
        <v>26</v>
      </c>
      <c r="AZ18" s="54" t="s">
        <v>226</v>
      </c>
      <c r="BA18" s="37">
        <v>15</v>
      </c>
      <c r="BB18" s="37">
        <v>26</v>
      </c>
      <c r="BC18" s="37">
        <v>25</v>
      </c>
      <c r="BD18" s="54" t="s">
        <v>225</v>
      </c>
      <c r="BE18" s="37">
        <v>15</v>
      </c>
      <c r="BF18" s="37">
        <v>40</v>
      </c>
      <c r="BG18" s="37">
        <v>55</v>
      </c>
      <c r="BH18" s="54" t="s">
        <v>224</v>
      </c>
    </row>
    <row r="19" spans="1:60">
      <c r="A19" s="55">
        <v>16</v>
      </c>
      <c r="B19" s="37">
        <v>48</v>
      </c>
      <c r="C19" s="37">
        <v>31</v>
      </c>
      <c r="D19" s="37" t="s">
        <v>223</v>
      </c>
      <c r="E19" s="55">
        <v>16</v>
      </c>
      <c r="F19" s="37">
        <v>94</v>
      </c>
      <c r="G19" s="37">
        <v>42</v>
      </c>
      <c r="H19" s="54" t="s">
        <v>222</v>
      </c>
      <c r="I19" s="38">
        <v>5</v>
      </c>
      <c r="J19" s="38">
        <v>58</v>
      </c>
      <c r="K19" s="38">
        <v>18</v>
      </c>
      <c r="L19" s="56" t="s">
        <v>221</v>
      </c>
      <c r="M19" s="55">
        <v>16</v>
      </c>
      <c r="N19" s="37">
        <v>50</v>
      </c>
      <c r="O19" s="37">
        <v>22</v>
      </c>
      <c r="P19" s="54" t="s">
        <v>220</v>
      </c>
      <c r="Q19" s="37">
        <v>16</v>
      </c>
      <c r="R19" s="37">
        <v>16</v>
      </c>
      <c r="S19" s="37">
        <v>16</v>
      </c>
      <c r="T19" s="54" t="s">
        <v>219</v>
      </c>
      <c r="U19" s="55">
        <v>16</v>
      </c>
      <c r="V19" s="37">
        <v>54</v>
      </c>
      <c r="W19" s="37">
        <v>29</v>
      </c>
      <c r="X19" s="54" t="s">
        <v>218</v>
      </c>
      <c r="Y19" s="37">
        <v>16</v>
      </c>
      <c r="Z19" s="37">
        <v>31</v>
      </c>
      <c r="AA19" s="37">
        <v>17</v>
      </c>
      <c r="AB19" s="54" t="s">
        <v>217</v>
      </c>
      <c r="AC19" s="55">
        <v>16</v>
      </c>
      <c r="AD19" s="37">
        <v>55</v>
      </c>
      <c r="AE19" s="37">
        <v>25</v>
      </c>
      <c r="AF19" s="54" t="s">
        <v>216</v>
      </c>
      <c r="AG19" s="37">
        <v>16</v>
      </c>
      <c r="AH19" s="37">
        <v>90</v>
      </c>
      <c r="AI19" s="37">
        <v>62</v>
      </c>
      <c r="AJ19" s="54" t="s">
        <v>215</v>
      </c>
      <c r="AK19" s="37">
        <v>16</v>
      </c>
      <c r="AL19" s="37">
        <v>53</v>
      </c>
      <c r="AM19" s="37">
        <v>24</v>
      </c>
      <c r="AN19" s="54" t="s">
        <v>214</v>
      </c>
      <c r="AO19" s="55">
        <v>16</v>
      </c>
      <c r="AP19" s="37">
        <v>78</v>
      </c>
      <c r="AQ19" s="37">
        <v>42</v>
      </c>
      <c r="AR19" s="54" t="s">
        <v>213</v>
      </c>
      <c r="AS19" s="37">
        <v>16</v>
      </c>
      <c r="AT19" s="37">
        <v>21</v>
      </c>
      <c r="AU19" s="37">
        <v>17</v>
      </c>
      <c r="AV19" s="54" t="s">
        <v>212</v>
      </c>
      <c r="AW19" s="55">
        <v>16</v>
      </c>
      <c r="AX19" s="37">
        <v>15</v>
      </c>
      <c r="AY19" s="37">
        <v>10</v>
      </c>
      <c r="AZ19" s="54" t="s">
        <v>211</v>
      </c>
      <c r="BA19" s="37">
        <v>16</v>
      </c>
      <c r="BB19" s="37">
        <v>8</v>
      </c>
      <c r="BC19" s="37">
        <v>9</v>
      </c>
      <c r="BD19" s="54" t="s">
        <v>210</v>
      </c>
      <c r="BE19" s="37">
        <v>16</v>
      </c>
      <c r="BF19" s="37">
        <v>50</v>
      </c>
      <c r="BG19" s="37">
        <v>54</v>
      </c>
      <c r="BH19" s="54" t="s">
        <v>209</v>
      </c>
    </row>
    <row r="20" spans="1:60">
      <c r="A20" s="55">
        <v>17</v>
      </c>
      <c r="B20" s="37">
        <v>46</v>
      </c>
      <c r="C20" s="37">
        <v>20</v>
      </c>
      <c r="D20" s="37" t="s">
        <v>208</v>
      </c>
      <c r="E20" s="55">
        <v>17</v>
      </c>
      <c r="F20" s="37">
        <v>32</v>
      </c>
      <c r="G20" s="37">
        <v>16</v>
      </c>
      <c r="H20" s="54" t="s">
        <v>207</v>
      </c>
      <c r="I20" s="38">
        <v>5</v>
      </c>
      <c r="J20" s="38">
        <v>42</v>
      </c>
      <c r="K20" s="38">
        <v>19</v>
      </c>
      <c r="L20" s="56" t="s">
        <v>206</v>
      </c>
      <c r="M20" s="55">
        <v>17</v>
      </c>
      <c r="N20" s="37">
        <v>48</v>
      </c>
      <c r="O20" s="37">
        <v>33</v>
      </c>
      <c r="P20" s="54" t="s">
        <v>205</v>
      </c>
      <c r="Q20" s="37">
        <v>17</v>
      </c>
      <c r="R20" s="37">
        <v>16</v>
      </c>
      <c r="S20" s="37">
        <v>8</v>
      </c>
      <c r="T20" s="54" t="s">
        <v>204</v>
      </c>
      <c r="U20" s="55">
        <v>17</v>
      </c>
      <c r="V20" s="37">
        <v>48</v>
      </c>
      <c r="W20" s="37">
        <v>17</v>
      </c>
      <c r="X20" s="54" t="s">
        <v>203</v>
      </c>
      <c r="Y20" s="37">
        <v>17</v>
      </c>
      <c r="Z20" s="37">
        <v>39</v>
      </c>
      <c r="AA20" s="37">
        <v>16</v>
      </c>
      <c r="AB20" s="54" t="s">
        <v>202</v>
      </c>
      <c r="AC20" s="55">
        <v>17</v>
      </c>
      <c r="AD20" s="37">
        <v>25</v>
      </c>
      <c r="AE20" s="37">
        <v>9</v>
      </c>
      <c r="AF20" s="54" t="s">
        <v>201</v>
      </c>
      <c r="AG20" s="37">
        <v>17</v>
      </c>
      <c r="AH20" s="37">
        <v>107</v>
      </c>
      <c r="AI20" s="37">
        <v>53</v>
      </c>
      <c r="AJ20" s="54" t="s">
        <v>200</v>
      </c>
      <c r="AK20" s="37">
        <v>17</v>
      </c>
      <c r="AL20" s="37">
        <v>86</v>
      </c>
      <c r="AM20" s="37">
        <v>41</v>
      </c>
      <c r="AN20" s="54" t="s">
        <v>199</v>
      </c>
      <c r="AO20" s="55">
        <v>17</v>
      </c>
      <c r="AP20" s="37">
        <v>36</v>
      </c>
      <c r="AQ20" s="37">
        <v>17</v>
      </c>
      <c r="AR20" s="54" t="s">
        <v>198</v>
      </c>
      <c r="AS20" s="37">
        <v>17</v>
      </c>
      <c r="AT20" s="37">
        <v>25</v>
      </c>
      <c r="AU20" s="37">
        <v>16</v>
      </c>
      <c r="AV20" s="54" t="s">
        <v>197</v>
      </c>
      <c r="AW20" s="55">
        <v>17</v>
      </c>
      <c r="AX20" s="37">
        <v>26</v>
      </c>
      <c r="AY20" s="37">
        <v>29</v>
      </c>
      <c r="AZ20" s="54" t="s">
        <v>196</v>
      </c>
      <c r="BA20" s="37">
        <v>17</v>
      </c>
      <c r="BB20" s="37">
        <v>46</v>
      </c>
      <c r="BC20" s="37">
        <v>42</v>
      </c>
      <c r="BD20" s="54" t="s">
        <v>195</v>
      </c>
      <c r="BE20" s="37">
        <v>17</v>
      </c>
      <c r="BF20" s="37">
        <v>22</v>
      </c>
      <c r="BG20" s="37">
        <v>23</v>
      </c>
      <c r="BH20" s="54" t="s">
        <v>194</v>
      </c>
    </row>
    <row r="21" spans="1:60">
      <c r="A21" s="55">
        <v>18</v>
      </c>
      <c r="B21" s="37">
        <v>74</v>
      </c>
      <c r="C21" s="37">
        <v>39</v>
      </c>
      <c r="D21" s="37" t="s">
        <v>193</v>
      </c>
      <c r="E21" s="55">
        <v>18</v>
      </c>
      <c r="F21" s="37">
        <v>152</v>
      </c>
      <c r="G21" s="37">
        <v>56</v>
      </c>
      <c r="H21" s="54" t="s">
        <v>192</v>
      </c>
      <c r="I21" s="38">
        <v>5</v>
      </c>
      <c r="J21" s="38">
        <v>93</v>
      </c>
      <c r="K21" s="38">
        <v>48</v>
      </c>
      <c r="L21" s="56" t="s">
        <v>191</v>
      </c>
      <c r="M21" s="55">
        <v>18</v>
      </c>
      <c r="N21" s="37">
        <v>54</v>
      </c>
      <c r="O21" s="37">
        <v>30</v>
      </c>
      <c r="P21" s="54" t="s">
        <v>190</v>
      </c>
      <c r="Q21" s="37">
        <v>18</v>
      </c>
      <c r="R21" s="37">
        <v>11</v>
      </c>
      <c r="S21" s="37">
        <v>10</v>
      </c>
      <c r="T21" s="54" t="s">
        <v>189</v>
      </c>
      <c r="U21" s="55">
        <v>18</v>
      </c>
      <c r="V21" s="37">
        <v>56</v>
      </c>
      <c r="W21" s="37">
        <v>32</v>
      </c>
      <c r="X21" s="54" t="s">
        <v>188</v>
      </c>
      <c r="Y21" s="37">
        <v>18</v>
      </c>
      <c r="Z21" s="37">
        <v>42</v>
      </c>
      <c r="AA21" s="37">
        <v>13</v>
      </c>
      <c r="AB21" s="54" t="s">
        <v>187</v>
      </c>
      <c r="AC21" s="55">
        <v>18</v>
      </c>
      <c r="AD21" s="37">
        <v>46</v>
      </c>
      <c r="AE21" s="37">
        <v>26</v>
      </c>
      <c r="AF21" s="54" t="s">
        <v>186</v>
      </c>
      <c r="AG21" s="37">
        <v>18</v>
      </c>
      <c r="AH21" s="37">
        <v>66</v>
      </c>
      <c r="AI21" s="37">
        <v>40</v>
      </c>
      <c r="AJ21" s="54" t="s">
        <v>185</v>
      </c>
      <c r="AK21" s="37">
        <v>18</v>
      </c>
      <c r="AL21" s="37">
        <v>31</v>
      </c>
      <c r="AM21" s="37">
        <v>24</v>
      </c>
      <c r="AN21" s="54" t="s">
        <v>184</v>
      </c>
      <c r="AO21" s="55">
        <v>18</v>
      </c>
      <c r="AP21" s="37">
        <v>36</v>
      </c>
      <c r="AQ21" s="37">
        <v>14</v>
      </c>
      <c r="AR21" s="54" t="s">
        <v>183</v>
      </c>
      <c r="AS21" s="37">
        <v>18</v>
      </c>
      <c r="AT21" s="37">
        <v>28</v>
      </c>
      <c r="AU21" s="37">
        <v>19</v>
      </c>
      <c r="AV21" s="54" t="s">
        <v>182</v>
      </c>
      <c r="AW21" s="55">
        <v>18</v>
      </c>
      <c r="AX21" s="37">
        <v>14</v>
      </c>
      <c r="AY21" s="37">
        <v>21</v>
      </c>
      <c r="AZ21" s="54" t="s">
        <v>181</v>
      </c>
      <c r="BA21" s="37">
        <v>18</v>
      </c>
      <c r="BB21" s="37">
        <v>67</v>
      </c>
      <c r="BC21" s="37">
        <v>106</v>
      </c>
      <c r="BD21" s="54" t="s">
        <v>180</v>
      </c>
      <c r="BE21" s="37">
        <v>18</v>
      </c>
      <c r="BF21" s="37">
        <v>31</v>
      </c>
      <c r="BG21" s="37">
        <v>32</v>
      </c>
      <c r="BH21" s="54" t="s">
        <v>179</v>
      </c>
    </row>
    <row r="22" spans="1:60">
      <c r="A22" s="55">
        <v>19</v>
      </c>
      <c r="B22" s="37">
        <v>70</v>
      </c>
      <c r="C22" s="37">
        <v>29</v>
      </c>
      <c r="D22" s="37" t="s">
        <v>178</v>
      </c>
      <c r="E22" s="55">
        <v>19</v>
      </c>
      <c r="F22" s="37">
        <v>215</v>
      </c>
      <c r="G22" s="37">
        <v>80</v>
      </c>
      <c r="H22" s="54" t="s">
        <v>177</v>
      </c>
      <c r="I22" s="38">
        <v>5</v>
      </c>
      <c r="J22" s="38">
        <v>54</v>
      </c>
      <c r="K22" s="38">
        <v>22</v>
      </c>
      <c r="L22" s="56" t="s">
        <v>176</v>
      </c>
      <c r="M22" s="55">
        <v>19</v>
      </c>
      <c r="N22" s="37">
        <v>27</v>
      </c>
      <c r="O22" s="37">
        <v>10</v>
      </c>
      <c r="P22" s="54" t="s">
        <v>175</v>
      </c>
      <c r="Q22" s="37">
        <v>19</v>
      </c>
      <c r="R22" s="37">
        <v>39</v>
      </c>
      <c r="S22" s="37">
        <v>15</v>
      </c>
      <c r="T22" s="54" t="s">
        <v>174</v>
      </c>
      <c r="U22" s="55">
        <v>19</v>
      </c>
      <c r="V22" s="37">
        <v>31</v>
      </c>
      <c r="W22" s="37">
        <v>18</v>
      </c>
      <c r="X22" s="54" t="s">
        <v>173</v>
      </c>
      <c r="Y22" s="37">
        <v>19</v>
      </c>
      <c r="Z22" s="37">
        <v>22</v>
      </c>
      <c r="AA22" s="37">
        <v>12</v>
      </c>
      <c r="AB22" s="54" t="s">
        <v>172</v>
      </c>
      <c r="AC22" s="55">
        <v>19</v>
      </c>
      <c r="AD22" s="37">
        <v>42</v>
      </c>
      <c r="AE22" s="37">
        <v>22</v>
      </c>
      <c r="AF22" s="54" t="s">
        <v>171</v>
      </c>
      <c r="AG22" s="37">
        <v>19</v>
      </c>
      <c r="AH22" s="37">
        <v>25</v>
      </c>
      <c r="AI22" s="37">
        <v>21</v>
      </c>
      <c r="AJ22" s="54" t="s">
        <v>170</v>
      </c>
      <c r="AK22" s="37">
        <v>19</v>
      </c>
      <c r="AL22" s="37">
        <v>58</v>
      </c>
      <c r="AM22" s="37">
        <v>38</v>
      </c>
      <c r="AN22" s="54" t="s">
        <v>169</v>
      </c>
      <c r="AO22" s="55">
        <v>19</v>
      </c>
      <c r="AP22" s="37">
        <v>56</v>
      </c>
      <c r="AQ22" s="37">
        <v>26</v>
      </c>
      <c r="AR22" s="54" t="s">
        <v>168</v>
      </c>
      <c r="AS22" s="37">
        <v>19</v>
      </c>
      <c r="AT22" s="37">
        <v>38</v>
      </c>
      <c r="AU22" s="37">
        <v>25</v>
      </c>
      <c r="AV22" s="54" t="s">
        <v>167</v>
      </c>
      <c r="AW22" s="55">
        <v>19</v>
      </c>
      <c r="AX22" s="37">
        <v>23</v>
      </c>
      <c r="AY22" s="37">
        <v>21</v>
      </c>
      <c r="AZ22" s="54" t="s">
        <v>166</v>
      </c>
      <c r="BA22" s="37">
        <v>19</v>
      </c>
      <c r="BB22" s="37">
        <v>17</v>
      </c>
      <c r="BC22" s="37">
        <v>19</v>
      </c>
      <c r="BD22" s="54" t="s">
        <v>165</v>
      </c>
      <c r="BE22" s="37">
        <v>19</v>
      </c>
      <c r="BF22" s="37">
        <v>32</v>
      </c>
      <c r="BG22" s="37">
        <v>40</v>
      </c>
      <c r="BH22" s="54" t="s">
        <v>164</v>
      </c>
    </row>
    <row r="23" spans="1:60">
      <c r="A23" s="55">
        <v>20</v>
      </c>
      <c r="B23" s="37">
        <v>79</v>
      </c>
      <c r="C23" s="37">
        <v>41</v>
      </c>
      <c r="D23" s="37" t="s">
        <v>163</v>
      </c>
      <c r="E23" s="55">
        <v>20</v>
      </c>
      <c r="F23" s="37">
        <v>34</v>
      </c>
      <c r="G23" s="37">
        <v>23</v>
      </c>
      <c r="H23" s="54" t="s">
        <v>162</v>
      </c>
      <c r="I23" s="38">
        <v>5</v>
      </c>
      <c r="J23" s="38">
        <v>72</v>
      </c>
      <c r="K23" s="38">
        <v>26</v>
      </c>
      <c r="L23" s="56" t="s">
        <v>161</v>
      </c>
      <c r="M23" s="55">
        <v>20</v>
      </c>
      <c r="N23" s="37">
        <v>52</v>
      </c>
      <c r="O23" s="37">
        <v>24</v>
      </c>
      <c r="P23" s="54" t="s">
        <v>160</v>
      </c>
      <c r="Q23" s="37">
        <v>20</v>
      </c>
      <c r="R23" s="37">
        <v>15</v>
      </c>
      <c r="S23" s="37">
        <v>5</v>
      </c>
      <c r="T23" s="54" t="s">
        <v>159</v>
      </c>
      <c r="U23" s="55">
        <v>20</v>
      </c>
      <c r="V23" s="37">
        <v>77</v>
      </c>
      <c r="W23" s="37">
        <v>48</v>
      </c>
      <c r="X23" s="54" t="s">
        <v>158</v>
      </c>
      <c r="Y23" s="37">
        <v>20</v>
      </c>
      <c r="Z23" s="37">
        <v>15</v>
      </c>
      <c r="AA23" s="37">
        <v>7</v>
      </c>
      <c r="AB23" s="54" t="s">
        <v>157</v>
      </c>
      <c r="AC23" s="55">
        <v>20</v>
      </c>
      <c r="AD23" s="37">
        <v>30</v>
      </c>
      <c r="AE23" s="37">
        <v>19</v>
      </c>
      <c r="AF23" s="54" t="s">
        <v>156</v>
      </c>
      <c r="AG23" s="37">
        <v>20</v>
      </c>
      <c r="AH23" s="37">
        <v>46</v>
      </c>
      <c r="AI23" s="37">
        <v>26</v>
      </c>
      <c r="AJ23" s="54" t="s">
        <v>155</v>
      </c>
      <c r="AK23" s="37">
        <v>20</v>
      </c>
      <c r="AL23" s="37">
        <v>87</v>
      </c>
      <c r="AM23" s="37">
        <v>53</v>
      </c>
      <c r="AN23" s="54" t="s">
        <v>154</v>
      </c>
      <c r="AO23" s="55">
        <v>20</v>
      </c>
      <c r="AP23" s="37">
        <v>53</v>
      </c>
      <c r="AQ23" s="37">
        <v>25</v>
      </c>
      <c r="AR23" s="54" t="s">
        <v>153</v>
      </c>
      <c r="AS23" s="37">
        <v>20</v>
      </c>
      <c r="AT23" s="37">
        <v>20</v>
      </c>
      <c r="AU23" s="37">
        <v>8</v>
      </c>
      <c r="AV23" s="54" t="s">
        <v>152</v>
      </c>
      <c r="AW23" s="55">
        <v>20</v>
      </c>
      <c r="AX23" s="37">
        <v>27</v>
      </c>
      <c r="AY23" s="37">
        <v>19</v>
      </c>
      <c r="AZ23" s="54" t="s">
        <v>151</v>
      </c>
      <c r="BA23" s="37">
        <v>20</v>
      </c>
      <c r="BB23" s="37">
        <v>29</v>
      </c>
      <c r="BC23" s="37">
        <v>55</v>
      </c>
      <c r="BD23" s="54" t="s">
        <v>150</v>
      </c>
      <c r="BE23" s="37">
        <v>20</v>
      </c>
      <c r="BF23" s="37">
        <v>25</v>
      </c>
      <c r="BG23" s="37">
        <v>27</v>
      </c>
      <c r="BH23" s="54" t="s">
        <v>149</v>
      </c>
    </row>
    <row r="24" spans="1:60">
      <c r="A24" s="53"/>
      <c r="B24" s="40">
        <v>1492</v>
      </c>
      <c r="C24" s="40">
        <v>717</v>
      </c>
      <c r="D24" s="39"/>
      <c r="E24" s="52"/>
      <c r="F24" s="37">
        <v>1696</v>
      </c>
      <c r="G24" s="37">
        <v>677</v>
      </c>
      <c r="H24" s="49"/>
      <c r="I24" s="36"/>
      <c r="J24" s="38">
        <v>1415</v>
      </c>
      <c r="K24" s="38">
        <v>546</v>
      </c>
      <c r="L24" s="49"/>
      <c r="N24" s="37">
        <v>845</v>
      </c>
      <c r="O24" s="37">
        <v>419</v>
      </c>
      <c r="P24" s="49"/>
      <c r="R24" s="37">
        <v>341</v>
      </c>
      <c r="S24" s="37">
        <v>177</v>
      </c>
      <c r="T24" s="49"/>
      <c r="U24" s="50"/>
      <c r="V24" s="51">
        <v>1095</v>
      </c>
      <c r="W24" s="51">
        <v>600</v>
      </c>
      <c r="X24" s="49"/>
      <c r="Z24" s="37">
        <v>532</v>
      </c>
      <c r="AA24" s="37">
        <v>272</v>
      </c>
      <c r="AB24" s="49"/>
      <c r="AC24" s="50"/>
      <c r="AD24" s="37">
        <v>873</v>
      </c>
      <c r="AE24" s="37">
        <v>428</v>
      </c>
      <c r="AF24" s="49"/>
      <c r="AH24" s="37">
        <v>1672</v>
      </c>
      <c r="AI24" s="37">
        <v>878</v>
      </c>
      <c r="AJ24" s="49"/>
      <c r="AL24" s="37">
        <v>1797</v>
      </c>
      <c r="AM24" s="37">
        <v>991</v>
      </c>
      <c r="AN24" s="49"/>
      <c r="AO24" s="50"/>
      <c r="AP24" s="37">
        <v>1198</v>
      </c>
      <c r="AQ24" s="37">
        <v>605</v>
      </c>
      <c r="AR24" s="49"/>
      <c r="AT24" s="37">
        <v>416</v>
      </c>
      <c r="AU24" s="37">
        <v>285</v>
      </c>
      <c r="AV24" s="49"/>
      <c r="AW24" s="50"/>
      <c r="AX24" s="37">
        <v>615</v>
      </c>
      <c r="AY24" s="37">
        <v>560</v>
      </c>
      <c r="AZ24" s="49"/>
      <c r="BB24" s="37">
        <v>762</v>
      </c>
      <c r="BC24" s="37">
        <v>983</v>
      </c>
      <c r="BD24" s="49"/>
      <c r="BF24" s="37">
        <v>694</v>
      </c>
      <c r="BG24" s="37">
        <v>833</v>
      </c>
      <c r="BH24" s="49"/>
    </row>
    <row r="25" spans="1:60">
      <c r="A25" s="46" t="s">
        <v>148</v>
      </c>
      <c r="E25" s="46" t="s">
        <v>148</v>
      </c>
      <c r="F25" s="27"/>
      <c r="G25" s="27"/>
      <c r="H25" s="45"/>
      <c r="I25" s="47" t="s">
        <v>148</v>
      </c>
      <c r="J25" s="47"/>
      <c r="K25" s="47"/>
      <c r="L25" s="48"/>
      <c r="M25" s="47" t="s">
        <v>148</v>
      </c>
      <c r="N25" s="47"/>
      <c r="O25" s="47"/>
      <c r="P25" s="48"/>
      <c r="Q25" s="47" t="s">
        <v>148</v>
      </c>
      <c r="R25" s="27"/>
      <c r="S25" s="27"/>
      <c r="T25" s="45"/>
      <c r="U25" s="46" t="s">
        <v>148</v>
      </c>
      <c r="V25" s="27"/>
      <c r="W25" s="27"/>
      <c r="X25" s="45"/>
      <c r="Y25" s="46" t="s">
        <v>148</v>
      </c>
      <c r="Z25" s="27"/>
      <c r="AA25" s="27"/>
      <c r="AB25" s="45"/>
      <c r="AC25" s="46" t="s">
        <v>148</v>
      </c>
      <c r="AD25" s="27"/>
      <c r="AE25" s="27"/>
      <c r="AF25" s="45"/>
      <c r="AG25" s="46" t="s">
        <v>148</v>
      </c>
      <c r="AH25" s="27"/>
      <c r="AI25" s="27"/>
      <c r="AJ25" s="45"/>
      <c r="AK25" s="46" t="s">
        <v>148</v>
      </c>
      <c r="AL25" s="27"/>
      <c r="AM25" s="27"/>
      <c r="AN25" s="45"/>
      <c r="AO25" s="46" t="s">
        <v>148</v>
      </c>
      <c r="AP25" s="27"/>
      <c r="AQ25" s="27"/>
      <c r="AR25" s="45"/>
      <c r="AS25" s="46" t="s">
        <v>148</v>
      </c>
      <c r="AT25" s="27"/>
      <c r="AU25" s="27"/>
      <c r="AV25" s="45"/>
      <c r="AW25" s="46" t="s">
        <v>148</v>
      </c>
      <c r="AX25" s="27"/>
      <c r="AY25" s="27"/>
      <c r="AZ25" s="45"/>
      <c r="BA25" s="46" t="s">
        <v>148</v>
      </c>
      <c r="BB25" s="27"/>
      <c r="BC25" s="27"/>
      <c r="BD25" s="45"/>
      <c r="BE25" s="46" t="s">
        <v>148</v>
      </c>
      <c r="BF25" s="27"/>
      <c r="BG25" s="27"/>
      <c r="BH25" s="45"/>
    </row>
    <row r="26" spans="1:60" ht="17">
      <c r="A26" s="41" t="s">
        <v>147</v>
      </c>
      <c r="B26" s="32"/>
      <c r="C26" s="32"/>
      <c r="D26" s="39"/>
      <c r="E26" s="41" t="s">
        <v>146</v>
      </c>
      <c r="F26" s="32"/>
      <c r="G26" s="32"/>
      <c r="H26" s="39"/>
      <c r="I26" s="40" t="s">
        <v>145</v>
      </c>
      <c r="J26" s="40"/>
      <c r="K26" s="40"/>
      <c r="L26" s="44"/>
      <c r="M26" s="40" t="s">
        <v>144</v>
      </c>
      <c r="N26" s="40"/>
      <c r="O26" s="40"/>
      <c r="P26" s="44"/>
      <c r="Q26" s="43" t="s">
        <v>143</v>
      </c>
      <c r="R26" s="32"/>
      <c r="S26" s="32"/>
      <c r="T26" s="39"/>
      <c r="U26" s="42" t="s">
        <v>142</v>
      </c>
      <c r="V26" s="32"/>
      <c r="W26" s="32"/>
      <c r="X26" s="39"/>
      <c r="Y26" s="40" t="s">
        <v>141</v>
      </c>
      <c r="Z26" s="32"/>
      <c r="AA26" s="32"/>
      <c r="AB26" s="39"/>
      <c r="AC26" s="41" t="s">
        <v>140</v>
      </c>
      <c r="AD26" s="32"/>
      <c r="AE26" s="32"/>
      <c r="AF26" s="39"/>
      <c r="AG26" s="40" t="s">
        <v>139</v>
      </c>
      <c r="AH26" s="32"/>
      <c r="AI26" s="32"/>
      <c r="AJ26" s="39"/>
      <c r="AK26" s="40" t="s">
        <v>138</v>
      </c>
      <c r="AL26" s="32"/>
      <c r="AM26" s="32"/>
      <c r="AN26" s="39"/>
      <c r="AO26" s="42" t="s">
        <v>137</v>
      </c>
      <c r="AP26" s="32"/>
      <c r="AQ26" s="32"/>
      <c r="AR26" s="39"/>
      <c r="AS26" s="40" t="s">
        <v>136</v>
      </c>
      <c r="AT26" s="32"/>
      <c r="AU26" s="32"/>
      <c r="AV26" s="39"/>
      <c r="AW26" s="41" t="s">
        <v>135</v>
      </c>
      <c r="AX26" s="32"/>
      <c r="AY26" s="32"/>
      <c r="AZ26" s="39"/>
      <c r="BA26" s="40" t="s">
        <v>134</v>
      </c>
      <c r="BB26" s="32"/>
      <c r="BC26" s="32"/>
      <c r="BD26" s="39"/>
      <c r="BE26" s="40" t="s">
        <v>133</v>
      </c>
      <c r="BF26" s="32"/>
      <c r="BG26" s="32"/>
      <c r="BH26" s="39"/>
    </row>
    <row r="27" spans="1:60">
      <c r="A27" s="38" t="s">
        <v>132</v>
      </c>
      <c r="I27" s="36"/>
      <c r="J27" s="36"/>
      <c r="K27" s="36"/>
      <c r="L27" s="36"/>
      <c r="M27" s="36"/>
      <c r="N27" s="36"/>
      <c r="O27" s="36"/>
      <c r="P27" s="36"/>
      <c r="Q27" s="38"/>
      <c r="U27" s="36"/>
      <c r="Y27" s="36"/>
      <c r="AC27" s="38"/>
      <c r="AG27" s="36"/>
      <c r="AK27" s="36"/>
      <c r="AO27" s="36"/>
      <c r="AS27" s="36"/>
      <c r="AW27" s="38"/>
      <c r="BA27" s="36"/>
      <c r="BE27" s="36"/>
    </row>
    <row r="28" spans="1:60" ht="17">
      <c r="A28" s="36" t="s">
        <v>131</v>
      </c>
      <c r="F28" s="36"/>
      <c r="G28" s="36"/>
      <c r="H28" s="36"/>
      <c r="I28" s="35"/>
      <c r="J28" s="35"/>
    </row>
    <row r="29" spans="1:60" ht="17">
      <c r="A29" s="36" t="s">
        <v>130</v>
      </c>
      <c r="F29" s="36"/>
      <c r="G29" s="36"/>
      <c r="H29" s="36"/>
      <c r="I29" s="35"/>
      <c r="J29" s="35"/>
    </row>
    <row r="30" spans="1:60" ht="17">
      <c r="A30" s="36" t="s">
        <v>129</v>
      </c>
      <c r="F30" s="35"/>
      <c r="G30" s="35"/>
      <c r="H30" s="35"/>
      <c r="I30" s="35"/>
      <c r="J30" s="35"/>
      <c r="AC30" s="37"/>
      <c r="BA30" s="37"/>
      <c r="BE30" s="37"/>
    </row>
    <row r="31" spans="1:60" ht="17">
      <c r="A31" s="36" t="s">
        <v>128</v>
      </c>
      <c r="F31" s="36"/>
      <c r="G31" s="36"/>
      <c r="H31" s="36"/>
      <c r="I31" s="35"/>
      <c r="J31" s="35"/>
    </row>
  </sheetData>
  <pageMargins left="0.7" right="0.7" top="0.75" bottom="0.75" header="0.3" footer="0.3"/>
  <pageSetup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BD2F8-2F74-D244-A55B-A33B943F90F4}">
  <dimension ref="A1:Z105"/>
  <sheetViews>
    <sheetView view="pageLayout" zoomScale="94" zoomScaleNormal="63" zoomScalePageLayoutView="94" workbookViewId="0"/>
  </sheetViews>
  <sheetFormatPr baseColWidth="10" defaultRowHeight="12"/>
  <cols>
    <col min="1" max="1" width="12.83203125" style="11" customWidth="1"/>
    <col min="2" max="2" width="3.5" style="11" bestFit="1" customWidth="1"/>
    <col min="3" max="3" width="12.5" style="11" bestFit="1" customWidth="1"/>
    <col min="4" max="4" width="4.5" style="11" customWidth="1"/>
    <col min="5" max="5" width="3.6640625" style="11" customWidth="1"/>
    <col min="6" max="6" width="13.1640625" style="11" bestFit="1" customWidth="1"/>
    <col min="7" max="7" width="3.5" style="11" customWidth="1"/>
    <col min="8" max="8" width="13.1640625" style="11" bestFit="1" customWidth="1"/>
    <col min="9" max="9" width="4.83203125" style="11" customWidth="1"/>
    <col min="10" max="10" width="13.5" style="11" customWidth="1"/>
    <col min="11" max="11" width="3.5" style="11" customWidth="1"/>
    <col min="12" max="12" width="13.33203125" style="11" customWidth="1"/>
    <col min="13" max="13" width="12" style="11" bestFit="1" customWidth="1"/>
    <col min="14" max="14" width="3.5" style="11" bestFit="1" customWidth="1"/>
    <col min="15" max="15" width="3.1640625" style="11" customWidth="1"/>
    <col min="16" max="16" width="13" style="11" customWidth="1"/>
    <col min="17" max="17" width="3.33203125" style="11" customWidth="1"/>
    <col min="18" max="18" width="13" style="11" customWidth="1"/>
    <col min="19" max="19" width="4" style="11" customWidth="1"/>
    <col min="20" max="20" width="13.83203125" style="11" customWidth="1"/>
    <col min="21" max="21" width="3.33203125" style="11" customWidth="1"/>
    <col min="22" max="22" width="13.6640625" style="11" bestFit="1" customWidth="1"/>
    <col min="23" max="23" width="3.33203125" style="11" customWidth="1"/>
    <col min="24" max="24" width="13.6640625" style="11" bestFit="1" customWidth="1"/>
    <col min="25" max="25" width="3.6640625" style="11" customWidth="1"/>
    <col min="26" max="26" width="13.6640625" style="11" bestFit="1" customWidth="1"/>
    <col min="27" max="16384" width="10.83203125" style="11"/>
  </cols>
  <sheetData>
    <row r="1" spans="1:26">
      <c r="A1" s="5" t="s">
        <v>483</v>
      </c>
    </row>
    <row r="2" spans="1:26">
      <c r="A2" s="95" t="s">
        <v>460</v>
      </c>
      <c r="B2" s="90"/>
      <c r="C2" s="94" t="s">
        <v>33</v>
      </c>
      <c r="D2" s="83"/>
      <c r="E2" s="95" t="s">
        <v>63</v>
      </c>
      <c r="F2" s="93"/>
      <c r="G2" s="92" t="s">
        <v>459</v>
      </c>
      <c r="H2" s="93"/>
      <c r="I2" s="92" t="s">
        <v>458</v>
      </c>
      <c r="J2" s="93"/>
      <c r="K2" s="95" t="s">
        <v>457</v>
      </c>
      <c r="L2" s="90"/>
      <c r="M2" s="94" t="s">
        <v>51</v>
      </c>
      <c r="N2" s="93"/>
      <c r="O2" s="92" t="s">
        <v>456</v>
      </c>
      <c r="P2" s="90"/>
      <c r="Q2" s="91" t="s">
        <v>45</v>
      </c>
      <c r="R2" s="90"/>
      <c r="S2" s="91" t="s">
        <v>455</v>
      </c>
      <c r="T2" s="90"/>
      <c r="U2" s="92" t="s">
        <v>454</v>
      </c>
      <c r="V2" s="90"/>
      <c r="W2" s="91" t="s">
        <v>453</v>
      </c>
      <c r="X2" s="90"/>
      <c r="Y2" s="91" t="s">
        <v>452</v>
      </c>
      <c r="Z2" s="90"/>
    </row>
    <row r="3" spans="1:26" s="6" customFormat="1">
      <c r="A3" s="78" t="s">
        <v>482</v>
      </c>
      <c r="B3" s="89" t="s">
        <v>481</v>
      </c>
      <c r="C3" s="78" t="s">
        <v>482</v>
      </c>
      <c r="D3" s="89" t="s">
        <v>481</v>
      </c>
      <c r="E3" s="78" t="s">
        <v>451</v>
      </c>
      <c r="F3" s="77" t="s">
        <v>462</v>
      </c>
      <c r="G3" s="78" t="s">
        <v>451</v>
      </c>
      <c r="H3" s="77" t="s">
        <v>462</v>
      </c>
      <c r="I3" s="78" t="s">
        <v>451</v>
      </c>
      <c r="J3" s="77" t="s">
        <v>462</v>
      </c>
      <c r="K3" s="78" t="s">
        <v>451</v>
      </c>
      <c r="L3" s="77" t="s">
        <v>462</v>
      </c>
      <c r="M3" s="78" t="s">
        <v>482</v>
      </c>
      <c r="N3" s="89" t="s">
        <v>481</v>
      </c>
      <c r="O3" s="78" t="s">
        <v>451</v>
      </c>
      <c r="P3" s="77" t="s">
        <v>462</v>
      </c>
      <c r="Q3" s="78" t="s">
        <v>451</v>
      </c>
      <c r="R3" s="76" t="s">
        <v>462</v>
      </c>
      <c r="S3" s="77" t="s">
        <v>451</v>
      </c>
      <c r="T3" s="76" t="s">
        <v>462</v>
      </c>
      <c r="U3" s="78" t="s">
        <v>451</v>
      </c>
      <c r="V3" s="76" t="s">
        <v>462</v>
      </c>
      <c r="W3" s="77" t="s">
        <v>451</v>
      </c>
      <c r="X3" s="76" t="s">
        <v>462</v>
      </c>
      <c r="Y3" s="77" t="s">
        <v>451</v>
      </c>
      <c r="Z3" s="76" t="s">
        <v>462</v>
      </c>
    </row>
    <row r="4" spans="1:26">
      <c r="A4" s="86" t="s">
        <v>480</v>
      </c>
      <c r="B4" s="2">
        <v>0</v>
      </c>
      <c r="C4" s="86" t="s">
        <v>480</v>
      </c>
      <c r="D4" s="88">
        <v>0</v>
      </c>
      <c r="E4" s="87">
        <v>1</v>
      </c>
      <c r="F4" s="73">
        <v>10.029</v>
      </c>
      <c r="G4" s="75">
        <v>1</v>
      </c>
      <c r="H4" s="73">
        <v>10.317500000000001</v>
      </c>
      <c r="I4" s="75">
        <v>1</v>
      </c>
      <c r="J4" s="73">
        <v>9.1771999999999991</v>
      </c>
      <c r="K4" s="75">
        <v>1</v>
      </c>
      <c r="L4" s="73">
        <v>13.6546</v>
      </c>
      <c r="M4" s="86" t="s">
        <v>480</v>
      </c>
      <c r="N4" s="2">
        <v>0</v>
      </c>
      <c r="O4" s="75">
        <v>1</v>
      </c>
      <c r="P4" s="85">
        <v>10.409700000000001</v>
      </c>
      <c r="Q4" s="1">
        <v>1</v>
      </c>
      <c r="R4" s="72">
        <v>10.9031</v>
      </c>
      <c r="S4" s="1">
        <v>1</v>
      </c>
      <c r="T4" s="72">
        <v>13.126799999999999</v>
      </c>
      <c r="U4" s="75">
        <v>1</v>
      </c>
      <c r="V4" s="72">
        <v>11.2179</v>
      </c>
      <c r="W4" s="1">
        <v>1</v>
      </c>
      <c r="X4" s="72">
        <v>15.2704</v>
      </c>
      <c r="Y4" s="1">
        <v>1</v>
      </c>
      <c r="Z4" s="72">
        <v>12.2684</v>
      </c>
    </row>
    <row r="5" spans="1:26">
      <c r="A5" s="84" t="s">
        <v>479</v>
      </c>
      <c r="B5" s="2">
        <v>0</v>
      </c>
      <c r="C5" s="84" t="s">
        <v>479</v>
      </c>
      <c r="D5" s="8">
        <v>0</v>
      </c>
      <c r="E5" s="75">
        <v>2</v>
      </c>
      <c r="F5" s="73">
        <v>13.548</v>
      </c>
      <c r="G5" s="75">
        <v>2</v>
      </c>
      <c r="H5" s="73">
        <v>10.4925</v>
      </c>
      <c r="I5" s="74">
        <v>2</v>
      </c>
      <c r="J5" s="73">
        <v>14.0998</v>
      </c>
      <c r="K5" s="74">
        <v>2</v>
      </c>
      <c r="L5" s="73">
        <v>10.176299999999999</v>
      </c>
      <c r="M5" s="84" t="s">
        <v>479</v>
      </c>
      <c r="N5" s="2">
        <v>0</v>
      </c>
      <c r="O5" s="74">
        <v>2</v>
      </c>
      <c r="P5" s="72">
        <v>8.9451999999999998</v>
      </c>
      <c r="Q5" s="73">
        <v>2</v>
      </c>
      <c r="R5" s="72">
        <v>7.2096</v>
      </c>
      <c r="S5" s="73">
        <v>2</v>
      </c>
      <c r="T5" s="72">
        <v>9.4172999999999991</v>
      </c>
      <c r="U5" s="74">
        <v>2</v>
      </c>
      <c r="V5" s="72">
        <v>11.5146</v>
      </c>
      <c r="W5" s="73">
        <v>2</v>
      </c>
      <c r="X5" s="72">
        <v>13.5124</v>
      </c>
      <c r="Y5" s="73">
        <v>2</v>
      </c>
      <c r="Z5" s="72">
        <v>12.937200000000001</v>
      </c>
    </row>
    <row r="6" spans="1:26">
      <c r="A6" s="84" t="s">
        <v>478</v>
      </c>
      <c r="B6" s="2">
        <v>0</v>
      </c>
      <c r="C6" s="84" t="s">
        <v>478</v>
      </c>
      <c r="D6" s="8">
        <v>0</v>
      </c>
      <c r="E6" s="75">
        <v>3</v>
      </c>
      <c r="F6" s="73">
        <v>11.009</v>
      </c>
      <c r="G6" s="75">
        <v>3</v>
      </c>
      <c r="H6" s="73">
        <v>15.0342</v>
      </c>
      <c r="I6" s="74">
        <v>3</v>
      </c>
      <c r="J6" s="73">
        <v>12.959</v>
      </c>
      <c r="K6" s="74">
        <v>3</v>
      </c>
      <c r="L6" s="73">
        <v>2.6362000000000001</v>
      </c>
      <c r="M6" s="84" t="s">
        <v>478</v>
      </c>
      <c r="N6" s="2">
        <v>0</v>
      </c>
      <c r="O6" s="74">
        <v>3</v>
      </c>
      <c r="P6" s="72">
        <v>12.484400000000001</v>
      </c>
      <c r="Q6" s="73">
        <v>3</v>
      </c>
      <c r="R6" s="72">
        <v>10.7851</v>
      </c>
      <c r="S6" s="73">
        <v>3</v>
      </c>
      <c r="T6" s="72">
        <v>11.1836</v>
      </c>
      <c r="U6" s="74">
        <v>3</v>
      </c>
      <c r="V6" s="72">
        <v>7.8676000000000004</v>
      </c>
      <c r="W6" s="73">
        <v>3</v>
      </c>
      <c r="X6" s="72">
        <v>13.612500000000001</v>
      </c>
      <c r="Y6" s="73">
        <v>3</v>
      </c>
      <c r="Z6" s="72">
        <v>13.8127</v>
      </c>
    </row>
    <row r="7" spans="1:26">
      <c r="A7" s="84" t="s">
        <v>477</v>
      </c>
      <c r="B7" s="2">
        <v>0</v>
      </c>
      <c r="C7" s="84" t="s">
        <v>477</v>
      </c>
      <c r="D7" s="8">
        <v>0</v>
      </c>
      <c r="E7" s="75">
        <v>4</v>
      </c>
      <c r="F7" s="73">
        <v>12.635</v>
      </c>
      <c r="G7" s="75">
        <v>4</v>
      </c>
      <c r="H7" s="73">
        <v>13.3612</v>
      </c>
      <c r="I7" s="74">
        <v>4</v>
      </c>
      <c r="J7" s="73">
        <v>12.9619</v>
      </c>
      <c r="K7" s="74">
        <v>4</v>
      </c>
      <c r="L7" s="73">
        <v>11.2097</v>
      </c>
      <c r="M7" s="84" t="s">
        <v>477</v>
      </c>
      <c r="N7" s="2">
        <v>0</v>
      </c>
      <c r="O7" s="74">
        <v>4</v>
      </c>
      <c r="P7" s="72">
        <v>14.5124</v>
      </c>
      <c r="Q7" s="73">
        <v>4</v>
      </c>
      <c r="R7" s="72">
        <v>14.432</v>
      </c>
      <c r="S7" s="73">
        <v>4</v>
      </c>
      <c r="T7" s="72">
        <v>12.3828</v>
      </c>
      <c r="U7" s="74">
        <v>4</v>
      </c>
      <c r="V7" s="72">
        <v>8.8638999999999992</v>
      </c>
      <c r="W7" s="73">
        <v>4</v>
      </c>
      <c r="X7" s="72">
        <v>13.2728</v>
      </c>
      <c r="Y7" s="73">
        <v>4</v>
      </c>
      <c r="Z7" s="72">
        <v>14.5336</v>
      </c>
    </row>
    <row r="8" spans="1:26">
      <c r="A8" s="84" t="s">
        <v>476</v>
      </c>
      <c r="B8" s="2">
        <v>0</v>
      </c>
      <c r="C8" s="84" t="s">
        <v>476</v>
      </c>
      <c r="D8" s="8">
        <v>0</v>
      </c>
      <c r="E8" s="75">
        <v>5</v>
      </c>
      <c r="F8" s="73">
        <v>13.035</v>
      </c>
      <c r="G8" s="75">
        <v>5</v>
      </c>
      <c r="H8" s="73">
        <v>13.7521</v>
      </c>
      <c r="I8" s="74">
        <v>5</v>
      </c>
      <c r="J8" s="73">
        <v>12.9567</v>
      </c>
      <c r="K8" s="74">
        <v>5</v>
      </c>
      <c r="L8" s="73">
        <v>13.221399999999999</v>
      </c>
      <c r="M8" s="84" t="s">
        <v>476</v>
      </c>
      <c r="N8" s="2">
        <v>0</v>
      </c>
      <c r="O8" s="74">
        <v>5</v>
      </c>
      <c r="P8" s="72">
        <v>7.8402000000000003</v>
      </c>
      <c r="Q8" s="73">
        <v>5</v>
      </c>
      <c r="R8" s="72">
        <v>12.8904</v>
      </c>
      <c r="S8" s="73">
        <v>5</v>
      </c>
      <c r="T8" s="72">
        <v>14.5586</v>
      </c>
      <c r="U8" s="74">
        <v>5</v>
      </c>
      <c r="V8" s="72">
        <v>9.9632000000000005</v>
      </c>
      <c r="W8" s="73">
        <v>5</v>
      </c>
      <c r="X8" s="72">
        <v>11.7371</v>
      </c>
      <c r="Y8" s="73">
        <v>5</v>
      </c>
      <c r="Z8" s="72">
        <v>9.9753000000000007</v>
      </c>
    </row>
    <row r="9" spans="1:26">
      <c r="A9" s="84" t="s">
        <v>475</v>
      </c>
      <c r="B9" s="2">
        <v>0</v>
      </c>
      <c r="C9" s="84" t="s">
        <v>475</v>
      </c>
      <c r="D9" s="8">
        <v>0</v>
      </c>
      <c r="E9" s="75">
        <v>6</v>
      </c>
      <c r="F9" s="73">
        <v>10.234999999999999</v>
      </c>
      <c r="G9" s="75">
        <v>6</v>
      </c>
      <c r="H9" s="73">
        <v>8.4563000000000006</v>
      </c>
      <c r="I9" s="74">
        <v>6</v>
      </c>
      <c r="J9" s="73">
        <v>10.5303</v>
      </c>
      <c r="K9" s="74">
        <v>6</v>
      </c>
      <c r="L9" s="73">
        <v>10.1751</v>
      </c>
      <c r="M9" s="84" t="s">
        <v>475</v>
      </c>
      <c r="N9" s="2">
        <v>0</v>
      </c>
      <c r="O9" s="74">
        <v>6</v>
      </c>
      <c r="P9" s="72">
        <v>13.803000000000001</v>
      </c>
      <c r="Q9" s="73">
        <v>6</v>
      </c>
      <c r="R9" s="72">
        <v>12.4931</v>
      </c>
      <c r="S9" s="73">
        <v>6</v>
      </c>
      <c r="T9" s="72">
        <v>11.964</v>
      </c>
      <c r="U9" s="74">
        <v>6</v>
      </c>
      <c r="V9" s="72">
        <v>11.658099999999999</v>
      </c>
      <c r="W9" s="73">
        <v>6</v>
      </c>
      <c r="X9" s="72">
        <v>12.0517</v>
      </c>
      <c r="Y9" s="73">
        <v>6</v>
      </c>
      <c r="Z9" s="72">
        <v>13.0823</v>
      </c>
    </row>
    <row r="10" spans="1:26">
      <c r="A10" s="84" t="s">
        <v>474</v>
      </c>
      <c r="B10" s="2">
        <v>0</v>
      </c>
      <c r="C10" s="84" t="s">
        <v>474</v>
      </c>
      <c r="D10" s="8">
        <v>1</v>
      </c>
      <c r="E10" s="75">
        <v>7</v>
      </c>
      <c r="F10" s="73">
        <v>12.688000000000001</v>
      </c>
      <c r="G10" s="75">
        <v>7</v>
      </c>
      <c r="H10" s="73">
        <v>9.0624000000000002</v>
      </c>
      <c r="I10" s="74">
        <v>7</v>
      </c>
      <c r="J10" s="73">
        <v>12.232699999999999</v>
      </c>
      <c r="K10" s="74">
        <v>7</v>
      </c>
      <c r="L10" s="73">
        <v>10.23</v>
      </c>
      <c r="M10" s="84" t="s">
        <v>474</v>
      </c>
      <c r="N10" s="2">
        <v>0</v>
      </c>
      <c r="O10" s="74">
        <v>7</v>
      </c>
      <c r="P10" s="72">
        <v>11.8863</v>
      </c>
      <c r="Q10" s="73">
        <v>7</v>
      </c>
      <c r="R10" s="72">
        <v>12.375400000000001</v>
      </c>
      <c r="S10" s="73">
        <v>7</v>
      </c>
      <c r="T10" s="72">
        <v>12.6515</v>
      </c>
      <c r="U10" s="74">
        <v>7</v>
      </c>
      <c r="V10" s="72">
        <v>13.9131</v>
      </c>
      <c r="W10" s="73">
        <v>7</v>
      </c>
      <c r="X10" s="72">
        <v>13.708500000000001</v>
      </c>
      <c r="Y10" s="73">
        <v>7</v>
      </c>
      <c r="Z10" s="72">
        <v>12.2409</v>
      </c>
    </row>
    <row r="11" spans="1:26">
      <c r="A11" s="84" t="s">
        <v>473</v>
      </c>
      <c r="B11" s="2">
        <v>1</v>
      </c>
      <c r="C11" s="84" t="s">
        <v>473</v>
      </c>
      <c r="D11" s="8">
        <v>2</v>
      </c>
      <c r="E11" s="75">
        <v>8</v>
      </c>
      <c r="F11" s="73">
        <v>11.257999999999999</v>
      </c>
      <c r="G11" s="75">
        <v>8</v>
      </c>
      <c r="H11" s="73">
        <v>9.0040999999999993</v>
      </c>
      <c r="I11" s="74">
        <v>8</v>
      </c>
      <c r="J11" s="73">
        <v>12.023099999999999</v>
      </c>
      <c r="K11" s="74">
        <v>8</v>
      </c>
      <c r="L11" s="73">
        <v>13.602</v>
      </c>
      <c r="M11" s="84" t="s">
        <v>473</v>
      </c>
      <c r="N11" s="2">
        <v>1</v>
      </c>
      <c r="O11" s="74">
        <v>8</v>
      </c>
      <c r="P11" s="72">
        <v>15.567600000000001</v>
      </c>
      <c r="Q11" s="73">
        <v>8</v>
      </c>
      <c r="R11" s="72">
        <v>10.5746</v>
      </c>
      <c r="S11" s="73">
        <v>8</v>
      </c>
      <c r="T11" s="72">
        <v>14.139699999999999</v>
      </c>
      <c r="U11" s="74">
        <v>8</v>
      </c>
      <c r="V11" s="72">
        <v>10.528600000000001</v>
      </c>
      <c r="W11" s="73">
        <v>8</v>
      </c>
      <c r="X11" s="72">
        <v>12.0433</v>
      </c>
      <c r="Y11" s="73">
        <v>8</v>
      </c>
      <c r="Z11" s="72">
        <v>10.734299999999999</v>
      </c>
    </row>
    <row r="12" spans="1:26">
      <c r="A12" s="84" t="s">
        <v>472</v>
      </c>
      <c r="B12" s="2">
        <v>0</v>
      </c>
      <c r="C12" s="84" t="s">
        <v>472</v>
      </c>
      <c r="D12" s="8">
        <v>1</v>
      </c>
      <c r="E12" s="75">
        <v>9</v>
      </c>
      <c r="F12" s="73">
        <v>12.805999999999999</v>
      </c>
      <c r="G12" s="75">
        <v>9</v>
      </c>
      <c r="H12" s="73">
        <v>13.4918</v>
      </c>
      <c r="I12" s="74">
        <v>9</v>
      </c>
      <c r="J12" s="73">
        <v>12.234999999999999</v>
      </c>
      <c r="K12" s="74">
        <v>9</v>
      </c>
      <c r="L12" s="73">
        <v>10.843999999999999</v>
      </c>
      <c r="M12" s="84" t="s">
        <v>472</v>
      </c>
      <c r="N12" s="2">
        <v>2</v>
      </c>
      <c r="O12" s="74">
        <v>9</v>
      </c>
      <c r="P12" s="72">
        <v>9.5048999999999992</v>
      </c>
      <c r="Q12" s="73">
        <v>9</v>
      </c>
      <c r="R12" s="72">
        <v>10.8827</v>
      </c>
      <c r="S12" s="73">
        <v>9</v>
      </c>
      <c r="T12" s="72">
        <v>10.6709</v>
      </c>
      <c r="U12" s="74">
        <v>9</v>
      </c>
      <c r="V12" s="72">
        <v>10.0204</v>
      </c>
      <c r="W12" s="73">
        <v>9</v>
      </c>
      <c r="X12" s="72">
        <v>13.409599999999999</v>
      </c>
      <c r="Y12" s="73">
        <v>9</v>
      </c>
      <c r="Z12" s="72">
        <v>10.159599999999999</v>
      </c>
    </row>
    <row r="13" spans="1:26">
      <c r="A13" s="84" t="s">
        <v>471</v>
      </c>
      <c r="B13" s="2">
        <v>7</v>
      </c>
      <c r="C13" s="84" t="s">
        <v>471</v>
      </c>
      <c r="D13" s="8">
        <v>6</v>
      </c>
      <c r="E13" s="75">
        <v>10</v>
      </c>
      <c r="F13" s="73">
        <v>9.3879999999999999</v>
      </c>
      <c r="G13" s="75">
        <v>10</v>
      </c>
      <c r="H13" s="73">
        <v>12.687900000000001</v>
      </c>
      <c r="I13" s="74">
        <v>10</v>
      </c>
      <c r="J13" s="73">
        <v>11.3361</v>
      </c>
      <c r="K13" s="74">
        <v>10</v>
      </c>
      <c r="L13" s="73">
        <v>12.144399999999999</v>
      </c>
      <c r="M13" s="84" t="s">
        <v>471</v>
      </c>
      <c r="N13" s="2">
        <v>2</v>
      </c>
      <c r="O13" s="74">
        <v>10</v>
      </c>
      <c r="P13" s="72">
        <v>13.4572</v>
      </c>
      <c r="Q13" s="73">
        <v>10</v>
      </c>
      <c r="R13" s="72">
        <v>11.0459</v>
      </c>
      <c r="S13" s="73">
        <v>10</v>
      </c>
      <c r="T13" s="72">
        <v>12.2235</v>
      </c>
      <c r="U13" s="74">
        <v>10</v>
      </c>
      <c r="V13" s="72">
        <v>11.119</v>
      </c>
      <c r="W13" s="73">
        <v>10</v>
      </c>
      <c r="X13" s="72">
        <v>12.758599999999999</v>
      </c>
      <c r="Y13" s="73">
        <v>10</v>
      </c>
      <c r="Z13" s="72">
        <v>13.382099999999999</v>
      </c>
    </row>
    <row r="14" spans="1:26">
      <c r="A14" s="84" t="s">
        <v>470</v>
      </c>
      <c r="B14" s="2">
        <v>17</v>
      </c>
      <c r="C14" s="84" t="s">
        <v>470</v>
      </c>
      <c r="D14" s="8">
        <v>12</v>
      </c>
      <c r="E14" s="75">
        <v>11</v>
      </c>
      <c r="F14" s="73">
        <v>13.978999999999999</v>
      </c>
      <c r="G14" s="75">
        <v>11</v>
      </c>
      <c r="H14" s="73">
        <v>12.564399999999999</v>
      </c>
      <c r="I14" s="74">
        <v>11</v>
      </c>
      <c r="J14" s="73">
        <v>9.8232999999999997</v>
      </c>
      <c r="K14" s="74">
        <v>11</v>
      </c>
      <c r="L14" s="73">
        <v>9.5481999999999996</v>
      </c>
      <c r="M14" s="84" t="s">
        <v>470</v>
      </c>
      <c r="N14" s="2">
        <v>13</v>
      </c>
      <c r="O14" s="74">
        <v>11</v>
      </c>
      <c r="P14" s="72">
        <v>8.1496999999999993</v>
      </c>
      <c r="Q14" s="73">
        <v>11</v>
      </c>
      <c r="R14" s="72">
        <v>10.5433</v>
      </c>
      <c r="S14" s="73">
        <v>11</v>
      </c>
      <c r="T14" s="72">
        <v>14.1356</v>
      </c>
      <c r="U14" s="74">
        <v>11</v>
      </c>
      <c r="V14" s="72">
        <v>12.517300000000001</v>
      </c>
      <c r="W14" s="73">
        <v>11</v>
      </c>
      <c r="X14" s="72">
        <v>12.4359</v>
      </c>
      <c r="Y14" s="73">
        <v>11</v>
      </c>
      <c r="Z14" s="72">
        <v>14.5075</v>
      </c>
    </row>
    <row r="15" spans="1:26">
      <c r="A15" s="84" t="s">
        <v>469</v>
      </c>
      <c r="B15" s="2">
        <v>27</v>
      </c>
      <c r="C15" s="84" t="s">
        <v>469</v>
      </c>
      <c r="D15" s="8">
        <v>26</v>
      </c>
      <c r="E15" s="75">
        <v>12</v>
      </c>
      <c r="F15" s="73">
        <v>13.891999999999999</v>
      </c>
      <c r="G15" s="75">
        <v>12</v>
      </c>
      <c r="H15" s="73">
        <v>9.7066999999999997</v>
      </c>
      <c r="I15" s="74">
        <v>12</v>
      </c>
      <c r="J15" s="73">
        <v>10.624000000000001</v>
      </c>
      <c r="K15" s="74">
        <v>12</v>
      </c>
      <c r="L15" s="73">
        <v>13.6632</v>
      </c>
      <c r="M15" s="84" t="s">
        <v>469</v>
      </c>
      <c r="N15" s="2">
        <v>14</v>
      </c>
      <c r="O15" s="74">
        <v>12</v>
      </c>
      <c r="P15" s="72">
        <v>8.4741</v>
      </c>
      <c r="Q15" s="73">
        <v>12</v>
      </c>
      <c r="R15" s="72">
        <v>11.842599999999999</v>
      </c>
      <c r="S15" s="73">
        <v>12</v>
      </c>
      <c r="T15" s="72">
        <v>13.4771</v>
      </c>
      <c r="U15" s="74">
        <v>12</v>
      </c>
      <c r="V15" s="72">
        <v>13.7441</v>
      </c>
      <c r="W15" s="73">
        <v>12</v>
      </c>
      <c r="X15" s="72">
        <v>13.023300000000001</v>
      </c>
      <c r="Y15" s="73">
        <v>12</v>
      </c>
      <c r="Z15" s="72">
        <v>12.687900000000001</v>
      </c>
    </row>
    <row r="16" spans="1:26">
      <c r="A16" s="84" t="s">
        <v>468</v>
      </c>
      <c r="B16" s="2">
        <v>22</v>
      </c>
      <c r="C16" s="84" t="s">
        <v>468</v>
      </c>
      <c r="D16" s="20">
        <v>22</v>
      </c>
      <c r="E16" s="75">
        <v>13</v>
      </c>
      <c r="F16" s="73">
        <v>13.377000000000001</v>
      </c>
      <c r="G16" s="75">
        <v>13</v>
      </c>
      <c r="H16" s="73">
        <v>8.9094999999999995</v>
      </c>
      <c r="I16" s="74">
        <v>13</v>
      </c>
      <c r="J16" s="73">
        <v>2.2065000000000001</v>
      </c>
      <c r="K16" s="74">
        <v>13</v>
      </c>
      <c r="L16" s="73">
        <v>13.673299999999999</v>
      </c>
      <c r="M16" s="84" t="s">
        <v>468</v>
      </c>
      <c r="N16" s="2">
        <v>35</v>
      </c>
      <c r="O16" s="74">
        <v>13</v>
      </c>
      <c r="P16" s="72">
        <v>8.8277999999999999</v>
      </c>
      <c r="Q16" s="73">
        <v>13</v>
      </c>
      <c r="R16" s="72">
        <v>12.5341</v>
      </c>
      <c r="S16" s="73">
        <v>13</v>
      </c>
      <c r="T16" s="72">
        <v>14.460699999999999</v>
      </c>
      <c r="U16" s="74">
        <v>13</v>
      </c>
      <c r="V16" s="72">
        <v>13.2226</v>
      </c>
      <c r="W16" s="73">
        <v>13</v>
      </c>
      <c r="X16" s="72">
        <v>11.8125</v>
      </c>
      <c r="Y16" s="73">
        <v>13</v>
      </c>
      <c r="Z16" s="72">
        <v>13.263</v>
      </c>
    </row>
    <row r="17" spans="1:26">
      <c r="A17" s="84" t="s">
        <v>467</v>
      </c>
      <c r="B17" s="2">
        <v>16</v>
      </c>
      <c r="C17" s="84" t="s">
        <v>467</v>
      </c>
      <c r="D17" s="20">
        <v>23</v>
      </c>
      <c r="E17" s="75">
        <v>14</v>
      </c>
      <c r="F17" s="73">
        <v>13.618</v>
      </c>
      <c r="G17" s="75">
        <v>14</v>
      </c>
      <c r="H17" s="73">
        <v>10.6867</v>
      </c>
      <c r="I17" s="74">
        <v>14</v>
      </c>
      <c r="J17" s="73">
        <v>9.2251999999999992</v>
      </c>
      <c r="K17" s="74">
        <v>14</v>
      </c>
      <c r="L17" s="73">
        <v>14.357100000000001</v>
      </c>
      <c r="M17" s="84" t="s">
        <v>467</v>
      </c>
      <c r="N17" s="2">
        <v>23</v>
      </c>
      <c r="O17" s="74">
        <v>14</v>
      </c>
      <c r="P17" s="72">
        <v>11.95</v>
      </c>
      <c r="Q17" s="73">
        <v>14</v>
      </c>
      <c r="R17" s="72">
        <v>14.1905</v>
      </c>
      <c r="S17" s="73">
        <v>14</v>
      </c>
      <c r="T17" s="72">
        <v>8.8283000000000005</v>
      </c>
      <c r="U17" s="74">
        <v>14</v>
      </c>
      <c r="V17" s="72">
        <v>11.3383</v>
      </c>
      <c r="W17" s="73">
        <v>14</v>
      </c>
      <c r="X17" s="72">
        <v>13.107200000000001</v>
      </c>
      <c r="Y17" s="73">
        <v>14</v>
      </c>
      <c r="Z17" s="72">
        <v>12.595700000000001</v>
      </c>
    </row>
    <row r="18" spans="1:26">
      <c r="A18" s="84" t="s">
        <v>466</v>
      </c>
      <c r="B18" s="2">
        <v>9</v>
      </c>
      <c r="C18" s="84" t="s">
        <v>466</v>
      </c>
      <c r="D18" s="20">
        <v>4</v>
      </c>
      <c r="E18" s="75">
        <v>15</v>
      </c>
      <c r="F18" s="73">
        <v>14.182</v>
      </c>
      <c r="G18" s="75">
        <v>15</v>
      </c>
      <c r="H18" s="73">
        <v>12.0792</v>
      </c>
      <c r="I18" s="74">
        <v>15</v>
      </c>
      <c r="J18" s="73">
        <v>9.3909000000000002</v>
      </c>
      <c r="K18" s="74">
        <v>15</v>
      </c>
      <c r="L18" s="73">
        <v>11.833299999999999</v>
      </c>
      <c r="M18" s="84" t="s">
        <v>466</v>
      </c>
      <c r="N18" s="2">
        <v>8</v>
      </c>
      <c r="O18" s="74">
        <v>15</v>
      </c>
      <c r="P18" s="72">
        <v>11.987</v>
      </c>
      <c r="Q18" s="73">
        <v>15</v>
      </c>
      <c r="R18" s="72">
        <v>12.638</v>
      </c>
      <c r="S18" s="73">
        <v>15</v>
      </c>
      <c r="T18" s="72">
        <v>13.215299999999999</v>
      </c>
      <c r="U18" s="74">
        <v>15</v>
      </c>
      <c r="V18" s="72">
        <v>9.5173000000000005</v>
      </c>
      <c r="W18" s="73">
        <v>15</v>
      </c>
      <c r="X18" s="72">
        <v>12.616</v>
      </c>
      <c r="Y18" s="73">
        <v>15</v>
      </c>
      <c r="Z18" s="72">
        <v>13.0929</v>
      </c>
    </row>
    <row r="19" spans="1:26">
      <c r="A19" s="84" t="s">
        <v>465</v>
      </c>
      <c r="B19" s="2">
        <v>1</v>
      </c>
      <c r="C19" s="84" t="s">
        <v>465</v>
      </c>
      <c r="D19" s="20">
        <v>3</v>
      </c>
      <c r="E19" s="75">
        <v>16</v>
      </c>
      <c r="F19" s="73">
        <v>12.339</v>
      </c>
      <c r="G19" s="75">
        <v>16</v>
      </c>
      <c r="H19" s="73">
        <v>9.1405999999999992</v>
      </c>
      <c r="I19" s="74">
        <v>16</v>
      </c>
      <c r="J19" s="73">
        <v>11.248100000000001</v>
      </c>
      <c r="K19" s="74">
        <v>16</v>
      </c>
      <c r="L19" s="73">
        <v>8.6752000000000002</v>
      </c>
      <c r="M19" s="84" t="s">
        <v>465</v>
      </c>
      <c r="N19" s="2">
        <v>2</v>
      </c>
      <c r="O19" s="74">
        <v>16</v>
      </c>
      <c r="P19" s="72">
        <v>6.1772</v>
      </c>
      <c r="Q19" s="73">
        <v>16</v>
      </c>
      <c r="R19" s="72">
        <v>11.48</v>
      </c>
      <c r="S19" s="73">
        <v>16</v>
      </c>
      <c r="T19" s="72">
        <v>11.9604</v>
      </c>
      <c r="U19" s="74">
        <v>16</v>
      </c>
      <c r="V19" s="72">
        <v>12.138</v>
      </c>
      <c r="W19" s="73">
        <v>16</v>
      </c>
      <c r="X19" s="72">
        <v>12.397</v>
      </c>
      <c r="Y19" s="73">
        <v>16</v>
      </c>
      <c r="Z19" s="72">
        <v>13.6686</v>
      </c>
    </row>
    <row r="20" spans="1:26">
      <c r="A20" s="84" t="s">
        <v>464</v>
      </c>
      <c r="B20" s="2">
        <v>0</v>
      </c>
      <c r="C20" s="84" t="s">
        <v>464</v>
      </c>
      <c r="D20" s="20">
        <v>0</v>
      </c>
      <c r="E20" s="75">
        <v>17</v>
      </c>
      <c r="F20" s="73">
        <v>10.635999999999999</v>
      </c>
      <c r="G20" s="75">
        <v>17</v>
      </c>
      <c r="H20" s="73">
        <v>15.587999999999999</v>
      </c>
      <c r="I20" s="74">
        <v>17</v>
      </c>
      <c r="J20" s="73">
        <v>11.7904</v>
      </c>
      <c r="K20" s="74">
        <v>17</v>
      </c>
      <c r="L20" s="73">
        <v>14.071400000000001</v>
      </c>
      <c r="M20" s="84" t="s">
        <v>464</v>
      </c>
      <c r="N20" s="2">
        <v>0</v>
      </c>
      <c r="O20" s="74">
        <v>17</v>
      </c>
      <c r="P20" s="72">
        <v>13.1609</v>
      </c>
      <c r="Q20" s="73">
        <v>17</v>
      </c>
      <c r="R20" s="72">
        <v>10.404500000000001</v>
      </c>
      <c r="S20" s="73">
        <v>17</v>
      </c>
      <c r="T20" s="72">
        <v>13.427</v>
      </c>
      <c r="U20" s="74">
        <v>17</v>
      </c>
      <c r="V20" s="72">
        <v>6.3005000000000004</v>
      </c>
      <c r="W20" s="73">
        <v>17</v>
      </c>
      <c r="X20" s="72">
        <v>11.927300000000001</v>
      </c>
      <c r="Y20" s="73">
        <v>17</v>
      </c>
      <c r="Z20" s="72">
        <v>13.382300000000001</v>
      </c>
    </row>
    <row r="21" spans="1:26">
      <c r="A21" s="84" t="s">
        <v>463</v>
      </c>
      <c r="B21" s="2">
        <v>0</v>
      </c>
      <c r="C21" s="84" t="s">
        <v>463</v>
      </c>
      <c r="D21" s="20">
        <v>0</v>
      </c>
      <c r="E21" s="75">
        <v>18</v>
      </c>
      <c r="F21" s="73">
        <v>9.3330000000000002</v>
      </c>
      <c r="G21" s="75">
        <v>18</v>
      </c>
      <c r="H21" s="73">
        <v>12.361800000000001</v>
      </c>
      <c r="I21" s="74">
        <v>18</v>
      </c>
      <c r="J21" s="73">
        <v>10.6488</v>
      </c>
      <c r="K21" s="74">
        <v>18</v>
      </c>
      <c r="L21" s="73">
        <v>9.6373999999999995</v>
      </c>
      <c r="M21" s="84" t="s">
        <v>463</v>
      </c>
      <c r="N21" s="2">
        <v>0</v>
      </c>
      <c r="O21" s="74">
        <v>18</v>
      </c>
      <c r="P21" s="72">
        <v>14.761699999999999</v>
      </c>
      <c r="Q21" s="73">
        <v>18</v>
      </c>
      <c r="R21" s="72">
        <v>12.833600000000001</v>
      </c>
      <c r="S21" s="73">
        <v>18</v>
      </c>
      <c r="T21" s="72">
        <v>14.1654</v>
      </c>
      <c r="U21" s="74">
        <v>18</v>
      </c>
      <c r="V21" s="72">
        <v>12.2277</v>
      </c>
      <c r="W21" s="73">
        <v>18</v>
      </c>
      <c r="X21" s="72">
        <v>12.5092</v>
      </c>
      <c r="Y21" s="73">
        <v>18</v>
      </c>
      <c r="Z21" s="72">
        <v>13.4002</v>
      </c>
    </row>
    <row r="22" spans="1:26">
      <c r="E22" s="75">
        <v>19</v>
      </c>
      <c r="F22" s="73">
        <v>9.8109999999999999</v>
      </c>
      <c r="G22" s="75">
        <v>19</v>
      </c>
      <c r="H22" s="73">
        <v>12.0808</v>
      </c>
      <c r="I22" s="74">
        <v>19</v>
      </c>
      <c r="J22" s="73">
        <v>12.9354</v>
      </c>
      <c r="K22" s="74">
        <v>19</v>
      </c>
      <c r="L22" s="72">
        <v>14.8405</v>
      </c>
      <c r="M22" s="1"/>
      <c r="N22" s="1"/>
      <c r="O22" s="74">
        <v>19</v>
      </c>
      <c r="P22" s="72">
        <v>10.870799999999999</v>
      </c>
      <c r="Q22" s="73">
        <v>19</v>
      </c>
      <c r="R22" s="72">
        <v>10.645300000000001</v>
      </c>
      <c r="S22" s="73">
        <v>19</v>
      </c>
      <c r="T22" s="72">
        <v>12.0678</v>
      </c>
      <c r="U22" s="74">
        <v>19</v>
      </c>
      <c r="V22" s="72">
        <v>7.5110000000000001</v>
      </c>
      <c r="W22" s="73">
        <v>19</v>
      </c>
      <c r="X22" s="72">
        <v>12.7067</v>
      </c>
      <c r="Y22" s="73">
        <v>19</v>
      </c>
      <c r="Z22" s="72">
        <v>12.057399999999999</v>
      </c>
    </row>
    <row r="23" spans="1:26">
      <c r="E23" s="75">
        <v>20</v>
      </c>
      <c r="F23" s="73">
        <v>11.988</v>
      </c>
      <c r="G23" s="75">
        <v>20</v>
      </c>
      <c r="H23" s="73">
        <v>11.4628</v>
      </c>
      <c r="I23" s="74">
        <v>20</v>
      </c>
      <c r="J23" s="73">
        <v>7.7961999999999998</v>
      </c>
      <c r="K23" s="74">
        <v>20</v>
      </c>
      <c r="L23" s="72">
        <v>13.3269</v>
      </c>
      <c r="M23" s="1"/>
      <c r="N23" s="1"/>
      <c r="O23" s="74">
        <v>20</v>
      </c>
      <c r="P23" s="72">
        <v>10.3307</v>
      </c>
      <c r="Q23" s="73">
        <v>20</v>
      </c>
      <c r="R23" s="72">
        <v>10.5847</v>
      </c>
      <c r="S23" s="73">
        <v>20</v>
      </c>
      <c r="T23" s="72">
        <v>4.4175000000000004</v>
      </c>
      <c r="U23" s="74">
        <v>20</v>
      </c>
      <c r="V23" s="72">
        <v>13.5665</v>
      </c>
      <c r="W23" s="73">
        <v>20</v>
      </c>
      <c r="X23" s="72">
        <v>12.2805</v>
      </c>
      <c r="Y23" s="73">
        <v>20</v>
      </c>
      <c r="Z23" s="72">
        <v>13.257400000000001</v>
      </c>
    </row>
    <row r="24" spans="1:26">
      <c r="E24" s="75">
        <v>21</v>
      </c>
      <c r="F24" s="73">
        <v>9.8849999999999998</v>
      </c>
      <c r="G24" s="75">
        <v>21</v>
      </c>
      <c r="H24" s="73">
        <v>9.2273999999999994</v>
      </c>
      <c r="I24" s="74">
        <v>21</v>
      </c>
      <c r="J24" s="73">
        <v>13.5922</v>
      </c>
      <c r="K24" s="74">
        <v>21</v>
      </c>
      <c r="L24" s="72">
        <v>13.6219</v>
      </c>
      <c r="M24" s="1"/>
      <c r="N24" s="1"/>
      <c r="O24" s="74">
        <v>21</v>
      </c>
      <c r="P24" s="72">
        <v>7.7392000000000003</v>
      </c>
      <c r="Q24" s="73">
        <v>21</v>
      </c>
      <c r="R24" s="72">
        <v>13.468400000000001</v>
      </c>
      <c r="S24" s="73">
        <v>21</v>
      </c>
      <c r="T24" s="72">
        <v>4.9630000000000001</v>
      </c>
      <c r="U24" s="74">
        <v>21</v>
      </c>
      <c r="V24" s="72">
        <v>14.1388</v>
      </c>
      <c r="W24" s="73">
        <v>21</v>
      </c>
      <c r="X24" s="72">
        <v>10.9815</v>
      </c>
      <c r="Y24" s="73">
        <v>21</v>
      </c>
      <c r="Z24" s="72">
        <v>13.9579</v>
      </c>
    </row>
    <row r="25" spans="1:26">
      <c r="E25" s="75">
        <v>22</v>
      </c>
      <c r="F25" s="73">
        <v>11.489000000000001</v>
      </c>
      <c r="G25" s="75">
        <v>22</v>
      </c>
      <c r="H25" s="73">
        <v>12.9192</v>
      </c>
      <c r="I25" s="74">
        <v>22</v>
      </c>
      <c r="J25" s="73">
        <v>13.119300000000001</v>
      </c>
      <c r="K25" s="74">
        <v>22</v>
      </c>
      <c r="L25" s="72">
        <v>11.1836</v>
      </c>
      <c r="M25" s="1"/>
      <c r="N25" s="1"/>
      <c r="O25" s="74">
        <v>22</v>
      </c>
      <c r="P25" s="72">
        <v>9.9710999999999999</v>
      </c>
      <c r="Q25" s="73">
        <v>22</v>
      </c>
      <c r="R25" s="72">
        <v>10.3409</v>
      </c>
      <c r="S25" s="73">
        <v>22</v>
      </c>
      <c r="T25" s="72">
        <v>14.115399999999999</v>
      </c>
      <c r="U25" s="74">
        <v>22</v>
      </c>
      <c r="V25" s="72">
        <v>9.9278999999999993</v>
      </c>
      <c r="W25" s="73">
        <v>22</v>
      </c>
      <c r="X25" s="72">
        <v>11.3695</v>
      </c>
      <c r="Y25" s="73">
        <v>22</v>
      </c>
      <c r="Z25" s="72">
        <v>12.4404</v>
      </c>
    </row>
    <row r="26" spans="1:26">
      <c r="E26" s="75">
        <v>23</v>
      </c>
      <c r="F26" s="73">
        <v>13.521000000000001</v>
      </c>
      <c r="G26" s="75">
        <v>23</v>
      </c>
      <c r="H26" s="73">
        <v>12.674899999999999</v>
      </c>
      <c r="I26" s="74">
        <v>23</v>
      </c>
      <c r="J26" s="73">
        <v>12.558299999999999</v>
      </c>
      <c r="K26" s="74">
        <v>23</v>
      </c>
      <c r="L26" s="72">
        <v>15.3919</v>
      </c>
      <c r="M26" s="1"/>
      <c r="N26" s="1"/>
      <c r="O26" s="74">
        <v>23</v>
      </c>
      <c r="P26" s="72">
        <v>9.7759</v>
      </c>
      <c r="Q26" s="73">
        <v>23</v>
      </c>
      <c r="R26" s="72">
        <v>13.215299999999999</v>
      </c>
      <c r="S26" s="73">
        <v>23</v>
      </c>
      <c r="T26" s="72">
        <v>7.6929999999999996</v>
      </c>
      <c r="U26" s="74">
        <v>23</v>
      </c>
      <c r="V26" s="72">
        <v>10.0243</v>
      </c>
      <c r="W26" s="73">
        <v>23</v>
      </c>
      <c r="X26" s="72">
        <v>12.213200000000001</v>
      </c>
      <c r="Y26" s="73">
        <v>23</v>
      </c>
      <c r="Z26" s="72">
        <v>11.6294</v>
      </c>
    </row>
    <row r="27" spans="1:26">
      <c r="E27" s="75">
        <v>24</v>
      </c>
      <c r="F27" s="73">
        <v>15.782999999999999</v>
      </c>
      <c r="G27" s="75">
        <v>24</v>
      </c>
      <c r="H27" s="73">
        <v>9.7670999999999992</v>
      </c>
      <c r="I27" s="74">
        <v>24</v>
      </c>
      <c r="J27" s="73">
        <v>14.339</v>
      </c>
      <c r="K27" s="74">
        <v>24</v>
      </c>
      <c r="L27" s="72">
        <v>11.6835</v>
      </c>
      <c r="M27" s="1"/>
      <c r="N27" s="1"/>
      <c r="O27" s="74">
        <v>24</v>
      </c>
      <c r="P27" s="72">
        <v>13.399100000000001</v>
      </c>
      <c r="Q27" s="73">
        <v>24</v>
      </c>
      <c r="R27" s="72">
        <v>10.372299999999999</v>
      </c>
      <c r="S27" s="73">
        <v>24</v>
      </c>
      <c r="T27" s="72">
        <v>14.526999999999999</v>
      </c>
      <c r="U27" s="74">
        <v>24</v>
      </c>
      <c r="V27" s="72">
        <v>11.927099999999999</v>
      </c>
      <c r="W27" s="73">
        <v>24</v>
      </c>
      <c r="X27" s="72">
        <v>13.9796</v>
      </c>
      <c r="Y27" s="73">
        <v>24</v>
      </c>
      <c r="Z27" s="72">
        <v>11.4801</v>
      </c>
    </row>
    <row r="28" spans="1:26">
      <c r="E28" s="75">
        <v>25</v>
      </c>
      <c r="F28" s="73">
        <v>13.938000000000001</v>
      </c>
      <c r="G28" s="75">
        <v>25</v>
      </c>
      <c r="H28" s="73">
        <v>9.9628999999999994</v>
      </c>
      <c r="I28" s="74">
        <v>25</v>
      </c>
      <c r="J28" s="73">
        <v>13.2309</v>
      </c>
      <c r="K28" s="74">
        <v>25</v>
      </c>
      <c r="L28" s="72">
        <v>13.5464</v>
      </c>
      <c r="M28" s="1"/>
      <c r="N28" s="1"/>
      <c r="O28" s="74">
        <v>25</v>
      </c>
      <c r="P28" s="72">
        <v>14.247</v>
      </c>
      <c r="Q28" s="73">
        <v>25</v>
      </c>
      <c r="R28" s="72">
        <v>10.4076</v>
      </c>
      <c r="S28" s="73">
        <v>25</v>
      </c>
      <c r="T28" s="72">
        <v>11.9795</v>
      </c>
      <c r="U28" s="74">
        <v>25</v>
      </c>
      <c r="V28" s="72">
        <v>11.854200000000001</v>
      </c>
      <c r="W28" s="73">
        <v>25</v>
      </c>
      <c r="X28" s="72">
        <v>14.9001</v>
      </c>
      <c r="Y28" s="73">
        <v>25</v>
      </c>
      <c r="Z28" s="72">
        <v>13.050700000000001</v>
      </c>
    </row>
    <row r="29" spans="1:26">
      <c r="E29" s="75">
        <v>26</v>
      </c>
      <c r="F29" s="73">
        <v>14.394</v>
      </c>
      <c r="G29" s="75">
        <v>26</v>
      </c>
      <c r="H29" s="73">
        <v>11.7003</v>
      </c>
      <c r="I29" s="74">
        <v>26</v>
      </c>
      <c r="J29" s="73">
        <v>13.3445</v>
      </c>
      <c r="K29" s="74">
        <v>26</v>
      </c>
      <c r="L29" s="72">
        <v>9.2103000000000002</v>
      </c>
      <c r="M29" s="1"/>
      <c r="N29" s="1"/>
      <c r="O29" s="74">
        <v>26</v>
      </c>
      <c r="P29" s="72">
        <v>13.9291</v>
      </c>
      <c r="Q29" s="73">
        <v>26</v>
      </c>
      <c r="R29" s="72">
        <v>10.0997</v>
      </c>
      <c r="S29" s="73">
        <v>26</v>
      </c>
      <c r="T29" s="72">
        <v>9.8796999999999997</v>
      </c>
      <c r="U29" s="74">
        <v>26</v>
      </c>
      <c r="V29" s="72">
        <v>13.3939</v>
      </c>
      <c r="W29" s="73">
        <v>26</v>
      </c>
      <c r="X29" s="72">
        <v>12.553599999999999</v>
      </c>
      <c r="Y29" s="73">
        <v>26</v>
      </c>
      <c r="Z29" s="72">
        <v>12.819100000000001</v>
      </c>
    </row>
    <row r="30" spans="1:26">
      <c r="E30" s="75">
        <v>27</v>
      </c>
      <c r="F30" s="73">
        <v>12.122</v>
      </c>
      <c r="G30" s="75">
        <v>27</v>
      </c>
      <c r="H30" s="73">
        <v>8.9526000000000003</v>
      </c>
      <c r="I30" s="74">
        <v>27</v>
      </c>
      <c r="J30" s="73">
        <v>12.223100000000001</v>
      </c>
      <c r="K30" s="74">
        <v>27</v>
      </c>
      <c r="L30" s="72">
        <v>11.755800000000001</v>
      </c>
      <c r="M30" s="1"/>
      <c r="N30" s="1"/>
      <c r="O30" s="74">
        <v>27</v>
      </c>
      <c r="P30" s="72">
        <v>13.3581</v>
      </c>
      <c r="Q30" s="73">
        <v>27</v>
      </c>
      <c r="R30" s="72">
        <v>11.141</v>
      </c>
      <c r="S30" s="73">
        <v>27</v>
      </c>
      <c r="T30" s="72">
        <v>11.504099999999999</v>
      </c>
      <c r="U30" s="74">
        <v>27</v>
      </c>
      <c r="V30" s="72">
        <v>11.775600000000001</v>
      </c>
      <c r="W30" s="73">
        <v>27</v>
      </c>
      <c r="X30" s="72">
        <v>14.308199999999999</v>
      </c>
      <c r="Y30" s="73">
        <v>27</v>
      </c>
      <c r="Z30" s="72">
        <v>12.4862</v>
      </c>
    </row>
    <row r="31" spans="1:26">
      <c r="E31" s="75">
        <v>28</v>
      </c>
      <c r="F31" s="73">
        <v>12.5</v>
      </c>
      <c r="G31" s="75">
        <v>28</v>
      </c>
      <c r="H31" s="73">
        <v>11.318099999999999</v>
      </c>
      <c r="I31" s="74">
        <v>28</v>
      </c>
      <c r="J31" s="73">
        <v>14.0343</v>
      </c>
      <c r="K31" s="74">
        <v>28</v>
      </c>
      <c r="L31" s="72">
        <v>10.487500000000001</v>
      </c>
      <c r="M31" s="1"/>
      <c r="N31" s="1"/>
      <c r="O31" s="74">
        <v>28</v>
      </c>
      <c r="P31" s="72">
        <v>13.6502</v>
      </c>
      <c r="Q31" s="73">
        <v>28</v>
      </c>
      <c r="R31" s="72">
        <v>14.3444</v>
      </c>
      <c r="S31" s="73">
        <v>28</v>
      </c>
      <c r="T31" s="72">
        <v>12.5665</v>
      </c>
      <c r="U31" s="74">
        <v>28</v>
      </c>
      <c r="V31" s="72">
        <v>10.7538</v>
      </c>
      <c r="W31" s="73">
        <v>28</v>
      </c>
      <c r="X31" s="72">
        <v>12.2189</v>
      </c>
      <c r="Y31" s="73">
        <v>28</v>
      </c>
      <c r="Z31" s="72">
        <v>13.270899999999999</v>
      </c>
    </row>
    <row r="32" spans="1:26">
      <c r="E32" s="75">
        <v>29</v>
      </c>
      <c r="F32" s="73">
        <v>14.574999999999999</v>
      </c>
      <c r="G32" s="75">
        <v>29</v>
      </c>
      <c r="H32" s="73">
        <v>9.7304999999999993</v>
      </c>
      <c r="I32" s="74">
        <v>29</v>
      </c>
      <c r="J32" s="73">
        <v>12.701599999999999</v>
      </c>
      <c r="K32" s="74">
        <v>29</v>
      </c>
      <c r="L32" s="72">
        <v>12.832000000000001</v>
      </c>
      <c r="M32" s="1"/>
      <c r="N32" s="1"/>
      <c r="O32" s="74">
        <v>29</v>
      </c>
      <c r="P32" s="72">
        <v>8.9116999999999997</v>
      </c>
      <c r="Q32" s="73">
        <v>29</v>
      </c>
      <c r="R32" s="72">
        <v>12.863799999999999</v>
      </c>
      <c r="S32" s="73">
        <v>29</v>
      </c>
      <c r="T32" s="72">
        <v>12.178599999999999</v>
      </c>
      <c r="U32" s="74">
        <v>29</v>
      </c>
      <c r="V32" s="72">
        <v>11.211</v>
      </c>
      <c r="W32" s="73">
        <v>29</v>
      </c>
      <c r="X32" s="72">
        <v>13.3787</v>
      </c>
      <c r="Y32" s="73">
        <v>29</v>
      </c>
      <c r="Z32" s="72">
        <v>10.3858</v>
      </c>
    </row>
    <row r="33" spans="5:26">
      <c r="E33" s="75">
        <v>30</v>
      </c>
      <c r="F33" s="73">
        <v>15.271000000000001</v>
      </c>
      <c r="G33" s="75">
        <v>30</v>
      </c>
      <c r="H33" s="73">
        <v>9.0595999999999997</v>
      </c>
      <c r="I33" s="74">
        <v>30</v>
      </c>
      <c r="J33" s="73">
        <v>10.761100000000001</v>
      </c>
      <c r="K33" s="74">
        <v>30</v>
      </c>
      <c r="L33" s="72">
        <v>11.7569</v>
      </c>
      <c r="M33" s="1"/>
      <c r="N33" s="1"/>
      <c r="O33" s="74">
        <v>30</v>
      </c>
      <c r="P33" s="72">
        <v>13.8065</v>
      </c>
      <c r="Q33" s="73">
        <v>30</v>
      </c>
      <c r="R33" s="72">
        <v>11.6707</v>
      </c>
      <c r="S33" s="73">
        <v>30</v>
      </c>
      <c r="T33" s="72">
        <v>13.1532</v>
      </c>
      <c r="U33" s="74">
        <v>30</v>
      </c>
      <c r="V33" s="72">
        <v>10.9947</v>
      </c>
      <c r="W33" s="73">
        <v>30</v>
      </c>
      <c r="X33" s="72">
        <v>10.7949</v>
      </c>
      <c r="Y33" s="73">
        <v>30</v>
      </c>
      <c r="Z33" s="72">
        <v>13.8238</v>
      </c>
    </row>
    <row r="34" spans="5:26">
      <c r="E34" s="75">
        <v>31</v>
      </c>
      <c r="F34" s="73">
        <v>11.427</v>
      </c>
      <c r="G34" s="75">
        <v>31</v>
      </c>
      <c r="H34" s="73">
        <v>10.4732</v>
      </c>
      <c r="I34" s="74">
        <v>31</v>
      </c>
      <c r="J34" s="73">
        <v>10.249000000000001</v>
      </c>
      <c r="K34" s="74">
        <v>31</v>
      </c>
      <c r="L34" s="72">
        <v>11.982200000000001</v>
      </c>
      <c r="M34" s="1"/>
      <c r="N34" s="1"/>
      <c r="O34" s="74">
        <v>31</v>
      </c>
      <c r="P34" s="72">
        <v>10.871499999999999</v>
      </c>
      <c r="Q34" s="73">
        <v>31</v>
      </c>
      <c r="R34" s="72">
        <v>11.3428</v>
      </c>
      <c r="S34" s="73">
        <v>31</v>
      </c>
      <c r="T34" s="72">
        <v>13.0031</v>
      </c>
      <c r="U34" s="74">
        <v>31</v>
      </c>
      <c r="V34" s="72">
        <v>9.8846000000000007</v>
      </c>
      <c r="W34" s="73">
        <v>31</v>
      </c>
      <c r="X34" s="72">
        <v>12.341799999999999</v>
      </c>
      <c r="Y34" s="73">
        <v>31</v>
      </c>
      <c r="Z34" s="72">
        <v>12.980600000000001</v>
      </c>
    </row>
    <row r="35" spans="5:26">
      <c r="E35" s="75">
        <v>32</v>
      </c>
      <c r="F35" s="73">
        <v>12.057</v>
      </c>
      <c r="G35" s="75">
        <v>32</v>
      </c>
      <c r="H35" s="73">
        <v>11.852499999999999</v>
      </c>
      <c r="I35" s="74">
        <v>32</v>
      </c>
      <c r="J35" s="73">
        <v>13.0108</v>
      </c>
      <c r="K35" s="74">
        <v>32</v>
      </c>
      <c r="L35" s="72">
        <v>14.2097</v>
      </c>
      <c r="M35" s="1"/>
      <c r="N35" s="1"/>
      <c r="O35" s="74">
        <v>32</v>
      </c>
      <c r="P35" s="72">
        <v>8.7735000000000003</v>
      </c>
      <c r="Q35" s="73">
        <v>32</v>
      </c>
      <c r="R35" s="72">
        <v>9.8969000000000005</v>
      </c>
      <c r="S35" s="73">
        <v>32</v>
      </c>
      <c r="T35" s="72">
        <v>12.285500000000001</v>
      </c>
      <c r="U35" s="74">
        <v>32</v>
      </c>
      <c r="V35" s="72">
        <v>7.5594000000000001</v>
      </c>
      <c r="W35" s="73">
        <v>32</v>
      </c>
      <c r="X35" s="72">
        <v>13.6417</v>
      </c>
      <c r="Y35" s="73">
        <v>32</v>
      </c>
      <c r="Z35" s="72">
        <v>10.741099999999999</v>
      </c>
    </row>
    <row r="36" spans="5:26">
      <c r="E36" s="75">
        <v>33</v>
      </c>
      <c r="F36" s="73">
        <v>11.441000000000001</v>
      </c>
      <c r="G36" s="75">
        <v>33</v>
      </c>
      <c r="H36" s="73">
        <v>13.476800000000001</v>
      </c>
      <c r="I36" s="74">
        <v>33</v>
      </c>
      <c r="J36" s="73">
        <v>10.987299999999999</v>
      </c>
      <c r="K36" s="74">
        <v>33</v>
      </c>
      <c r="L36" s="72">
        <v>12.027799999999999</v>
      </c>
      <c r="M36" s="1"/>
      <c r="N36" s="1"/>
      <c r="O36" s="74">
        <v>33</v>
      </c>
      <c r="P36" s="72">
        <v>13.3241</v>
      </c>
      <c r="Q36" s="73">
        <v>33</v>
      </c>
      <c r="R36" s="72">
        <v>13.427</v>
      </c>
      <c r="S36" s="73">
        <v>33</v>
      </c>
      <c r="T36" s="72">
        <v>13.172599999999999</v>
      </c>
      <c r="U36" s="74">
        <v>33</v>
      </c>
      <c r="V36" s="72">
        <v>10.8186</v>
      </c>
      <c r="W36" s="73">
        <v>33</v>
      </c>
      <c r="X36" s="72">
        <v>13.3683</v>
      </c>
      <c r="Y36" s="73">
        <v>33</v>
      </c>
      <c r="Z36" s="72">
        <v>13.322100000000001</v>
      </c>
    </row>
    <row r="37" spans="5:26">
      <c r="E37" s="75">
        <v>34</v>
      </c>
      <c r="F37" s="73">
        <v>13.364000000000001</v>
      </c>
      <c r="G37" s="75">
        <v>34</v>
      </c>
      <c r="H37" s="73">
        <v>14.403499999999999</v>
      </c>
      <c r="I37" s="74">
        <v>34</v>
      </c>
      <c r="J37" s="73">
        <v>7.2347999999999999</v>
      </c>
      <c r="K37" s="74">
        <v>34</v>
      </c>
      <c r="L37" s="72">
        <v>10.488200000000001</v>
      </c>
      <c r="M37" s="1"/>
      <c r="N37" s="1"/>
      <c r="O37" s="74">
        <v>34</v>
      </c>
      <c r="P37" s="72">
        <v>13.673299999999999</v>
      </c>
      <c r="Q37" s="73">
        <v>34</v>
      </c>
      <c r="R37" s="72">
        <v>13.5717</v>
      </c>
      <c r="S37" s="73">
        <v>34</v>
      </c>
      <c r="T37" s="72">
        <v>14.200799999999999</v>
      </c>
      <c r="U37" s="74">
        <v>34</v>
      </c>
      <c r="V37" s="72">
        <v>2.7088999999999999</v>
      </c>
      <c r="W37" s="73">
        <v>34</v>
      </c>
      <c r="X37" s="72">
        <v>12.351900000000001</v>
      </c>
      <c r="Y37" s="73">
        <v>34</v>
      </c>
      <c r="Z37" s="72">
        <v>14.1874</v>
      </c>
    </row>
    <row r="38" spans="5:26">
      <c r="E38" s="75">
        <v>35</v>
      </c>
      <c r="F38" s="73">
        <v>11.28</v>
      </c>
      <c r="G38" s="75">
        <v>35</v>
      </c>
      <c r="H38" s="73">
        <v>9.7683999999999997</v>
      </c>
      <c r="I38" s="74">
        <v>35</v>
      </c>
      <c r="J38" s="73">
        <v>12.5205</v>
      </c>
      <c r="K38" s="74">
        <v>35</v>
      </c>
      <c r="L38" s="72">
        <v>8.7141000000000002</v>
      </c>
      <c r="M38" s="1"/>
      <c r="N38" s="1"/>
      <c r="O38" s="74">
        <v>35</v>
      </c>
      <c r="P38" s="72">
        <v>6.2667000000000002</v>
      </c>
      <c r="Q38" s="73">
        <v>35</v>
      </c>
      <c r="R38" s="72">
        <v>13.575799999999999</v>
      </c>
      <c r="S38" s="73">
        <v>35</v>
      </c>
      <c r="T38" s="72">
        <v>14.6022</v>
      </c>
      <c r="U38" s="74">
        <v>35</v>
      </c>
      <c r="V38" s="72">
        <v>12.1251</v>
      </c>
      <c r="W38" s="73">
        <v>35</v>
      </c>
      <c r="X38" s="72">
        <v>14.5328</v>
      </c>
      <c r="Y38" s="73">
        <v>35</v>
      </c>
      <c r="Z38" s="72">
        <v>10.7057</v>
      </c>
    </row>
    <row r="39" spans="5:26">
      <c r="E39" s="75">
        <v>36</v>
      </c>
      <c r="F39" s="73">
        <v>8.4179999999999993</v>
      </c>
      <c r="G39" s="75">
        <v>36</v>
      </c>
      <c r="H39" s="73">
        <v>3.8262</v>
      </c>
      <c r="I39" s="74">
        <v>36</v>
      </c>
      <c r="J39" s="73">
        <v>12.319900000000001</v>
      </c>
      <c r="K39" s="74">
        <v>36</v>
      </c>
      <c r="L39" s="72">
        <v>12.6256</v>
      </c>
      <c r="M39" s="1"/>
      <c r="N39" s="1"/>
      <c r="O39" s="74">
        <v>36</v>
      </c>
      <c r="P39" s="72">
        <v>8.8844999999999992</v>
      </c>
      <c r="Q39" s="73">
        <v>36</v>
      </c>
      <c r="R39" s="72">
        <v>11.688499999999999</v>
      </c>
      <c r="S39" s="73">
        <v>36</v>
      </c>
      <c r="T39" s="72">
        <v>11.4618</v>
      </c>
      <c r="U39" s="74">
        <v>36</v>
      </c>
      <c r="V39" s="72">
        <v>11.5854</v>
      </c>
      <c r="W39" s="73">
        <v>36</v>
      </c>
      <c r="X39" s="72">
        <v>10.5532</v>
      </c>
      <c r="Y39" s="73">
        <v>36</v>
      </c>
      <c r="Z39" s="72">
        <v>13.5893</v>
      </c>
    </row>
    <row r="40" spans="5:26">
      <c r="E40" s="75">
        <v>37</v>
      </c>
      <c r="F40" s="73">
        <v>12.558</v>
      </c>
      <c r="G40" s="75">
        <v>37</v>
      </c>
      <c r="H40" s="73">
        <v>9.0864999999999991</v>
      </c>
      <c r="I40" s="74">
        <v>37</v>
      </c>
      <c r="J40" s="73">
        <v>11.446999999999999</v>
      </c>
      <c r="K40" s="74">
        <v>37</v>
      </c>
      <c r="L40" s="72">
        <v>11.563800000000001</v>
      </c>
      <c r="M40" s="1"/>
      <c r="N40" s="1"/>
      <c r="O40" s="74">
        <v>37</v>
      </c>
      <c r="P40" s="72">
        <v>11.781000000000001</v>
      </c>
      <c r="Q40" s="73">
        <v>37</v>
      </c>
      <c r="R40" s="72">
        <v>13.1785</v>
      </c>
      <c r="S40" s="73">
        <v>37</v>
      </c>
      <c r="T40" s="72">
        <v>14.8499</v>
      </c>
      <c r="U40" s="74">
        <v>37</v>
      </c>
      <c r="V40" s="72">
        <v>10.4833</v>
      </c>
      <c r="W40" s="73">
        <v>37</v>
      </c>
      <c r="X40" s="72">
        <v>12.652799999999999</v>
      </c>
      <c r="Y40" s="73">
        <v>37</v>
      </c>
      <c r="Z40" s="72">
        <v>13.2441</v>
      </c>
    </row>
    <row r="41" spans="5:26">
      <c r="E41" s="75">
        <v>38</v>
      </c>
      <c r="F41" s="73">
        <v>13.827</v>
      </c>
      <c r="G41" s="75">
        <v>38</v>
      </c>
      <c r="H41" s="73">
        <v>12.5716</v>
      </c>
      <c r="I41" s="74">
        <v>38</v>
      </c>
      <c r="J41" s="73">
        <v>11.1813</v>
      </c>
      <c r="K41" s="74">
        <v>38</v>
      </c>
      <c r="L41" s="72">
        <v>4.2706999999999997</v>
      </c>
      <c r="M41" s="1"/>
      <c r="N41" s="1"/>
      <c r="O41" s="74">
        <v>38</v>
      </c>
      <c r="P41" s="72">
        <v>13.465400000000001</v>
      </c>
      <c r="Q41" s="73">
        <v>38</v>
      </c>
      <c r="R41" s="72">
        <v>11.0945</v>
      </c>
      <c r="S41" s="73">
        <v>38</v>
      </c>
      <c r="T41" s="72">
        <v>8.7803000000000004</v>
      </c>
      <c r="U41" s="74">
        <v>38</v>
      </c>
      <c r="V41" s="72">
        <v>5.9831000000000003</v>
      </c>
      <c r="W41" s="73">
        <v>38</v>
      </c>
      <c r="X41" s="72">
        <v>11.383100000000001</v>
      </c>
      <c r="Y41" s="73">
        <v>38</v>
      </c>
      <c r="Z41" s="72">
        <v>7.9367000000000001</v>
      </c>
    </row>
    <row r="42" spans="5:26">
      <c r="E42" s="75">
        <v>39</v>
      </c>
      <c r="F42" s="73">
        <v>13.454000000000001</v>
      </c>
      <c r="G42" s="75">
        <v>39</v>
      </c>
      <c r="H42" s="73">
        <v>9.8179999999999996</v>
      </c>
      <c r="I42" s="74">
        <v>39</v>
      </c>
      <c r="J42" s="73">
        <v>10.162800000000001</v>
      </c>
      <c r="K42" s="74">
        <v>39</v>
      </c>
      <c r="L42" s="72">
        <v>11.531599999999999</v>
      </c>
      <c r="M42" s="1"/>
      <c r="N42" s="1"/>
      <c r="O42" s="74">
        <v>39</v>
      </c>
      <c r="P42" s="72">
        <v>13.4033</v>
      </c>
      <c r="Q42" s="73">
        <v>39</v>
      </c>
      <c r="R42" s="72">
        <v>11.3428</v>
      </c>
      <c r="S42" s="73">
        <v>39</v>
      </c>
      <c r="T42" s="72">
        <v>9.5266999999999999</v>
      </c>
      <c r="U42" s="74">
        <v>39</v>
      </c>
      <c r="V42" s="72">
        <v>9.3422000000000001</v>
      </c>
      <c r="W42" s="73">
        <v>39</v>
      </c>
      <c r="X42" s="72">
        <v>13.7789</v>
      </c>
      <c r="Y42" s="73">
        <v>39</v>
      </c>
      <c r="Z42" s="72">
        <v>8.3798999999999992</v>
      </c>
    </row>
    <row r="43" spans="5:26">
      <c r="E43" s="75">
        <v>40</v>
      </c>
      <c r="F43" s="73">
        <v>11.673999999999999</v>
      </c>
      <c r="G43" s="75">
        <v>40</v>
      </c>
      <c r="H43" s="73">
        <v>10.240600000000001</v>
      </c>
      <c r="I43" s="74">
        <v>40</v>
      </c>
      <c r="J43" s="73">
        <v>14.3788</v>
      </c>
      <c r="K43" s="74">
        <v>40</v>
      </c>
      <c r="L43" s="72">
        <v>12.9129</v>
      </c>
      <c r="M43" s="1"/>
      <c r="N43" s="1"/>
      <c r="O43" s="74">
        <v>40</v>
      </c>
      <c r="P43" s="72">
        <v>14.559200000000001</v>
      </c>
      <c r="Q43" s="73">
        <v>40</v>
      </c>
      <c r="R43" s="72">
        <v>12.5237</v>
      </c>
      <c r="S43" s="73">
        <v>40</v>
      </c>
      <c r="T43" s="72">
        <v>13.5642</v>
      </c>
      <c r="U43" s="74">
        <v>40</v>
      </c>
      <c r="V43" s="72">
        <v>10.117800000000001</v>
      </c>
      <c r="W43" s="73">
        <v>40</v>
      </c>
      <c r="X43" s="72">
        <v>11.152799999999999</v>
      </c>
      <c r="Y43" s="73">
        <v>40</v>
      </c>
      <c r="Z43" s="72">
        <v>14.0128</v>
      </c>
    </row>
    <row r="44" spans="5:26">
      <c r="E44" s="75">
        <v>41</v>
      </c>
      <c r="F44" s="73">
        <v>9.907</v>
      </c>
      <c r="G44" s="75">
        <v>41</v>
      </c>
      <c r="H44" s="73">
        <v>8.9140999999999995</v>
      </c>
      <c r="I44" s="74">
        <v>41</v>
      </c>
      <c r="J44" s="73">
        <v>11.6503</v>
      </c>
      <c r="K44" s="74">
        <v>41</v>
      </c>
      <c r="L44" s="72">
        <v>9.5343</v>
      </c>
      <c r="M44" s="1"/>
      <c r="N44" s="1"/>
      <c r="O44" s="74">
        <v>41</v>
      </c>
      <c r="P44" s="72">
        <v>10.642799999999999</v>
      </c>
      <c r="Q44" s="73">
        <v>41</v>
      </c>
      <c r="R44" s="72">
        <v>12.8301</v>
      </c>
      <c r="S44" s="73">
        <v>41</v>
      </c>
      <c r="T44" s="72">
        <v>9.7034000000000002</v>
      </c>
      <c r="U44" s="74">
        <v>41</v>
      </c>
      <c r="V44" s="72">
        <v>12.1663</v>
      </c>
      <c r="W44" s="73">
        <v>41</v>
      </c>
      <c r="X44" s="72">
        <v>14.3887</v>
      </c>
      <c r="Y44" s="73">
        <v>41</v>
      </c>
      <c r="Z44" s="72">
        <v>14.222099999999999</v>
      </c>
    </row>
    <row r="45" spans="5:26">
      <c r="E45" s="75">
        <v>42</v>
      </c>
      <c r="F45" s="73">
        <v>9.7189999999999994</v>
      </c>
      <c r="G45" s="75">
        <v>42</v>
      </c>
      <c r="H45" s="73">
        <v>10.287100000000001</v>
      </c>
      <c r="I45" s="74">
        <v>42</v>
      </c>
      <c r="J45" s="73">
        <v>10.6153</v>
      </c>
      <c r="K45" s="74">
        <v>42</v>
      </c>
      <c r="L45" s="72">
        <v>13.529</v>
      </c>
      <c r="M45" s="1"/>
      <c r="N45" s="1"/>
      <c r="O45" s="74">
        <v>42</v>
      </c>
      <c r="P45" s="72">
        <v>14.374000000000001</v>
      </c>
      <c r="Q45" s="73">
        <v>42</v>
      </c>
      <c r="R45" s="72">
        <v>13.1938</v>
      </c>
      <c r="S45" s="73">
        <v>42</v>
      </c>
      <c r="T45" s="72">
        <v>14.7501</v>
      </c>
      <c r="U45" s="74">
        <v>42</v>
      </c>
      <c r="V45" s="72">
        <v>12.9293</v>
      </c>
      <c r="W45" s="73">
        <v>42</v>
      </c>
      <c r="X45" s="72">
        <v>11.186</v>
      </c>
      <c r="Y45" s="73">
        <v>42</v>
      </c>
      <c r="Z45" s="72">
        <v>11.7554</v>
      </c>
    </row>
    <row r="46" spans="5:26">
      <c r="E46" s="75">
        <v>43</v>
      </c>
      <c r="F46" s="73">
        <v>10.194000000000001</v>
      </c>
      <c r="G46" s="75">
        <v>43</v>
      </c>
      <c r="H46" s="73">
        <v>10.370200000000001</v>
      </c>
      <c r="I46" s="74">
        <v>43</v>
      </c>
      <c r="J46" s="73">
        <v>13.081</v>
      </c>
      <c r="K46" s="74">
        <v>43</v>
      </c>
      <c r="L46" s="72">
        <v>11.7623</v>
      </c>
      <c r="M46" s="1"/>
      <c r="N46" s="1"/>
      <c r="O46" s="74">
        <v>43</v>
      </c>
      <c r="P46" s="72">
        <v>12.010999999999999</v>
      </c>
      <c r="Q46" s="73">
        <v>43</v>
      </c>
      <c r="R46" s="72">
        <v>13.5358</v>
      </c>
      <c r="S46" s="73">
        <v>43</v>
      </c>
      <c r="T46" s="72">
        <v>13.99</v>
      </c>
      <c r="U46" s="74">
        <v>43</v>
      </c>
      <c r="V46" s="72">
        <v>9.9652999999999992</v>
      </c>
      <c r="W46" s="73">
        <v>43</v>
      </c>
      <c r="X46" s="72">
        <v>14.038600000000001</v>
      </c>
      <c r="Y46" s="73">
        <v>43</v>
      </c>
      <c r="Z46" s="72">
        <v>13.1938</v>
      </c>
    </row>
    <row r="47" spans="5:26">
      <c r="E47" s="75">
        <v>44</v>
      </c>
      <c r="F47" s="73">
        <v>13.814</v>
      </c>
      <c r="G47" s="75">
        <v>44</v>
      </c>
      <c r="H47" s="73">
        <v>14.934900000000001</v>
      </c>
      <c r="I47" s="74">
        <v>44</v>
      </c>
      <c r="J47" s="73">
        <v>11.6441</v>
      </c>
      <c r="K47" s="74">
        <v>44</v>
      </c>
      <c r="L47" s="72">
        <v>14.2079</v>
      </c>
      <c r="M47" s="1"/>
      <c r="N47" s="1"/>
      <c r="O47" s="74">
        <v>44</v>
      </c>
      <c r="P47" s="72">
        <v>13.796900000000001</v>
      </c>
      <c r="Q47" s="73">
        <v>44</v>
      </c>
      <c r="R47" s="72">
        <v>8.4108000000000001</v>
      </c>
      <c r="S47" s="73">
        <v>44</v>
      </c>
      <c r="T47" s="72">
        <v>13.333</v>
      </c>
      <c r="U47" s="74">
        <v>44</v>
      </c>
      <c r="V47" s="72">
        <v>12.0663</v>
      </c>
      <c r="W47" s="73">
        <v>44</v>
      </c>
      <c r="X47" s="72">
        <v>14.5489</v>
      </c>
      <c r="Y47" s="73">
        <v>44</v>
      </c>
      <c r="Z47" s="72">
        <v>11.835599999999999</v>
      </c>
    </row>
    <row r="48" spans="5:26">
      <c r="E48" s="75">
        <v>45</v>
      </c>
      <c r="F48" s="73">
        <v>8.2929999999999993</v>
      </c>
      <c r="G48" s="75">
        <v>45</v>
      </c>
      <c r="H48" s="73">
        <v>8.6127000000000002</v>
      </c>
      <c r="I48" s="74">
        <v>45</v>
      </c>
      <c r="J48" s="73">
        <v>11.2942</v>
      </c>
      <c r="K48" s="74">
        <v>45</v>
      </c>
      <c r="L48" s="72">
        <v>14.5503</v>
      </c>
      <c r="M48" s="1"/>
      <c r="N48" s="1"/>
      <c r="O48" s="74">
        <v>45</v>
      </c>
      <c r="P48" s="72">
        <v>14.656499999999999</v>
      </c>
      <c r="Q48" s="73">
        <v>45</v>
      </c>
      <c r="R48" s="72">
        <v>14.789400000000001</v>
      </c>
      <c r="S48" s="73">
        <v>45</v>
      </c>
      <c r="T48" s="72">
        <v>3.7635000000000001</v>
      </c>
      <c r="U48" s="74">
        <v>45</v>
      </c>
      <c r="V48" s="72">
        <v>15.058999999999999</v>
      </c>
      <c r="W48" s="73">
        <v>45</v>
      </c>
      <c r="X48" s="72">
        <v>13.682600000000001</v>
      </c>
      <c r="Y48" s="73">
        <v>45</v>
      </c>
      <c r="Z48" s="72">
        <v>13.7227</v>
      </c>
    </row>
    <row r="49" spans="1:26">
      <c r="E49" s="75">
        <v>46</v>
      </c>
      <c r="F49" s="73">
        <v>12.824999999999999</v>
      </c>
      <c r="G49" s="75">
        <v>46</v>
      </c>
      <c r="H49" s="73">
        <v>12.8133</v>
      </c>
      <c r="I49" s="74">
        <v>46</v>
      </c>
      <c r="J49" s="73">
        <v>9.4242000000000008</v>
      </c>
      <c r="K49" s="74">
        <v>46</v>
      </c>
      <c r="L49" s="72">
        <v>10.4542</v>
      </c>
      <c r="M49" s="1"/>
      <c r="N49" s="1"/>
      <c r="O49" s="74">
        <v>46</v>
      </c>
      <c r="P49" s="72">
        <v>6.0812999999999997</v>
      </c>
      <c r="Q49" s="73">
        <v>46</v>
      </c>
      <c r="R49" s="72">
        <v>14.226100000000001</v>
      </c>
      <c r="S49" s="73">
        <v>46</v>
      </c>
      <c r="T49" s="72">
        <v>7.4958999999999998</v>
      </c>
      <c r="U49" s="74">
        <v>46</v>
      </c>
      <c r="V49" s="72">
        <v>7.8563000000000001</v>
      </c>
      <c r="W49" s="73">
        <v>46</v>
      </c>
      <c r="X49" s="72">
        <v>11.9457</v>
      </c>
      <c r="Y49" s="73">
        <v>46</v>
      </c>
      <c r="Z49" s="72">
        <v>12.167299999999999</v>
      </c>
    </row>
    <row r="50" spans="1:26">
      <c r="E50" s="75">
        <v>47</v>
      </c>
      <c r="F50" s="73">
        <v>11.555999999999999</v>
      </c>
      <c r="G50" s="75">
        <v>47</v>
      </c>
      <c r="H50" s="73">
        <v>13.1996</v>
      </c>
      <c r="I50" s="74">
        <v>47</v>
      </c>
      <c r="J50" s="73">
        <v>12.151999999999999</v>
      </c>
      <c r="K50" s="74">
        <v>47</v>
      </c>
      <c r="L50" s="72">
        <v>13.5848</v>
      </c>
      <c r="M50" s="1"/>
      <c r="N50" s="1"/>
      <c r="O50" s="74">
        <v>47</v>
      </c>
      <c r="P50" s="72">
        <v>10.5695</v>
      </c>
      <c r="Q50" s="73">
        <v>47</v>
      </c>
      <c r="R50" s="72">
        <v>11.426</v>
      </c>
      <c r="S50" s="73">
        <v>47</v>
      </c>
      <c r="T50" s="72">
        <v>8.1175999999999995</v>
      </c>
      <c r="U50" s="74">
        <v>47</v>
      </c>
      <c r="V50" s="72">
        <v>13.574299999999999</v>
      </c>
      <c r="W50" s="73">
        <v>47</v>
      </c>
      <c r="X50" s="72">
        <v>11.4748</v>
      </c>
      <c r="Y50" s="73">
        <v>47</v>
      </c>
      <c r="Z50" s="72">
        <v>13.4033</v>
      </c>
    </row>
    <row r="51" spans="1:26">
      <c r="E51" s="75">
        <v>48</v>
      </c>
      <c r="F51" s="73">
        <v>10.098000000000001</v>
      </c>
      <c r="G51" s="75">
        <v>48</v>
      </c>
      <c r="H51" s="73">
        <v>11.7636</v>
      </c>
      <c r="I51" s="74">
        <v>48</v>
      </c>
      <c r="J51" s="73">
        <v>10.6113</v>
      </c>
      <c r="K51" s="74">
        <v>48</v>
      </c>
      <c r="L51" s="72">
        <v>11.972099999999999</v>
      </c>
      <c r="M51" s="1"/>
      <c r="N51" s="1"/>
      <c r="O51" s="74">
        <v>48</v>
      </c>
      <c r="P51" s="72">
        <v>12.8111</v>
      </c>
      <c r="Q51" s="73">
        <v>48</v>
      </c>
      <c r="R51" s="72">
        <v>13.7521</v>
      </c>
      <c r="S51" s="73">
        <v>48</v>
      </c>
      <c r="T51" s="72">
        <v>10.1258</v>
      </c>
      <c r="U51" s="74">
        <v>48</v>
      </c>
      <c r="V51" s="72">
        <v>11.842499999999999</v>
      </c>
      <c r="W51" s="73">
        <v>48</v>
      </c>
      <c r="X51" s="72">
        <v>13.5945</v>
      </c>
      <c r="Y51" s="73">
        <v>48</v>
      </c>
      <c r="Z51" s="72">
        <v>12.627599999999999</v>
      </c>
    </row>
    <row r="52" spans="1:26">
      <c r="E52" s="75">
        <v>49</v>
      </c>
      <c r="F52" s="73">
        <v>13.686</v>
      </c>
      <c r="G52" s="75">
        <v>49</v>
      </c>
      <c r="H52" s="73">
        <v>9.4011999999999993</v>
      </c>
      <c r="I52" s="74">
        <v>49</v>
      </c>
      <c r="J52" s="73">
        <v>11.6655</v>
      </c>
      <c r="K52" s="74">
        <v>49</v>
      </c>
      <c r="L52" s="72">
        <v>13.968299999999999</v>
      </c>
      <c r="M52" s="1"/>
      <c r="N52" s="1"/>
      <c r="O52" s="74">
        <v>49</v>
      </c>
      <c r="P52" s="72">
        <v>12.957800000000001</v>
      </c>
      <c r="Q52" s="73">
        <v>49</v>
      </c>
      <c r="R52" s="72">
        <v>12.2479</v>
      </c>
      <c r="S52" s="73">
        <v>49</v>
      </c>
      <c r="T52" s="72">
        <v>13.5617</v>
      </c>
      <c r="U52" s="74">
        <v>49</v>
      </c>
      <c r="V52" s="72">
        <v>7.2895000000000003</v>
      </c>
      <c r="W52" s="73">
        <v>49</v>
      </c>
      <c r="X52" s="72">
        <v>12.5212</v>
      </c>
      <c r="Y52" s="73">
        <v>49</v>
      </c>
      <c r="Z52" s="72">
        <v>14.0998</v>
      </c>
    </row>
    <row r="53" spans="1:26">
      <c r="E53" s="75">
        <v>50</v>
      </c>
      <c r="F53" s="73">
        <v>12.875999999999999</v>
      </c>
      <c r="G53" s="75">
        <v>50</v>
      </c>
      <c r="H53" s="73">
        <v>10.807499999999999</v>
      </c>
      <c r="I53" s="74">
        <v>50</v>
      </c>
      <c r="J53" s="73">
        <v>13.6751</v>
      </c>
      <c r="K53" s="74">
        <v>50</v>
      </c>
      <c r="L53" s="72">
        <v>11.2963</v>
      </c>
      <c r="M53" s="1"/>
      <c r="N53" s="1"/>
      <c r="O53" s="74">
        <v>50</v>
      </c>
      <c r="P53" s="72">
        <v>8.4945000000000004</v>
      </c>
      <c r="Q53" s="73">
        <v>50</v>
      </c>
      <c r="R53" s="72">
        <v>11.560499999999999</v>
      </c>
      <c r="S53" s="73">
        <v>50</v>
      </c>
      <c r="T53" s="72">
        <v>12.466200000000001</v>
      </c>
      <c r="U53" s="74">
        <v>50</v>
      </c>
      <c r="V53" s="72">
        <v>13.0159</v>
      </c>
      <c r="W53" s="73">
        <v>50</v>
      </c>
      <c r="X53" s="72">
        <v>14.9793</v>
      </c>
      <c r="Y53" s="73">
        <v>50</v>
      </c>
      <c r="Z53" s="72">
        <v>14.6982</v>
      </c>
    </row>
    <row r="54" spans="1:26">
      <c r="E54" s="75">
        <v>51</v>
      </c>
      <c r="F54" s="73">
        <v>13.483000000000001</v>
      </c>
      <c r="G54" s="75">
        <v>51</v>
      </c>
      <c r="H54" s="73">
        <v>12.507999999999999</v>
      </c>
      <c r="I54" s="74">
        <v>51</v>
      </c>
      <c r="J54" s="73">
        <v>12.4231</v>
      </c>
      <c r="K54" s="74">
        <v>51</v>
      </c>
      <c r="L54" s="72">
        <v>12.7067</v>
      </c>
      <c r="M54" s="1"/>
      <c r="N54" s="1"/>
      <c r="O54" s="74">
        <v>51</v>
      </c>
      <c r="P54" s="72">
        <v>10.2493</v>
      </c>
      <c r="Q54" s="73">
        <v>51</v>
      </c>
      <c r="R54" s="72">
        <v>14.3954</v>
      </c>
      <c r="S54" s="73">
        <v>51</v>
      </c>
      <c r="T54" s="72">
        <v>12.777900000000001</v>
      </c>
      <c r="U54" s="74">
        <v>51</v>
      </c>
      <c r="V54" s="72">
        <v>8.4460999999999995</v>
      </c>
      <c r="W54" s="73">
        <v>51</v>
      </c>
      <c r="X54" s="72">
        <v>14.9224</v>
      </c>
      <c r="Y54" s="73">
        <v>51</v>
      </c>
      <c r="Z54" s="72">
        <v>11.043799999999999</v>
      </c>
    </row>
    <row r="55" spans="1:26">
      <c r="E55" s="75">
        <v>52</v>
      </c>
      <c r="F55" s="73">
        <v>13.019</v>
      </c>
      <c r="G55" s="75">
        <v>52</v>
      </c>
      <c r="H55" s="73">
        <v>11.879300000000001</v>
      </c>
      <c r="I55" s="74">
        <v>52</v>
      </c>
      <c r="J55" s="73">
        <v>11.923</v>
      </c>
      <c r="K55" s="74">
        <v>52</v>
      </c>
      <c r="L55" s="72">
        <v>10.370200000000001</v>
      </c>
      <c r="M55" s="1"/>
      <c r="N55" s="1"/>
      <c r="O55" s="74">
        <v>52</v>
      </c>
      <c r="P55" s="72">
        <v>12.893000000000001</v>
      </c>
      <c r="Q55" s="73">
        <v>52</v>
      </c>
      <c r="R55" s="72">
        <v>13.0929</v>
      </c>
      <c r="S55" s="73">
        <v>52</v>
      </c>
      <c r="T55" s="72">
        <v>10.096299999999999</v>
      </c>
      <c r="U55" s="74">
        <v>52</v>
      </c>
      <c r="V55" s="72">
        <v>11.6144</v>
      </c>
      <c r="W55" s="73">
        <v>52</v>
      </c>
      <c r="X55" s="72">
        <v>14.317</v>
      </c>
      <c r="Y55" s="73">
        <v>52</v>
      </c>
      <c r="Z55" s="72">
        <v>13.265499999999999</v>
      </c>
    </row>
    <row r="56" spans="1:26">
      <c r="E56" s="75">
        <v>53</v>
      </c>
      <c r="F56" s="73">
        <v>14.548999999999999</v>
      </c>
      <c r="G56" s="75">
        <v>53</v>
      </c>
      <c r="H56" s="73">
        <v>10.8879</v>
      </c>
      <c r="I56" s="74">
        <v>53</v>
      </c>
      <c r="J56" s="73">
        <v>13.237</v>
      </c>
      <c r="K56" s="74">
        <v>53</v>
      </c>
      <c r="L56" s="72">
        <v>13.824400000000001</v>
      </c>
      <c r="M56" s="1"/>
      <c r="N56" s="1"/>
      <c r="O56" s="74">
        <v>53</v>
      </c>
      <c r="P56" s="72">
        <v>13.7202</v>
      </c>
      <c r="Q56" s="73">
        <v>53</v>
      </c>
      <c r="R56" s="72">
        <v>12.646800000000001</v>
      </c>
      <c r="S56" s="73">
        <v>53</v>
      </c>
      <c r="T56" s="72">
        <v>8.6569000000000003</v>
      </c>
      <c r="U56" s="74">
        <v>53</v>
      </c>
      <c r="V56" s="72">
        <v>12.620100000000001</v>
      </c>
      <c r="W56" s="73">
        <v>53</v>
      </c>
      <c r="X56" s="72">
        <v>13.867900000000001</v>
      </c>
      <c r="Y56" s="73">
        <v>53</v>
      </c>
      <c r="Z56" s="72">
        <v>14.2065</v>
      </c>
    </row>
    <row r="57" spans="1:26">
      <c r="E57" s="75">
        <v>54</v>
      </c>
      <c r="F57" s="73">
        <v>13.907999999999999</v>
      </c>
      <c r="G57" s="75">
        <v>54</v>
      </c>
      <c r="H57" s="73">
        <v>13.1532</v>
      </c>
      <c r="I57" s="74">
        <v>54</v>
      </c>
      <c r="J57" s="73">
        <v>11.3316</v>
      </c>
      <c r="K57" s="74">
        <v>54</v>
      </c>
      <c r="L57" s="72">
        <v>9.6850000000000005</v>
      </c>
      <c r="M57" s="1"/>
      <c r="N57" s="1"/>
      <c r="O57" s="74">
        <v>54</v>
      </c>
      <c r="P57" s="72">
        <v>13.4564</v>
      </c>
      <c r="Q57" s="73">
        <v>54</v>
      </c>
      <c r="R57" s="72">
        <v>12.8597</v>
      </c>
      <c r="S57" s="73">
        <v>54</v>
      </c>
      <c r="T57" s="72">
        <v>9.3853000000000009</v>
      </c>
      <c r="U57" s="74">
        <v>54</v>
      </c>
      <c r="V57" s="72">
        <v>12.505599999999999</v>
      </c>
      <c r="W57" s="73">
        <v>54</v>
      </c>
      <c r="X57" s="72">
        <v>11.709300000000001</v>
      </c>
      <c r="Y57" s="73">
        <v>54</v>
      </c>
      <c r="Z57" s="72">
        <v>11.894500000000001</v>
      </c>
    </row>
    <row r="58" spans="1:26">
      <c r="E58" s="75">
        <v>55</v>
      </c>
      <c r="F58" s="73">
        <v>13.468</v>
      </c>
      <c r="G58" s="75">
        <v>55</v>
      </c>
      <c r="H58" s="73">
        <v>13.862299999999999</v>
      </c>
      <c r="I58" s="74">
        <v>55</v>
      </c>
      <c r="J58" s="73">
        <v>14.4526</v>
      </c>
      <c r="K58" s="74">
        <v>55</v>
      </c>
      <c r="L58" s="72">
        <v>10.2142</v>
      </c>
      <c r="M58" s="1"/>
      <c r="N58" s="1"/>
      <c r="O58" s="74">
        <v>55</v>
      </c>
      <c r="P58" s="72">
        <v>11.8988</v>
      </c>
      <c r="Q58" s="73">
        <v>55</v>
      </c>
      <c r="R58" s="72">
        <v>11.4682</v>
      </c>
      <c r="S58" s="73">
        <v>55</v>
      </c>
      <c r="T58" s="72">
        <v>13.503500000000001</v>
      </c>
      <c r="U58" s="74">
        <v>55</v>
      </c>
      <c r="V58" s="72">
        <v>11.513299999999999</v>
      </c>
      <c r="W58" s="73">
        <v>55</v>
      </c>
      <c r="X58" s="72">
        <v>13.6517</v>
      </c>
      <c r="Y58" s="73">
        <v>55</v>
      </c>
      <c r="Z58" s="72">
        <v>12.631399999999999</v>
      </c>
    </row>
    <row r="59" spans="1:26">
      <c r="E59" s="75">
        <v>56</v>
      </c>
      <c r="F59" s="73">
        <v>13.914</v>
      </c>
      <c r="G59" s="75">
        <v>56</v>
      </c>
      <c r="H59" s="73">
        <v>12.9003</v>
      </c>
      <c r="I59" s="74">
        <v>56</v>
      </c>
      <c r="J59" s="73">
        <v>13.210900000000001</v>
      </c>
      <c r="K59" s="74">
        <v>56</v>
      </c>
      <c r="L59" s="72">
        <v>10.4894</v>
      </c>
      <c r="M59" s="1"/>
      <c r="N59" s="1"/>
      <c r="O59" s="74">
        <v>56</v>
      </c>
      <c r="P59" s="72">
        <v>11.525399999999999</v>
      </c>
      <c r="Q59" s="73">
        <v>56</v>
      </c>
      <c r="R59" s="72">
        <v>12.1958</v>
      </c>
      <c r="S59" s="73">
        <v>56</v>
      </c>
      <c r="T59" s="72">
        <v>13.2944</v>
      </c>
      <c r="U59" s="74">
        <v>56</v>
      </c>
      <c r="V59" s="72">
        <v>10.4421</v>
      </c>
      <c r="W59" s="73">
        <v>56</v>
      </c>
      <c r="X59" s="72">
        <v>13.1174</v>
      </c>
      <c r="Y59" s="73">
        <v>56</v>
      </c>
      <c r="Z59" s="72">
        <v>13.292899999999999</v>
      </c>
    </row>
    <row r="60" spans="1:26">
      <c r="E60" s="75">
        <v>57</v>
      </c>
      <c r="F60" s="73">
        <v>11.238</v>
      </c>
      <c r="G60" s="75">
        <v>57</v>
      </c>
      <c r="H60" s="73">
        <v>13.2752</v>
      </c>
      <c r="I60" s="74">
        <v>57</v>
      </c>
      <c r="J60" s="73">
        <v>12.7744</v>
      </c>
      <c r="K60" s="74">
        <v>57</v>
      </c>
      <c r="L60" s="72">
        <v>14.728899999999999</v>
      </c>
      <c r="M60" s="1"/>
      <c r="N60" s="1"/>
      <c r="O60" s="74">
        <v>57</v>
      </c>
      <c r="P60" s="72">
        <v>12.0395</v>
      </c>
      <c r="Q60" s="73">
        <v>57</v>
      </c>
      <c r="R60" s="72">
        <v>14.764699999999999</v>
      </c>
      <c r="S60" s="73">
        <v>57</v>
      </c>
      <c r="T60" s="72">
        <v>11.770899999999999</v>
      </c>
      <c r="U60" s="74">
        <v>57</v>
      </c>
      <c r="V60" s="72">
        <v>12.438700000000001</v>
      </c>
      <c r="W60" s="73">
        <v>57</v>
      </c>
      <c r="X60" s="72">
        <v>12.6569</v>
      </c>
      <c r="Y60" s="73">
        <v>57</v>
      </c>
      <c r="Z60" s="72">
        <v>15.299799999999999</v>
      </c>
    </row>
    <row r="61" spans="1:26">
      <c r="E61" s="75">
        <v>58</v>
      </c>
      <c r="F61" s="73">
        <v>12.833</v>
      </c>
      <c r="G61" s="75">
        <v>58</v>
      </c>
      <c r="H61" s="73">
        <v>11.919</v>
      </c>
      <c r="I61" s="74">
        <v>58</v>
      </c>
      <c r="J61" s="73">
        <v>9.2492000000000001</v>
      </c>
      <c r="K61" s="74">
        <v>58</v>
      </c>
      <c r="L61" s="72">
        <v>11.8361</v>
      </c>
      <c r="M61" s="1"/>
      <c r="N61" s="1"/>
      <c r="O61" s="74">
        <v>58</v>
      </c>
      <c r="P61" s="72">
        <v>10.3409</v>
      </c>
      <c r="Q61" s="73">
        <v>58</v>
      </c>
      <c r="R61" s="72">
        <v>9.7562999999999995</v>
      </c>
      <c r="S61" s="73">
        <v>58</v>
      </c>
      <c r="T61" s="72">
        <v>13.12</v>
      </c>
      <c r="U61" s="74">
        <v>58</v>
      </c>
      <c r="V61" s="72">
        <v>13.45</v>
      </c>
      <c r="W61" s="73">
        <v>58</v>
      </c>
      <c r="X61" s="72">
        <v>14.1744</v>
      </c>
      <c r="Y61" s="73">
        <v>58</v>
      </c>
      <c r="Z61" s="72">
        <v>12.786099999999999</v>
      </c>
    </row>
    <row r="62" spans="1:26">
      <c r="E62" s="75">
        <v>59</v>
      </c>
      <c r="F62" s="73">
        <v>11.175000000000001</v>
      </c>
      <c r="G62" s="75">
        <v>59</v>
      </c>
      <c r="H62" s="73">
        <v>12.799799999999999</v>
      </c>
      <c r="I62" s="74">
        <v>59</v>
      </c>
      <c r="J62" s="73">
        <v>12.7408</v>
      </c>
      <c r="K62" s="74">
        <v>59</v>
      </c>
      <c r="L62" s="72">
        <v>12.519500000000001</v>
      </c>
      <c r="M62" s="1"/>
      <c r="N62" s="1"/>
      <c r="O62" s="74">
        <v>59</v>
      </c>
      <c r="P62" s="72">
        <v>11.3706</v>
      </c>
      <c r="Q62" s="73">
        <v>59</v>
      </c>
      <c r="R62" s="72">
        <v>13.9152</v>
      </c>
      <c r="S62" s="73">
        <v>59</v>
      </c>
      <c r="T62" s="72">
        <v>12.9094</v>
      </c>
      <c r="U62" s="74">
        <v>59</v>
      </c>
      <c r="V62" s="72">
        <v>9.593</v>
      </c>
      <c r="W62" s="73">
        <v>59</v>
      </c>
      <c r="X62" s="72">
        <v>14.251799999999999</v>
      </c>
      <c r="Y62" s="73">
        <v>59</v>
      </c>
      <c r="Z62" s="72">
        <v>12.2578</v>
      </c>
    </row>
    <row r="63" spans="1:26" s="1" customFormat="1">
      <c r="A63" s="5"/>
      <c r="C63" s="5"/>
      <c r="E63" s="82" t="s">
        <v>63</v>
      </c>
      <c r="F63" s="83"/>
      <c r="G63" s="81" t="s">
        <v>459</v>
      </c>
      <c r="H63" s="83"/>
      <c r="I63" s="81" t="s">
        <v>458</v>
      </c>
      <c r="J63" s="83"/>
      <c r="K63" s="82" t="s">
        <v>457</v>
      </c>
      <c r="L63" s="79"/>
      <c r="M63" s="5"/>
      <c r="O63" s="81" t="s">
        <v>456</v>
      </c>
      <c r="P63" s="79"/>
      <c r="Q63" s="80" t="s">
        <v>45</v>
      </c>
      <c r="R63" s="79"/>
      <c r="S63" s="80" t="s">
        <v>455</v>
      </c>
      <c r="T63" s="79"/>
      <c r="U63" s="81" t="s">
        <v>454</v>
      </c>
      <c r="V63" s="79"/>
      <c r="W63" s="80" t="s">
        <v>453</v>
      </c>
      <c r="X63" s="79"/>
      <c r="Y63" s="80" t="s">
        <v>452</v>
      </c>
      <c r="Z63" s="79"/>
    </row>
    <row r="64" spans="1:26" s="6" customFormat="1">
      <c r="A64" s="73"/>
      <c r="B64" s="4"/>
      <c r="C64" s="73"/>
      <c r="D64" s="4"/>
      <c r="E64" s="78" t="s">
        <v>451</v>
      </c>
      <c r="F64" s="77" t="s">
        <v>462</v>
      </c>
      <c r="G64" s="78" t="s">
        <v>451</v>
      </c>
      <c r="H64" s="77" t="s">
        <v>462</v>
      </c>
      <c r="I64" s="78" t="s">
        <v>451</v>
      </c>
      <c r="J64" s="77" t="s">
        <v>462</v>
      </c>
      <c r="K64" s="78" t="s">
        <v>451</v>
      </c>
      <c r="L64" s="76" t="s">
        <v>462</v>
      </c>
      <c r="M64" s="73"/>
      <c r="N64" s="4"/>
      <c r="O64" s="78" t="s">
        <v>451</v>
      </c>
      <c r="P64" s="77" t="s">
        <v>462</v>
      </c>
      <c r="Q64" s="78" t="s">
        <v>451</v>
      </c>
      <c r="R64" s="76" t="s">
        <v>462</v>
      </c>
      <c r="S64" s="77" t="s">
        <v>451</v>
      </c>
      <c r="T64" s="76" t="s">
        <v>462</v>
      </c>
      <c r="U64" s="78" t="s">
        <v>451</v>
      </c>
      <c r="V64" s="76" t="s">
        <v>462</v>
      </c>
      <c r="W64" s="77" t="s">
        <v>451</v>
      </c>
      <c r="X64" s="76" t="s">
        <v>462</v>
      </c>
      <c r="Y64" s="77" t="s">
        <v>451</v>
      </c>
      <c r="Z64" s="76" t="s">
        <v>462</v>
      </c>
    </row>
    <row r="65" spans="5:26">
      <c r="E65" s="75">
        <v>60</v>
      </c>
      <c r="F65" s="73">
        <v>8.7829999999999995</v>
      </c>
      <c r="G65" s="75">
        <v>60</v>
      </c>
      <c r="H65" s="73">
        <v>13.2067</v>
      </c>
      <c r="I65" s="74">
        <v>60</v>
      </c>
      <c r="J65" s="73">
        <v>8.6221999999999994</v>
      </c>
      <c r="K65" s="74">
        <v>60</v>
      </c>
      <c r="L65" s="72">
        <v>12.2065</v>
      </c>
      <c r="M65" s="1"/>
      <c r="N65" s="1"/>
      <c r="O65" s="74">
        <v>60</v>
      </c>
      <c r="P65" s="72">
        <v>11.3011</v>
      </c>
      <c r="Q65" s="73">
        <v>60</v>
      </c>
      <c r="R65" s="72">
        <v>13.284599999999999</v>
      </c>
      <c r="S65" s="73">
        <v>60</v>
      </c>
      <c r="T65" s="72">
        <v>7.0860000000000003</v>
      </c>
      <c r="U65" s="74">
        <v>60</v>
      </c>
      <c r="V65" s="72">
        <v>13.534599999999999</v>
      </c>
      <c r="W65" s="73">
        <v>60</v>
      </c>
      <c r="X65" s="72">
        <v>14.6709</v>
      </c>
      <c r="Y65" s="73">
        <v>60</v>
      </c>
      <c r="Z65" s="72">
        <v>12.9488</v>
      </c>
    </row>
    <row r="66" spans="5:26">
      <c r="E66" s="75">
        <v>61</v>
      </c>
      <c r="F66" s="73">
        <v>11.968</v>
      </c>
      <c r="G66" s="75">
        <v>61</v>
      </c>
      <c r="H66" s="73">
        <v>13.9581</v>
      </c>
      <c r="I66" s="74">
        <v>61</v>
      </c>
      <c r="J66" s="73">
        <v>9.5385000000000009</v>
      </c>
      <c r="K66" s="74">
        <v>61</v>
      </c>
      <c r="L66" s="72">
        <v>10.058400000000001</v>
      </c>
      <c r="M66" s="1"/>
      <c r="N66" s="1"/>
      <c r="O66" s="74">
        <v>61</v>
      </c>
      <c r="P66" s="72">
        <v>12.2409</v>
      </c>
      <c r="Q66" s="73">
        <v>61</v>
      </c>
      <c r="R66" s="72">
        <v>13.6922</v>
      </c>
      <c r="S66" s="73">
        <v>61</v>
      </c>
      <c r="T66" s="72">
        <v>13.8864</v>
      </c>
      <c r="U66" s="74">
        <v>61</v>
      </c>
      <c r="V66" s="72">
        <v>5.5895999999999999</v>
      </c>
      <c r="W66" s="73">
        <v>61</v>
      </c>
      <c r="X66" s="72">
        <v>13.3622</v>
      </c>
      <c r="Y66" s="73">
        <v>61</v>
      </c>
      <c r="Z66" s="72">
        <v>13.984999999999999</v>
      </c>
    </row>
    <row r="67" spans="5:26">
      <c r="E67" s="75">
        <v>62</v>
      </c>
      <c r="F67" s="73">
        <v>10.891</v>
      </c>
      <c r="G67" s="75">
        <v>62</v>
      </c>
      <c r="H67" s="73">
        <v>4.4852999999999996</v>
      </c>
      <c r="I67" s="74">
        <v>62</v>
      </c>
      <c r="J67" s="73">
        <v>12.558299999999999</v>
      </c>
      <c r="K67" s="74">
        <v>62</v>
      </c>
      <c r="L67" s="72">
        <v>11.425000000000001</v>
      </c>
      <c r="M67" s="1"/>
      <c r="N67" s="1"/>
      <c r="O67" s="74">
        <v>62</v>
      </c>
      <c r="P67" s="72">
        <v>8.859</v>
      </c>
      <c r="Q67" s="73">
        <v>62</v>
      </c>
      <c r="R67" s="72">
        <v>11.2075</v>
      </c>
      <c r="S67" s="73">
        <v>62</v>
      </c>
      <c r="T67" s="72">
        <v>11.4755</v>
      </c>
      <c r="U67" s="74">
        <v>62</v>
      </c>
      <c r="V67" s="72">
        <v>8.6389999999999993</v>
      </c>
      <c r="W67" s="73">
        <v>62</v>
      </c>
      <c r="X67" s="72">
        <v>12.7981</v>
      </c>
      <c r="Y67" s="73">
        <v>62</v>
      </c>
      <c r="Z67" s="72">
        <v>14.148300000000001</v>
      </c>
    </row>
    <row r="68" spans="5:26">
      <c r="E68" s="75">
        <v>63</v>
      </c>
      <c r="F68" s="73">
        <v>14.859</v>
      </c>
      <c r="G68" s="75">
        <v>63</v>
      </c>
      <c r="H68" s="73">
        <v>12.2227</v>
      </c>
      <c r="I68" s="74">
        <v>63</v>
      </c>
      <c r="J68" s="73">
        <v>14.0014</v>
      </c>
      <c r="K68" s="74">
        <v>63</v>
      </c>
      <c r="L68" s="72">
        <v>10.852499999999999</v>
      </c>
      <c r="M68" s="1"/>
      <c r="N68" s="1"/>
      <c r="O68" s="74">
        <v>63</v>
      </c>
      <c r="P68" s="72">
        <v>13.3491</v>
      </c>
      <c r="Q68" s="73">
        <v>63</v>
      </c>
      <c r="R68" s="72">
        <v>15.5871</v>
      </c>
      <c r="S68" s="73">
        <v>63</v>
      </c>
      <c r="T68" s="72">
        <v>14.32</v>
      </c>
      <c r="U68" s="74">
        <v>63</v>
      </c>
      <c r="V68" s="72">
        <v>12.848800000000001</v>
      </c>
      <c r="W68" s="73">
        <v>63</v>
      </c>
      <c r="X68" s="72">
        <v>5.8601999999999999</v>
      </c>
      <c r="Y68" s="73">
        <v>63</v>
      </c>
      <c r="Z68" s="72">
        <v>13.679</v>
      </c>
    </row>
    <row r="69" spans="5:26">
      <c r="E69" s="75">
        <v>64</v>
      </c>
      <c r="F69" s="73">
        <v>11.010999999999999</v>
      </c>
      <c r="G69" s="75">
        <v>64</v>
      </c>
      <c r="H69" s="73">
        <v>13.3157</v>
      </c>
      <c r="I69" s="74">
        <v>64</v>
      </c>
      <c r="J69" s="73">
        <v>14.4594</v>
      </c>
      <c r="K69" s="74">
        <v>64</v>
      </c>
      <c r="L69" s="72">
        <v>9.1130999999999993</v>
      </c>
      <c r="M69" s="1"/>
      <c r="N69" s="1"/>
      <c r="O69" s="74">
        <v>64</v>
      </c>
      <c r="P69" s="72">
        <v>13.546799999999999</v>
      </c>
      <c r="Q69" s="73">
        <v>64</v>
      </c>
      <c r="R69" s="72">
        <v>14.0181</v>
      </c>
      <c r="S69" s="73">
        <v>64</v>
      </c>
      <c r="T69" s="72">
        <v>12.122299999999999</v>
      </c>
      <c r="U69" s="74">
        <v>64</v>
      </c>
      <c r="V69" s="72">
        <v>15.702299999999999</v>
      </c>
      <c r="W69" s="73">
        <v>64</v>
      </c>
      <c r="X69" s="72">
        <v>13.466799999999999</v>
      </c>
      <c r="Y69" s="73">
        <v>64</v>
      </c>
      <c r="Z69" s="72">
        <v>12.585100000000001</v>
      </c>
    </row>
    <row r="70" spans="5:26">
      <c r="E70" s="75">
        <v>65</v>
      </c>
      <c r="F70" s="73">
        <v>12.5</v>
      </c>
      <c r="G70" s="75">
        <v>65</v>
      </c>
      <c r="H70" s="73">
        <v>13.8314</v>
      </c>
      <c r="I70" s="74">
        <v>65</v>
      </c>
      <c r="J70" s="73">
        <v>13.396100000000001</v>
      </c>
      <c r="K70" s="74">
        <v>65</v>
      </c>
      <c r="L70" s="72">
        <v>13.745100000000001</v>
      </c>
      <c r="M70" s="1"/>
      <c r="N70" s="1"/>
      <c r="O70" s="74">
        <v>65</v>
      </c>
      <c r="P70" s="72">
        <v>12.4909</v>
      </c>
      <c r="Q70" s="73">
        <v>65</v>
      </c>
      <c r="R70" s="72">
        <v>12.8437</v>
      </c>
      <c r="S70" s="73">
        <v>65</v>
      </c>
      <c r="T70" s="72">
        <v>12.4856</v>
      </c>
      <c r="U70" s="74">
        <v>65</v>
      </c>
      <c r="V70" s="72">
        <v>13.2441</v>
      </c>
      <c r="W70" s="73">
        <v>65</v>
      </c>
      <c r="X70" s="72">
        <v>13.4931</v>
      </c>
      <c r="Y70" s="73">
        <v>65</v>
      </c>
      <c r="Z70" s="72">
        <v>12.566700000000001</v>
      </c>
    </row>
    <row r="71" spans="5:26">
      <c r="E71" s="75">
        <v>66</v>
      </c>
      <c r="F71" s="73">
        <v>10.694000000000001</v>
      </c>
      <c r="G71" s="75">
        <v>66</v>
      </c>
      <c r="H71" s="73">
        <v>13.866</v>
      </c>
      <c r="I71" s="74">
        <v>66</v>
      </c>
      <c r="J71" s="73">
        <v>14.3034</v>
      </c>
      <c r="K71" s="74">
        <v>66</v>
      </c>
      <c r="L71" s="72">
        <v>13.365500000000001</v>
      </c>
      <c r="M71" s="1"/>
      <c r="N71" s="1"/>
      <c r="O71" s="74">
        <v>66</v>
      </c>
      <c r="P71" s="72">
        <v>14.245799999999999</v>
      </c>
      <c r="Q71" s="73">
        <v>66</v>
      </c>
      <c r="R71" s="72">
        <v>12.312099999999999</v>
      </c>
      <c r="S71" s="73">
        <v>66</v>
      </c>
      <c r="T71" s="72">
        <v>14.394</v>
      </c>
      <c r="U71" s="74">
        <v>66</v>
      </c>
      <c r="V71" s="72">
        <v>12.8721</v>
      </c>
      <c r="W71" s="73">
        <v>66</v>
      </c>
      <c r="X71" s="72">
        <v>12.7912</v>
      </c>
      <c r="Y71" s="73">
        <v>66</v>
      </c>
      <c r="Z71" s="72">
        <v>10.221299999999999</v>
      </c>
    </row>
    <row r="72" spans="5:26">
      <c r="E72" s="75">
        <v>67</v>
      </c>
      <c r="F72" s="73">
        <v>10.193</v>
      </c>
      <c r="G72" s="75">
        <v>67</v>
      </c>
      <c r="H72" s="73">
        <v>12.9344</v>
      </c>
      <c r="I72" s="74">
        <v>67</v>
      </c>
      <c r="J72" s="73">
        <v>10.5733</v>
      </c>
      <c r="K72" s="74">
        <v>67</v>
      </c>
      <c r="L72" s="72">
        <v>11.0235</v>
      </c>
      <c r="M72" s="1"/>
      <c r="N72" s="1"/>
      <c r="O72" s="74">
        <v>67</v>
      </c>
      <c r="P72" s="72">
        <v>11.4267</v>
      </c>
      <c r="Q72" s="73">
        <v>67</v>
      </c>
      <c r="R72" s="72">
        <v>11.403</v>
      </c>
      <c r="S72" s="73">
        <v>67</v>
      </c>
      <c r="T72" s="72">
        <v>12.9185</v>
      </c>
      <c r="U72" s="74">
        <v>67</v>
      </c>
      <c r="V72" s="72">
        <v>10.7035</v>
      </c>
      <c r="W72" s="73">
        <v>67</v>
      </c>
      <c r="X72" s="72">
        <v>14.265499999999999</v>
      </c>
      <c r="Y72" s="73">
        <v>67</v>
      </c>
      <c r="Z72" s="72">
        <v>12.135</v>
      </c>
    </row>
    <row r="73" spans="5:26">
      <c r="E73" s="75">
        <v>68</v>
      </c>
      <c r="F73" s="73">
        <v>13.664</v>
      </c>
      <c r="G73" s="75">
        <v>68</v>
      </c>
      <c r="H73" s="73">
        <v>14.1035</v>
      </c>
      <c r="I73" s="74">
        <v>68</v>
      </c>
      <c r="J73" s="73">
        <v>10.5344</v>
      </c>
      <c r="K73" s="74">
        <v>68</v>
      </c>
      <c r="L73" s="72">
        <v>10.6935</v>
      </c>
      <c r="M73" s="1"/>
      <c r="N73" s="1"/>
      <c r="O73" s="74">
        <v>68</v>
      </c>
      <c r="P73" s="72">
        <v>11.1836</v>
      </c>
      <c r="Q73" s="73">
        <v>68</v>
      </c>
      <c r="R73" s="72">
        <v>11.9223</v>
      </c>
      <c r="S73" s="73">
        <v>68</v>
      </c>
      <c r="T73" s="72">
        <v>14.7888</v>
      </c>
      <c r="U73" s="74">
        <v>68</v>
      </c>
      <c r="V73" s="72">
        <v>12.8949</v>
      </c>
      <c r="W73" s="73">
        <v>68</v>
      </c>
      <c r="X73" s="72">
        <v>13.078799999999999</v>
      </c>
      <c r="Y73" s="73">
        <v>68</v>
      </c>
      <c r="Z73" s="72">
        <v>14.1456</v>
      </c>
    </row>
    <row r="74" spans="5:26">
      <c r="E74" s="75">
        <v>69</v>
      </c>
      <c r="F74" s="73">
        <v>11.904999999999999</v>
      </c>
      <c r="G74" s="75">
        <v>69</v>
      </c>
      <c r="H74" s="73">
        <v>12.425800000000001</v>
      </c>
      <c r="I74" s="74">
        <v>69</v>
      </c>
      <c r="J74" s="73">
        <v>12.535</v>
      </c>
      <c r="K74" s="74">
        <v>69</v>
      </c>
      <c r="L74" s="72">
        <v>12.739800000000001</v>
      </c>
      <c r="M74" s="1"/>
      <c r="N74" s="1"/>
      <c r="O74" s="74">
        <v>69</v>
      </c>
      <c r="P74" s="72">
        <v>9.0921000000000003</v>
      </c>
      <c r="Q74" s="73">
        <v>69</v>
      </c>
      <c r="R74" s="72">
        <v>10.576599999999999</v>
      </c>
      <c r="S74" s="73">
        <v>69</v>
      </c>
      <c r="T74" s="72">
        <v>10.4123</v>
      </c>
      <c r="U74" s="74">
        <v>69</v>
      </c>
      <c r="V74" s="72">
        <v>13.9962</v>
      </c>
      <c r="W74" s="73">
        <v>69</v>
      </c>
      <c r="X74" s="72">
        <v>11.9962</v>
      </c>
      <c r="Y74" s="73">
        <v>69</v>
      </c>
      <c r="Z74" s="72">
        <v>11.5686</v>
      </c>
    </row>
    <row r="75" spans="5:26">
      <c r="E75" s="75">
        <v>70</v>
      </c>
      <c r="F75" s="73">
        <v>11.005000000000001</v>
      </c>
      <c r="G75" s="75">
        <v>70</v>
      </c>
      <c r="H75" s="73">
        <v>11.6647</v>
      </c>
      <c r="I75" s="74">
        <v>70</v>
      </c>
      <c r="J75" s="73">
        <v>14.764099999999999</v>
      </c>
      <c r="K75" s="74">
        <v>70</v>
      </c>
      <c r="L75" s="72">
        <v>8.2127999999999997</v>
      </c>
      <c r="M75" s="1"/>
      <c r="N75" s="1"/>
      <c r="O75" s="74">
        <v>70</v>
      </c>
      <c r="P75" s="72">
        <v>13.741199999999999</v>
      </c>
      <c r="Q75" s="73">
        <v>70</v>
      </c>
      <c r="R75" s="72">
        <v>12.929</v>
      </c>
      <c r="S75" s="73">
        <v>70</v>
      </c>
      <c r="T75" s="72">
        <v>12.8827</v>
      </c>
      <c r="U75" s="74">
        <v>70</v>
      </c>
      <c r="V75" s="72">
        <v>12.9519</v>
      </c>
      <c r="W75" s="73">
        <v>70</v>
      </c>
      <c r="X75" s="72">
        <v>12.393800000000001</v>
      </c>
      <c r="Y75" s="73">
        <v>70</v>
      </c>
      <c r="Z75" s="72">
        <v>10.843299999999999</v>
      </c>
    </row>
    <row r="76" spans="5:26">
      <c r="E76" s="75">
        <v>71</v>
      </c>
      <c r="F76" s="73">
        <v>11.755000000000001</v>
      </c>
      <c r="G76" s="75">
        <v>71</v>
      </c>
      <c r="H76" s="73">
        <v>13.2776</v>
      </c>
      <c r="I76" s="74">
        <v>71</v>
      </c>
      <c r="J76" s="73">
        <v>13.6922</v>
      </c>
      <c r="K76" s="74">
        <v>71</v>
      </c>
      <c r="L76" s="72">
        <v>10.532400000000001</v>
      </c>
      <c r="M76" s="1"/>
      <c r="N76" s="1"/>
      <c r="O76" s="74">
        <v>71</v>
      </c>
      <c r="P76" s="72">
        <v>7.8266</v>
      </c>
      <c r="Q76" s="73">
        <v>71</v>
      </c>
      <c r="R76" s="72">
        <v>14.7707</v>
      </c>
      <c r="S76" s="73">
        <v>71</v>
      </c>
      <c r="T76" s="72">
        <v>14.088100000000001</v>
      </c>
      <c r="U76" s="74">
        <v>71</v>
      </c>
      <c r="V76" s="72">
        <v>4.4907000000000004</v>
      </c>
      <c r="W76" s="73">
        <v>71</v>
      </c>
      <c r="X76" s="72">
        <v>12.571</v>
      </c>
      <c r="Y76" s="73">
        <v>71</v>
      </c>
      <c r="Z76" s="72">
        <v>9.9932999999999996</v>
      </c>
    </row>
    <row r="77" spans="5:26">
      <c r="E77" s="75">
        <v>72</v>
      </c>
      <c r="F77" s="73">
        <v>13.874000000000001</v>
      </c>
      <c r="G77" s="75">
        <v>72</v>
      </c>
      <c r="H77" s="73">
        <v>14.074</v>
      </c>
      <c r="I77" s="74">
        <v>72</v>
      </c>
      <c r="J77" s="73">
        <v>13.0031</v>
      </c>
      <c r="K77" s="74">
        <v>72</v>
      </c>
      <c r="L77" s="72">
        <v>14.2133</v>
      </c>
      <c r="M77" s="1"/>
      <c r="N77" s="1"/>
      <c r="O77" s="74">
        <v>72</v>
      </c>
      <c r="P77" s="72">
        <v>13.721</v>
      </c>
      <c r="Q77" s="73">
        <v>72</v>
      </c>
      <c r="R77" s="72">
        <v>13.202400000000001</v>
      </c>
      <c r="S77" s="73">
        <v>72</v>
      </c>
      <c r="T77" s="72">
        <v>12.266500000000001</v>
      </c>
      <c r="U77" s="74">
        <v>72</v>
      </c>
      <c r="V77" s="72">
        <v>8.8526000000000007</v>
      </c>
      <c r="W77" s="73">
        <v>72</v>
      </c>
      <c r="X77" s="72">
        <v>12.3782</v>
      </c>
      <c r="Y77" s="73">
        <v>72</v>
      </c>
      <c r="Z77" s="72">
        <v>12.4922</v>
      </c>
    </row>
    <row r="78" spans="5:26">
      <c r="E78" s="75">
        <v>73</v>
      </c>
      <c r="F78" s="73">
        <v>13.141999999999999</v>
      </c>
      <c r="G78" s="75">
        <v>73</v>
      </c>
      <c r="H78" s="73">
        <v>13.138999999999999</v>
      </c>
      <c r="I78" s="74">
        <v>73</v>
      </c>
      <c r="J78" s="73">
        <v>10.5444</v>
      </c>
      <c r="K78" s="74">
        <v>73</v>
      </c>
      <c r="L78" s="72">
        <v>10.652100000000001</v>
      </c>
      <c r="M78" s="1"/>
      <c r="N78" s="1"/>
      <c r="O78" s="74">
        <v>73</v>
      </c>
      <c r="P78" s="72">
        <v>14.1572</v>
      </c>
      <c r="Q78" s="73">
        <v>73</v>
      </c>
      <c r="R78" s="72">
        <v>11.940899999999999</v>
      </c>
      <c r="S78" s="73">
        <v>73</v>
      </c>
      <c r="T78" s="72">
        <v>13.962</v>
      </c>
      <c r="U78" s="74">
        <v>73</v>
      </c>
      <c r="V78" s="72">
        <v>2.3607</v>
      </c>
      <c r="W78" s="73">
        <v>73</v>
      </c>
      <c r="X78" s="72">
        <v>13.8232</v>
      </c>
      <c r="Y78" s="73">
        <v>73</v>
      </c>
      <c r="Z78" s="72">
        <v>11.5802</v>
      </c>
    </row>
    <row r="79" spans="5:26">
      <c r="E79" s="75">
        <v>74</v>
      </c>
      <c r="F79" s="73">
        <v>14.898</v>
      </c>
      <c r="G79" s="75">
        <v>74</v>
      </c>
      <c r="H79" s="73">
        <v>9.6629000000000005</v>
      </c>
      <c r="I79" s="74">
        <v>74</v>
      </c>
      <c r="J79" s="73">
        <v>9.6463999999999999</v>
      </c>
      <c r="K79" s="74">
        <v>74</v>
      </c>
      <c r="L79" s="72">
        <v>12.3346</v>
      </c>
      <c r="M79" s="1"/>
      <c r="N79" s="1"/>
      <c r="O79" s="74">
        <v>74</v>
      </c>
      <c r="P79" s="72">
        <v>9.0070999999999994</v>
      </c>
      <c r="Q79" s="73">
        <v>74</v>
      </c>
      <c r="R79" s="72">
        <v>10.4391</v>
      </c>
      <c r="S79" s="73">
        <v>74</v>
      </c>
      <c r="T79" s="72">
        <v>10.7569</v>
      </c>
      <c r="U79" s="74">
        <v>74</v>
      </c>
      <c r="V79" s="72">
        <v>11.751899999999999</v>
      </c>
      <c r="W79" s="73">
        <v>74</v>
      </c>
      <c r="X79" s="72">
        <v>13.825799999999999</v>
      </c>
      <c r="Y79" s="73">
        <v>74</v>
      </c>
      <c r="Z79" s="72">
        <v>12.209199999999999</v>
      </c>
    </row>
    <row r="80" spans="5:26">
      <c r="E80" s="75">
        <v>75</v>
      </c>
      <c r="F80" s="73">
        <v>14.241</v>
      </c>
      <c r="G80" s="75">
        <v>75</v>
      </c>
      <c r="H80" s="73">
        <v>13.976100000000001</v>
      </c>
      <c r="I80" s="74">
        <v>75</v>
      </c>
      <c r="J80" s="73">
        <v>13.9694</v>
      </c>
      <c r="K80" s="74">
        <v>75</v>
      </c>
      <c r="L80" s="72">
        <v>13.8127</v>
      </c>
      <c r="M80" s="1"/>
      <c r="N80" s="1"/>
      <c r="O80" s="74">
        <v>75</v>
      </c>
      <c r="P80" s="72">
        <v>12.5426</v>
      </c>
      <c r="Q80" s="73">
        <v>75</v>
      </c>
      <c r="R80" s="72">
        <v>10.779500000000001</v>
      </c>
      <c r="S80" s="73">
        <v>75</v>
      </c>
      <c r="T80" s="72">
        <v>12.9975</v>
      </c>
      <c r="U80" s="74">
        <v>75</v>
      </c>
      <c r="V80" s="72">
        <v>11.421799999999999</v>
      </c>
      <c r="W80" s="73">
        <v>75</v>
      </c>
      <c r="X80" s="72">
        <v>13.528</v>
      </c>
      <c r="Y80" s="73">
        <v>75</v>
      </c>
      <c r="Z80" s="72">
        <v>11.7706</v>
      </c>
    </row>
    <row r="81" spans="5:26">
      <c r="E81" s="75">
        <v>76</v>
      </c>
      <c r="F81" s="73">
        <v>12.081</v>
      </c>
      <c r="G81" s="75">
        <v>76</v>
      </c>
      <c r="H81" s="73">
        <v>9.7222000000000008</v>
      </c>
      <c r="I81" s="74">
        <v>76</v>
      </c>
      <c r="J81" s="73">
        <v>12.4544</v>
      </c>
      <c r="K81" s="74">
        <v>76</v>
      </c>
      <c r="L81" s="72">
        <v>13.047499999999999</v>
      </c>
      <c r="M81" s="1"/>
      <c r="N81" s="1"/>
      <c r="O81" s="74">
        <v>76</v>
      </c>
      <c r="P81" s="72">
        <v>12.863799999999999</v>
      </c>
      <c r="Q81" s="73">
        <v>76</v>
      </c>
      <c r="R81" s="72">
        <v>11.970499999999999</v>
      </c>
      <c r="S81" s="73">
        <v>76</v>
      </c>
      <c r="T81" s="72">
        <v>11.8399</v>
      </c>
      <c r="U81" s="74">
        <v>76</v>
      </c>
      <c r="V81" s="72">
        <v>12.5564</v>
      </c>
      <c r="W81" s="73">
        <v>76</v>
      </c>
      <c r="X81" s="72">
        <v>13.579700000000001</v>
      </c>
      <c r="Y81" s="73">
        <v>76</v>
      </c>
      <c r="Z81" s="72">
        <v>11.6328</v>
      </c>
    </row>
    <row r="82" spans="5:26">
      <c r="E82" s="75">
        <v>77</v>
      </c>
      <c r="F82" s="73">
        <v>12.401999999999999</v>
      </c>
      <c r="G82" s="75">
        <v>77</v>
      </c>
      <c r="H82" s="73">
        <v>13.120900000000001</v>
      </c>
      <c r="I82" s="74">
        <v>77</v>
      </c>
      <c r="J82" s="73">
        <v>11.8957</v>
      </c>
      <c r="K82" s="74">
        <v>77</v>
      </c>
      <c r="L82" s="72">
        <v>12.2925</v>
      </c>
      <c r="M82" s="1"/>
      <c r="N82" s="1"/>
      <c r="O82" s="74">
        <v>77</v>
      </c>
      <c r="P82" s="72">
        <v>13.001899999999999</v>
      </c>
      <c r="Q82" s="73">
        <v>77</v>
      </c>
      <c r="R82" s="72">
        <v>10.798999999999999</v>
      </c>
      <c r="S82" s="73">
        <v>77</v>
      </c>
      <c r="T82" s="72">
        <v>13.997199999999999</v>
      </c>
      <c r="U82" s="74">
        <v>77</v>
      </c>
      <c r="V82" s="72">
        <v>13.644600000000001</v>
      </c>
      <c r="W82" s="73">
        <v>77</v>
      </c>
      <c r="X82" s="72">
        <v>13.625</v>
      </c>
      <c r="Y82" s="73">
        <v>77</v>
      </c>
      <c r="Z82" s="72">
        <v>11.492900000000001</v>
      </c>
    </row>
    <row r="83" spans="5:26">
      <c r="E83" s="75">
        <v>78</v>
      </c>
      <c r="F83" s="73">
        <v>14.273</v>
      </c>
      <c r="G83" s="75">
        <v>78</v>
      </c>
      <c r="H83" s="73">
        <v>9.5511999999999997</v>
      </c>
      <c r="I83" s="74">
        <v>78</v>
      </c>
      <c r="J83" s="73">
        <v>9.2478999999999996</v>
      </c>
      <c r="K83" s="74">
        <v>78</v>
      </c>
      <c r="L83" s="72">
        <v>10.450799999999999</v>
      </c>
      <c r="M83" s="1"/>
      <c r="N83" s="1"/>
      <c r="O83" s="74">
        <v>78</v>
      </c>
      <c r="P83" s="72">
        <v>10.3866</v>
      </c>
      <c r="Q83" s="73">
        <v>78</v>
      </c>
      <c r="R83" s="72">
        <v>10.9339</v>
      </c>
      <c r="S83" s="73">
        <v>78</v>
      </c>
      <c r="T83" s="72">
        <v>14.6137</v>
      </c>
      <c r="U83" s="74">
        <v>78</v>
      </c>
      <c r="V83" s="72">
        <v>9.5943000000000005</v>
      </c>
      <c r="W83" s="73">
        <v>78</v>
      </c>
      <c r="X83" s="72">
        <v>14.1287</v>
      </c>
      <c r="Y83" s="73">
        <v>78</v>
      </c>
      <c r="Z83" s="72">
        <v>12.2263</v>
      </c>
    </row>
    <row r="84" spans="5:26">
      <c r="E84" s="75">
        <v>79</v>
      </c>
      <c r="F84" s="73">
        <v>14.499000000000001</v>
      </c>
      <c r="G84" s="75">
        <v>79</v>
      </c>
      <c r="H84" s="73">
        <v>5.5149999999999997</v>
      </c>
      <c r="I84" s="74">
        <v>79</v>
      </c>
      <c r="J84" s="73">
        <v>8.6572999999999993</v>
      </c>
      <c r="K84" s="74">
        <v>79</v>
      </c>
      <c r="L84" s="72">
        <v>13.430099999999999</v>
      </c>
      <c r="M84" s="1"/>
      <c r="N84" s="1"/>
      <c r="O84" s="74">
        <v>79</v>
      </c>
      <c r="P84" s="72">
        <v>8.2569999999999997</v>
      </c>
      <c r="Q84" s="73">
        <v>79</v>
      </c>
      <c r="R84" s="72">
        <v>11.553100000000001</v>
      </c>
      <c r="S84" s="73">
        <v>79</v>
      </c>
      <c r="T84" s="72">
        <v>12.334899999999999</v>
      </c>
      <c r="U84" s="74">
        <v>79</v>
      </c>
      <c r="V84" s="72">
        <v>10.3566</v>
      </c>
      <c r="W84" s="73">
        <v>79</v>
      </c>
      <c r="X84" s="72">
        <v>11.86</v>
      </c>
      <c r="Y84" s="73">
        <v>79</v>
      </c>
      <c r="Z84" s="72">
        <v>13.3215</v>
      </c>
    </row>
    <row r="85" spans="5:26">
      <c r="E85" s="75">
        <v>80</v>
      </c>
      <c r="F85" s="73">
        <v>11.644</v>
      </c>
      <c r="G85" s="75">
        <v>80</v>
      </c>
      <c r="H85" s="73">
        <v>13.365500000000001</v>
      </c>
      <c r="I85" s="74">
        <v>80</v>
      </c>
      <c r="J85" s="73">
        <v>13.992699999999999</v>
      </c>
      <c r="K85" s="74">
        <v>80</v>
      </c>
      <c r="L85" s="72">
        <v>10.0025</v>
      </c>
      <c r="M85" s="1"/>
      <c r="N85" s="1"/>
      <c r="O85" s="74">
        <v>80</v>
      </c>
      <c r="P85" s="72">
        <v>13.041600000000001</v>
      </c>
      <c r="Q85" s="73">
        <v>80</v>
      </c>
      <c r="R85" s="72">
        <v>11.432399999999999</v>
      </c>
      <c r="S85" s="73">
        <v>80</v>
      </c>
      <c r="T85" s="72">
        <v>7.3326000000000002</v>
      </c>
      <c r="U85" s="74">
        <v>80</v>
      </c>
      <c r="V85" s="72">
        <v>10.995100000000001</v>
      </c>
      <c r="W85" s="73">
        <v>80</v>
      </c>
      <c r="X85" s="72">
        <v>13.3348</v>
      </c>
      <c r="Y85" s="73">
        <v>80</v>
      </c>
      <c r="Z85" s="72">
        <v>12.9657</v>
      </c>
    </row>
    <row r="86" spans="5:26">
      <c r="E86" s="75">
        <v>81</v>
      </c>
      <c r="F86" s="73">
        <v>11.073</v>
      </c>
      <c r="G86" s="75">
        <v>81</v>
      </c>
      <c r="H86" s="73">
        <v>11.6441</v>
      </c>
      <c r="I86" s="74">
        <v>81</v>
      </c>
      <c r="J86" s="73">
        <v>11.3832</v>
      </c>
      <c r="K86" s="74">
        <v>81</v>
      </c>
      <c r="L86" s="72">
        <v>11.1875</v>
      </c>
      <c r="M86" s="1"/>
      <c r="N86" s="1"/>
      <c r="O86" s="74">
        <v>81</v>
      </c>
      <c r="P86" s="72">
        <v>13.7736</v>
      </c>
      <c r="Q86" s="73">
        <v>81</v>
      </c>
      <c r="R86" s="72">
        <v>10.272500000000001</v>
      </c>
      <c r="S86" s="73">
        <v>81</v>
      </c>
      <c r="T86" s="72">
        <v>9.0546000000000006</v>
      </c>
      <c r="U86" s="74">
        <v>81</v>
      </c>
      <c r="V86" s="72">
        <v>8.1795000000000009</v>
      </c>
      <c r="W86" s="73">
        <v>81</v>
      </c>
      <c r="X86" s="72">
        <v>12.7195</v>
      </c>
      <c r="Y86" s="73">
        <v>81</v>
      </c>
      <c r="Z86" s="72">
        <v>14.2736</v>
      </c>
    </row>
    <row r="87" spans="5:26">
      <c r="E87" s="75">
        <v>82</v>
      </c>
      <c r="F87" s="73">
        <v>12.576000000000001</v>
      </c>
      <c r="G87" s="75">
        <v>82</v>
      </c>
      <c r="H87" s="73">
        <v>11.4681</v>
      </c>
      <c r="I87" s="74">
        <v>82</v>
      </c>
      <c r="J87" s="73">
        <v>9.1881000000000004</v>
      </c>
      <c r="K87" s="74">
        <v>82</v>
      </c>
      <c r="L87" s="72">
        <v>14.328799999999999</v>
      </c>
      <c r="M87" s="1"/>
      <c r="N87" s="1"/>
      <c r="O87" s="74">
        <v>82</v>
      </c>
      <c r="P87" s="72">
        <v>9.4963999999999995</v>
      </c>
      <c r="Q87" s="73">
        <v>82</v>
      </c>
      <c r="R87" s="72">
        <v>12.725899999999999</v>
      </c>
      <c r="S87" s="73">
        <v>82</v>
      </c>
      <c r="T87" s="72">
        <v>9.4969000000000001</v>
      </c>
      <c r="U87" s="74">
        <v>82</v>
      </c>
      <c r="V87" s="72">
        <v>11.2883</v>
      </c>
      <c r="W87" s="73">
        <v>82</v>
      </c>
      <c r="X87" s="72">
        <v>12.733599999999999</v>
      </c>
      <c r="Y87" s="73">
        <v>82</v>
      </c>
      <c r="Z87" s="72">
        <v>12.0055</v>
      </c>
    </row>
    <row r="88" spans="5:26">
      <c r="E88" s="75">
        <v>83</v>
      </c>
      <c r="F88" s="73">
        <v>12.596</v>
      </c>
      <c r="G88" s="75">
        <v>83</v>
      </c>
      <c r="H88" s="73">
        <v>12.761699999999999</v>
      </c>
      <c r="I88" s="74">
        <v>83</v>
      </c>
      <c r="J88" s="73">
        <v>13.401400000000001</v>
      </c>
      <c r="K88" s="74">
        <v>83</v>
      </c>
      <c r="L88" s="72">
        <v>11.695399999999999</v>
      </c>
      <c r="M88" s="1"/>
      <c r="N88" s="1"/>
      <c r="O88" s="74">
        <v>83</v>
      </c>
      <c r="P88" s="72">
        <v>13.751200000000001</v>
      </c>
      <c r="Q88" s="73">
        <v>83</v>
      </c>
      <c r="R88" s="72">
        <v>9.6796000000000006</v>
      </c>
      <c r="S88" s="73">
        <v>83</v>
      </c>
      <c r="T88" s="72">
        <v>12.2392</v>
      </c>
      <c r="U88" s="74">
        <v>83</v>
      </c>
      <c r="V88" s="72">
        <v>8.7550000000000008</v>
      </c>
      <c r="W88" s="73">
        <v>83</v>
      </c>
      <c r="X88" s="72">
        <v>12.6043</v>
      </c>
      <c r="Y88" s="73">
        <v>83</v>
      </c>
      <c r="Z88" s="72">
        <v>13.4899</v>
      </c>
    </row>
    <row r="89" spans="5:26">
      <c r="E89" s="75">
        <v>84</v>
      </c>
      <c r="F89" s="73">
        <v>10.218999999999999</v>
      </c>
      <c r="G89" s="75">
        <v>84</v>
      </c>
      <c r="H89" s="73">
        <v>10.5403</v>
      </c>
      <c r="I89" s="74">
        <v>84</v>
      </c>
      <c r="J89" s="73">
        <v>11.9368</v>
      </c>
      <c r="K89" s="74">
        <v>84</v>
      </c>
      <c r="L89" s="72">
        <v>12.5532</v>
      </c>
      <c r="M89" s="1"/>
      <c r="N89" s="1"/>
      <c r="O89" s="74">
        <v>84</v>
      </c>
      <c r="P89" s="72">
        <v>13.0059</v>
      </c>
      <c r="Q89" s="73">
        <v>84</v>
      </c>
      <c r="R89" s="72">
        <v>13.8942</v>
      </c>
      <c r="S89" s="73">
        <v>84</v>
      </c>
      <c r="T89" s="72">
        <v>8.2654999999999994</v>
      </c>
      <c r="U89" s="74">
        <v>84</v>
      </c>
      <c r="V89" s="72">
        <v>11.006600000000001</v>
      </c>
      <c r="W89" s="73">
        <v>84</v>
      </c>
      <c r="X89" s="72">
        <v>14.661199999999999</v>
      </c>
      <c r="Y89" s="73">
        <v>84</v>
      </c>
      <c r="Z89" s="72">
        <v>11.330399999999999</v>
      </c>
    </row>
    <row r="90" spans="5:26">
      <c r="E90" s="75">
        <v>85</v>
      </c>
      <c r="F90" s="73">
        <v>14.714</v>
      </c>
      <c r="G90" s="75">
        <v>85</v>
      </c>
      <c r="H90" s="73">
        <v>10.8171</v>
      </c>
      <c r="I90" s="74">
        <v>85</v>
      </c>
      <c r="J90" s="73">
        <v>12.1251</v>
      </c>
      <c r="K90" s="74">
        <v>85</v>
      </c>
      <c r="L90" s="72">
        <v>9.9004999999999992</v>
      </c>
      <c r="M90" s="1"/>
      <c r="N90" s="1"/>
      <c r="O90" s="74">
        <v>85</v>
      </c>
      <c r="P90" s="72">
        <v>12.079800000000001</v>
      </c>
      <c r="Q90" s="73">
        <v>85</v>
      </c>
      <c r="R90" s="72">
        <v>10.9214</v>
      </c>
      <c r="S90" s="73">
        <v>85</v>
      </c>
      <c r="T90" s="72">
        <v>7.3808999999999996</v>
      </c>
      <c r="U90" s="74">
        <v>85</v>
      </c>
      <c r="V90" s="72">
        <v>12.1563</v>
      </c>
      <c r="W90" s="73">
        <v>85</v>
      </c>
      <c r="X90" s="72">
        <v>13.2553</v>
      </c>
      <c r="Y90" s="73">
        <v>85</v>
      </c>
      <c r="Z90" s="72">
        <v>10.726699999999999</v>
      </c>
    </row>
    <row r="91" spans="5:26">
      <c r="E91" s="75">
        <v>86</v>
      </c>
      <c r="F91" s="73">
        <v>10.659000000000001</v>
      </c>
      <c r="G91" s="75">
        <v>86</v>
      </c>
      <c r="H91" s="73">
        <v>5.6543999999999999</v>
      </c>
      <c r="I91" s="74">
        <v>86</v>
      </c>
      <c r="J91" s="73">
        <v>13.544499999999999</v>
      </c>
      <c r="K91" s="74">
        <v>86</v>
      </c>
      <c r="L91" s="72">
        <v>13.103899999999999</v>
      </c>
      <c r="M91" s="1"/>
      <c r="N91" s="1"/>
      <c r="O91" s="74">
        <v>86</v>
      </c>
      <c r="P91" s="72">
        <v>11.4595</v>
      </c>
      <c r="Q91" s="73">
        <v>86</v>
      </c>
      <c r="R91" s="72">
        <v>11.4154</v>
      </c>
      <c r="S91" s="73">
        <v>86</v>
      </c>
      <c r="T91" s="72">
        <v>7.4455</v>
      </c>
      <c r="U91" s="74">
        <v>86</v>
      </c>
      <c r="V91" s="72">
        <v>13.141</v>
      </c>
      <c r="W91" s="73">
        <v>86</v>
      </c>
      <c r="X91" s="72">
        <v>14.180899999999999</v>
      </c>
      <c r="Y91" s="73">
        <v>86</v>
      </c>
      <c r="Z91" s="72">
        <v>12.507999999999999</v>
      </c>
    </row>
    <row r="92" spans="5:26">
      <c r="E92" s="75">
        <v>87</v>
      </c>
      <c r="F92" s="73">
        <v>9.5389999999999997</v>
      </c>
      <c r="G92" s="75">
        <v>87</v>
      </c>
      <c r="H92" s="73">
        <v>2.3056000000000001</v>
      </c>
      <c r="I92" s="74">
        <v>87</v>
      </c>
      <c r="J92" s="73">
        <v>9.5860000000000003</v>
      </c>
      <c r="K92" s="74">
        <v>87</v>
      </c>
      <c r="L92" s="72">
        <v>13.064399999999999</v>
      </c>
      <c r="M92" s="1"/>
      <c r="N92" s="1"/>
      <c r="O92" s="74">
        <v>87</v>
      </c>
      <c r="P92" s="72">
        <v>13.0761</v>
      </c>
      <c r="Q92" s="73">
        <v>87</v>
      </c>
      <c r="R92" s="72">
        <v>11.808299999999999</v>
      </c>
      <c r="S92" s="73">
        <v>87</v>
      </c>
      <c r="T92" s="72">
        <v>10.2433</v>
      </c>
      <c r="U92" s="74">
        <v>87</v>
      </c>
      <c r="V92" s="72">
        <v>9.0048999999999992</v>
      </c>
      <c r="W92" s="73">
        <v>87</v>
      </c>
      <c r="X92" s="72">
        <v>14.227399999999999</v>
      </c>
      <c r="Y92" s="73">
        <v>87</v>
      </c>
      <c r="Z92" s="72">
        <v>12.3437</v>
      </c>
    </row>
    <row r="93" spans="5:26">
      <c r="E93" s="75">
        <v>88</v>
      </c>
      <c r="F93" s="73">
        <v>13.003</v>
      </c>
      <c r="G93" s="75">
        <v>88</v>
      </c>
      <c r="H93" s="73">
        <v>13.4801</v>
      </c>
      <c r="I93" s="74">
        <v>88</v>
      </c>
      <c r="J93" s="73">
        <v>14.343</v>
      </c>
      <c r="K93" s="74">
        <v>88</v>
      </c>
      <c r="L93" s="72">
        <v>10.2859</v>
      </c>
      <c r="M93" s="1"/>
      <c r="N93" s="1"/>
      <c r="O93" s="74">
        <v>88</v>
      </c>
      <c r="P93" s="72">
        <v>6.4978999999999996</v>
      </c>
      <c r="Q93" s="73">
        <v>88</v>
      </c>
      <c r="R93" s="72">
        <v>14.2149</v>
      </c>
      <c r="S93" s="73">
        <v>88</v>
      </c>
      <c r="T93" s="72">
        <v>13.7804</v>
      </c>
      <c r="U93" s="74">
        <v>88</v>
      </c>
      <c r="V93" s="72">
        <v>8.9742999999999995</v>
      </c>
      <c r="W93" s="73">
        <v>88</v>
      </c>
      <c r="X93" s="72">
        <v>14.3071</v>
      </c>
      <c r="Y93" s="73">
        <v>88</v>
      </c>
      <c r="Z93" s="72">
        <v>12.128299999999999</v>
      </c>
    </row>
    <row r="94" spans="5:26">
      <c r="E94" s="75">
        <v>89</v>
      </c>
      <c r="F94" s="73">
        <v>11.97</v>
      </c>
      <c r="G94" s="75">
        <v>89</v>
      </c>
      <c r="H94" s="73">
        <v>12.585800000000001</v>
      </c>
      <c r="I94" s="74">
        <v>89</v>
      </c>
      <c r="J94" s="73">
        <v>14.569900000000001</v>
      </c>
      <c r="K94" s="74">
        <v>89</v>
      </c>
      <c r="L94" s="72">
        <v>10.773899999999999</v>
      </c>
      <c r="M94" s="1"/>
      <c r="N94" s="1"/>
      <c r="O94" s="74">
        <v>89</v>
      </c>
      <c r="P94" s="72">
        <v>12.7643</v>
      </c>
      <c r="Q94" s="73">
        <v>89</v>
      </c>
      <c r="R94" s="72">
        <v>13.1982</v>
      </c>
      <c r="S94" s="73">
        <v>89</v>
      </c>
      <c r="T94" s="72">
        <v>13.9938</v>
      </c>
      <c r="U94" s="74">
        <v>89</v>
      </c>
      <c r="V94" s="72">
        <v>11.173400000000001</v>
      </c>
      <c r="W94" s="73">
        <v>89</v>
      </c>
      <c r="X94" s="72">
        <v>10.9214</v>
      </c>
      <c r="Y94" s="73">
        <v>89</v>
      </c>
      <c r="Z94" s="72">
        <v>12.296799999999999</v>
      </c>
    </row>
    <row r="95" spans="5:26">
      <c r="E95" s="75">
        <v>90</v>
      </c>
      <c r="F95" s="73">
        <v>9.8539999999999992</v>
      </c>
      <c r="G95" s="75">
        <v>90</v>
      </c>
      <c r="H95" s="73">
        <v>8.3889999999999993</v>
      </c>
      <c r="I95" s="74">
        <v>90</v>
      </c>
      <c r="J95" s="73">
        <v>12.896599999999999</v>
      </c>
      <c r="K95" s="74">
        <v>90</v>
      </c>
      <c r="L95" s="72">
        <v>10.738</v>
      </c>
      <c r="M95" s="1"/>
      <c r="N95" s="1"/>
      <c r="O95" s="74">
        <v>90</v>
      </c>
      <c r="P95" s="72">
        <v>12.778600000000001</v>
      </c>
      <c r="Q95" s="73">
        <v>90</v>
      </c>
      <c r="R95" s="72">
        <v>13.5618</v>
      </c>
      <c r="S95" s="73">
        <v>90</v>
      </c>
      <c r="T95" s="72">
        <v>9.8452000000000002</v>
      </c>
      <c r="U95" s="74">
        <v>90</v>
      </c>
      <c r="V95" s="72">
        <v>13.089700000000001</v>
      </c>
      <c r="W95" s="73">
        <v>90</v>
      </c>
      <c r="X95" s="72">
        <v>12.036799999999999</v>
      </c>
      <c r="Y95" s="73">
        <v>90</v>
      </c>
      <c r="Z95" s="72">
        <v>10.7667</v>
      </c>
    </row>
    <row r="96" spans="5:26">
      <c r="E96" s="75">
        <v>91</v>
      </c>
      <c r="F96" s="73">
        <v>14.007</v>
      </c>
      <c r="G96" s="75">
        <v>91</v>
      </c>
      <c r="H96" s="73">
        <v>9.1724999999999994</v>
      </c>
      <c r="I96" s="74">
        <v>91</v>
      </c>
      <c r="J96" s="73">
        <v>13.029199999999999</v>
      </c>
      <c r="K96" s="74">
        <v>91</v>
      </c>
      <c r="L96" s="72">
        <v>12.566700000000001</v>
      </c>
      <c r="M96" s="1"/>
      <c r="N96" s="1"/>
      <c r="O96" s="74">
        <v>91</v>
      </c>
      <c r="P96" s="72">
        <v>11.1721</v>
      </c>
      <c r="Q96" s="73">
        <v>91</v>
      </c>
      <c r="R96" s="72">
        <v>10.310700000000001</v>
      </c>
      <c r="S96" s="73">
        <v>91</v>
      </c>
      <c r="T96" s="72">
        <v>14.361599999999999</v>
      </c>
      <c r="U96" s="74">
        <v>91</v>
      </c>
      <c r="V96" s="72">
        <v>13.329000000000001</v>
      </c>
      <c r="W96" s="73">
        <v>91</v>
      </c>
      <c r="X96" s="72">
        <v>13.846299999999999</v>
      </c>
      <c r="Y96" s="73">
        <v>91</v>
      </c>
      <c r="Z96" s="72">
        <v>12.850199999999999</v>
      </c>
    </row>
    <row r="97" spans="5:26">
      <c r="E97" s="75">
        <v>92</v>
      </c>
      <c r="F97" s="73">
        <v>12.147</v>
      </c>
      <c r="G97" s="75">
        <v>92</v>
      </c>
      <c r="H97" s="73">
        <v>12.6799</v>
      </c>
      <c r="I97" s="74">
        <v>92</v>
      </c>
      <c r="J97" s="73">
        <v>13.9015</v>
      </c>
      <c r="K97" s="74">
        <v>92</v>
      </c>
      <c r="L97" s="72">
        <v>14.127599999999999</v>
      </c>
      <c r="M97" s="1"/>
      <c r="N97" s="1"/>
      <c r="O97" s="74">
        <v>92</v>
      </c>
      <c r="P97" s="72">
        <v>14.6554</v>
      </c>
      <c r="Q97" s="73">
        <v>92</v>
      </c>
      <c r="R97" s="72">
        <v>12.5564</v>
      </c>
      <c r="S97" s="73">
        <v>92</v>
      </c>
      <c r="T97" s="72">
        <v>14.6479</v>
      </c>
      <c r="U97" s="74">
        <v>92</v>
      </c>
      <c r="V97" s="72">
        <v>13.9602</v>
      </c>
      <c r="W97" s="73">
        <v>92</v>
      </c>
      <c r="X97" s="72">
        <v>12.9628</v>
      </c>
      <c r="Y97" s="73">
        <v>92</v>
      </c>
      <c r="Z97" s="72">
        <v>9.6524999999999999</v>
      </c>
    </row>
    <row r="98" spans="5:26">
      <c r="E98" s="75">
        <v>93</v>
      </c>
      <c r="F98" s="73">
        <v>11.148999999999999</v>
      </c>
      <c r="G98" s="75">
        <v>93</v>
      </c>
      <c r="H98" s="73">
        <v>11.9734</v>
      </c>
      <c r="I98" s="74">
        <v>93</v>
      </c>
      <c r="J98" s="73">
        <v>11.560499999999999</v>
      </c>
      <c r="K98" s="74">
        <v>93</v>
      </c>
      <c r="L98" s="72">
        <v>10.0228</v>
      </c>
      <c r="M98" s="1"/>
      <c r="N98" s="1"/>
      <c r="O98" s="74">
        <v>93</v>
      </c>
      <c r="P98" s="72">
        <v>8.9373000000000005</v>
      </c>
      <c r="Q98" s="73">
        <v>93</v>
      </c>
      <c r="R98" s="72">
        <v>14.2728</v>
      </c>
      <c r="S98" s="73">
        <v>93</v>
      </c>
      <c r="T98" s="72">
        <v>13.0448</v>
      </c>
      <c r="U98" s="74">
        <v>93</v>
      </c>
      <c r="V98" s="72">
        <v>8.7562999999999995</v>
      </c>
      <c r="W98" s="73">
        <v>93</v>
      </c>
      <c r="X98" s="72">
        <v>15.179399999999999</v>
      </c>
      <c r="Y98" s="73">
        <v>93</v>
      </c>
      <c r="Z98" s="72">
        <v>13.744400000000001</v>
      </c>
    </row>
    <row r="99" spans="5:26">
      <c r="E99" s="75">
        <v>94</v>
      </c>
      <c r="F99" s="73">
        <v>4.4279999999999999</v>
      </c>
      <c r="G99" s="75">
        <v>94</v>
      </c>
      <c r="H99" s="73">
        <v>10.9779</v>
      </c>
      <c r="I99" s="74">
        <v>94</v>
      </c>
      <c r="J99" s="73">
        <v>12.2149</v>
      </c>
      <c r="K99" s="74">
        <v>94</v>
      </c>
      <c r="L99" s="72">
        <v>10.3233</v>
      </c>
      <c r="M99" s="1"/>
      <c r="N99" s="1"/>
      <c r="O99" s="74">
        <v>94</v>
      </c>
      <c r="P99" s="72">
        <v>12.9694</v>
      </c>
      <c r="Q99" s="73">
        <v>94</v>
      </c>
      <c r="R99" s="72">
        <v>13.6783</v>
      </c>
      <c r="S99" s="73">
        <v>94</v>
      </c>
      <c r="T99" s="72">
        <v>13.1471</v>
      </c>
      <c r="U99" s="74">
        <v>94</v>
      </c>
      <c r="V99" s="72">
        <v>15.234400000000001</v>
      </c>
      <c r="W99" s="73">
        <v>94</v>
      </c>
      <c r="X99" s="72">
        <v>13.553800000000001</v>
      </c>
      <c r="Y99" s="73">
        <v>94</v>
      </c>
      <c r="Z99" s="72">
        <v>12.471299999999999</v>
      </c>
    </row>
    <row r="100" spans="5:26">
      <c r="E100" s="75">
        <v>95</v>
      </c>
      <c r="F100" s="73">
        <v>11.525</v>
      </c>
      <c r="G100" s="75">
        <v>95</v>
      </c>
      <c r="H100" s="73">
        <v>8.7620000000000005</v>
      </c>
      <c r="I100" s="74">
        <v>95</v>
      </c>
      <c r="J100" s="73">
        <v>9.1913</v>
      </c>
      <c r="K100" s="74">
        <v>95</v>
      </c>
      <c r="L100" s="72">
        <v>13.924200000000001</v>
      </c>
      <c r="M100" s="1"/>
      <c r="N100" s="1"/>
      <c r="O100" s="74">
        <v>95</v>
      </c>
      <c r="P100" s="72">
        <v>11.114599999999999</v>
      </c>
      <c r="Q100" s="73">
        <v>95</v>
      </c>
      <c r="R100" s="72">
        <v>14.554500000000001</v>
      </c>
      <c r="S100" s="73">
        <v>95</v>
      </c>
      <c r="T100" s="72">
        <v>12.687900000000001</v>
      </c>
      <c r="U100" s="74">
        <v>95</v>
      </c>
      <c r="V100" s="72">
        <v>13.685700000000001</v>
      </c>
      <c r="W100" s="73">
        <v>95</v>
      </c>
      <c r="X100" s="72">
        <v>13.185499999999999</v>
      </c>
      <c r="Y100" s="73">
        <v>95</v>
      </c>
      <c r="Z100" s="72">
        <v>13.207599999999999</v>
      </c>
    </row>
    <row r="101" spans="5:26">
      <c r="E101" s="75">
        <v>96</v>
      </c>
      <c r="F101" s="73">
        <v>13.332000000000001</v>
      </c>
      <c r="G101" s="75">
        <v>96</v>
      </c>
      <c r="H101" s="73">
        <v>12.2369</v>
      </c>
      <c r="I101" s="74">
        <v>96</v>
      </c>
      <c r="J101" s="73">
        <v>11.695399999999999</v>
      </c>
      <c r="K101" s="74">
        <v>96</v>
      </c>
      <c r="L101" s="72">
        <v>12.103</v>
      </c>
      <c r="M101" s="1"/>
      <c r="N101" s="1"/>
      <c r="O101" s="74">
        <v>96</v>
      </c>
      <c r="P101" s="72">
        <v>10.311</v>
      </c>
      <c r="Q101" s="73">
        <v>96</v>
      </c>
      <c r="R101" s="72">
        <v>12.6793</v>
      </c>
      <c r="S101" s="73">
        <v>96</v>
      </c>
      <c r="T101" s="72">
        <v>12.3155</v>
      </c>
      <c r="U101" s="74">
        <v>96</v>
      </c>
      <c r="V101" s="72">
        <v>14.4482</v>
      </c>
      <c r="W101" s="73">
        <v>96</v>
      </c>
      <c r="X101" s="72">
        <v>12.3545</v>
      </c>
      <c r="Y101" s="73">
        <v>96</v>
      </c>
      <c r="Z101" s="72">
        <v>11.267899999999999</v>
      </c>
    </row>
    <row r="102" spans="5:26">
      <c r="E102" s="75">
        <v>97</v>
      </c>
      <c r="F102" s="73">
        <v>13.173999999999999</v>
      </c>
      <c r="G102" s="75">
        <v>97</v>
      </c>
      <c r="H102" s="73">
        <v>11.928699999999999</v>
      </c>
      <c r="I102" s="74">
        <v>97</v>
      </c>
      <c r="J102" s="73">
        <v>9.9065999999999992</v>
      </c>
      <c r="K102" s="74">
        <v>97</v>
      </c>
      <c r="L102" s="72">
        <v>10.246</v>
      </c>
      <c r="M102" s="1"/>
      <c r="N102" s="1"/>
      <c r="O102" s="74">
        <v>97</v>
      </c>
      <c r="P102" s="72">
        <v>13.252599999999999</v>
      </c>
      <c r="Q102" s="73">
        <v>97</v>
      </c>
      <c r="R102" s="72">
        <v>9.6288</v>
      </c>
      <c r="S102" s="73">
        <v>97</v>
      </c>
      <c r="T102" s="72">
        <v>8.4174000000000007</v>
      </c>
      <c r="U102" s="74">
        <v>97</v>
      </c>
      <c r="V102" s="72">
        <v>14.160299999999999</v>
      </c>
      <c r="W102" s="73">
        <v>97</v>
      </c>
      <c r="X102" s="72">
        <v>13.138500000000001</v>
      </c>
      <c r="Y102" s="73">
        <v>97</v>
      </c>
      <c r="Z102" s="72">
        <v>12.6563</v>
      </c>
    </row>
    <row r="103" spans="5:26">
      <c r="E103" s="75">
        <v>98</v>
      </c>
      <c r="F103" s="73">
        <v>11.044</v>
      </c>
      <c r="G103" s="75">
        <v>98</v>
      </c>
      <c r="H103" s="73">
        <v>10.959899999999999</v>
      </c>
      <c r="I103" s="74">
        <v>98</v>
      </c>
      <c r="J103" s="73">
        <v>9.9497999999999998</v>
      </c>
      <c r="K103" s="74">
        <v>98</v>
      </c>
      <c r="L103" s="72">
        <v>11.9176</v>
      </c>
      <c r="M103" s="1"/>
      <c r="N103" s="1"/>
      <c r="O103" s="74">
        <v>98</v>
      </c>
      <c r="P103" s="72">
        <v>13.1378</v>
      </c>
      <c r="Q103" s="73">
        <v>98</v>
      </c>
      <c r="R103" s="72">
        <v>10.433999999999999</v>
      </c>
      <c r="S103" s="73">
        <v>98</v>
      </c>
      <c r="T103" s="72">
        <v>13.142200000000001</v>
      </c>
      <c r="U103" s="74">
        <v>98</v>
      </c>
      <c r="V103" s="72">
        <v>12.874499999999999</v>
      </c>
      <c r="W103" s="73">
        <v>98</v>
      </c>
      <c r="X103" s="72">
        <v>13.5015</v>
      </c>
      <c r="Y103" s="73">
        <v>98</v>
      </c>
      <c r="Z103" s="72">
        <v>12.4856</v>
      </c>
    </row>
    <row r="104" spans="5:26">
      <c r="E104" s="75">
        <v>99</v>
      </c>
      <c r="F104" s="73">
        <v>11.742000000000001</v>
      </c>
      <c r="G104" s="75">
        <v>99</v>
      </c>
      <c r="H104" s="73">
        <v>13.6706</v>
      </c>
      <c r="I104" s="74">
        <v>99</v>
      </c>
      <c r="J104" s="73">
        <v>10.9697</v>
      </c>
      <c r="K104" s="74">
        <v>99</v>
      </c>
      <c r="L104" s="72">
        <v>14.9039</v>
      </c>
      <c r="M104" s="1"/>
      <c r="N104" s="1"/>
      <c r="O104" s="74">
        <v>99</v>
      </c>
      <c r="P104" s="72">
        <v>9.593</v>
      </c>
      <c r="Q104" s="73">
        <v>99</v>
      </c>
      <c r="R104" s="72">
        <v>11.209</v>
      </c>
      <c r="S104" s="73">
        <v>99</v>
      </c>
      <c r="T104" s="72">
        <v>12.351900000000001</v>
      </c>
      <c r="U104" s="74">
        <v>99</v>
      </c>
      <c r="V104" s="72">
        <v>14.0044</v>
      </c>
      <c r="W104" s="73">
        <v>99</v>
      </c>
      <c r="X104" s="72">
        <v>13.2834</v>
      </c>
      <c r="Y104" s="73">
        <v>99</v>
      </c>
      <c r="Z104" s="72">
        <v>13.345800000000001</v>
      </c>
    </row>
    <row r="105" spans="5:26" s="1" customFormat="1">
      <c r="E105" s="75">
        <v>100</v>
      </c>
      <c r="F105" s="73">
        <v>13.137</v>
      </c>
      <c r="G105" s="75">
        <v>100</v>
      </c>
      <c r="H105" s="73">
        <v>14.243</v>
      </c>
      <c r="I105" s="74">
        <v>100</v>
      </c>
      <c r="J105" s="73">
        <v>11.7623</v>
      </c>
      <c r="K105" s="74">
        <v>100</v>
      </c>
      <c r="L105" s="72">
        <v>15.1869</v>
      </c>
      <c r="O105" s="74">
        <v>100</v>
      </c>
      <c r="P105" s="72">
        <v>13.5967</v>
      </c>
      <c r="Q105" s="73">
        <v>100</v>
      </c>
      <c r="R105" s="72">
        <v>12.6898</v>
      </c>
      <c r="S105" s="73">
        <v>100</v>
      </c>
      <c r="T105" s="72">
        <v>12.407500000000001</v>
      </c>
      <c r="U105" s="74">
        <v>100</v>
      </c>
      <c r="V105" s="72">
        <v>9.9362999999999992</v>
      </c>
      <c r="W105" s="73">
        <v>100</v>
      </c>
      <c r="X105" s="72">
        <v>14.185700000000001</v>
      </c>
      <c r="Y105" s="73">
        <v>100</v>
      </c>
      <c r="Z105" s="72">
        <v>12.256600000000001</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2952-6548-A34C-B0E4-AA180BF8F274}">
  <dimension ref="A1:F45"/>
  <sheetViews>
    <sheetView zoomScale="110" zoomScaleNormal="110" zoomScalePageLayoutView="160" workbookViewId="0"/>
  </sheetViews>
  <sheetFormatPr baseColWidth="10" defaultRowHeight="16"/>
  <cols>
    <col min="1" max="1" width="13.5" customWidth="1"/>
    <col min="2" max="2" width="10.83203125" bestFit="1" customWidth="1"/>
    <col min="3" max="3" width="17" bestFit="1" customWidth="1"/>
    <col min="4" max="4" width="10.83203125" bestFit="1" customWidth="1"/>
    <col min="5" max="5" width="18.6640625" customWidth="1"/>
    <col min="6" max="6" width="5.33203125" customWidth="1"/>
  </cols>
  <sheetData>
    <row r="1" spans="1:5" s="1" customFormat="1" ht="12">
      <c r="A1" s="13" t="s">
        <v>595</v>
      </c>
      <c r="B1" s="2"/>
      <c r="C1" s="2"/>
      <c r="D1" s="2"/>
    </row>
    <row r="2" spans="1:5" s="108" customFormat="1" ht="12">
      <c r="A2" s="109" t="s">
        <v>521</v>
      </c>
      <c r="B2" s="15"/>
      <c r="C2" s="15"/>
      <c r="D2" s="15"/>
    </row>
    <row r="3" spans="1:5" s="6" customFormat="1" ht="12">
      <c r="A3" s="107" t="s">
        <v>520</v>
      </c>
      <c r="B3" s="14"/>
      <c r="C3" s="14"/>
      <c r="D3" s="14"/>
    </row>
    <row r="4" spans="1:5" ht="37" customHeight="1">
      <c r="A4" s="106" t="s">
        <v>8</v>
      </c>
      <c r="B4" s="105" t="s">
        <v>519</v>
      </c>
      <c r="C4" s="105" t="s">
        <v>518</v>
      </c>
      <c r="D4" s="105" t="s">
        <v>517</v>
      </c>
      <c r="E4" s="105" t="s">
        <v>516</v>
      </c>
    </row>
    <row r="5" spans="1:5">
      <c r="A5" s="73" t="s">
        <v>515</v>
      </c>
      <c r="B5" s="99" t="s">
        <v>507</v>
      </c>
      <c r="C5" s="100" t="s">
        <v>514</v>
      </c>
      <c r="D5" s="102" t="s">
        <v>511</v>
      </c>
      <c r="E5" s="102" t="s">
        <v>511</v>
      </c>
    </row>
    <row r="6" spans="1:5" ht="26">
      <c r="A6" s="104" t="s">
        <v>513</v>
      </c>
      <c r="B6" s="99" t="s">
        <v>507</v>
      </c>
      <c r="C6" s="103" t="s">
        <v>512</v>
      </c>
      <c r="D6" s="102" t="s">
        <v>511</v>
      </c>
      <c r="E6" s="102" t="s">
        <v>511</v>
      </c>
    </row>
    <row r="7" spans="1:5">
      <c r="A7" s="73" t="s">
        <v>117</v>
      </c>
      <c r="B7" s="99" t="s">
        <v>507</v>
      </c>
      <c r="C7" s="100" t="s">
        <v>508</v>
      </c>
      <c r="D7" s="99" t="s">
        <v>507</v>
      </c>
      <c r="E7" s="99" t="s">
        <v>507</v>
      </c>
    </row>
    <row r="8" spans="1:5">
      <c r="A8" s="101" t="s">
        <v>33</v>
      </c>
      <c r="B8" s="99" t="s">
        <v>507</v>
      </c>
      <c r="C8" s="100" t="s">
        <v>508</v>
      </c>
      <c r="D8" s="99" t="s">
        <v>507</v>
      </c>
      <c r="E8" s="99" t="s">
        <v>507</v>
      </c>
    </row>
    <row r="9" spans="1:5">
      <c r="A9" s="101" t="s">
        <v>63</v>
      </c>
      <c r="B9" s="99" t="s">
        <v>507</v>
      </c>
      <c r="C9" s="100" t="s">
        <v>510</v>
      </c>
      <c r="D9" s="99" t="s">
        <v>507</v>
      </c>
      <c r="E9" s="99" t="s">
        <v>507</v>
      </c>
    </row>
    <row r="10" spans="1:5">
      <c r="A10" s="73" t="s">
        <v>39</v>
      </c>
      <c r="B10" s="99" t="s">
        <v>507</v>
      </c>
      <c r="C10" s="100" t="s">
        <v>508</v>
      </c>
      <c r="D10" s="99" t="s">
        <v>507</v>
      </c>
      <c r="E10" s="99" t="s">
        <v>507</v>
      </c>
    </row>
    <row r="11" spans="1:5">
      <c r="A11" s="73" t="s">
        <v>75</v>
      </c>
      <c r="B11" s="99" t="s">
        <v>507</v>
      </c>
      <c r="C11" s="100" t="s">
        <v>509</v>
      </c>
      <c r="D11" s="99" t="s">
        <v>507</v>
      </c>
      <c r="E11" s="99" t="s">
        <v>507</v>
      </c>
    </row>
    <row r="12" spans="1:5">
      <c r="A12" s="73" t="s">
        <v>57</v>
      </c>
      <c r="B12" s="99" t="s">
        <v>507</v>
      </c>
      <c r="C12" s="100" t="s">
        <v>508</v>
      </c>
      <c r="D12" s="99" t="s">
        <v>507</v>
      </c>
      <c r="E12" s="99" t="s">
        <v>507</v>
      </c>
    </row>
    <row r="13" spans="1:5">
      <c r="A13" s="73" t="s">
        <v>81</v>
      </c>
      <c r="B13" s="99" t="s">
        <v>507</v>
      </c>
      <c r="C13" s="100" t="s">
        <v>508</v>
      </c>
      <c r="D13" s="99" t="s">
        <v>507</v>
      </c>
      <c r="E13" s="99" t="s">
        <v>507</v>
      </c>
    </row>
    <row r="14" spans="1:5">
      <c r="A14" s="101" t="s">
        <v>51</v>
      </c>
      <c r="B14" s="99" t="s">
        <v>507</v>
      </c>
      <c r="C14" s="100" t="s">
        <v>508</v>
      </c>
      <c r="D14" s="99" t="s">
        <v>507</v>
      </c>
      <c r="E14" s="99" t="s">
        <v>507</v>
      </c>
    </row>
    <row r="15" spans="1:5">
      <c r="A15" s="73" t="s">
        <v>45</v>
      </c>
      <c r="B15" s="99" t="s">
        <v>507</v>
      </c>
      <c r="C15" s="100" t="s">
        <v>508</v>
      </c>
      <c r="D15" s="99" t="s">
        <v>507</v>
      </c>
      <c r="E15" s="99" t="s">
        <v>507</v>
      </c>
    </row>
    <row r="16" spans="1:5">
      <c r="A16" s="73" t="s">
        <v>105</v>
      </c>
      <c r="B16" s="99" t="s">
        <v>507</v>
      </c>
      <c r="C16" s="100" t="s">
        <v>508</v>
      </c>
      <c r="D16" s="99" t="s">
        <v>507</v>
      </c>
      <c r="E16" s="99" t="s">
        <v>507</v>
      </c>
    </row>
    <row r="17" spans="1:6">
      <c r="A17" s="73" t="s">
        <v>87</v>
      </c>
      <c r="B17" s="99" t="s">
        <v>507</v>
      </c>
      <c r="C17" s="100" t="s">
        <v>508</v>
      </c>
      <c r="D17" s="99" t="s">
        <v>507</v>
      </c>
      <c r="E17" s="99" t="s">
        <v>507</v>
      </c>
    </row>
    <row r="18" spans="1:6">
      <c r="A18" s="73" t="s">
        <v>99</v>
      </c>
      <c r="B18" s="99" t="s">
        <v>507</v>
      </c>
      <c r="C18" s="100" t="s">
        <v>508</v>
      </c>
      <c r="D18" s="99" t="s">
        <v>507</v>
      </c>
      <c r="E18" s="99" t="s">
        <v>507</v>
      </c>
    </row>
    <row r="19" spans="1:6">
      <c r="A19" s="73" t="s">
        <v>93</v>
      </c>
      <c r="B19" s="99" t="s">
        <v>507</v>
      </c>
      <c r="C19" s="100" t="s">
        <v>508</v>
      </c>
      <c r="D19" s="99" t="s">
        <v>507</v>
      </c>
      <c r="E19" s="99" t="s">
        <v>507</v>
      </c>
    </row>
    <row r="20" spans="1:6">
      <c r="A20" s="98" t="s">
        <v>506</v>
      </c>
    </row>
    <row r="21" spans="1:6" ht="27" customHeight="1">
      <c r="A21" s="176" t="s">
        <v>505</v>
      </c>
      <c r="B21" s="176"/>
      <c r="C21" s="176"/>
      <c r="D21" s="176"/>
      <c r="E21" s="176"/>
      <c r="F21" s="176"/>
    </row>
    <row r="22" spans="1:6" ht="15" customHeight="1">
      <c r="A22" s="12" t="s">
        <v>504</v>
      </c>
    </row>
    <row r="23" spans="1:6">
      <c r="A23" s="177" t="s">
        <v>503</v>
      </c>
      <c r="B23" s="177"/>
      <c r="C23" s="177"/>
      <c r="D23" s="177"/>
      <c r="E23" s="177"/>
      <c r="F23" s="177"/>
    </row>
    <row r="24" spans="1:6" ht="10" customHeight="1">
      <c r="A24" s="177"/>
      <c r="B24" s="177"/>
      <c r="C24" s="177"/>
      <c r="D24" s="177"/>
      <c r="E24" s="177"/>
      <c r="F24" s="177"/>
    </row>
    <row r="25" spans="1:6">
      <c r="A25" s="1" t="s">
        <v>502</v>
      </c>
    </row>
    <row r="26" spans="1:6">
      <c r="A26" s="1" t="s">
        <v>501</v>
      </c>
    </row>
    <row r="27" spans="1:6">
      <c r="A27" s="1" t="s">
        <v>500</v>
      </c>
    </row>
    <row r="28" spans="1:6">
      <c r="A28" s="1" t="s">
        <v>499</v>
      </c>
    </row>
    <row r="29" spans="1:6">
      <c r="A29" s="12" t="s">
        <v>498</v>
      </c>
    </row>
    <row r="30" spans="1:6">
      <c r="A30" s="1" t="s">
        <v>497</v>
      </c>
    </row>
    <row r="31" spans="1:6">
      <c r="A31" s="1" t="s">
        <v>496</v>
      </c>
    </row>
    <row r="32" spans="1:6">
      <c r="A32" s="1" t="s">
        <v>495</v>
      </c>
    </row>
    <row r="33" spans="1:6">
      <c r="A33" s="1" t="s">
        <v>494</v>
      </c>
    </row>
    <row r="34" spans="1:6">
      <c r="A34" s="1" t="s">
        <v>493</v>
      </c>
      <c r="B34" s="1" t="s">
        <v>492</v>
      </c>
    </row>
    <row r="35" spans="1:6">
      <c r="A35" s="94" t="s">
        <v>491</v>
      </c>
      <c r="B35" s="97"/>
      <c r="C35" s="97"/>
      <c r="D35" s="97"/>
      <c r="E35" s="97"/>
      <c r="F35" s="97"/>
    </row>
    <row r="36" spans="1:6" ht="13" customHeight="1">
      <c r="A36" s="12" t="s">
        <v>490</v>
      </c>
    </row>
    <row r="37" spans="1:6" ht="13" customHeight="1">
      <c r="A37" s="12" t="s">
        <v>489</v>
      </c>
    </row>
    <row r="38" spans="1:6" ht="13" customHeight="1">
      <c r="A38" s="12" t="s">
        <v>488</v>
      </c>
    </row>
    <row r="39" spans="1:6" ht="13" customHeight="1">
      <c r="A39" s="12" t="s">
        <v>487</v>
      </c>
    </row>
    <row r="40" spans="1:6">
      <c r="A40" s="96" t="s">
        <v>486</v>
      </c>
      <c r="B40" s="96"/>
      <c r="C40" s="96"/>
      <c r="D40" s="96"/>
      <c r="E40" s="96"/>
      <c r="F40" s="96"/>
    </row>
    <row r="41" spans="1:6">
      <c r="A41" s="174" t="s">
        <v>485</v>
      </c>
      <c r="B41" s="174"/>
      <c r="C41" s="174"/>
      <c r="D41" s="174"/>
      <c r="E41" s="174"/>
      <c r="F41" s="174"/>
    </row>
    <row r="42" spans="1:6" ht="14" customHeight="1">
      <c r="A42" s="174"/>
      <c r="B42" s="174"/>
      <c r="C42" s="174"/>
      <c r="D42" s="174"/>
      <c r="E42" s="174"/>
      <c r="F42" s="174"/>
    </row>
    <row r="43" spans="1:6" ht="20" customHeight="1">
      <c r="A43" s="174"/>
      <c r="B43" s="174"/>
      <c r="C43" s="174"/>
      <c r="D43" s="174"/>
      <c r="E43" s="174"/>
      <c r="F43" s="174"/>
    </row>
    <row r="44" spans="1:6">
      <c r="A44" s="174" t="s">
        <v>484</v>
      </c>
      <c r="B44" s="174"/>
      <c r="C44" s="174"/>
      <c r="D44" s="174"/>
      <c r="E44" s="174"/>
      <c r="F44" s="174"/>
    </row>
    <row r="45" spans="1:6" ht="10" customHeight="1">
      <c r="A45" s="175"/>
      <c r="B45" s="175"/>
      <c r="C45" s="175"/>
      <c r="D45" s="175"/>
      <c r="E45" s="175"/>
      <c r="F45" s="175"/>
    </row>
  </sheetData>
  <mergeCells count="4">
    <mergeCell ref="A44:F45"/>
    <mergeCell ref="A21:F21"/>
    <mergeCell ref="A23:F24"/>
    <mergeCell ref="A41:F43"/>
  </mergeCells>
  <pageMargins left="0.7" right="0.61111111111111116"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8A65-B552-224E-B76B-F8D6617FFC95}">
  <dimension ref="A1:S27"/>
  <sheetViews>
    <sheetView zoomScaleNormal="100" zoomScalePageLayoutView="116" workbookViewId="0">
      <selection activeCell="H15" sqref="H15"/>
    </sheetView>
  </sheetViews>
  <sheetFormatPr baseColWidth="10" defaultRowHeight="16"/>
  <cols>
    <col min="1" max="1" width="8.5" customWidth="1"/>
    <col min="2" max="2" width="9.83203125" customWidth="1"/>
    <col min="3" max="3" width="12" customWidth="1"/>
    <col min="4" max="4" width="28.6640625" customWidth="1"/>
    <col min="5" max="5" width="25" customWidth="1"/>
  </cols>
  <sheetData>
    <row r="1" spans="1:19">
      <c r="A1" s="13" t="s">
        <v>597</v>
      </c>
    </row>
    <row r="2" spans="1:19">
      <c r="A2" s="110" t="s">
        <v>596</v>
      </c>
      <c r="B2" s="111"/>
      <c r="C2" s="111"/>
      <c r="D2" s="111"/>
      <c r="E2" s="111"/>
      <c r="F2" s="111"/>
      <c r="G2" s="111"/>
      <c r="H2" s="111"/>
      <c r="I2" s="111"/>
      <c r="J2" s="111"/>
      <c r="K2" s="111"/>
      <c r="L2" s="111"/>
      <c r="M2" s="112"/>
      <c r="N2" s="111"/>
      <c r="O2" s="111"/>
      <c r="P2" s="111"/>
      <c r="Q2" s="83"/>
      <c r="R2" s="83"/>
      <c r="S2" s="83"/>
    </row>
    <row r="3" spans="1:19">
      <c r="A3" s="178" t="s">
        <v>522</v>
      </c>
      <c r="B3" s="178"/>
      <c r="C3" s="178"/>
      <c r="D3" s="178"/>
      <c r="E3" s="178"/>
      <c r="F3" s="2"/>
      <c r="G3" s="2"/>
      <c r="H3" s="2"/>
      <c r="I3" s="2"/>
      <c r="J3" s="2"/>
      <c r="K3" s="2"/>
      <c r="L3" s="2"/>
      <c r="M3" s="3"/>
      <c r="N3" s="2"/>
      <c r="O3" s="2"/>
      <c r="P3" s="2"/>
      <c r="Q3" s="1"/>
      <c r="R3" s="1"/>
      <c r="S3" s="1"/>
    </row>
    <row r="4" spans="1:19">
      <c r="A4" s="113" t="s">
        <v>523</v>
      </c>
      <c r="B4" s="114" t="s">
        <v>524</v>
      </c>
      <c r="C4" s="114" t="s">
        <v>525</v>
      </c>
      <c r="D4" s="114" t="s">
        <v>526</v>
      </c>
      <c r="E4" s="114" t="s">
        <v>527</v>
      </c>
      <c r="F4" s="2"/>
      <c r="G4" s="2"/>
      <c r="H4" s="2"/>
      <c r="I4" s="2"/>
      <c r="J4" s="2"/>
      <c r="K4" s="2"/>
      <c r="L4" s="2"/>
      <c r="M4" s="3"/>
      <c r="N4" s="2"/>
      <c r="O4" s="2"/>
      <c r="P4" s="2"/>
      <c r="Q4" s="1"/>
      <c r="R4" s="1"/>
      <c r="S4" s="1"/>
    </row>
    <row r="5" spans="1:19" ht="25" customHeight="1">
      <c r="A5" s="113">
        <v>1</v>
      </c>
      <c r="B5" s="115" t="s">
        <v>528</v>
      </c>
      <c r="C5" s="114" t="s">
        <v>529</v>
      </c>
      <c r="D5" s="116" t="s">
        <v>530</v>
      </c>
      <c r="E5" s="115" t="s">
        <v>531</v>
      </c>
      <c r="F5" s="2"/>
      <c r="G5" s="2"/>
      <c r="H5" s="2"/>
      <c r="I5" s="2"/>
      <c r="J5" s="2"/>
      <c r="K5" s="2"/>
      <c r="L5" s="2"/>
      <c r="M5" s="3"/>
      <c r="N5" s="2"/>
      <c r="O5" s="2"/>
      <c r="P5" s="2"/>
      <c r="Q5" s="1"/>
      <c r="R5" s="1"/>
      <c r="S5" s="1"/>
    </row>
    <row r="6" spans="1:19" ht="26">
      <c r="A6" s="117" t="s">
        <v>532</v>
      </c>
      <c r="B6" s="115" t="s">
        <v>533</v>
      </c>
      <c r="C6" s="114" t="s">
        <v>534</v>
      </c>
      <c r="D6" s="118" t="s">
        <v>535</v>
      </c>
      <c r="E6" s="114" t="s">
        <v>536</v>
      </c>
      <c r="F6" s="2"/>
      <c r="G6" s="2"/>
      <c r="H6" s="2"/>
      <c r="I6" s="2"/>
      <c r="J6" s="2"/>
      <c r="K6" s="2"/>
      <c r="L6" s="2"/>
      <c r="M6" s="3"/>
      <c r="N6" s="2"/>
      <c r="O6" s="2"/>
      <c r="P6" s="2"/>
      <c r="Q6" s="1"/>
      <c r="R6" s="1"/>
      <c r="S6" s="1"/>
    </row>
    <row r="7" spans="1:19">
      <c r="A7" s="119" t="s">
        <v>537</v>
      </c>
      <c r="B7" s="89">
        <v>0</v>
      </c>
      <c r="C7" s="89" t="s">
        <v>538</v>
      </c>
      <c r="D7" s="120" t="s">
        <v>539</v>
      </c>
      <c r="E7" s="89"/>
      <c r="F7" s="2"/>
      <c r="G7" s="2"/>
      <c r="H7" s="2"/>
      <c r="I7" s="2"/>
      <c r="J7" s="2"/>
      <c r="K7" s="2"/>
      <c r="L7" s="2"/>
      <c r="M7" s="3"/>
      <c r="N7" s="2"/>
      <c r="O7" s="2"/>
      <c r="P7" s="2"/>
      <c r="Q7" s="1"/>
      <c r="R7" s="1"/>
      <c r="S7" s="1"/>
    </row>
    <row r="8" spans="1:19">
      <c r="A8" s="179" t="s">
        <v>540</v>
      </c>
      <c r="B8" s="179"/>
      <c r="C8" s="179"/>
      <c r="D8" s="179"/>
      <c r="E8" s="179"/>
      <c r="F8" s="2"/>
      <c r="G8" s="2"/>
      <c r="H8" s="2"/>
      <c r="I8" s="2"/>
      <c r="J8" s="2"/>
      <c r="K8" s="2"/>
      <c r="L8" s="2"/>
      <c r="M8" s="3"/>
      <c r="N8" s="2"/>
      <c r="O8" s="2"/>
      <c r="P8" s="2"/>
      <c r="Q8" s="1"/>
      <c r="R8" s="1"/>
      <c r="S8" s="1"/>
    </row>
    <row r="9" spans="1:19" ht="39">
      <c r="A9" s="113">
        <v>1</v>
      </c>
      <c r="B9" s="114" t="s">
        <v>541</v>
      </c>
      <c r="C9" s="114" t="s">
        <v>542</v>
      </c>
      <c r="D9" s="121" t="s">
        <v>543</v>
      </c>
      <c r="E9" s="115" t="s">
        <v>544</v>
      </c>
    </row>
    <row r="10" spans="1:19" ht="39">
      <c r="A10" s="119" t="s">
        <v>545</v>
      </c>
      <c r="B10" s="89" t="s">
        <v>546</v>
      </c>
      <c r="C10" s="89" t="s">
        <v>542</v>
      </c>
      <c r="D10" s="122" t="s">
        <v>547</v>
      </c>
      <c r="E10" s="123" t="s">
        <v>548</v>
      </c>
    </row>
    <row r="11" spans="1:19" ht="26">
      <c r="A11" s="124" t="s">
        <v>549</v>
      </c>
      <c r="B11" s="89" t="s">
        <v>550</v>
      </c>
      <c r="C11" s="89" t="s">
        <v>551</v>
      </c>
      <c r="D11" s="122" t="s">
        <v>552</v>
      </c>
      <c r="E11" s="123" t="s">
        <v>536</v>
      </c>
    </row>
    <row r="12" spans="1:19" ht="78">
      <c r="A12" s="119">
        <v>2</v>
      </c>
      <c r="B12" s="89" t="s">
        <v>553</v>
      </c>
      <c r="C12" s="89" t="s">
        <v>554</v>
      </c>
      <c r="D12" s="122" t="s">
        <v>555</v>
      </c>
      <c r="E12" s="123" t="s">
        <v>556</v>
      </c>
    </row>
    <row r="13" spans="1:19" ht="26">
      <c r="A13" s="124" t="s">
        <v>549</v>
      </c>
      <c r="B13" s="89" t="s">
        <v>557</v>
      </c>
      <c r="C13" s="89" t="s">
        <v>558</v>
      </c>
      <c r="D13" s="122" t="s">
        <v>559</v>
      </c>
      <c r="E13" s="123" t="s">
        <v>560</v>
      </c>
    </row>
    <row r="14" spans="1:19" ht="26">
      <c r="A14" s="119" t="s">
        <v>561</v>
      </c>
      <c r="B14" s="89" t="s">
        <v>562</v>
      </c>
      <c r="C14" s="89" t="s">
        <v>563</v>
      </c>
      <c r="D14" s="122" t="s">
        <v>564</v>
      </c>
      <c r="E14" s="123" t="s">
        <v>565</v>
      </c>
    </row>
    <row r="15" spans="1:19" ht="52">
      <c r="A15" s="119" t="s">
        <v>566</v>
      </c>
      <c r="B15" s="89" t="s">
        <v>567</v>
      </c>
      <c r="C15" s="89" t="s">
        <v>563</v>
      </c>
      <c r="D15" s="122" t="s">
        <v>568</v>
      </c>
      <c r="E15" s="123" t="s">
        <v>565</v>
      </c>
    </row>
    <row r="16" spans="1:19" ht="39">
      <c r="A16" s="124" t="s">
        <v>569</v>
      </c>
      <c r="B16" s="89" t="s">
        <v>570</v>
      </c>
      <c r="C16" s="89" t="s">
        <v>558</v>
      </c>
      <c r="D16" s="122" t="s">
        <v>571</v>
      </c>
      <c r="E16" s="123" t="s">
        <v>572</v>
      </c>
    </row>
    <row r="17" spans="1:5" ht="39">
      <c r="A17" s="119" t="s">
        <v>573</v>
      </c>
      <c r="B17" s="89" t="s">
        <v>574</v>
      </c>
      <c r="C17" s="89" t="s">
        <v>554</v>
      </c>
      <c r="D17" s="122" t="s">
        <v>575</v>
      </c>
      <c r="E17" s="123" t="s">
        <v>576</v>
      </c>
    </row>
    <row r="18" spans="1:5" ht="52">
      <c r="A18" s="119" t="s">
        <v>577</v>
      </c>
      <c r="B18" s="89" t="s">
        <v>578</v>
      </c>
      <c r="C18" s="89" t="s">
        <v>563</v>
      </c>
      <c r="D18" s="122" t="s">
        <v>579</v>
      </c>
      <c r="E18" s="123" t="s">
        <v>580</v>
      </c>
    </row>
    <row r="19" spans="1:5" ht="39">
      <c r="A19" s="124" t="s">
        <v>581</v>
      </c>
      <c r="B19" s="89" t="s">
        <v>582</v>
      </c>
      <c r="C19" s="89" t="s">
        <v>554</v>
      </c>
      <c r="D19" s="122" t="s">
        <v>583</v>
      </c>
      <c r="E19" s="123" t="s">
        <v>584</v>
      </c>
    </row>
    <row r="20" spans="1:5" ht="39">
      <c r="A20" s="124" t="s">
        <v>585</v>
      </c>
      <c r="B20" s="89" t="s">
        <v>586</v>
      </c>
      <c r="C20" s="89" t="s">
        <v>558</v>
      </c>
      <c r="D20" s="122" t="s">
        <v>587</v>
      </c>
      <c r="E20" s="123" t="s">
        <v>588</v>
      </c>
    </row>
    <row r="21" spans="1:5" s="32" customFormat="1">
      <c r="A21" s="113" t="s">
        <v>537</v>
      </c>
      <c r="B21" s="114">
        <v>0</v>
      </c>
      <c r="C21" s="114" t="s">
        <v>538</v>
      </c>
      <c r="D21" s="125" t="s">
        <v>589</v>
      </c>
      <c r="E21" s="125"/>
    </row>
    <row r="22" spans="1:5">
      <c r="A22" s="126" t="s">
        <v>590</v>
      </c>
      <c r="B22" s="1"/>
      <c r="C22" s="1"/>
      <c r="D22" s="1"/>
      <c r="E22" s="1"/>
    </row>
    <row r="23" spans="1:5">
      <c r="A23" s="1" t="s">
        <v>591</v>
      </c>
      <c r="B23" s="1"/>
      <c r="C23" s="1"/>
      <c r="D23" s="1"/>
      <c r="E23" s="1"/>
    </row>
    <row r="24" spans="1:5">
      <c r="A24" s="1" t="s">
        <v>592</v>
      </c>
      <c r="B24" s="1"/>
      <c r="C24" s="1"/>
      <c r="D24" s="1"/>
      <c r="E24" s="1"/>
    </row>
    <row r="25" spans="1:5">
      <c r="A25" s="1" t="s">
        <v>593</v>
      </c>
      <c r="B25" s="1"/>
      <c r="C25" s="1"/>
      <c r="D25" s="1"/>
      <c r="E25" s="1"/>
    </row>
    <row r="26" spans="1:5">
      <c r="A26" s="1" t="s">
        <v>594</v>
      </c>
      <c r="B26" s="1"/>
      <c r="C26" s="1"/>
      <c r="D26" s="1"/>
      <c r="E26" s="1"/>
    </row>
    <row r="27" spans="1:5">
      <c r="A27" s="1"/>
    </row>
  </sheetData>
  <mergeCells count="2">
    <mergeCell ref="A3:E3"/>
    <mergeCell ref="A8:E8"/>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Table_S1_AHeData</vt:lpstr>
      <vt:lpstr>Table_S2_AFT_summary</vt:lpstr>
      <vt:lpstr>Table_S3_AFT_indiv_dates</vt:lpstr>
      <vt:lpstr>Table_S4_AFT_track_lengths</vt:lpstr>
      <vt:lpstr>Table_S5a_tTmodel_input_table</vt:lpstr>
      <vt:lpstr>Table_S5b_tTmodel_input_table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Becky Flowers</cp:lastModifiedBy>
  <cp:lastPrinted>2019-11-01T22:19:40Z</cp:lastPrinted>
  <dcterms:created xsi:type="dcterms:W3CDTF">2019-01-14T08:35:31Z</dcterms:created>
  <dcterms:modified xsi:type="dcterms:W3CDTF">2023-10-13T23:17:49Z</dcterms:modified>
</cp:coreProperties>
</file>