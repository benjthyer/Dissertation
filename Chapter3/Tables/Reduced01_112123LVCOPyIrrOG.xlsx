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_Repositories\Dissertation\Chapter3\Tables\"/>
    </mc:Choice>
  </mc:AlternateContent>
  <xr:revisionPtr revIDLastSave="0" documentId="13_ncr:1_{736040B0-1959-4E3D-92E2-C0C9FAEE9BCD}" xr6:coauthVersionLast="47" xr6:coauthVersionMax="47" xr10:uidLastSave="{00000000-0000-0000-0000-000000000000}"/>
  <bookViews>
    <workbookView xWindow="43095" yWindow="-2925" windowWidth="14610" windowHeight="15585" xr2:uid="{55BF04DF-7C8A-4642-8D0C-4D51CC64815A}"/>
  </bookViews>
  <sheets>
    <sheet name="Reduced112123LVCOPyIrrOG" sheetId="1" r:id="rId1"/>
    <sheet name="Diffusivitie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1" l="1"/>
  <c r="Z4" i="1" s="1"/>
  <c r="W4" i="1"/>
  <c r="AA4" i="1" s="1"/>
  <c r="X4" i="1"/>
  <c r="AB4" i="1"/>
  <c r="V5" i="1"/>
  <c r="Z5" i="1" s="1"/>
  <c r="W5" i="1"/>
  <c r="AA5" i="1" s="1"/>
  <c r="X5" i="1"/>
  <c r="AB5" i="1" s="1"/>
  <c r="V6" i="1"/>
  <c r="W6" i="1"/>
  <c r="AA6" i="1" s="1"/>
  <c r="X6" i="1"/>
  <c r="AB6" i="1" s="1"/>
  <c r="Z6" i="1"/>
  <c r="V7" i="1"/>
  <c r="W7" i="1"/>
  <c r="X7" i="1"/>
  <c r="Z7" i="1"/>
  <c r="AA7" i="1"/>
  <c r="AB7" i="1"/>
  <c r="V8" i="1"/>
  <c r="Z8" i="1" s="1"/>
  <c r="W8" i="1"/>
  <c r="X8" i="1"/>
  <c r="AA8" i="1"/>
  <c r="AB8" i="1"/>
  <c r="V9" i="1"/>
  <c r="Z9" i="1" s="1"/>
  <c r="W9" i="1"/>
  <c r="AA9" i="1" s="1"/>
  <c r="X9" i="1"/>
  <c r="AB9" i="1" s="1"/>
  <c r="V10" i="1"/>
  <c r="W10" i="1"/>
  <c r="AA10" i="1" s="1"/>
  <c r="X10" i="1"/>
  <c r="AB10" i="1" s="1"/>
  <c r="Z10" i="1"/>
  <c r="V11" i="1"/>
  <c r="W11" i="1"/>
  <c r="X11" i="1"/>
  <c r="Z11" i="1"/>
  <c r="AA11" i="1"/>
  <c r="AB11" i="1"/>
  <c r="V12" i="1"/>
  <c r="Z12" i="1" s="1"/>
  <c r="W12" i="1"/>
  <c r="X12" i="1"/>
  <c r="AA12" i="1"/>
  <c r="AB12" i="1"/>
  <c r="V13" i="1"/>
  <c r="Z13" i="1" s="1"/>
  <c r="W13" i="1"/>
  <c r="AA13" i="1" s="1"/>
  <c r="X13" i="1"/>
  <c r="AB13" i="1" s="1"/>
  <c r="V14" i="1"/>
  <c r="W14" i="1"/>
  <c r="AA14" i="1" s="1"/>
  <c r="X14" i="1"/>
  <c r="AB14" i="1" s="1"/>
  <c r="Z14" i="1"/>
  <c r="V15" i="1"/>
  <c r="W15" i="1"/>
  <c r="X15" i="1"/>
  <c r="Z15" i="1"/>
  <c r="AA15" i="1"/>
  <c r="AB15" i="1"/>
  <c r="V16" i="1"/>
  <c r="Z16" i="1" s="1"/>
  <c r="W16" i="1"/>
  <c r="X16" i="1"/>
  <c r="AA16" i="1"/>
  <c r="AB16" i="1"/>
  <c r="V17" i="1"/>
  <c r="Z17" i="1" s="1"/>
  <c r="W17" i="1"/>
  <c r="AA17" i="1" s="1"/>
  <c r="X17" i="1"/>
  <c r="AB17" i="1" s="1"/>
  <c r="V18" i="1"/>
  <c r="W18" i="1"/>
  <c r="AA18" i="1" s="1"/>
  <c r="X18" i="1"/>
  <c r="AB18" i="1" s="1"/>
  <c r="Z18" i="1"/>
  <c r="V19" i="1"/>
  <c r="W19" i="1"/>
  <c r="X19" i="1"/>
  <c r="Z19" i="1"/>
  <c r="AA19" i="1"/>
  <c r="AB19" i="1"/>
  <c r="V20" i="1"/>
  <c r="Z20" i="1" s="1"/>
  <c r="W20" i="1"/>
  <c r="X20" i="1"/>
  <c r="AA20" i="1"/>
  <c r="AB20" i="1"/>
  <c r="V21" i="1"/>
  <c r="Z21" i="1" s="1"/>
  <c r="W21" i="1"/>
  <c r="AA21" i="1" s="1"/>
  <c r="X21" i="1"/>
  <c r="AB21" i="1" s="1"/>
  <c r="V22" i="1"/>
  <c r="W22" i="1"/>
  <c r="AA22" i="1" s="1"/>
  <c r="X22" i="1"/>
  <c r="AB22" i="1" s="1"/>
  <c r="Z22" i="1"/>
  <c r="V23" i="1"/>
  <c r="W23" i="1"/>
  <c r="X23" i="1"/>
  <c r="Z23" i="1"/>
  <c r="AA23" i="1"/>
  <c r="AB23" i="1"/>
  <c r="V24" i="1"/>
  <c r="Z24" i="1" s="1"/>
  <c r="W24" i="1"/>
  <c r="X24" i="1"/>
  <c r="AA24" i="1"/>
  <c r="AB24" i="1"/>
  <c r="V25" i="1"/>
  <c r="Z25" i="1" s="1"/>
  <c r="W25" i="1"/>
  <c r="AA25" i="1" s="1"/>
  <c r="X25" i="1"/>
  <c r="AB25" i="1" s="1"/>
  <c r="V26" i="1"/>
  <c r="W26" i="1"/>
  <c r="AA26" i="1" s="1"/>
  <c r="X26" i="1"/>
  <c r="AB26" i="1" s="1"/>
  <c r="Z26" i="1"/>
  <c r="V27" i="1"/>
  <c r="W27" i="1"/>
  <c r="X27" i="1"/>
  <c r="Z27" i="1"/>
  <c r="AA27" i="1"/>
  <c r="AB27" i="1"/>
  <c r="V28" i="1"/>
  <c r="Z28" i="1" s="1"/>
  <c r="W28" i="1"/>
  <c r="X28" i="1"/>
  <c r="AA28" i="1"/>
  <c r="AB28" i="1"/>
  <c r="V29" i="1"/>
  <c r="Z29" i="1" s="1"/>
  <c r="W29" i="1"/>
  <c r="AA29" i="1" s="1"/>
  <c r="X29" i="1"/>
  <c r="AB29" i="1" s="1"/>
  <c r="V30" i="1"/>
  <c r="W30" i="1"/>
  <c r="AA30" i="1" s="1"/>
  <c r="X30" i="1"/>
  <c r="AB30" i="1" s="1"/>
  <c r="Z30" i="1"/>
  <c r="V31" i="1"/>
  <c r="W31" i="1"/>
  <c r="X31" i="1"/>
  <c r="Z31" i="1"/>
  <c r="AA31" i="1"/>
  <c r="AB31" i="1"/>
  <c r="V32" i="1"/>
  <c r="Z32" i="1" s="1"/>
  <c r="W32" i="1"/>
  <c r="X32" i="1"/>
  <c r="AA32" i="1"/>
  <c r="AB32" i="1"/>
  <c r="V33" i="1"/>
  <c r="Z33" i="1" s="1"/>
  <c r="W33" i="1"/>
  <c r="AA33" i="1" s="1"/>
  <c r="X33" i="1"/>
  <c r="AB33" i="1" s="1"/>
  <c r="V34" i="1"/>
  <c r="W34" i="1"/>
  <c r="AA34" i="1" s="1"/>
  <c r="X34" i="1"/>
  <c r="AB34" i="1" s="1"/>
  <c r="Z34" i="1"/>
  <c r="V35" i="1"/>
  <c r="W35" i="1"/>
  <c r="X35" i="1"/>
  <c r="Z35" i="1"/>
  <c r="AA35" i="1"/>
  <c r="AB35" i="1"/>
  <c r="V36" i="1"/>
  <c r="Z36" i="1" s="1"/>
  <c r="W36" i="1"/>
  <c r="X36" i="1"/>
  <c r="AA36" i="1"/>
  <c r="AB36" i="1"/>
  <c r="V37" i="1"/>
  <c r="Z37" i="1" s="1"/>
  <c r="W37" i="1"/>
  <c r="AA37" i="1" s="1"/>
  <c r="X37" i="1"/>
  <c r="AB37" i="1" s="1"/>
  <c r="V38" i="1"/>
  <c r="W38" i="1"/>
  <c r="AA38" i="1" s="1"/>
  <c r="X38" i="1"/>
  <c r="AB38" i="1" s="1"/>
  <c r="Z38" i="1"/>
  <c r="V39" i="1"/>
  <c r="W39" i="1"/>
  <c r="X39" i="1"/>
  <c r="Z39" i="1"/>
  <c r="AA39" i="1"/>
  <c r="AB39" i="1"/>
  <c r="V40" i="1"/>
  <c r="Z40" i="1" s="1"/>
  <c r="W40" i="1"/>
  <c r="X40" i="1"/>
  <c r="AA40" i="1"/>
  <c r="AB40" i="1"/>
  <c r="V41" i="1"/>
  <c r="Z41" i="1" s="1"/>
  <c r="W41" i="1"/>
  <c r="AA41" i="1" s="1"/>
  <c r="X41" i="1"/>
  <c r="AB41" i="1" s="1"/>
  <c r="V42" i="1"/>
  <c r="W42" i="1"/>
  <c r="AA42" i="1" s="1"/>
  <c r="X42" i="1"/>
  <c r="AB42" i="1" s="1"/>
  <c r="Z42" i="1"/>
  <c r="V43" i="1"/>
  <c r="W43" i="1"/>
  <c r="X43" i="1"/>
  <c r="Z43" i="1"/>
  <c r="AA43" i="1"/>
  <c r="AB43" i="1"/>
  <c r="V44" i="1"/>
  <c r="Z44" i="1" s="1"/>
  <c r="W44" i="1"/>
  <c r="X44" i="1"/>
  <c r="AA44" i="1"/>
  <c r="AB44" i="1"/>
  <c r="V45" i="1"/>
  <c r="Z45" i="1" s="1"/>
  <c r="W45" i="1"/>
  <c r="AA45" i="1" s="1"/>
  <c r="X45" i="1"/>
  <c r="AB45" i="1" s="1"/>
  <c r="V46" i="1"/>
  <c r="W46" i="1"/>
  <c r="AA46" i="1" s="1"/>
  <c r="X46" i="1"/>
  <c r="AB46" i="1" s="1"/>
  <c r="Z46" i="1"/>
  <c r="V47" i="1"/>
  <c r="W47" i="1"/>
  <c r="X47" i="1"/>
  <c r="Z47" i="1"/>
  <c r="AA47" i="1"/>
  <c r="AB47" i="1"/>
  <c r="V48" i="1"/>
  <c r="Z48" i="1" s="1"/>
  <c r="W48" i="1"/>
  <c r="X48" i="1"/>
  <c r="AA48" i="1"/>
  <c r="AB48" i="1"/>
  <c r="V49" i="1"/>
  <c r="Z49" i="1" s="1"/>
  <c r="W49" i="1"/>
  <c r="AA49" i="1" s="1"/>
  <c r="X49" i="1"/>
  <c r="AB49" i="1" s="1"/>
  <c r="V50" i="1"/>
  <c r="W50" i="1"/>
  <c r="AA50" i="1" s="1"/>
  <c r="X50" i="1"/>
  <c r="AB50" i="1" s="1"/>
  <c r="Z50" i="1"/>
  <c r="V51" i="1"/>
  <c r="W51" i="1"/>
  <c r="X51" i="1"/>
  <c r="Z51" i="1"/>
  <c r="AA51" i="1"/>
  <c r="AB51" i="1"/>
  <c r="V52" i="1"/>
  <c r="Z52" i="1" s="1"/>
  <c r="W52" i="1"/>
  <c r="X52" i="1"/>
  <c r="AA52" i="1"/>
  <c r="AB52" i="1"/>
  <c r="V53" i="1"/>
  <c r="Z53" i="1" s="1"/>
  <c r="W53" i="1"/>
  <c r="AA53" i="1" s="1"/>
  <c r="X53" i="1"/>
  <c r="AB53" i="1" s="1"/>
  <c r="V54" i="1"/>
  <c r="W54" i="1"/>
  <c r="AA54" i="1" s="1"/>
  <c r="X54" i="1"/>
  <c r="AB54" i="1" s="1"/>
  <c r="Z54" i="1"/>
  <c r="V55" i="1"/>
  <c r="W55" i="1"/>
  <c r="X55" i="1"/>
  <c r="Z55" i="1"/>
  <c r="AA55" i="1"/>
  <c r="AB55" i="1"/>
  <c r="V56" i="1"/>
  <c r="Z56" i="1" s="1"/>
  <c r="W56" i="1"/>
  <c r="X56" i="1"/>
  <c r="AA56" i="1"/>
  <c r="AB56" i="1"/>
  <c r="V57" i="1"/>
  <c r="Z57" i="1" s="1"/>
  <c r="W57" i="1"/>
  <c r="AA57" i="1" s="1"/>
  <c r="X57" i="1"/>
  <c r="AB57" i="1" s="1"/>
  <c r="V58" i="1"/>
  <c r="W58" i="1"/>
  <c r="AA58" i="1" s="1"/>
  <c r="X58" i="1"/>
  <c r="AB58" i="1" s="1"/>
  <c r="Z58" i="1"/>
  <c r="V59" i="1"/>
  <c r="W59" i="1"/>
  <c r="X59" i="1"/>
  <c r="Z59" i="1"/>
  <c r="AA59" i="1"/>
  <c r="AB59" i="1"/>
  <c r="V60" i="1"/>
  <c r="Z60" i="1" s="1"/>
  <c r="W60" i="1"/>
  <c r="X60" i="1"/>
  <c r="AA60" i="1"/>
  <c r="AB60" i="1"/>
  <c r="V61" i="1"/>
  <c r="Z61" i="1" s="1"/>
  <c r="W61" i="1"/>
  <c r="AA61" i="1" s="1"/>
  <c r="X61" i="1"/>
  <c r="AB61" i="1" s="1"/>
  <c r="V62" i="1"/>
  <c r="W62" i="1"/>
  <c r="AA62" i="1" s="1"/>
  <c r="X62" i="1"/>
  <c r="AB62" i="1" s="1"/>
  <c r="Z62" i="1"/>
  <c r="V63" i="1"/>
  <c r="W63" i="1"/>
  <c r="X63" i="1"/>
  <c r="Z63" i="1"/>
  <c r="AA63" i="1"/>
  <c r="AB63" i="1"/>
  <c r="V64" i="1"/>
  <c r="Z64" i="1" s="1"/>
  <c r="W64" i="1"/>
  <c r="X64" i="1"/>
  <c r="AA64" i="1"/>
  <c r="AB64" i="1"/>
  <c r="V65" i="1"/>
  <c r="Z65" i="1" s="1"/>
  <c r="W65" i="1"/>
  <c r="AA65" i="1" s="1"/>
  <c r="X65" i="1"/>
  <c r="AB65" i="1" s="1"/>
  <c r="V66" i="1"/>
  <c r="W66" i="1"/>
  <c r="AA66" i="1" s="1"/>
  <c r="X66" i="1"/>
  <c r="AB66" i="1" s="1"/>
  <c r="Z66" i="1"/>
  <c r="V67" i="1"/>
  <c r="W67" i="1"/>
  <c r="X67" i="1"/>
  <c r="Z67" i="1"/>
  <c r="AA67" i="1"/>
  <c r="AB67" i="1"/>
  <c r="V68" i="1"/>
  <c r="Z68" i="1" s="1"/>
  <c r="W68" i="1"/>
  <c r="X68" i="1"/>
  <c r="AA68" i="1"/>
  <c r="AB68" i="1"/>
  <c r="V69" i="1"/>
  <c r="Z69" i="1" s="1"/>
  <c r="W69" i="1"/>
  <c r="AA69" i="1" s="1"/>
  <c r="X69" i="1"/>
  <c r="AB69" i="1" s="1"/>
  <c r="V70" i="1"/>
  <c r="W70" i="1"/>
  <c r="AA70" i="1" s="1"/>
  <c r="X70" i="1"/>
  <c r="AB70" i="1" s="1"/>
  <c r="Z70" i="1"/>
  <c r="V71" i="1"/>
  <c r="W71" i="1"/>
  <c r="X71" i="1"/>
  <c r="Z71" i="1"/>
  <c r="AA71" i="1"/>
  <c r="AB71" i="1"/>
  <c r="V72" i="1"/>
  <c r="Z72" i="1" s="1"/>
  <c r="W72" i="1"/>
  <c r="X72" i="1"/>
  <c r="AA72" i="1"/>
  <c r="AB72" i="1"/>
  <c r="V73" i="1"/>
  <c r="Z73" i="1" s="1"/>
  <c r="W73" i="1"/>
  <c r="AA73" i="1" s="1"/>
  <c r="X73" i="1"/>
  <c r="AB73" i="1" s="1"/>
  <c r="V74" i="1"/>
  <c r="W74" i="1"/>
  <c r="AA74" i="1" s="1"/>
  <c r="X74" i="1"/>
  <c r="AB74" i="1" s="1"/>
  <c r="Z74" i="1"/>
  <c r="V75" i="1"/>
  <c r="W75" i="1"/>
  <c r="X75" i="1"/>
  <c r="Z75" i="1"/>
  <c r="AA75" i="1"/>
  <c r="AB75" i="1"/>
  <c r="V76" i="1"/>
  <c r="Z76" i="1" s="1"/>
  <c r="W76" i="1"/>
  <c r="X76" i="1"/>
  <c r="AA76" i="1"/>
  <c r="AB76" i="1"/>
  <c r="V77" i="1"/>
  <c r="Z77" i="1" s="1"/>
  <c r="W77" i="1"/>
  <c r="AA77" i="1" s="1"/>
  <c r="X77" i="1"/>
  <c r="AB77" i="1" s="1"/>
  <c r="V78" i="1"/>
  <c r="W78" i="1"/>
  <c r="AA78" i="1" s="1"/>
  <c r="X78" i="1"/>
  <c r="AB78" i="1" s="1"/>
  <c r="Z78" i="1"/>
  <c r="X3" i="1"/>
  <c r="AB3" i="1" s="1"/>
  <c r="W3" i="1"/>
  <c r="AA3" i="1" s="1"/>
  <c r="V3" i="1"/>
  <c r="Z3" i="1" s="1"/>
  <c r="G79" i="1"/>
  <c r="E81" i="3"/>
  <c r="C4" i="3" l="1" a="1"/>
  <c r="B4" i="3" a="1"/>
  <c r="B4" i="3" s="1"/>
  <c r="N4" i="3" s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O40" i="1" s="1"/>
  <c r="Q40" i="1" s="1"/>
  <c r="N39" i="1"/>
  <c r="N38" i="1"/>
  <c r="N37" i="1"/>
  <c r="N36" i="1"/>
  <c r="O36" i="1" s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O16" i="1" s="1"/>
  <c r="N15" i="1"/>
  <c r="N14" i="1"/>
  <c r="N13" i="1"/>
  <c r="N12" i="1"/>
  <c r="N11" i="1"/>
  <c r="N10" i="1"/>
  <c r="N9" i="1"/>
  <c r="N8" i="1"/>
  <c r="O8" i="1" s="1"/>
  <c r="N7" i="1"/>
  <c r="N6" i="1"/>
  <c r="N5" i="1"/>
  <c r="N4" i="1"/>
  <c r="N2" i="1"/>
  <c r="C84" i="1"/>
  <c r="O28" i="1" s="1"/>
  <c r="S3" i="1"/>
  <c r="S4" i="1" s="1"/>
  <c r="N3" i="1"/>
  <c r="O3" i="1" s="1"/>
  <c r="Q3" i="1" s="1"/>
  <c r="N35" i="3" l="1"/>
  <c r="N7" i="3"/>
  <c r="N52" i="3"/>
  <c r="N53" i="3"/>
  <c r="N15" i="3"/>
  <c r="N57" i="3"/>
  <c r="N42" i="3"/>
  <c r="N23" i="3"/>
  <c r="N46" i="3"/>
  <c r="N71" i="3"/>
  <c r="N50" i="3"/>
  <c r="N37" i="3"/>
  <c r="N11" i="3"/>
  <c r="N38" i="3"/>
  <c r="N41" i="3"/>
  <c r="N19" i="3"/>
  <c r="N64" i="3"/>
  <c r="N27" i="3"/>
  <c r="N48" i="3"/>
  <c r="N75" i="3"/>
  <c r="N31" i="3"/>
  <c r="N49" i="3"/>
  <c r="N79" i="3"/>
  <c r="C4" i="3"/>
  <c r="O46" i="1"/>
  <c r="P46" i="1" s="1"/>
  <c r="O2" i="1"/>
  <c r="Q2" i="1" s="1"/>
  <c r="O77" i="1"/>
  <c r="N80" i="3"/>
  <c r="O4" i="1"/>
  <c r="O12" i="1"/>
  <c r="O19" i="1"/>
  <c r="P19" i="1" s="1"/>
  <c r="O27" i="1"/>
  <c r="P27" i="1" s="1"/>
  <c r="O48" i="1"/>
  <c r="Q48" i="1" s="1"/>
  <c r="Q49" i="1" s="1"/>
  <c r="O56" i="1"/>
  <c r="O71" i="1"/>
  <c r="N43" i="3"/>
  <c r="N61" i="3"/>
  <c r="N68" i="3"/>
  <c r="N76" i="3"/>
  <c r="O32" i="1"/>
  <c r="Q32" i="1" s="1"/>
  <c r="O33" i="1"/>
  <c r="P33" i="1" s="1"/>
  <c r="O35" i="1"/>
  <c r="P35" i="1" s="1"/>
  <c r="N8" i="3"/>
  <c r="N12" i="3"/>
  <c r="N16" i="3"/>
  <c r="N20" i="3"/>
  <c r="N24" i="3"/>
  <c r="N28" i="3"/>
  <c r="N32" i="3"/>
  <c r="N39" i="3"/>
  <c r="N51" i="3"/>
  <c r="N54" i="3"/>
  <c r="N58" i="3"/>
  <c r="N65" i="3"/>
  <c r="O37" i="1"/>
  <c r="O11" i="1"/>
  <c r="P11" i="1" s="1"/>
  <c r="O55" i="1"/>
  <c r="O13" i="1"/>
  <c r="O64" i="1"/>
  <c r="O50" i="1"/>
  <c r="P50" i="1" s="1"/>
  <c r="O65" i="1"/>
  <c r="P65" i="1" s="1"/>
  <c r="N36" i="3"/>
  <c r="N44" i="3"/>
  <c r="N47" i="3"/>
  <c r="N62" i="3"/>
  <c r="N69" i="3"/>
  <c r="N72" i="3"/>
  <c r="O39" i="1"/>
  <c r="O47" i="1"/>
  <c r="O20" i="1"/>
  <c r="Q20" i="1" s="1"/>
  <c r="O41" i="1"/>
  <c r="Q41" i="1" s="1"/>
  <c r="O72" i="1"/>
  <c r="O7" i="1"/>
  <c r="P7" i="1" s="1"/>
  <c r="O22" i="1"/>
  <c r="P22" i="1" s="1"/>
  <c r="O51" i="1"/>
  <c r="O66" i="1"/>
  <c r="P66" i="1" s="1"/>
  <c r="N5" i="3"/>
  <c r="N9" i="3"/>
  <c r="N13" i="3"/>
  <c r="N17" i="3"/>
  <c r="N21" i="3"/>
  <c r="N25" i="3"/>
  <c r="N29" i="3"/>
  <c r="N33" i="3"/>
  <c r="N40" i="3"/>
  <c r="N55" i="3"/>
  <c r="N59" i="3"/>
  <c r="N66" i="3"/>
  <c r="N73" i="3"/>
  <c r="N77" i="3"/>
  <c r="O44" i="1"/>
  <c r="Q44" i="1" s="1"/>
  <c r="O52" i="1"/>
  <c r="P52" i="1" s="1"/>
  <c r="O59" i="1"/>
  <c r="P59" i="1" s="1"/>
  <c r="O24" i="1"/>
  <c r="O60" i="1"/>
  <c r="O68" i="1"/>
  <c r="N6" i="3"/>
  <c r="N10" i="3"/>
  <c r="N14" i="3"/>
  <c r="N18" i="3"/>
  <c r="N22" i="3"/>
  <c r="N26" i="3"/>
  <c r="N30" i="3"/>
  <c r="N34" i="3"/>
  <c r="N45" i="3"/>
  <c r="N56" i="3"/>
  <c r="N60" i="3"/>
  <c r="N63" i="3"/>
  <c r="N67" i="3"/>
  <c r="N70" i="3"/>
  <c r="N74" i="3"/>
  <c r="N78" i="3"/>
  <c r="O17" i="1"/>
  <c r="O76" i="1"/>
  <c r="P76" i="1" s="1"/>
  <c r="S5" i="1"/>
  <c r="S6" i="1" s="1"/>
  <c r="T6" i="1" s="1"/>
  <c r="T4" i="1"/>
  <c r="O18" i="1"/>
  <c r="Q18" i="1" s="1"/>
  <c r="Q22" i="1"/>
  <c r="O34" i="1"/>
  <c r="O38" i="1"/>
  <c r="O42" i="1"/>
  <c r="Q46" i="1"/>
  <c r="Q47" i="1" s="1"/>
  <c r="O78" i="1"/>
  <c r="Q78" i="1" s="1"/>
  <c r="O61" i="1"/>
  <c r="P61" i="1" s="1"/>
  <c r="O67" i="1"/>
  <c r="O73" i="1"/>
  <c r="O29" i="1"/>
  <c r="P29" i="1" s="1"/>
  <c r="O74" i="1"/>
  <c r="P74" i="1" s="1"/>
  <c r="O5" i="1"/>
  <c r="O43" i="1"/>
  <c r="P43" i="1" s="1"/>
  <c r="O30" i="1"/>
  <c r="Q30" i="1" s="1"/>
  <c r="O53" i="1"/>
  <c r="Q53" i="1" s="1"/>
  <c r="Q54" i="1" s="1"/>
  <c r="O57" i="1"/>
  <c r="O63" i="1"/>
  <c r="T3" i="1"/>
  <c r="O14" i="1"/>
  <c r="O6" i="1"/>
  <c r="O15" i="1"/>
  <c r="P15" i="1" s="1"/>
  <c r="O25" i="1"/>
  <c r="Q25" i="1" s="1"/>
  <c r="O31" i="1"/>
  <c r="Q31" i="1" s="1"/>
  <c r="O54" i="1"/>
  <c r="O58" i="1"/>
  <c r="O69" i="1"/>
  <c r="P69" i="1" s="1"/>
  <c r="O75" i="1"/>
  <c r="O23" i="1"/>
  <c r="P23" i="1" s="1"/>
  <c r="O9" i="1"/>
  <c r="P9" i="1" s="1"/>
  <c r="O62" i="1"/>
  <c r="P62" i="1" s="1"/>
  <c r="O10" i="1"/>
  <c r="Q10" i="1" s="1"/>
  <c r="O21" i="1"/>
  <c r="Q21" i="1" s="1"/>
  <c r="O26" i="1"/>
  <c r="O45" i="1"/>
  <c r="Q45" i="1" s="1"/>
  <c r="O49" i="1"/>
  <c r="O70" i="1"/>
  <c r="Q43" i="1"/>
  <c r="Q23" i="1"/>
  <c r="P67" i="1"/>
  <c r="Q8" i="1"/>
  <c r="P8" i="1"/>
  <c r="Q16" i="1"/>
  <c r="P16" i="1"/>
  <c r="P30" i="1"/>
  <c r="Q33" i="1"/>
  <c r="Q36" i="1"/>
  <c r="P36" i="1"/>
  <c r="P70" i="1"/>
  <c r="P75" i="1"/>
  <c r="Q77" i="1"/>
  <c r="P77" i="1"/>
  <c r="Q57" i="1"/>
  <c r="Q58" i="1" s="1"/>
  <c r="P57" i="1"/>
  <c r="Q11" i="1"/>
  <c r="Q13" i="1"/>
  <c r="P13" i="1"/>
  <c r="P18" i="1"/>
  <c r="P71" i="1"/>
  <c r="P73" i="1"/>
  <c r="Q28" i="1"/>
  <c r="P28" i="1"/>
  <c r="Q4" i="1"/>
  <c r="P4" i="1"/>
  <c r="Q29" i="1"/>
  <c r="P49" i="1"/>
  <c r="Q51" i="1"/>
  <c r="Q52" i="1" s="1"/>
  <c r="P51" i="1"/>
  <c r="Q12" i="1"/>
  <c r="P12" i="1"/>
  <c r="P41" i="1"/>
  <c r="Q5" i="1"/>
  <c r="P5" i="1"/>
  <c r="Q24" i="1"/>
  <c r="P24" i="1"/>
  <c r="P47" i="1"/>
  <c r="Q17" i="1"/>
  <c r="P17" i="1"/>
  <c r="Q37" i="1"/>
  <c r="P37" i="1"/>
  <c r="Q39" i="1"/>
  <c r="P39" i="1"/>
  <c r="Q55" i="1"/>
  <c r="Q56" i="1" s="1"/>
  <c r="P55" i="1"/>
  <c r="P40" i="1"/>
  <c r="P48" i="1"/>
  <c r="P56" i="1"/>
  <c r="P60" i="1"/>
  <c r="P64" i="1"/>
  <c r="P68" i="1"/>
  <c r="P72" i="1"/>
  <c r="P3" i="1"/>
  <c r="P2" i="1"/>
  <c r="T2" i="1"/>
  <c r="P53" i="1" l="1"/>
  <c r="Q35" i="1"/>
  <c r="Q9" i="1"/>
  <c r="P78" i="1"/>
  <c r="Q59" i="1"/>
  <c r="Q60" i="1" s="1"/>
  <c r="Q50" i="1"/>
  <c r="Q27" i="1"/>
  <c r="T5" i="1"/>
  <c r="Q19" i="1"/>
  <c r="P10" i="1"/>
  <c r="P20" i="1"/>
  <c r="P32" i="1"/>
  <c r="P25" i="1"/>
  <c r="S7" i="1"/>
  <c r="T7" i="1" s="1"/>
  <c r="Q15" i="1"/>
  <c r="P31" i="1"/>
  <c r="Q7" i="1"/>
  <c r="P44" i="1"/>
  <c r="Q42" i="1"/>
  <c r="P42" i="1"/>
  <c r="P54" i="1"/>
  <c r="Q34" i="1"/>
  <c r="P34" i="1"/>
  <c r="P21" i="1"/>
  <c r="P45" i="1"/>
  <c r="Q61" i="1"/>
  <c r="Q62" i="1" s="1"/>
  <c r="Q63" i="1" s="1"/>
  <c r="Q64" i="1" s="1"/>
  <c r="Q65" i="1" s="1"/>
  <c r="Q66" i="1" s="1"/>
  <c r="Q67" i="1" s="1"/>
  <c r="Q68" i="1" s="1"/>
  <c r="P58" i="1"/>
  <c r="P63" i="1"/>
  <c r="P6" i="1"/>
  <c r="Q6" i="1"/>
  <c r="Q26" i="1"/>
  <c r="P26" i="1"/>
  <c r="Q38" i="1"/>
  <c r="P38" i="1"/>
  <c r="Q14" i="1"/>
  <c r="P14" i="1"/>
  <c r="S8" i="1" l="1"/>
  <c r="Q69" i="1"/>
  <c r="T8" i="1"/>
  <c r="S9" i="1"/>
  <c r="Q70" i="1" l="1"/>
  <c r="S10" i="1"/>
  <c r="T9" i="1"/>
  <c r="Q71" i="1" l="1"/>
  <c r="T10" i="1"/>
  <c r="S11" i="1"/>
  <c r="Q72" i="1" l="1"/>
  <c r="T11" i="1"/>
  <c r="S12" i="1"/>
  <c r="Q73" i="1" l="1"/>
  <c r="T12" i="1"/>
  <c r="S13" i="1"/>
  <c r="Q74" i="1" l="1"/>
  <c r="S14" i="1"/>
  <c r="T13" i="1"/>
  <c r="Q75" i="1" l="1"/>
  <c r="T14" i="1"/>
  <c r="S15" i="1"/>
  <c r="Q76" i="1" l="1"/>
  <c r="E4" i="3" s="1" a="1"/>
  <c r="T15" i="1"/>
  <c r="S16" i="1"/>
  <c r="E4" i="3" l="1"/>
  <c r="T16" i="1"/>
  <c r="S17" i="1"/>
  <c r="S18" i="1" l="1"/>
  <c r="T17" i="1"/>
  <c r="T18" i="1" l="1"/>
  <c r="S19" i="1"/>
  <c r="T19" i="1" l="1"/>
  <c r="S20" i="1"/>
  <c r="T20" i="1" l="1"/>
  <c r="S21" i="1"/>
  <c r="S22" i="1" l="1"/>
  <c r="T21" i="1"/>
  <c r="T22" i="1" l="1"/>
  <c r="S23" i="1"/>
  <c r="T23" i="1" l="1"/>
  <c r="S24" i="1"/>
  <c r="T24" i="1" l="1"/>
  <c r="S25" i="1"/>
  <c r="S26" i="1" l="1"/>
  <c r="T25" i="1"/>
  <c r="T26" i="1" l="1"/>
  <c r="S27" i="1"/>
  <c r="T27" i="1" l="1"/>
  <c r="S28" i="1"/>
  <c r="T28" i="1" l="1"/>
  <c r="S29" i="1"/>
  <c r="S30" i="1" l="1"/>
  <c r="T29" i="1"/>
  <c r="T30" i="1" l="1"/>
  <c r="S31" i="1"/>
  <c r="T31" i="1" l="1"/>
  <c r="S32" i="1"/>
  <c r="S33" i="1" l="1"/>
  <c r="T32" i="1"/>
  <c r="S34" i="1" l="1"/>
  <c r="T33" i="1"/>
  <c r="T34" i="1" l="1"/>
  <c r="S35" i="1"/>
  <c r="T35" i="1" l="1"/>
  <c r="S36" i="1"/>
  <c r="S37" i="1" l="1"/>
  <c r="T36" i="1"/>
  <c r="T37" i="1" l="1"/>
  <c r="S38" i="1"/>
  <c r="T38" i="1" l="1"/>
  <c r="S39" i="1"/>
  <c r="T39" i="1" l="1"/>
  <c r="S40" i="1"/>
  <c r="S41" i="1" l="1"/>
  <c r="T40" i="1"/>
  <c r="T41" i="1" l="1"/>
  <c r="S42" i="1"/>
  <c r="T42" i="1" l="1"/>
  <c r="S43" i="1"/>
  <c r="T43" i="1" l="1"/>
  <c r="S44" i="1"/>
  <c r="S45" i="1" l="1"/>
  <c r="T44" i="1"/>
  <c r="T45" i="1" l="1"/>
  <c r="S46" i="1"/>
  <c r="T46" i="1" l="1"/>
  <c r="S47" i="1"/>
  <c r="T47" i="1" l="1"/>
  <c r="S48" i="1"/>
  <c r="S49" i="1" l="1"/>
  <c r="T48" i="1"/>
  <c r="T49" i="1" l="1"/>
  <c r="S50" i="1"/>
  <c r="T50" i="1" l="1"/>
  <c r="S51" i="1"/>
  <c r="T51" i="1" l="1"/>
  <c r="S52" i="1"/>
  <c r="T52" i="1" l="1"/>
  <c r="S53" i="1"/>
  <c r="T53" i="1" l="1"/>
  <c r="S54" i="1"/>
  <c r="T54" i="1" l="1"/>
  <c r="S55" i="1"/>
  <c r="T55" i="1" l="1"/>
  <c r="S56" i="1"/>
  <c r="T56" i="1" l="1"/>
  <c r="S57" i="1"/>
  <c r="T57" i="1" l="1"/>
  <c r="S58" i="1"/>
  <c r="T58" i="1" l="1"/>
  <c r="S59" i="1"/>
  <c r="T59" i="1" l="1"/>
  <c r="S60" i="1"/>
  <c r="S61" i="1" l="1"/>
  <c r="T60" i="1"/>
  <c r="T61" i="1" l="1"/>
  <c r="S62" i="1"/>
  <c r="T62" i="1" l="1"/>
  <c r="S63" i="1"/>
  <c r="T63" i="1" l="1"/>
  <c r="S64" i="1"/>
  <c r="S65" i="1" l="1"/>
  <c r="T64" i="1"/>
  <c r="T65" i="1" l="1"/>
  <c r="S66" i="1"/>
  <c r="T66" i="1" l="1"/>
  <c r="S67" i="1"/>
  <c r="T67" i="1" l="1"/>
  <c r="S68" i="1"/>
  <c r="S69" i="1" l="1"/>
  <c r="T68" i="1"/>
  <c r="T69" i="1" l="1"/>
  <c r="S70" i="1"/>
  <c r="T70" i="1" l="1"/>
  <c r="S71" i="1"/>
  <c r="T71" i="1" l="1"/>
  <c r="S72" i="1"/>
  <c r="T72" i="1" l="1"/>
  <c r="S73" i="1"/>
  <c r="T73" i="1" l="1"/>
  <c r="S74" i="1"/>
  <c r="T74" i="1" l="1"/>
  <c r="S75" i="1"/>
  <c r="T75" i="1" l="1"/>
  <c r="S76" i="1"/>
  <c r="T76" i="1" l="1"/>
  <c r="S77" i="1"/>
  <c r="T77" i="1" l="1"/>
  <c r="S78" i="1"/>
  <c r="T78" i="1" s="1"/>
  <c r="D4" i="3" s="1" a="1"/>
  <c r="D4" i="3" l="1"/>
  <c r="G77" i="3"/>
  <c r="G69" i="3"/>
  <c r="G61" i="3"/>
  <c r="G53" i="3"/>
  <c r="G45" i="3"/>
  <c r="G37" i="3"/>
  <c r="G29" i="3"/>
  <c r="G21" i="3"/>
  <c r="G13" i="3"/>
  <c r="G5" i="3"/>
  <c r="G76" i="3"/>
  <c r="G68" i="3"/>
  <c r="G60" i="3"/>
  <c r="G52" i="3"/>
  <c r="G44" i="3"/>
  <c r="G36" i="3"/>
  <c r="G28" i="3"/>
  <c r="G20" i="3"/>
  <c r="G12" i="3"/>
  <c r="G75" i="3"/>
  <c r="G67" i="3"/>
  <c r="G59" i="3"/>
  <c r="G51" i="3"/>
  <c r="G43" i="3"/>
  <c r="G35" i="3"/>
  <c r="G27" i="3"/>
  <c r="G19" i="3"/>
  <c r="G11" i="3"/>
  <c r="G74" i="3"/>
  <c r="G66" i="3"/>
  <c r="G58" i="3"/>
  <c r="G50" i="3"/>
  <c r="G42" i="3"/>
  <c r="G34" i="3"/>
  <c r="G26" i="3"/>
  <c r="G18" i="3"/>
  <c r="G10" i="3"/>
  <c r="G6" i="3"/>
  <c r="G73" i="3"/>
  <c r="G65" i="3"/>
  <c r="G57" i="3"/>
  <c r="G49" i="3"/>
  <c r="G41" i="3"/>
  <c r="G33" i="3"/>
  <c r="G25" i="3"/>
  <c r="G17" i="3"/>
  <c r="G9" i="3"/>
  <c r="G70" i="3"/>
  <c r="G22" i="3"/>
  <c r="G80" i="3"/>
  <c r="G72" i="3"/>
  <c r="G64" i="3"/>
  <c r="G56" i="3"/>
  <c r="G48" i="3"/>
  <c r="G40" i="3"/>
  <c r="G32" i="3"/>
  <c r="G24" i="3"/>
  <c r="G16" i="3"/>
  <c r="G8" i="3"/>
  <c r="G79" i="3"/>
  <c r="G71" i="3"/>
  <c r="G63" i="3"/>
  <c r="G55" i="3"/>
  <c r="G47" i="3"/>
  <c r="G39" i="3"/>
  <c r="G31" i="3"/>
  <c r="G23" i="3"/>
  <c r="G15" i="3"/>
  <c r="G7" i="3"/>
  <c r="G78" i="3"/>
  <c r="G62" i="3"/>
  <c r="G54" i="3"/>
  <c r="G46" i="3"/>
  <c r="G38" i="3"/>
  <c r="G30" i="3"/>
  <c r="G14" i="3"/>
  <c r="H60" i="3"/>
  <c r="S61" i="3" s="1"/>
  <c r="H14" i="3"/>
  <c r="S15" i="3" s="1"/>
  <c r="H66" i="3"/>
  <c r="S67" i="3" s="1"/>
  <c r="H11" i="3"/>
  <c r="H20" i="3"/>
  <c r="S21" i="3" s="1"/>
  <c r="H32" i="3"/>
  <c r="H7" i="3"/>
  <c r="S8" i="3" s="1"/>
  <c r="H57" i="3"/>
  <c r="H24" i="3"/>
  <c r="S25" i="3" s="1"/>
  <c r="H16" i="3"/>
  <c r="S17" i="3" s="1"/>
  <c r="H10" i="3"/>
  <c r="S11" i="3" s="1"/>
  <c r="H41" i="3"/>
  <c r="H68" i="3"/>
  <c r="S69" i="3" s="1"/>
  <c r="H56" i="3"/>
  <c r="S57" i="3" s="1"/>
  <c r="H13" i="3"/>
  <c r="S14" i="3" s="1"/>
  <c r="H35" i="3"/>
  <c r="S36" i="3" s="1"/>
  <c r="H9" i="3"/>
  <c r="S10" i="3" s="1"/>
  <c r="H30" i="3"/>
  <c r="S31" i="3" s="1"/>
  <c r="H40" i="3"/>
  <c r="S41" i="3" s="1"/>
  <c r="H50" i="3"/>
  <c r="H6" i="3"/>
  <c r="H5" i="3"/>
  <c r="H67" i="3"/>
  <c r="S68" i="3" s="1"/>
  <c r="H26" i="3"/>
  <c r="S27" i="3" s="1"/>
  <c r="H53" i="3"/>
  <c r="S54" i="3" s="1"/>
  <c r="H71" i="3"/>
  <c r="S72" i="3" s="1"/>
  <c r="H55" i="3"/>
  <c r="S56" i="3" s="1"/>
  <c r="H21" i="3"/>
  <c r="H52" i="3"/>
  <c r="S53" i="3" s="1"/>
  <c r="H39" i="3"/>
  <c r="H28" i="3"/>
  <c r="H59" i="3"/>
  <c r="H34" i="3"/>
  <c r="S35" i="3" s="1"/>
  <c r="H37" i="3"/>
  <c r="S38" i="3" s="1"/>
  <c r="H65" i="3"/>
  <c r="S66" i="3" s="1"/>
  <c r="H77" i="3"/>
  <c r="H25" i="3"/>
  <c r="S26" i="3" s="1"/>
  <c r="H31" i="3"/>
  <c r="S32" i="3" s="1"/>
  <c r="H48" i="3"/>
  <c r="S49" i="3" s="1"/>
  <c r="H80" i="3"/>
  <c r="H72" i="3"/>
  <c r="H47" i="3"/>
  <c r="S48" i="3" s="1"/>
  <c r="H43" i="3"/>
  <c r="S44" i="3" s="1"/>
  <c r="H69" i="3"/>
  <c r="S70" i="3" s="1"/>
  <c r="H36" i="3"/>
  <c r="H63" i="3"/>
  <c r="S64" i="3" s="1"/>
  <c r="H19" i="3"/>
  <c r="S20" i="3" s="1"/>
  <c r="H75" i="3"/>
  <c r="S76" i="3" s="1"/>
  <c r="H64" i="3"/>
  <c r="S65" i="3" s="1"/>
  <c r="H73" i="3"/>
  <c r="S74" i="3" s="1"/>
  <c r="H27" i="3"/>
  <c r="S28" i="3" s="1"/>
  <c r="H79" i="3"/>
  <c r="S80" i="3" s="1"/>
  <c r="H18" i="3"/>
  <c r="S19" i="3" s="1"/>
  <c r="H33" i="3"/>
  <c r="S34" i="3" s="1"/>
  <c r="H70" i="3"/>
  <c r="H45" i="3"/>
  <c r="S46" i="3" s="1"/>
  <c r="H62" i="3"/>
  <c r="H49" i="3"/>
  <c r="S50" i="3" s="1"/>
  <c r="H23" i="3"/>
  <c r="S24" i="3" s="1"/>
  <c r="H42" i="3"/>
  <c r="S43" i="3" s="1"/>
  <c r="H38" i="3"/>
  <c r="S39" i="3" s="1"/>
  <c r="H61" i="3"/>
  <c r="H15" i="3"/>
  <c r="S16" i="3" s="1"/>
  <c r="H58" i="3"/>
  <c r="H54" i="3"/>
  <c r="H8" i="3"/>
  <c r="H51" i="3"/>
  <c r="S52" i="3" s="1"/>
  <c r="H76" i="3"/>
  <c r="S77" i="3" s="1"/>
  <c r="H29" i="3"/>
  <c r="S30" i="3" s="1"/>
  <c r="H78" i="3"/>
  <c r="S79" i="3" s="1"/>
  <c r="H17" i="3"/>
  <c r="S18" i="3" s="1"/>
  <c r="H44" i="3"/>
  <c r="H22" i="3"/>
  <c r="S23" i="3" s="1"/>
  <c r="H46" i="3"/>
  <c r="S47" i="3" s="1"/>
  <c r="H12" i="3"/>
  <c r="S13" i="3" s="1"/>
  <c r="H74" i="3"/>
  <c r="S75" i="3" s="1"/>
  <c r="T51" i="3" l="1"/>
  <c r="Q51" i="3"/>
  <c r="R51" i="3"/>
  <c r="Q6" i="3"/>
  <c r="T6" i="3" s="1"/>
  <c r="R6" i="3"/>
  <c r="Q71" i="3"/>
  <c r="T71" i="3" s="1"/>
  <c r="R71" i="3"/>
  <c r="Q60" i="3"/>
  <c r="T60" i="3" s="1"/>
  <c r="R60" i="3"/>
  <c r="S45" i="3"/>
  <c r="S59" i="3"/>
  <c r="S60" i="3"/>
  <c r="S58" i="3"/>
  <c r="T14" i="3"/>
  <c r="Q14" i="3"/>
  <c r="R14" i="3"/>
  <c r="Q15" i="3"/>
  <c r="T15" i="3" s="1"/>
  <c r="R15" i="3"/>
  <c r="Q79" i="3"/>
  <c r="T79" i="3" s="1"/>
  <c r="R79" i="3"/>
  <c r="Q64" i="3"/>
  <c r="T64" i="3"/>
  <c r="R64" i="3"/>
  <c r="Q33" i="3"/>
  <c r="T33" i="3"/>
  <c r="R33" i="3"/>
  <c r="T18" i="3"/>
  <c r="Q18" i="3"/>
  <c r="R18" i="3"/>
  <c r="Q11" i="3"/>
  <c r="T11" i="3" s="1"/>
  <c r="R11" i="3"/>
  <c r="Q75" i="3"/>
  <c r="R75" i="3"/>
  <c r="T75" i="3" s="1"/>
  <c r="T68" i="3"/>
  <c r="Q68" i="3"/>
  <c r="R68" i="3"/>
  <c r="Q53" i="3"/>
  <c r="T53" i="3" s="1"/>
  <c r="R53" i="3"/>
  <c r="Q62" i="3"/>
  <c r="T62" i="3" s="1"/>
  <c r="R62" i="3"/>
  <c r="Q73" i="3"/>
  <c r="R73" i="3"/>
  <c r="Q44" i="3"/>
  <c r="T44" i="3" s="1"/>
  <c r="R44" i="3"/>
  <c r="S9" i="3"/>
  <c r="T78" i="3"/>
  <c r="Q78" i="3"/>
  <c r="R78" i="3"/>
  <c r="Q66" i="3"/>
  <c r="R66" i="3"/>
  <c r="T66" i="3" s="1"/>
  <c r="S55" i="3"/>
  <c r="T67" i="3"/>
  <c r="Q67" i="3"/>
  <c r="R67" i="3"/>
  <c r="S71" i="3"/>
  <c r="Q30" i="3"/>
  <c r="T30" i="3" s="1"/>
  <c r="R30" i="3"/>
  <c r="Q23" i="3"/>
  <c r="T23" i="3" s="1"/>
  <c r="U23" i="3" s="1"/>
  <c r="R23" i="3"/>
  <c r="Q8" i="3"/>
  <c r="T8" i="3"/>
  <c r="R8" i="3"/>
  <c r="Q72" i="3"/>
  <c r="T72" i="3"/>
  <c r="R72" i="3"/>
  <c r="Q41" i="3"/>
  <c r="T41" i="3" s="1"/>
  <c r="R41" i="3"/>
  <c r="T26" i="3"/>
  <c r="Q26" i="3"/>
  <c r="R26" i="3"/>
  <c r="Q19" i="3"/>
  <c r="T19" i="3" s="1"/>
  <c r="R19" i="3"/>
  <c r="T12" i="3"/>
  <c r="Q12" i="3"/>
  <c r="R12" i="3"/>
  <c r="Q76" i="3"/>
  <c r="T76" i="3" s="1"/>
  <c r="R76" i="3"/>
  <c r="Q61" i="3"/>
  <c r="T61" i="3" s="1"/>
  <c r="R61" i="3"/>
  <c r="Q55" i="3"/>
  <c r="T55" i="3" s="1"/>
  <c r="R55" i="3"/>
  <c r="Q58" i="3"/>
  <c r="T58" i="3" s="1"/>
  <c r="R58" i="3"/>
  <c r="Q29" i="3"/>
  <c r="T29" i="3" s="1"/>
  <c r="R29" i="3"/>
  <c r="Q17" i="3"/>
  <c r="T17" i="3" s="1"/>
  <c r="U17" i="3" s="1"/>
  <c r="R17" i="3"/>
  <c r="Q59" i="3"/>
  <c r="T59" i="3" s="1"/>
  <c r="R59" i="3"/>
  <c r="S73" i="3"/>
  <c r="T73" i="3" s="1"/>
  <c r="Q56" i="3"/>
  <c r="T56" i="3"/>
  <c r="R56" i="3"/>
  <c r="Q74" i="3"/>
  <c r="T74" i="3"/>
  <c r="R74" i="3"/>
  <c r="S29" i="3"/>
  <c r="S62" i="3"/>
  <c r="S40" i="3"/>
  <c r="S6" i="3"/>
  <c r="S33" i="3"/>
  <c r="Q38" i="3"/>
  <c r="T38" i="3" s="1"/>
  <c r="R38" i="3"/>
  <c r="T31" i="3"/>
  <c r="Q31" i="3"/>
  <c r="R31" i="3"/>
  <c r="Q16" i="3"/>
  <c r="T16" i="3" s="1"/>
  <c r="R16" i="3"/>
  <c r="Q80" i="3"/>
  <c r="T80" i="3" s="1"/>
  <c r="R80" i="3"/>
  <c r="Q49" i="3"/>
  <c r="T49" i="3" s="1"/>
  <c r="R49" i="3"/>
  <c r="Q34" i="3"/>
  <c r="R34" i="3"/>
  <c r="T34" i="3" s="1"/>
  <c r="Q27" i="3"/>
  <c r="T27" i="3"/>
  <c r="R27" i="3"/>
  <c r="Q20" i="3"/>
  <c r="T20" i="3" s="1"/>
  <c r="R20" i="3"/>
  <c r="Q5" i="3"/>
  <c r="Q69" i="3"/>
  <c r="T69" i="3" s="1"/>
  <c r="R69" i="3"/>
  <c r="Q9" i="3"/>
  <c r="T9" i="3" s="1"/>
  <c r="R9" i="3"/>
  <c r="Q63" i="3"/>
  <c r="R63" i="3"/>
  <c r="T63" i="3" s="1"/>
  <c r="T37" i="3"/>
  <c r="Q37" i="3"/>
  <c r="R37" i="3"/>
  <c r="S63" i="3"/>
  <c r="Q7" i="3"/>
  <c r="T7" i="3" s="1"/>
  <c r="R7" i="3"/>
  <c r="Q25" i="3"/>
  <c r="T25" i="3" s="1"/>
  <c r="R25" i="3"/>
  <c r="T10" i="3"/>
  <c r="Q10" i="3"/>
  <c r="R10" i="3"/>
  <c r="S37" i="3"/>
  <c r="S7" i="3"/>
  <c r="T46" i="3"/>
  <c r="Q46" i="3"/>
  <c r="R46" i="3"/>
  <c r="T39" i="3"/>
  <c r="Q39" i="3"/>
  <c r="R39" i="3"/>
  <c r="Q24" i="3"/>
  <c r="T24" i="3" s="1"/>
  <c r="U24" i="3" s="1"/>
  <c r="R24" i="3"/>
  <c r="T22" i="3"/>
  <c r="Q22" i="3"/>
  <c r="R22" i="3"/>
  <c r="Q57" i="3"/>
  <c r="R57" i="3"/>
  <c r="T57" i="3" s="1"/>
  <c r="Q42" i="3"/>
  <c r="T42" i="3" s="1"/>
  <c r="R42" i="3"/>
  <c r="Q35" i="3"/>
  <c r="T35" i="3"/>
  <c r="R35" i="3"/>
  <c r="Q28" i="3"/>
  <c r="T28" i="3" s="1"/>
  <c r="R28" i="3"/>
  <c r="T13" i="3"/>
  <c r="Q13" i="3"/>
  <c r="R13" i="3"/>
  <c r="T77" i="3"/>
  <c r="Q77" i="3"/>
  <c r="R77" i="3"/>
  <c r="Q40" i="3"/>
  <c r="T40" i="3" s="1"/>
  <c r="R40" i="3"/>
  <c r="Q48" i="3"/>
  <c r="T48" i="3" s="1"/>
  <c r="R48" i="3"/>
  <c r="Q52" i="3"/>
  <c r="T52" i="3" s="1"/>
  <c r="R52" i="3"/>
  <c r="Q45" i="3"/>
  <c r="T45" i="3"/>
  <c r="R45" i="3"/>
  <c r="S78" i="3"/>
  <c r="S22" i="3"/>
  <c r="S51" i="3"/>
  <c r="S42" i="3"/>
  <c r="S12" i="3"/>
  <c r="Q54" i="3"/>
  <c r="T54" i="3" s="1"/>
  <c r="R54" i="3"/>
  <c r="Q47" i="3"/>
  <c r="T47" i="3" s="1"/>
  <c r="R47" i="3"/>
  <c r="Q32" i="3"/>
  <c r="T32" i="3"/>
  <c r="R32" i="3"/>
  <c r="T70" i="3"/>
  <c r="Q70" i="3"/>
  <c r="R70" i="3"/>
  <c r="Q65" i="3"/>
  <c r="T65" i="3" s="1"/>
  <c r="R65" i="3"/>
  <c r="Q50" i="3"/>
  <c r="T50" i="3" s="1"/>
  <c r="R50" i="3"/>
  <c r="Q43" i="3"/>
  <c r="T43" i="3" s="1"/>
  <c r="R43" i="3"/>
  <c r="Q36" i="3"/>
  <c r="T36" i="3" s="1"/>
  <c r="R36" i="3"/>
  <c r="Q21" i="3"/>
  <c r="T21" i="3"/>
  <c r="R21" i="3"/>
  <c r="K68" i="3"/>
  <c r="J68" i="3"/>
  <c r="L69" i="3"/>
  <c r="Z69" i="3"/>
  <c r="Y44" i="3"/>
  <c r="X44" i="3"/>
  <c r="X45" i="3"/>
  <c r="Y45" i="3"/>
  <c r="X27" i="3"/>
  <c r="Y27" i="3"/>
  <c r="X72" i="3"/>
  <c r="Y72" i="3"/>
  <c r="X59" i="3"/>
  <c r="Y59" i="3"/>
  <c r="Y53" i="3"/>
  <c r="X53" i="3"/>
  <c r="X40" i="3"/>
  <c r="Y40" i="3"/>
  <c r="Y57" i="3"/>
  <c r="X57" i="3"/>
  <c r="Y11" i="3"/>
  <c r="X11" i="3"/>
  <c r="J23" i="3"/>
  <c r="K23" i="3"/>
  <c r="L24" i="3"/>
  <c r="Z24" i="3"/>
  <c r="L9" i="3"/>
  <c r="J8" i="3"/>
  <c r="K8" i="3"/>
  <c r="Z9" i="3"/>
  <c r="L42" i="3"/>
  <c r="J41" i="3"/>
  <c r="K41" i="3"/>
  <c r="Z42" i="3"/>
  <c r="L27" i="3"/>
  <c r="J26" i="3"/>
  <c r="K26" i="3"/>
  <c r="Z27" i="3"/>
  <c r="J19" i="3"/>
  <c r="K19" i="3"/>
  <c r="L20" i="3"/>
  <c r="Z20" i="3"/>
  <c r="K76" i="3"/>
  <c r="L77" i="3"/>
  <c r="J76" i="3"/>
  <c r="Z77" i="3"/>
  <c r="X17" i="3"/>
  <c r="Y17" i="3"/>
  <c r="X70" i="3"/>
  <c r="Y70" i="3"/>
  <c r="Y75" i="3"/>
  <c r="X75" i="3"/>
  <c r="X36" i="3"/>
  <c r="Y36" i="3"/>
  <c r="X21" i="3"/>
  <c r="Y21" i="3"/>
  <c r="Y30" i="3"/>
  <c r="X30" i="3"/>
  <c r="Y41" i="3"/>
  <c r="X41" i="3"/>
  <c r="X7" i="3"/>
  <c r="Y7" i="3"/>
  <c r="Y66" i="3"/>
  <c r="X66" i="3"/>
  <c r="L39" i="3"/>
  <c r="K38" i="3"/>
  <c r="J38" i="3"/>
  <c r="Z39" i="3"/>
  <c r="J31" i="3"/>
  <c r="L32" i="3"/>
  <c r="K31" i="3"/>
  <c r="Z32" i="3"/>
  <c r="L80" i="3"/>
  <c r="J80" i="3"/>
  <c r="K80" i="3"/>
  <c r="M80" i="3"/>
  <c r="O80" i="3" s="1"/>
  <c r="J49" i="3"/>
  <c r="L50" i="3"/>
  <c r="K49" i="3"/>
  <c r="Z50" i="3"/>
  <c r="L35" i="3"/>
  <c r="J34" i="3"/>
  <c r="K34" i="3"/>
  <c r="Z35" i="3"/>
  <c r="L28" i="3"/>
  <c r="K27" i="3"/>
  <c r="J27" i="3"/>
  <c r="Z28" i="3"/>
  <c r="K20" i="3"/>
  <c r="L21" i="3"/>
  <c r="J20" i="3"/>
  <c r="Z21" i="3"/>
  <c r="L6" i="3"/>
  <c r="Z6" i="3"/>
  <c r="L70" i="3"/>
  <c r="J69" i="3"/>
  <c r="K69" i="3"/>
  <c r="Z70" i="3"/>
  <c r="Y46" i="3"/>
  <c r="X46" i="3"/>
  <c r="X29" i="3"/>
  <c r="Y29" i="3"/>
  <c r="X54" i="3"/>
  <c r="Y54" i="3"/>
  <c r="X49" i="3"/>
  <c r="Y49" i="3"/>
  <c r="X73" i="3"/>
  <c r="Y73" i="3"/>
  <c r="X19" i="3"/>
  <c r="Y19" i="3"/>
  <c r="X43" i="3"/>
  <c r="Y43" i="3"/>
  <c r="X31" i="3"/>
  <c r="Y31" i="3"/>
  <c r="Y28" i="3"/>
  <c r="X28" i="3"/>
  <c r="Y26" i="3"/>
  <c r="X26" i="3"/>
  <c r="X16" i="3"/>
  <c r="Y16" i="3"/>
  <c r="J62" i="3"/>
  <c r="L63" i="3"/>
  <c r="K62" i="3"/>
  <c r="Z63" i="3"/>
  <c r="J55" i="3"/>
  <c r="K55" i="3"/>
  <c r="L56" i="3"/>
  <c r="Z56" i="3"/>
  <c r="J40" i="3"/>
  <c r="K40" i="3"/>
  <c r="L41" i="3"/>
  <c r="Z41" i="3"/>
  <c r="L10" i="3"/>
  <c r="K9" i="3"/>
  <c r="J9" i="3"/>
  <c r="Z10" i="3"/>
  <c r="J73" i="3"/>
  <c r="K73" i="3"/>
  <c r="L74" i="3"/>
  <c r="Z74" i="3"/>
  <c r="L59" i="3"/>
  <c r="J58" i="3"/>
  <c r="K58" i="3"/>
  <c r="Z59" i="3"/>
  <c r="J51" i="3"/>
  <c r="L52" i="3"/>
  <c r="K51" i="3"/>
  <c r="Z52" i="3"/>
  <c r="L45" i="3"/>
  <c r="K44" i="3"/>
  <c r="J44" i="3"/>
  <c r="Z45" i="3"/>
  <c r="L30" i="3"/>
  <c r="K29" i="3"/>
  <c r="J29" i="3"/>
  <c r="Z30" i="3"/>
  <c r="X61" i="3"/>
  <c r="Y61" i="3"/>
  <c r="Y33" i="3"/>
  <c r="X33" i="3"/>
  <c r="Y65" i="3"/>
  <c r="X65" i="3"/>
  <c r="X71" i="3"/>
  <c r="Y71" i="3"/>
  <c r="X6" i="3"/>
  <c r="Y6" i="3"/>
  <c r="Y13" i="3"/>
  <c r="X13" i="3"/>
  <c r="K78" i="3"/>
  <c r="J78" i="3"/>
  <c r="L79" i="3"/>
  <c r="Z79" i="3"/>
  <c r="L64" i="3"/>
  <c r="K63" i="3"/>
  <c r="J63" i="3"/>
  <c r="U64" i="3"/>
  <c r="Z64" i="3"/>
  <c r="J48" i="3"/>
  <c r="K48" i="3"/>
  <c r="L49" i="3"/>
  <c r="Z49" i="3"/>
  <c r="L18" i="3"/>
  <c r="K17" i="3"/>
  <c r="J17" i="3"/>
  <c r="Z18" i="3"/>
  <c r="L7" i="3"/>
  <c r="J6" i="3"/>
  <c r="K6" i="3"/>
  <c r="Z7" i="3"/>
  <c r="L67" i="3"/>
  <c r="J66" i="3"/>
  <c r="K66" i="3"/>
  <c r="Z67" i="3"/>
  <c r="K59" i="3"/>
  <c r="J59" i="3"/>
  <c r="L60" i="3"/>
  <c r="Z60" i="3"/>
  <c r="K52" i="3"/>
  <c r="L53" i="3"/>
  <c r="J52" i="3"/>
  <c r="Z53" i="3"/>
  <c r="L38" i="3"/>
  <c r="M38" i="3" s="1"/>
  <c r="O38" i="3" s="1"/>
  <c r="K37" i="3"/>
  <c r="J37" i="3"/>
  <c r="Z38" i="3"/>
  <c r="Y22" i="3"/>
  <c r="X22" i="3"/>
  <c r="X76" i="3"/>
  <c r="Y76" i="3"/>
  <c r="X18" i="3"/>
  <c r="Y18" i="3"/>
  <c r="Y25" i="3"/>
  <c r="X25" i="3"/>
  <c r="Y37" i="3"/>
  <c r="X37" i="3"/>
  <c r="X39" i="3"/>
  <c r="Y39" i="3"/>
  <c r="X50" i="3"/>
  <c r="Y50" i="3"/>
  <c r="X56" i="3"/>
  <c r="Y56" i="3"/>
  <c r="X24" i="3"/>
  <c r="Y24" i="3"/>
  <c r="AA24" i="3" s="1"/>
  <c r="AB24" i="3" s="1"/>
  <c r="Y60" i="3"/>
  <c r="X60" i="3"/>
  <c r="K7" i="3"/>
  <c r="J7" i="3"/>
  <c r="L8" i="3"/>
  <c r="Z8" i="3"/>
  <c r="K71" i="3"/>
  <c r="J71" i="3"/>
  <c r="L72" i="3"/>
  <c r="Z72" i="3"/>
  <c r="AA72" i="3" s="1"/>
  <c r="AB72" i="3" s="1"/>
  <c r="L57" i="3"/>
  <c r="J56" i="3"/>
  <c r="K56" i="3"/>
  <c r="Z57" i="3"/>
  <c r="L26" i="3"/>
  <c r="J25" i="3"/>
  <c r="K25" i="3"/>
  <c r="Z26" i="3"/>
  <c r="J74" i="3"/>
  <c r="K74" i="3"/>
  <c r="L75" i="3"/>
  <c r="Z75" i="3"/>
  <c r="L68" i="3"/>
  <c r="M68" i="3" s="1"/>
  <c r="O68" i="3" s="1"/>
  <c r="K67" i="3"/>
  <c r="J67" i="3"/>
  <c r="Z68" i="3"/>
  <c r="J60" i="3"/>
  <c r="K60" i="3"/>
  <c r="L61" i="3"/>
  <c r="Z61" i="3"/>
  <c r="J45" i="3"/>
  <c r="K45" i="3"/>
  <c r="L46" i="3"/>
  <c r="Z46" i="3"/>
  <c r="X74" i="3"/>
  <c r="Y74" i="3"/>
  <c r="Y51" i="3"/>
  <c r="X51" i="3"/>
  <c r="Y58" i="3"/>
  <c r="X58" i="3"/>
  <c r="Y38" i="3"/>
  <c r="X38" i="3"/>
  <c r="X62" i="3"/>
  <c r="Y62" i="3"/>
  <c r="X79" i="3"/>
  <c r="Y79" i="3"/>
  <c r="Y64" i="3"/>
  <c r="X64" i="3"/>
  <c r="X47" i="3"/>
  <c r="Y47" i="3"/>
  <c r="X34" i="3"/>
  <c r="Y34" i="3"/>
  <c r="Y68" i="3"/>
  <c r="X68" i="3"/>
  <c r="X20" i="3"/>
  <c r="Y20" i="3"/>
  <c r="L15" i="3"/>
  <c r="K14" i="3"/>
  <c r="J14" i="3"/>
  <c r="Z15" i="3"/>
  <c r="L16" i="3"/>
  <c r="J15" i="3"/>
  <c r="K15" i="3"/>
  <c r="Z16" i="3"/>
  <c r="J79" i="3"/>
  <c r="K79" i="3"/>
  <c r="Z80" i="3"/>
  <c r="L65" i="3"/>
  <c r="J64" i="3"/>
  <c r="K64" i="3"/>
  <c r="Z65" i="3"/>
  <c r="L34" i="3"/>
  <c r="J33" i="3"/>
  <c r="K33" i="3"/>
  <c r="Z34" i="3"/>
  <c r="L19" i="3"/>
  <c r="K18" i="3"/>
  <c r="J18" i="3"/>
  <c r="Z19" i="3"/>
  <c r="K11" i="3"/>
  <c r="L12" i="3"/>
  <c r="J11" i="3"/>
  <c r="Z12" i="3"/>
  <c r="K75" i="3"/>
  <c r="L76" i="3"/>
  <c r="J75" i="3"/>
  <c r="Z76" i="3"/>
  <c r="J53" i="3"/>
  <c r="L54" i="3"/>
  <c r="K53" i="3"/>
  <c r="Z54" i="3"/>
  <c r="X77" i="3"/>
  <c r="Y77" i="3"/>
  <c r="X52" i="3"/>
  <c r="Y52" i="3"/>
  <c r="L31" i="3"/>
  <c r="K30" i="3"/>
  <c r="J30" i="3"/>
  <c r="Z31" i="3"/>
  <c r="J72" i="3"/>
  <c r="L73" i="3"/>
  <c r="K72" i="3"/>
  <c r="Z73" i="3"/>
  <c r="K12" i="3"/>
  <c r="L13" i="3"/>
  <c r="J12" i="3"/>
  <c r="Z13" i="3"/>
  <c r="X12" i="3"/>
  <c r="Y12" i="3"/>
  <c r="K16" i="3"/>
  <c r="J16" i="3"/>
  <c r="L17" i="3"/>
  <c r="Z17" i="3"/>
  <c r="X78" i="3"/>
  <c r="Y78" i="3"/>
  <c r="X8" i="3"/>
  <c r="Y8" i="3"/>
  <c r="Y15" i="3"/>
  <c r="X15" i="3"/>
  <c r="X42" i="3"/>
  <c r="Y42" i="3"/>
  <c r="Y69" i="3"/>
  <c r="X69" i="3"/>
  <c r="X80" i="3"/>
  <c r="Y80" i="3"/>
  <c r="Y67" i="3"/>
  <c r="X67" i="3"/>
  <c r="Y9" i="3"/>
  <c r="X9" i="3"/>
  <c r="X32" i="3"/>
  <c r="Y32" i="3"/>
  <c r="Y14" i="3"/>
  <c r="X14" i="3"/>
  <c r="K46" i="3"/>
  <c r="L47" i="3"/>
  <c r="J46" i="3"/>
  <c r="Z47" i="3"/>
  <c r="J39" i="3"/>
  <c r="K39" i="3"/>
  <c r="L40" i="3"/>
  <c r="Z40" i="3"/>
  <c r="J24" i="3"/>
  <c r="L25" i="3"/>
  <c r="K24" i="3"/>
  <c r="Z25" i="3"/>
  <c r="L23" i="3"/>
  <c r="J22" i="3"/>
  <c r="K22" i="3"/>
  <c r="Z23" i="3"/>
  <c r="J57" i="3"/>
  <c r="K57" i="3"/>
  <c r="L58" i="3"/>
  <c r="Z58" i="3"/>
  <c r="J42" i="3"/>
  <c r="L43" i="3"/>
  <c r="K42" i="3"/>
  <c r="Z43" i="3"/>
  <c r="K35" i="3"/>
  <c r="L36" i="3"/>
  <c r="J35" i="3"/>
  <c r="Z36" i="3"/>
  <c r="K28" i="3"/>
  <c r="L29" i="3"/>
  <c r="J28" i="3"/>
  <c r="Z29" i="3"/>
  <c r="L14" i="3"/>
  <c r="K13" i="3"/>
  <c r="J13" i="3"/>
  <c r="Z14" i="3"/>
  <c r="K77" i="3"/>
  <c r="J77" i="3"/>
  <c r="L78" i="3"/>
  <c r="Z78" i="3"/>
  <c r="L11" i="3"/>
  <c r="J10" i="3"/>
  <c r="K10" i="3"/>
  <c r="Z11" i="3"/>
  <c r="X63" i="3"/>
  <c r="Y63" i="3"/>
  <c r="J61" i="3"/>
  <c r="K61" i="3"/>
  <c r="L62" i="3"/>
  <c r="Z62" i="3"/>
  <c r="X23" i="3"/>
  <c r="Y23" i="3"/>
  <c r="X48" i="3"/>
  <c r="Y48" i="3"/>
  <c r="Y55" i="3"/>
  <c r="X55" i="3"/>
  <c r="X35" i="3"/>
  <c r="Y35" i="3"/>
  <c r="Y10" i="3"/>
  <c r="X10" i="3"/>
  <c r="J54" i="3"/>
  <c r="L55" i="3"/>
  <c r="K54" i="3"/>
  <c r="Z55" i="3"/>
  <c r="AA55" i="3" s="1"/>
  <c r="AB55" i="3" s="1"/>
  <c r="L48" i="3"/>
  <c r="J47" i="3"/>
  <c r="K47" i="3"/>
  <c r="Z48" i="3"/>
  <c r="K32" i="3"/>
  <c r="L33" i="3"/>
  <c r="J32" i="3"/>
  <c r="Z33" i="3"/>
  <c r="J70" i="3"/>
  <c r="K70" i="3"/>
  <c r="L71" i="3"/>
  <c r="Z71" i="3"/>
  <c r="K65" i="3"/>
  <c r="J65" i="3"/>
  <c r="L66" i="3"/>
  <c r="Z66" i="3"/>
  <c r="J50" i="3"/>
  <c r="K50" i="3"/>
  <c r="L51" i="3"/>
  <c r="Z51" i="3"/>
  <c r="J43" i="3"/>
  <c r="L44" i="3"/>
  <c r="K43" i="3"/>
  <c r="Z44" i="3"/>
  <c r="J36" i="3"/>
  <c r="K36" i="3"/>
  <c r="L37" i="3"/>
  <c r="Z37" i="3"/>
  <c r="L22" i="3"/>
  <c r="J21" i="3"/>
  <c r="K21" i="3"/>
  <c r="Z22" i="3"/>
  <c r="G4" i="3"/>
  <c r="H4" i="3"/>
  <c r="S5" i="3" s="1"/>
  <c r="AA7" i="3" l="1"/>
  <c r="AB7" i="3" s="1"/>
  <c r="R5" i="3"/>
  <c r="T5" i="3" s="1"/>
  <c r="X5" i="3"/>
  <c r="Q4" i="3"/>
  <c r="R4" i="3"/>
  <c r="T4" i="3" s="1"/>
  <c r="S4" i="3"/>
  <c r="M27" i="3"/>
  <c r="O27" i="3" s="1"/>
  <c r="AA35" i="3"/>
  <c r="AB35" i="3" s="1"/>
  <c r="AA46" i="3"/>
  <c r="AB46" i="3" s="1"/>
  <c r="U59" i="3"/>
  <c r="AA47" i="3"/>
  <c r="AB47" i="3" s="1"/>
  <c r="AA32" i="3"/>
  <c r="AB32" i="3" s="1"/>
  <c r="U77" i="3"/>
  <c r="U61" i="3"/>
  <c r="AA62" i="3"/>
  <c r="AB62" i="3" s="1"/>
  <c r="AA69" i="3"/>
  <c r="AB69" i="3" s="1"/>
  <c r="U16" i="3"/>
  <c r="U34" i="3"/>
  <c r="AA37" i="3"/>
  <c r="AB37" i="3" s="1"/>
  <c r="AA61" i="3"/>
  <c r="AB61" i="3" s="1"/>
  <c r="AA15" i="3"/>
  <c r="AB15" i="3" s="1"/>
  <c r="AA6" i="3"/>
  <c r="AB6" i="3" s="1"/>
  <c r="AA56" i="3"/>
  <c r="AB56" i="3" s="1"/>
  <c r="U37" i="3"/>
  <c r="U45" i="3"/>
  <c r="M52" i="3"/>
  <c r="O52" i="3" s="1"/>
  <c r="U20" i="3"/>
  <c r="M57" i="3"/>
  <c r="O57" i="3" s="1"/>
  <c r="AA74" i="3"/>
  <c r="AB74" i="3" s="1"/>
  <c r="M15" i="3"/>
  <c r="O15" i="3" s="1"/>
  <c r="AC15" i="3" s="1"/>
  <c r="AA79" i="3"/>
  <c r="AB79" i="3" s="1"/>
  <c r="U22" i="3"/>
  <c r="AA63" i="3"/>
  <c r="AB63" i="3" s="1"/>
  <c r="U36" i="3"/>
  <c r="M75" i="3"/>
  <c r="O75" i="3" s="1"/>
  <c r="AA33" i="3"/>
  <c r="AB33" i="3" s="1"/>
  <c r="U56" i="3"/>
  <c r="V56" i="3" s="1"/>
  <c r="M20" i="3"/>
  <c r="O20" i="3" s="1"/>
  <c r="V20" i="3" s="1"/>
  <c r="U42" i="3"/>
  <c r="U33" i="3"/>
  <c r="AA78" i="3"/>
  <c r="AB78" i="3" s="1"/>
  <c r="AA40" i="3"/>
  <c r="AB40" i="3" s="1"/>
  <c r="AA12" i="3"/>
  <c r="AB12" i="3" s="1"/>
  <c r="AA54" i="3"/>
  <c r="AB54" i="3" s="1"/>
  <c r="AA19" i="3"/>
  <c r="AB19" i="3" s="1"/>
  <c r="U65" i="3"/>
  <c r="U58" i="3"/>
  <c r="U40" i="3"/>
  <c r="AA53" i="3"/>
  <c r="AB53" i="3" s="1"/>
  <c r="AA48" i="3"/>
  <c r="AB48" i="3" s="1"/>
  <c r="U53" i="3"/>
  <c r="U50" i="3"/>
  <c r="U55" i="3"/>
  <c r="M18" i="3"/>
  <c r="O18" i="3" s="1"/>
  <c r="M14" i="3"/>
  <c r="O14" i="3" s="1"/>
  <c r="AA45" i="3"/>
  <c r="AB45" i="3" s="1"/>
  <c r="AA21" i="3"/>
  <c r="AB21" i="3" s="1"/>
  <c r="AA10" i="3"/>
  <c r="AB10" i="3" s="1"/>
  <c r="M21" i="3"/>
  <c r="O21" i="3" s="1"/>
  <c r="U48" i="3"/>
  <c r="U62" i="3"/>
  <c r="U13" i="3"/>
  <c r="AA39" i="3"/>
  <c r="AB39" i="3" s="1"/>
  <c r="U78" i="3"/>
  <c r="AA64" i="3"/>
  <c r="AB64" i="3" s="1"/>
  <c r="M44" i="3"/>
  <c r="O44" i="3" s="1"/>
  <c r="M55" i="3"/>
  <c r="O55" i="3" s="1"/>
  <c r="AC55" i="3" s="1"/>
  <c r="U68" i="3"/>
  <c r="V68" i="3" s="1"/>
  <c r="M69" i="3"/>
  <c r="O69" i="3" s="1"/>
  <c r="AA66" i="3"/>
  <c r="AB66" i="3" s="1"/>
  <c r="M29" i="3"/>
  <c r="O29" i="3" s="1"/>
  <c r="AA43" i="3"/>
  <c r="AB43" i="3" s="1"/>
  <c r="U54" i="3"/>
  <c r="M67" i="3"/>
  <c r="O67" i="3" s="1"/>
  <c r="M56" i="3"/>
  <c r="O56" i="3" s="1"/>
  <c r="M9" i="3"/>
  <c r="O9" i="3" s="1"/>
  <c r="K5" i="3"/>
  <c r="AA57" i="3"/>
  <c r="AB57" i="3" s="1"/>
  <c r="AC57" i="3" s="1"/>
  <c r="AA59" i="3"/>
  <c r="AB59" i="3" s="1"/>
  <c r="M33" i="3"/>
  <c r="O33" i="3" s="1"/>
  <c r="V33" i="3" s="1"/>
  <c r="M66" i="3"/>
  <c r="O66" i="3" s="1"/>
  <c r="M47" i="3"/>
  <c r="O47" i="3" s="1"/>
  <c r="AC47" i="3" s="1"/>
  <c r="U25" i="3"/>
  <c r="AA80" i="3"/>
  <c r="AB80" i="3" s="1"/>
  <c r="U15" i="3"/>
  <c r="U9" i="3"/>
  <c r="V9" i="3" s="1"/>
  <c r="AA18" i="3"/>
  <c r="AB18" i="3" s="1"/>
  <c r="U7" i="3"/>
  <c r="U29" i="3"/>
  <c r="M62" i="3"/>
  <c r="O62" i="3" s="1"/>
  <c r="J5" i="3"/>
  <c r="M34" i="3"/>
  <c r="O34" i="3" s="1"/>
  <c r="M10" i="3"/>
  <c r="O10" i="3" s="1"/>
  <c r="AA51" i="3"/>
  <c r="AB51" i="3" s="1"/>
  <c r="M65" i="3"/>
  <c r="O65" i="3" s="1"/>
  <c r="U60" i="3"/>
  <c r="AA23" i="3"/>
  <c r="AB23" i="3" s="1"/>
  <c r="M46" i="3"/>
  <c r="O46" i="3" s="1"/>
  <c r="U12" i="3"/>
  <c r="M25" i="3"/>
  <c r="O25" i="3" s="1"/>
  <c r="M7" i="3"/>
  <c r="O7" i="3" s="1"/>
  <c r="AC7" i="3" s="1"/>
  <c r="AA22" i="3"/>
  <c r="AB22" i="3" s="1"/>
  <c r="M59" i="3"/>
  <c r="O59" i="3" s="1"/>
  <c r="V59" i="3" s="1"/>
  <c r="U26" i="3"/>
  <c r="M51" i="3"/>
  <c r="O51" i="3" s="1"/>
  <c r="Y5" i="3"/>
  <c r="AA70" i="3"/>
  <c r="AB70" i="3" s="1"/>
  <c r="U69" i="3"/>
  <c r="M50" i="3"/>
  <c r="O50" i="3" s="1"/>
  <c r="U66" i="3"/>
  <c r="M16" i="3"/>
  <c r="O16" i="3" s="1"/>
  <c r="M11" i="3"/>
  <c r="O11" i="3" s="1"/>
  <c r="M19" i="3"/>
  <c r="O19" i="3" s="1"/>
  <c r="M61" i="3"/>
  <c r="O61" i="3" s="1"/>
  <c r="U47" i="3"/>
  <c r="AA65" i="3"/>
  <c r="AB65" i="3" s="1"/>
  <c r="U44" i="3"/>
  <c r="AA73" i="3"/>
  <c r="AB73" i="3" s="1"/>
  <c r="U28" i="3"/>
  <c r="M26" i="3"/>
  <c r="O26" i="3" s="1"/>
  <c r="U63" i="3"/>
  <c r="M28" i="3"/>
  <c r="O28" i="3" s="1"/>
  <c r="U71" i="3"/>
  <c r="M22" i="3"/>
  <c r="O22" i="3" s="1"/>
  <c r="AA42" i="3"/>
  <c r="AB42" i="3" s="1"/>
  <c r="AA52" i="3"/>
  <c r="AB52" i="3" s="1"/>
  <c r="AC52" i="3" s="1"/>
  <c r="M12" i="3"/>
  <c r="O12" i="3" s="1"/>
  <c r="V12" i="3" s="1"/>
  <c r="U38" i="3"/>
  <c r="V38" i="3" s="1"/>
  <c r="AA31" i="3"/>
  <c r="AB31" i="3" s="1"/>
  <c r="U21" i="3"/>
  <c r="AA50" i="3"/>
  <c r="AB50" i="3" s="1"/>
  <c r="V34" i="3"/>
  <c r="M54" i="3"/>
  <c r="O54" i="3" s="1"/>
  <c r="AC54" i="3" s="1"/>
  <c r="AA11" i="3"/>
  <c r="AB11" i="3" s="1"/>
  <c r="AA14" i="3"/>
  <c r="AB14" i="3" s="1"/>
  <c r="U57" i="3"/>
  <c r="V57" i="3" s="1"/>
  <c r="U11" i="3"/>
  <c r="AA77" i="3"/>
  <c r="AB77" i="3" s="1"/>
  <c r="AA58" i="3"/>
  <c r="AB58" i="3" s="1"/>
  <c r="AC46" i="3"/>
  <c r="U52" i="3"/>
  <c r="V52" i="3" s="1"/>
  <c r="AA38" i="3"/>
  <c r="AB38" i="3" s="1"/>
  <c r="AC38" i="3" s="1"/>
  <c r="M58" i="3"/>
  <c r="O58" i="3" s="1"/>
  <c r="U10" i="3"/>
  <c r="M40" i="3"/>
  <c r="O40" i="3" s="1"/>
  <c r="AA17" i="3"/>
  <c r="AB17" i="3" s="1"/>
  <c r="U14" i="3"/>
  <c r="AC62" i="3"/>
  <c r="AA30" i="3"/>
  <c r="AB30" i="3" s="1"/>
  <c r="M36" i="3"/>
  <c r="O36" i="3" s="1"/>
  <c r="M42" i="3"/>
  <c r="O42" i="3" s="1"/>
  <c r="AA67" i="3"/>
  <c r="AB67" i="3" s="1"/>
  <c r="AA36" i="3"/>
  <c r="AB36" i="3" s="1"/>
  <c r="M13" i="3"/>
  <c r="O13" i="3" s="1"/>
  <c r="U41" i="3"/>
  <c r="M49" i="3"/>
  <c r="O49" i="3" s="1"/>
  <c r="M73" i="3"/>
  <c r="O73" i="3" s="1"/>
  <c r="AA49" i="3"/>
  <c r="AB49" i="3" s="1"/>
  <c r="AA9" i="3"/>
  <c r="AB9" i="3" s="1"/>
  <c r="AC9" i="3" s="1"/>
  <c r="M23" i="3"/>
  <c r="O23" i="3" s="1"/>
  <c r="U31" i="3"/>
  <c r="U70" i="3"/>
  <c r="AA20" i="3"/>
  <c r="AB20" i="3" s="1"/>
  <c r="M72" i="3"/>
  <c r="O72" i="3" s="1"/>
  <c r="AC72" i="3" s="1"/>
  <c r="AA25" i="3"/>
  <c r="AB25" i="3" s="1"/>
  <c r="M48" i="3"/>
  <c r="O48" i="3" s="1"/>
  <c r="U35" i="3"/>
  <c r="U49" i="3"/>
  <c r="AA75" i="3"/>
  <c r="AB75" i="3" s="1"/>
  <c r="AC75" i="3" s="1"/>
  <c r="Y4" i="3"/>
  <c r="X4" i="3"/>
  <c r="Z4" i="3"/>
  <c r="AC80" i="3"/>
  <c r="U18" i="3"/>
  <c r="U32" i="3"/>
  <c r="U74" i="3"/>
  <c r="M53" i="3"/>
  <c r="O53" i="3" s="1"/>
  <c r="V53" i="3" s="1"/>
  <c r="U80" i="3"/>
  <c r="V80" i="3" s="1"/>
  <c r="AA34" i="3"/>
  <c r="AB34" i="3" s="1"/>
  <c r="AC34" i="3" s="1"/>
  <c r="M74" i="3"/>
  <c r="O74" i="3" s="1"/>
  <c r="AC74" i="3" s="1"/>
  <c r="M71" i="3"/>
  <c r="O71" i="3" s="1"/>
  <c r="V71" i="3" s="1"/>
  <c r="AA60" i="3"/>
  <c r="AB60" i="3" s="1"/>
  <c r="U73" i="3"/>
  <c r="AA76" i="3"/>
  <c r="AB76" i="3" s="1"/>
  <c r="M8" i="3"/>
  <c r="O8" i="3" s="1"/>
  <c r="AA8" i="3"/>
  <c r="AB8" i="3" s="1"/>
  <c r="U27" i="3"/>
  <c r="V27" i="3" s="1"/>
  <c r="M45" i="3"/>
  <c r="O45" i="3" s="1"/>
  <c r="M60" i="3"/>
  <c r="O60" i="3" s="1"/>
  <c r="M78" i="3"/>
  <c r="O78" i="3" s="1"/>
  <c r="U76" i="3"/>
  <c r="U6" i="3"/>
  <c r="AA27" i="3"/>
  <c r="AB27" i="3" s="1"/>
  <c r="AC27" i="3" s="1"/>
  <c r="AA44" i="3"/>
  <c r="AB44" i="3" s="1"/>
  <c r="M63" i="3"/>
  <c r="O63" i="3" s="1"/>
  <c r="U51" i="3"/>
  <c r="U43" i="3"/>
  <c r="M39" i="3"/>
  <c r="O39" i="3" s="1"/>
  <c r="AA13" i="3"/>
  <c r="AB13" i="3" s="1"/>
  <c r="AA68" i="3"/>
  <c r="AB68" i="3" s="1"/>
  <c r="AC68" i="3" s="1"/>
  <c r="U30" i="3"/>
  <c r="U8" i="3"/>
  <c r="M6" i="3"/>
  <c r="O6" i="3" s="1"/>
  <c r="M31" i="3"/>
  <c r="O31" i="3" s="1"/>
  <c r="M64" i="3"/>
  <c r="O64" i="3" s="1"/>
  <c r="V64" i="3" s="1"/>
  <c r="AC56" i="3"/>
  <c r="M37" i="3"/>
  <c r="O37" i="3" s="1"/>
  <c r="AA28" i="3"/>
  <c r="AB28" i="3" s="1"/>
  <c r="M32" i="3"/>
  <c r="O32" i="3" s="1"/>
  <c r="U75" i="3"/>
  <c r="M24" i="3"/>
  <c r="O24" i="3" s="1"/>
  <c r="V24" i="3" s="1"/>
  <c r="U19" i="3"/>
  <c r="V19" i="3" s="1"/>
  <c r="M76" i="3"/>
  <c r="O76" i="3" s="1"/>
  <c r="U79" i="3"/>
  <c r="M35" i="3"/>
  <c r="O35" i="3" s="1"/>
  <c r="L5" i="3"/>
  <c r="L4" i="3"/>
  <c r="J4" i="3"/>
  <c r="K4" i="3"/>
  <c r="Z5" i="3"/>
  <c r="AA5" i="3" s="1"/>
  <c r="AB5" i="3" s="1"/>
  <c r="M77" i="3"/>
  <c r="O77" i="3" s="1"/>
  <c r="AA29" i="3"/>
  <c r="AB29" i="3" s="1"/>
  <c r="M43" i="3"/>
  <c r="O43" i="3" s="1"/>
  <c r="M70" i="3"/>
  <c r="O70" i="3" s="1"/>
  <c r="U46" i="3"/>
  <c r="V46" i="3" s="1"/>
  <c r="M30" i="3"/>
  <c r="O30" i="3" s="1"/>
  <c r="M79" i="3"/>
  <c r="O79" i="3" s="1"/>
  <c r="U39" i="3"/>
  <c r="U67" i="3"/>
  <c r="M17" i="3"/>
  <c r="O17" i="3" s="1"/>
  <c r="V17" i="3" s="1"/>
  <c r="AA71" i="3"/>
  <c r="AB71" i="3" s="1"/>
  <c r="U72" i="3"/>
  <c r="AA16" i="3"/>
  <c r="AB16" i="3" s="1"/>
  <c r="AA26" i="3"/>
  <c r="AB26" i="3" s="1"/>
  <c r="AA41" i="3"/>
  <c r="AB41" i="3" s="1"/>
  <c r="M41" i="3"/>
  <c r="O41" i="3" s="1"/>
  <c r="AC20" i="3" l="1"/>
  <c r="AC26" i="3"/>
  <c r="V15" i="3"/>
  <c r="AC6" i="3"/>
  <c r="AC32" i="3"/>
  <c r="V69" i="3"/>
  <c r="M5" i="3"/>
  <c r="O5" i="3" s="1"/>
  <c r="AC19" i="3"/>
  <c r="AC35" i="3"/>
  <c r="V73" i="3"/>
  <c r="V10" i="3"/>
  <c r="V18" i="3"/>
  <c r="V65" i="3"/>
  <c r="AC18" i="3"/>
  <c r="V13" i="3"/>
  <c r="V61" i="3"/>
  <c r="V49" i="3"/>
  <c r="V72" i="3"/>
  <c r="V62" i="3"/>
  <c r="AC39" i="3"/>
  <c r="V78" i="3"/>
  <c r="V22" i="3"/>
  <c r="AC11" i="3"/>
  <c r="V37" i="3"/>
  <c r="AC69" i="3"/>
  <c r="V45" i="3"/>
  <c r="V28" i="3"/>
  <c r="AC63" i="3"/>
  <c r="V16" i="3"/>
  <c r="AA4" i="3"/>
  <c r="AB4" i="3" s="1"/>
  <c r="V42" i="3"/>
  <c r="AC33" i="3"/>
  <c r="AC12" i="3"/>
  <c r="V39" i="3"/>
  <c r="V58" i="3"/>
  <c r="AC14" i="3"/>
  <c r="V29" i="3"/>
  <c r="AC64" i="3"/>
  <c r="AC21" i="3"/>
  <c r="AC79" i="3"/>
  <c r="AC29" i="3"/>
  <c r="V31" i="3"/>
  <c r="V14" i="3"/>
  <c r="AC73" i="3"/>
  <c r="V26" i="3"/>
  <c r="V7" i="3"/>
  <c r="AC43" i="3"/>
  <c r="U4" i="3"/>
  <c r="AC41" i="3"/>
  <c r="V44" i="3"/>
  <c r="AC44" i="3"/>
  <c r="AC48" i="3"/>
  <c r="AC49" i="3"/>
  <c r="AC17" i="3"/>
  <c r="V21" i="3"/>
  <c r="AC65" i="3"/>
  <c r="V55" i="3"/>
  <c r="AC22" i="3"/>
  <c r="AC51" i="3"/>
  <c r="AC59" i="3"/>
  <c r="V66" i="3"/>
  <c r="V35" i="3"/>
  <c r="U5" i="3"/>
  <c r="V5" i="3" s="1"/>
  <c r="AC8" i="3"/>
  <c r="AC40" i="3"/>
  <c r="AC31" i="3"/>
  <c r="V47" i="3"/>
  <c r="AC10" i="3"/>
  <c r="V36" i="3"/>
  <c r="AC70" i="3"/>
  <c r="V54" i="3"/>
  <c r="AC50" i="3"/>
  <c r="AC5" i="3"/>
  <c r="V51" i="3"/>
  <c r="AC53" i="3"/>
  <c r="V41" i="3"/>
  <c r="AC23" i="3"/>
  <c r="AC16" i="3"/>
  <c r="M4" i="3"/>
  <c r="O4" i="3" s="1"/>
  <c r="AC4" i="3" s="1"/>
  <c r="V75" i="3"/>
  <c r="V11" i="3"/>
  <c r="AC61" i="3"/>
  <c r="AC36" i="3"/>
  <c r="AC71" i="3"/>
  <c r="AC66" i="3"/>
  <c r="AC28" i="3"/>
  <c r="V8" i="3"/>
  <c r="AC45" i="3"/>
  <c r="AC25" i="3"/>
  <c r="AC67" i="3"/>
  <c r="V40" i="3"/>
  <c r="V6" i="3"/>
  <c r="V50" i="3"/>
  <c r="V30" i="3"/>
  <c r="V25" i="3"/>
  <c r="AC77" i="3"/>
  <c r="V67" i="3"/>
  <c r="V63" i="3"/>
  <c r="V60" i="3"/>
  <c r="V32" i="3"/>
  <c r="AC58" i="3"/>
  <c r="AC37" i="3"/>
  <c r="V79" i="3"/>
  <c r="V23" i="3"/>
  <c r="V76" i="3"/>
  <c r="AC42" i="3"/>
  <c r="V77" i="3"/>
  <c r="AC13" i="3"/>
  <c r="AC24" i="3"/>
  <c r="AC76" i="3"/>
  <c r="V74" i="3"/>
  <c r="V48" i="3"/>
  <c r="AC30" i="3"/>
  <c r="V43" i="3"/>
  <c r="AC60" i="3"/>
  <c r="AC78" i="3"/>
  <c r="V70" i="3"/>
  <c r="V4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<sst xmlns="http://schemas.openxmlformats.org/spreadsheetml/2006/main" count="212" uniqueCount="200">
  <si>
    <t>Reference File</t>
  </si>
  <si>
    <t>Metadata</t>
  </si>
  <si>
    <t>Timestamp</t>
  </si>
  <si>
    <t>3He (cps)</t>
  </si>
  <si>
    <t>3He (pccSTP)</t>
  </si>
  <si>
    <t>(3) +/-</t>
  </si>
  <si>
    <t>Sensitivity 3He (pccSTP/cps)</t>
  </si>
  <si>
    <t>Heated Time (s)</t>
  </si>
  <si>
    <t>Target Temp (C)</t>
  </si>
  <si>
    <t>Recorded Av Temp (C)</t>
  </si>
  <si>
    <t>He29369.txt</t>
  </si>
  <si>
    <t>112123LVCOPyIrr: 2315_120.0_200.0 200.12</t>
  </si>
  <si>
    <t>He29373.txt</t>
  </si>
  <si>
    <t>112123LVCOPyIrr: 2335_120.0_310.0 310.11</t>
  </si>
  <si>
    <t>He29378.txt</t>
  </si>
  <si>
    <t>112123LVCOPyIrr: 2355_120.0_200.0 200.08</t>
  </si>
  <si>
    <t>He29383.txt</t>
  </si>
  <si>
    <t>112123LVCOPyIrr: 2375_120.0_320.0 320.10</t>
  </si>
  <si>
    <t>He29387.txt</t>
  </si>
  <si>
    <t>112123LVCOPyIrr: 2405_120.0_320.0 320.10</t>
  </si>
  <si>
    <t>He29392.txt</t>
  </si>
  <si>
    <t>112123LVCOPyIrr: 2425_60.0_200.0 200.25</t>
  </si>
  <si>
    <t>He29396.txt</t>
  </si>
  <si>
    <t>112123LVCOPyIrr: 2445_130.0_330.0 330.11</t>
  </si>
  <si>
    <t>He29401.txt</t>
  </si>
  <si>
    <t>112123LVCOPyIrr: 2475_60.0_200.0 200.19</t>
  </si>
  <si>
    <t>He29405.txt</t>
  </si>
  <si>
    <t>112123LVCOPyIrr: 2495_120.0_340.0 340.11</t>
  </si>
  <si>
    <t>He29416.txt</t>
  </si>
  <si>
    <t>112123LVCOPyIrr: 2515_596.0_200.0 200.67</t>
  </si>
  <si>
    <t>He29419.txt</t>
  </si>
  <si>
    <t>112123LVCOPyIrr: 2575_120.0_350.0 350.10</t>
  </si>
  <si>
    <t>He29423.txt</t>
  </si>
  <si>
    <t>112123LVCOPyIrr: 2615_120.0_400.0 399.75</t>
  </si>
  <si>
    <t>He29424.txt</t>
  </si>
  <si>
    <t>112123LVCOPyIrr: 2635_60.0_200.0 200.18</t>
  </si>
  <si>
    <t>He29430.txt</t>
  </si>
  <si>
    <t>112123LVCOPyIrr: 2645_120.0_395.0 395.11</t>
  </si>
  <si>
    <t>He29432.txt</t>
  </si>
  <si>
    <t>112123LVCOPyIrr: 2675_60.0_200.0 200.26</t>
  </si>
  <si>
    <t>He29436.txt</t>
  </si>
  <si>
    <t>112123LVCOPyIrr: 2685_120.0_390.0 390.10</t>
  </si>
  <si>
    <t>He29443.txt</t>
  </si>
  <si>
    <t>112123LVCOPyIrr: 2715_130.0_385.0 385.09</t>
  </si>
  <si>
    <t>He29448.txt</t>
  </si>
  <si>
    <t>112123LVCOPyIrr: 2735_140.0_380.0 380.09</t>
  </si>
  <si>
    <t>He29452.txt</t>
  </si>
  <si>
    <t>112123LVCOPyIrr: 2745_60.0_200.0 200.17</t>
  </si>
  <si>
    <t>He29456.txt</t>
  </si>
  <si>
    <t>112123LVCOPyIrr: 2755_150.0_375.0 375.08</t>
  </si>
  <si>
    <t>He29458.txt</t>
  </si>
  <si>
    <t>112123LVCOPyIrr: 2765_60.0_200.0 200.16</t>
  </si>
  <si>
    <t>He29462.txt</t>
  </si>
  <si>
    <t>112123LVCOPyIrr: 2775_160.0_370.0 370.08</t>
  </si>
  <si>
    <t>He29464.txt</t>
  </si>
  <si>
    <t>112123LVCOPyIrr: 2785_60.0_200.0 200.16</t>
  </si>
  <si>
    <t>He29467.txt</t>
  </si>
  <si>
    <t>112123LVCOPyIrr: 2795_170.0_365.0 365.07</t>
  </si>
  <si>
    <t>He29469.txt</t>
  </si>
  <si>
    <t>112123LVCOPyIrr: 2805_60.0_200.0 200.16</t>
  </si>
  <si>
    <t>He29470.txt</t>
  </si>
  <si>
    <t>112123LVCOPyIrr: 2815_180.0_360.0 360.07</t>
  </si>
  <si>
    <t>He29471.txt</t>
  </si>
  <si>
    <t>112123LVCOPyIrr: 2825_60.0_200.0 200.16</t>
  </si>
  <si>
    <t>He29473.txt</t>
  </si>
  <si>
    <t>112123LVCOPyIrr: 2835_120.0_410.0 410.09</t>
  </si>
  <si>
    <t>He29474.txt</t>
  </si>
  <si>
    <t>112123LVCOPyIrr: 2845_60.0_200.0 200.15</t>
  </si>
  <si>
    <t>He29475.txt</t>
  </si>
  <si>
    <t>112123LVCOPyIrr: 2855_120.0_420.0 420.08</t>
  </si>
  <si>
    <t>He29476.txt</t>
  </si>
  <si>
    <t>112123LVCOPyIrr: 2865_60.0_200.0 200.15</t>
  </si>
  <si>
    <t>He29478.txt</t>
  </si>
  <si>
    <t>112123LVCOPyIrr: 2875_120.0_430.0 430.08</t>
  </si>
  <si>
    <t>He29479.txt</t>
  </si>
  <si>
    <t>112123LVCOPyIrr: 2885_60.0_200.0 200.14</t>
  </si>
  <si>
    <t>He29480.txt</t>
  </si>
  <si>
    <t>112123LVCOPyIrr: 2895_120.0_440.0 440.07</t>
  </si>
  <si>
    <t>He29481.txt</t>
  </si>
  <si>
    <t>112123LVCOPyIrr: 2905_60.0_200.0 200.14</t>
  </si>
  <si>
    <t>He29483.txt</t>
  </si>
  <si>
    <t>112123LVCOPyIrr: 2915_120.0_450.0 450.06</t>
  </si>
  <si>
    <t>He29484.txt</t>
  </si>
  <si>
    <t>112123LVCOPyIrr: 2925_60.0_200.0 200.13</t>
  </si>
  <si>
    <t>He29485.txt</t>
  </si>
  <si>
    <t>112123LVCOPyIrr: 2935_120.0_445.0 445.05</t>
  </si>
  <si>
    <t>He29487.txt</t>
  </si>
  <si>
    <t>112123LVCOPyIrr: 2945_60.0_200.0 200.13</t>
  </si>
  <si>
    <t>He29488.txt</t>
  </si>
  <si>
    <t>112123LVCOPyIrr: 2955_120.0_440.0 440.06</t>
  </si>
  <si>
    <t>He29489.txt</t>
  </si>
  <si>
    <t>112123LVCOPyIrr: 2965_60.0_200.0 200.14</t>
  </si>
  <si>
    <t>He29491.txt</t>
  </si>
  <si>
    <t>112123LVCOPyIrr: 2975_130.0_435.0 435.05</t>
  </si>
  <si>
    <t>He29492.txt</t>
  </si>
  <si>
    <t>112123LVCOPyIrr: 2985_60.0_200.0 200.22</t>
  </si>
  <si>
    <t>He29493.txt</t>
  </si>
  <si>
    <t>112123LVCOPyIrr: 2995_140.0_430.0 430.05</t>
  </si>
  <si>
    <t>He29504.txt</t>
  </si>
  <si>
    <t>112123LVCOPyIrr: 3045_150.0_425.0 425.07</t>
  </si>
  <si>
    <t>He29507.txt</t>
  </si>
  <si>
    <t>112123LVCOPyIrr: 3075_60.0_200.0 200.22</t>
  </si>
  <si>
    <t>He29511.txt</t>
  </si>
  <si>
    <t>112123LVCOPyIrr: 3085_120.0_500.0 500.05</t>
  </si>
  <si>
    <t>He29513.txt</t>
  </si>
  <si>
    <t>112123LVCOPyIrr: 3105_60.0_200.0 200.12</t>
  </si>
  <si>
    <t>He29514.txt</t>
  </si>
  <si>
    <t>112123LVCOPyIrr: 3125_120.0_510.0 510.06</t>
  </si>
  <si>
    <t>He29517.txt</t>
  </si>
  <si>
    <t>112123LVCOPyIrr: 3145_120.0_520.0 520.07</t>
  </si>
  <si>
    <t>He29519.txt</t>
  </si>
  <si>
    <t>112123LVCOPyIrr: 3155_60.0_200.0 200.12</t>
  </si>
  <si>
    <t>He29523.txt</t>
  </si>
  <si>
    <t>112123LVCOPyIrr: 3175_120.0_530.0 530.04</t>
  </si>
  <si>
    <t>He29528.txt</t>
  </si>
  <si>
    <t>112123LVCOPyIrr: 3215_60.0_200.0 200.23</t>
  </si>
  <si>
    <t>He29536.txt</t>
  </si>
  <si>
    <t>112123LVCOPyIrr: 3245_120.0_540.0 540.04</t>
  </si>
  <si>
    <t>He29539.txt</t>
  </si>
  <si>
    <t>112123LVCOPyIrr: 3275_60.0_200.0 200.20</t>
  </si>
  <si>
    <t>He29543.txt</t>
  </si>
  <si>
    <t>112123LVCOPyIrr: 3295_120.0_550.0 550.04</t>
  </si>
  <si>
    <t>He29545.txt</t>
  </si>
  <si>
    <t>112123LVCOPyIrr: 3325_60.0_200.0 200.24</t>
  </si>
  <si>
    <t>He29552.txt</t>
  </si>
  <si>
    <t>112123LVCOPyIrr: 3345_384.0_560.0 560.11</t>
  </si>
  <si>
    <t>He29554.txt</t>
  </si>
  <si>
    <t>112123LVCOPyIrr: 3405_60.0_570.0 570.08</t>
  </si>
  <si>
    <t>He29556.txt</t>
  </si>
  <si>
    <t>112123LVCOPyIrr: 3425_60.0_580.0 580.01</t>
  </si>
  <si>
    <t>He29561.txt</t>
  </si>
  <si>
    <t>112123LVCOPyIrr: 3445_60.0_590.0 590.05</t>
  </si>
  <si>
    <t>He29564.txt</t>
  </si>
  <si>
    <t>112123LVCOPyIrr: 3465_60.0_600.0 600.02</t>
  </si>
  <si>
    <t>He29569.txt</t>
  </si>
  <si>
    <t>112123LVCOPyIrr: 3485_60.0_595.0 595.04</t>
  </si>
  <si>
    <t>He29572.txt</t>
  </si>
  <si>
    <t>112123LVCOPyIrr: 3515_60.0_590.0 590.06</t>
  </si>
  <si>
    <t>He29577.txt</t>
  </si>
  <si>
    <t>112123LVCOPyIrr: 3525_60.0_585.0 585.09</t>
  </si>
  <si>
    <t>He29580.txt</t>
  </si>
  <si>
    <t>112123LVCOPyIrr: 3555_60.0_580.0 580.15</t>
  </si>
  <si>
    <t>He29585.txt</t>
  </si>
  <si>
    <t>112123LVCOPyIrr: 3565_60.0_575.0 575.13</t>
  </si>
  <si>
    <t>He29587.txt</t>
  </si>
  <si>
    <t>112123LVCOPyIrr: 3595_60.0_570.0 570.15</t>
  </si>
  <si>
    <t>He29591.txt</t>
  </si>
  <si>
    <t>112123LVCOPyIrr: 3605_60.0_565.0 565.16</t>
  </si>
  <si>
    <t>He29593.txt</t>
  </si>
  <si>
    <t>112123LVCOPyIrr: 3635_60.0_560.0 560.15</t>
  </si>
  <si>
    <t>He29594.txt</t>
  </si>
  <si>
    <t>112123LVCOPyIrr: 3655_60.0_555.0 555.16</t>
  </si>
  <si>
    <t>He29603.txt</t>
  </si>
  <si>
    <t>112123LVCOPyIrr: 3715_60.0_600.0 600.10</t>
  </si>
  <si>
    <t>He29605.txt</t>
  </si>
  <si>
    <t>112123LVCOPyIrr: 3725_79.0_550.0 551.67</t>
  </si>
  <si>
    <t>He29608.txt</t>
  </si>
  <si>
    <t>112123LVCOPyIrr: 3745_60.0_550.0 550.16</t>
  </si>
  <si>
    <t>He29610.txt</t>
  </si>
  <si>
    <t>112123LVCOPyIrr: 3765_60.0_550.0 550.16</t>
  </si>
  <si>
    <t>He29613.txt</t>
  </si>
  <si>
    <t>112123LVCOPyIrr: 3775_420.0_500.0 500.05</t>
  </si>
  <si>
    <t>He29616.txt</t>
  </si>
  <si>
    <t>112123LVCOPyIrr: 3805_180.0_500.0 500.06</t>
  </si>
  <si>
    <t>K (atoms/(s*atm*cm))</t>
  </si>
  <si>
    <t>λ = KGRT</t>
  </si>
  <si>
    <t xml:space="preserve">λt </t>
  </si>
  <si>
    <t>nt UB</t>
  </si>
  <si>
    <t>Prev. Cum Yield</t>
  </si>
  <si>
    <t>Cum Yield</t>
  </si>
  <si>
    <t>CONSTANTS</t>
  </si>
  <si>
    <t>ID (cm)</t>
  </si>
  <si>
    <t>OD (cm)</t>
  </si>
  <si>
    <t>G (cm^-1)</t>
  </si>
  <si>
    <t>R (cm^3 * atm  * atoms^-1 * K^1)</t>
  </si>
  <si>
    <t>Cum 3He</t>
  </si>
  <si>
    <t>D&lt;10%</t>
  </si>
  <si>
    <t>D&lt;90%</t>
  </si>
  <si>
    <t>D&gt;90%</t>
  </si>
  <si>
    <t>D/a^2</t>
  </si>
  <si>
    <t>10000/TK</t>
  </si>
  <si>
    <t>ln(d/a^2)</t>
  </si>
  <si>
    <t>Step</t>
  </si>
  <si>
    <t>Temp ©</t>
  </si>
  <si>
    <t>Seconds</t>
  </si>
  <si>
    <t>TOTAL</t>
  </si>
  <si>
    <r>
      <t>n</t>
    </r>
    <r>
      <rPr>
        <vertAlign val="subscript"/>
        <sz val="11"/>
        <color theme="1"/>
        <rFont val="Aptos Narrow"/>
        <family val="2"/>
        <scheme val="minor"/>
      </rPr>
      <t>t</t>
    </r>
    <r>
      <rPr>
        <vertAlign val="superscript"/>
        <sz val="11"/>
        <color theme="1"/>
        <rFont val="Aptos Narrow"/>
        <family val="2"/>
        <scheme val="minor"/>
      </rPr>
      <t>UB</t>
    </r>
  </si>
  <si>
    <t>Fim</t>
  </si>
  <si>
    <t>FiUP</t>
  </si>
  <si>
    <t>Δln(d/a^2)</t>
  </si>
  <si>
    <t>m</t>
  </si>
  <si>
    <t>LB</t>
  </si>
  <si>
    <t>UB</t>
  </si>
  <si>
    <t>Total</t>
  </si>
  <si>
    <r>
      <t>F</t>
    </r>
    <r>
      <rPr>
        <vertAlign val="subscript"/>
        <sz val="11"/>
        <color theme="1"/>
        <rFont val="Aptos Narrow"/>
        <family val="2"/>
        <scheme val="minor"/>
      </rPr>
      <t>LB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</si>
  <si>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m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</si>
  <si>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UB</t>
    </r>
  </si>
  <si>
    <r>
      <t>λ</t>
    </r>
    <r>
      <rPr>
        <vertAlign val="subscript"/>
        <sz val="11"/>
        <color theme="1"/>
        <rFont val="Aptos Narrow"/>
        <family val="2"/>
        <scheme val="minor"/>
      </rPr>
      <t>LB</t>
    </r>
  </si>
  <si>
    <r>
      <t>λ</t>
    </r>
    <r>
      <rPr>
        <vertAlign val="subscript"/>
        <sz val="11"/>
        <color theme="1"/>
        <rFont val="Aptos Narrow"/>
        <family val="2"/>
        <scheme val="minor"/>
      </rPr>
      <t>m</t>
    </r>
  </si>
  <si>
    <r>
      <t>λ</t>
    </r>
    <r>
      <rPr>
        <vertAlign val="subscript"/>
        <sz val="11"/>
        <color theme="1"/>
        <rFont val="Aptos Narrow"/>
        <family val="2"/>
        <scheme val="minor"/>
      </rPr>
      <t>UB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</si>
</sst>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  <font>
      <sz val="1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7">
    <xf numFmtId="0" fontId="0" fillId="0" borderId="0" xfId="0"/>
    <xf numFmtId="0" fontId="18" fillId="0" borderId="0" xfId="0" applyFont="1"/>
    <xf numFmtId="2" fontId="0" fillId="0" borderId="0" xfId="0" applyNumberFormat="1"/>
    <xf numFmtId="2" fontId="18" fillId="0" borderId="0" xfId="0" applyNumberFormat="1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 applyAlignment="1">
      <alignment wrapText="1"/>
    </xf>
    <xf numFmtId="11" fontId="0" fillId="0" borderId="16" xfId="0" applyNumberFormat="1" applyBorder="1"/>
    <xf numFmtId="0" fontId="0" fillId="0" borderId="16" xfId="0" applyBorder="1"/>
    <xf numFmtId="0" fontId="0" fillId="0" borderId="17" xfId="0" applyBorder="1"/>
    <xf numFmtId="22" fontId="0" fillId="0" borderId="0" xfId="0" applyNumberFormat="1"/>
    <xf numFmtId="11" fontId="0" fillId="0" borderId="0" xfId="0" applyNumberFormat="1"/>
    <xf numFmtId="164" fontId="0" fillId="0" borderId="0" xfId="0" applyNumberFormat="1"/>
    <xf numFmtId="0" fontId="0" fillId="33" borderId="0" xfId="0" applyFill="1"/>
    <xf numFmtId="22" fontId="0" fillId="33" borderId="0" xfId="0" applyNumberFormat="1" applyFill="1"/>
    <xf numFmtId="11" fontId="0" fillId="33" borderId="0" xfId="0" applyNumberFormat="1" applyFill="1"/>
    <xf numFmtId="2" fontId="0" fillId="33" borderId="0" xfId="0" applyNumberFormat="1" applyFill="1"/>
    <xf numFmtId="164" fontId="0" fillId="33" borderId="0" xfId="0" applyNumberFormat="1" applyFill="1"/>
    <xf numFmtId="0" fontId="19" fillId="0" borderId="0" xfId="0" applyFont="1"/>
    <xf numFmtId="0" fontId="0" fillId="34" borderId="0" xfId="0" applyFill="1"/>
    <xf numFmtId="11" fontId="0" fillId="34" borderId="0" xfId="0" applyNumberFormat="1" applyFill="1"/>
    <xf numFmtId="22" fontId="0" fillId="34" borderId="0" xfId="0" applyNumberFormat="1" applyFill="1"/>
    <xf numFmtId="2" fontId="0" fillId="34" borderId="0" xfId="0" applyNumberFormat="1" applyFill="1"/>
    <xf numFmtId="164" fontId="0" fillId="34" borderId="0" xfId="0" applyNumberFormat="1" applyFill="1"/>
    <xf numFmtId="0" fontId="0" fillId="35" borderId="0" xfId="0" applyFill="1"/>
    <xf numFmtId="11" fontId="0" fillId="35" borderId="0" xfId="0" applyNumberFormat="1" applyFill="1"/>
    <xf numFmtId="2" fontId="0" fillId="35" borderId="0" xfId="0" applyNumberFormat="1" applyFill="1"/>
    <xf numFmtId="0" fontId="0" fillId="36" borderId="0" xfId="0" applyFill="1"/>
    <xf numFmtId="22" fontId="0" fillId="36" borderId="0" xfId="0" applyNumberFormat="1" applyFill="1"/>
    <xf numFmtId="11" fontId="0" fillId="36" borderId="0" xfId="0" applyNumberFormat="1" applyFill="1"/>
    <xf numFmtId="2" fontId="0" fillId="36" borderId="0" xfId="0" applyNumberFormat="1" applyFill="1"/>
    <xf numFmtId="164" fontId="0" fillId="36" borderId="0" xfId="0" applyNumberFormat="1" applyFill="1"/>
    <xf numFmtId="0" fontId="0" fillId="37" borderId="0" xfId="0" applyFill="1"/>
    <xf numFmtId="11" fontId="0" fillId="37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Apparent</a:t>
            </a:r>
            <a:r>
              <a:rPr lang="en-US" baseline="0"/>
              <a:t> Helium Diffusivities LCOPy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accent1">
                  <a:alpha val="43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(Diffusivities!$AC$61:$AC$80,Diffusivities!$AC$59,Diffusivities!$AC$57,Diffusivities!$AC$55,Diffusivities!$AC$53,Diffusivities!$AC$52:$AC$53,Diffusivities!$AC$50)</c:f>
                <c:numCache>
                  <c:formatCode>General</c:formatCode>
                  <c:ptCount val="27"/>
                  <c:pt idx="0">
                    <c:v>6.338550886372829E-2</c:v>
                  </c:pt>
                  <c:pt idx="1">
                    <c:v>0.42459095783349454</c:v>
                  </c:pt>
                  <c:pt idx="2">
                    <c:v>0.40266747219678933</c:v>
                  </c:pt>
                  <c:pt idx="3">
                    <c:v>0.39039345407143244</c:v>
                  </c:pt>
                  <c:pt idx="4">
                    <c:v>0.37329080271679871</c:v>
                  </c:pt>
                  <c:pt idx="5">
                    <c:v>0.38025910655477446</c:v>
                  </c:pt>
                  <c:pt idx="6">
                    <c:v>0.38750429471241077</c:v>
                  </c:pt>
                  <c:pt idx="7">
                    <c:v>0.39418624618071263</c:v>
                  </c:pt>
                  <c:pt idx="8">
                    <c:v>0.40753784246816593</c:v>
                  </c:pt>
                  <c:pt idx="9">
                    <c:v>0.41756657685844445</c:v>
                  </c:pt>
                  <c:pt idx="10">
                    <c:v>0.42532007525899829</c:v>
                  </c:pt>
                  <c:pt idx="11">
                    <c:v>0.44195295125138045</c:v>
                  </c:pt>
                  <c:pt idx="12">
                    <c:v>0.45533229852718904</c:v>
                  </c:pt>
                  <c:pt idx="13">
                    <c:v>0.46768226966896975</c:v>
                  </c:pt>
                  <c:pt idx="14">
                    <c:v>0.35227973713359972</c:v>
                  </c:pt>
                  <c:pt idx="15">
                    <c:v>0.34523296379583712</c:v>
                  </c:pt>
                  <c:pt idx="16">
                    <c:v>0.4989532154208618</c:v>
                  </c:pt>
                  <c:pt idx="17">
                    <c:v>0.48445383792999053</c:v>
                  </c:pt>
                  <c:pt idx="18">
                    <c:v>7.0265909045016173E-2</c:v>
                  </c:pt>
                  <c:pt idx="19">
                    <c:v>0.17188461995527149</c:v>
                  </c:pt>
                  <c:pt idx="20">
                    <c:v>0.21247121520426759</c:v>
                  </c:pt>
                  <c:pt idx="21">
                    <c:v>0.22378872908225844</c:v>
                  </c:pt>
                  <c:pt idx="22">
                    <c:v>0.24027874337004818</c:v>
                  </c:pt>
                  <c:pt idx="23">
                    <c:v>0.25310526771899688</c:v>
                  </c:pt>
                  <c:pt idx="24">
                    <c:v>0.27423478786569788</c:v>
                  </c:pt>
                  <c:pt idx="25">
                    <c:v>0.25310526771899688</c:v>
                  </c:pt>
                  <c:pt idx="26">
                    <c:v>0.30818148048506444</c:v>
                  </c:pt>
                </c:numCache>
              </c:numRef>
            </c:plus>
            <c:minus>
              <c:numRef>
                <c:f>(Diffusivities!$V$50,Diffusivities!$V$52,Diffusivities!$V$52:$V$53,Diffusivities!$V$55,Diffusivities!$V$57,Diffusivities!$V$59,Diffusivities!$V$61:$V$80)</c:f>
                <c:numCache>
                  <c:formatCode>General</c:formatCode>
                  <c:ptCount val="27"/>
                  <c:pt idx="0">
                    <c:v>2.9173797177666216E-2</c:v>
                  </c:pt>
                  <c:pt idx="1">
                    <c:v>0.46555729685131553</c:v>
                  </c:pt>
                  <c:pt idx="2">
                    <c:v>0.46555729685131553</c:v>
                  </c:pt>
                  <c:pt idx="3">
                    <c:v>0.40805525895375538</c:v>
                  </c:pt>
                  <c:pt idx="4">
                    <c:v>0.18979345934020486</c:v>
                  </c:pt>
                  <c:pt idx="5">
                    <c:v>0.31645442783945654</c:v>
                  </c:pt>
                  <c:pt idx="6">
                    <c:v>0.21091754431072474</c:v>
                  </c:pt>
                  <c:pt idx="7">
                    <c:v>5.7709156964939723E-2</c:v>
                  </c:pt>
                  <c:pt idx="8">
                    <c:v>0.49272599891947166</c:v>
                  </c:pt>
                  <c:pt idx="9">
                    <c:v>0.35641273930365713</c:v>
                  </c:pt>
                  <c:pt idx="10">
                    <c:v>0.2243913473233583</c:v>
                  </c:pt>
                  <c:pt idx="11">
                    <c:v>0.51926804924960379</c:v>
                  </c:pt>
                  <c:pt idx="12">
                    <c:v>0.81626608033716508</c:v>
                  </c:pt>
                  <c:pt idx="13">
                    <c:v>1.023568554129902</c:v>
                  </c:pt>
                  <c:pt idx="14">
                    <c:v>0.81501085172854104</c:v>
                  </c:pt>
                  <c:pt idx="15">
                    <c:v>1.3332999425537118</c:v>
                  </c:pt>
                  <c:pt idx="16">
                    <c:v>1.2650024342989248</c:v>
                  </c:pt>
                  <c:pt idx="17">
                    <c:v>0.85999868361677301</c:v>
                  </c:pt>
                  <c:pt idx="18">
                    <c:v>1.228329246731338</c:v>
                  </c:pt>
                  <c:pt idx="19">
                    <c:v>1.2272659103742356</c:v>
                  </c:pt>
                  <c:pt idx="20">
                    <c:v>1.0664516312422521</c:v>
                  </c:pt>
                  <c:pt idx="21">
                    <c:v>9.1787915116309904E-2</c:v>
                  </c:pt>
                  <c:pt idx="22">
                    <c:v>5</c:v>
                  </c:pt>
                  <c:pt idx="23">
                    <c:v>5</c:v>
                  </c:pt>
                  <c:pt idx="24">
                    <c:v>1.2337266043827348</c:v>
                  </c:pt>
                  <c:pt idx="25">
                    <c:v>0.47787415699891156</c:v>
                  </c:pt>
                  <c:pt idx="26">
                    <c:v>0.22986635765450814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FF0000"/>
                </a:solidFill>
                <a:round/>
                <a:tailEnd w="med" len="lg"/>
              </a:ln>
              <a:effectLst/>
            </c:spPr>
          </c:errBars>
          <c:xVal>
            <c:numRef>
              <c:f>(Diffusivities!$N$50,Diffusivities!$N$52:$N$53,Diffusivities!$N$55,Diffusivities!$N$57,Diffusivities!$N$59,Diffusivities!$N$61:$N$80)</c:f>
              <c:numCache>
                <c:formatCode>General</c:formatCode>
                <c:ptCount val="26"/>
                <c:pt idx="0">
                  <c:v>12.935773882672548</c:v>
                </c:pt>
                <c:pt idx="1">
                  <c:v>12.770413505989339</c:v>
                </c:pt>
                <c:pt idx="2">
                  <c:v>12.609227432635201</c:v>
                </c:pt>
                <c:pt idx="3">
                  <c:v>12.452679816696554</c:v>
                </c:pt>
                <c:pt idx="4">
                  <c:v>12.299517858899932</c:v>
                </c:pt>
                <c:pt idx="5">
                  <c:v>12.150077760497668</c:v>
                </c:pt>
                <c:pt idx="6">
                  <c:v>12.003216862119048</c:v>
                </c:pt>
                <c:pt idx="7">
                  <c:v>11.861270579304454</c:v>
                </c:pt>
                <c:pt idx="8">
                  <c:v>11.723191990715232</c:v>
                </c:pt>
                <c:pt idx="9">
                  <c:v>11.586814205434216</c:v>
                </c:pt>
                <c:pt idx="10">
                  <c:v>11.454491306041099</c:v>
                </c:pt>
                <c:pt idx="11">
                  <c:v>11.520206442099443</c:v>
                </c:pt>
                <c:pt idx="12">
                  <c:v>11.586679952726346</c:v>
                </c:pt>
                <c:pt idx="13">
                  <c:v>11.653789229567993</c:v>
                </c:pt>
                <c:pt idx="14">
                  <c:v>11.721268241223701</c:v>
                </c:pt>
                <c:pt idx="15">
                  <c:v>11.79064530201738</c:v>
                </c:pt>
                <c:pt idx="16">
                  <c:v>11.860285832888573</c:v>
                </c:pt>
                <c:pt idx="17">
                  <c:v>11.930896248926219</c:v>
                </c:pt>
                <c:pt idx="18">
                  <c:v>12.002640580927805</c:v>
                </c:pt>
                <c:pt idx="19">
                  <c:v>12.074961360123648</c:v>
                </c:pt>
                <c:pt idx="20">
                  <c:v>11.453441759248653</c:v>
                </c:pt>
                <c:pt idx="21">
                  <c:v>12.126062546230614</c:v>
                </c:pt>
                <c:pt idx="22">
                  <c:v>12.148306526070266</c:v>
                </c:pt>
                <c:pt idx="23">
                  <c:v>12.148306526070266</c:v>
                </c:pt>
                <c:pt idx="24">
                  <c:v>12.935773882672548</c:v>
                </c:pt>
                <c:pt idx="25">
                  <c:v>12.935606550591173</c:v>
                </c:pt>
              </c:numCache>
            </c:numRef>
          </c:xVal>
          <c:yVal>
            <c:numRef>
              <c:f>(Diffusivities!$O$50,Diffusivities!$O$52:$O$53,Diffusivities!$O$55,Diffusivities!$O$57,Diffusivities!$O$59,Diffusivities!$O$61:$O$80)</c:f>
              <c:numCache>
                <c:formatCode>General</c:formatCode>
                <c:ptCount val="26"/>
                <c:pt idx="0">
                  <c:v>-22.575690898401227</c:v>
                </c:pt>
                <c:pt idx="1">
                  <c:v>-22.735674238421336</c:v>
                </c:pt>
                <c:pt idx="2">
                  <c:v>-22.795743898340042</c:v>
                </c:pt>
                <c:pt idx="3">
                  <c:v>-22.453304098340016</c:v>
                </c:pt>
                <c:pt idx="4">
                  <c:v>-22.506508696189083</c:v>
                </c:pt>
                <c:pt idx="5">
                  <c:v>-22.248627305863458</c:v>
                </c:pt>
                <c:pt idx="6">
                  <c:v>-22.04142315013377</c:v>
                </c:pt>
                <c:pt idx="7">
                  <c:v>-21.967715374875368</c:v>
                </c:pt>
                <c:pt idx="8">
                  <c:v>-21.399963729788503</c:v>
                </c:pt>
                <c:pt idx="9">
                  <c:v>-20.497065168129339</c:v>
                </c:pt>
                <c:pt idx="10">
                  <c:v>-20.33236713748412</c:v>
                </c:pt>
                <c:pt idx="11">
                  <c:v>-20.541781531496955</c:v>
                </c:pt>
                <c:pt idx="12">
                  <c:v>-20.86732651525277</c:v>
                </c:pt>
                <c:pt idx="13">
                  <c:v>-21.030819773046492</c:v>
                </c:pt>
                <c:pt idx="14">
                  <c:v>-21.452202608853153</c:v>
                </c:pt>
                <c:pt idx="15">
                  <c:v>-21.807526340862562</c:v>
                </c:pt>
                <c:pt idx="16">
                  <c:v>-21.914604861684065</c:v>
                </c:pt>
                <c:pt idx="17">
                  <c:v>-22.202916672597357</c:v>
                </c:pt>
                <c:pt idx="18">
                  <c:v>-22.443510900503217</c:v>
                </c:pt>
                <c:pt idx="19">
                  <c:v>-22.572006975226415</c:v>
                </c:pt>
                <c:pt idx="20">
                  <c:v>-20.655217333132025</c:v>
                </c:pt>
                <c:pt idx="21">
                  <c:v>-21.986294389977491</c:v>
                </c:pt>
                <c:pt idx="22">
                  <c:v>-22.659720792292894</c:v>
                </c:pt>
                <c:pt idx="23">
                  <c:v>-22.750946046145284</c:v>
                </c:pt>
                <c:pt idx="24">
                  <c:v>-24.201754663659624</c:v>
                </c:pt>
                <c:pt idx="25">
                  <c:v>-24.391596935489204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E1-4A43-9284-22D5FCB3E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6213823"/>
        <c:axId val="1966208543"/>
      </c:scatterChart>
      <c:valAx>
        <c:axId val="1966213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10000/T</a:t>
                </a:r>
                <a:r>
                  <a:rPr lang="en-US" baseline="0"/>
                  <a:t> (K)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208543"/>
        <c:crosses val="autoZero"/>
        <c:crossBetween val="midCat"/>
      </c:valAx>
      <c:valAx>
        <c:axId val="1966208543"/>
        <c:scaling>
          <c:orientation val="minMax"/>
          <c:max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ln(D/a^2)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213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502920</xdr:colOff>
      <xdr:row>2</xdr:row>
      <xdr:rowOff>80010</xdr:rowOff>
    </xdr:from>
    <xdr:to>
      <xdr:col>30</xdr:col>
      <xdr:colOff>198120</xdr:colOff>
      <xdr:row>17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F49C2D-9395-AAEA-7957-A57EF4D3DB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92320-E3D3-4097-A138-6EC5D199B32F}">
  <dimension ref="A1:AB85"/>
  <sheetViews>
    <sheetView tabSelected="1" topLeftCell="R44" workbookViewId="0">
      <selection activeCell="Z52" sqref="Z52"/>
    </sheetView>
  </sheetViews>
  <sheetFormatPr defaultRowHeight="14.4" x14ac:dyDescent="0.3"/>
  <cols>
    <col min="14" max="14" width="12.109375" bestFit="1" customWidth="1"/>
    <col min="17" max="17" width="10.44140625" customWidth="1"/>
    <col min="22" max="24" width="12" bestFit="1" customWidth="1"/>
  </cols>
  <sheetData>
    <row r="1" spans="1:28" ht="15.6" x14ac:dyDescent="0.35">
      <c r="B1" t="s">
        <v>0</v>
      </c>
      <c r="C1" t="s">
        <v>1</v>
      </c>
      <c r="D1" t="s">
        <v>2</v>
      </c>
      <c r="E1">
        <v>3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N1" s="1" t="s">
        <v>164</v>
      </c>
      <c r="O1" s="1" t="s">
        <v>165</v>
      </c>
      <c r="P1" s="2" t="s">
        <v>166</v>
      </c>
      <c r="Q1" s="3" t="s">
        <v>167</v>
      </c>
      <c r="S1" t="s">
        <v>168</v>
      </c>
      <c r="T1" t="s">
        <v>169</v>
      </c>
      <c r="V1" t="s">
        <v>194</v>
      </c>
      <c r="W1" t="s">
        <v>195</v>
      </c>
      <c r="X1" t="s">
        <v>196</v>
      </c>
      <c r="Z1" t="s">
        <v>197</v>
      </c>
      <c r="AA1" t="s">
        <v>198</v>
      </c>
      <c r="AB1" t="s">
        <v>199</v>
      </c>
    </row>
    <row r="2" spans="1:28" s="22" customFormat="1" x14ac:dyDescent="0.3">
      <c r="A2" s="22">
        <v>0</v>
      </c>
      <c r="B2" s="22" t="s">
        <v>10</v>
      </c>
      <c r="C2" s="22" t="s">
        <v>11</v>
      </c>
      <c r="D2" s="24">
        <v>45260.105555555558</v>
      </c>
      <c r="E2" s="22">
        <v>0</v>
      </c>
      <c r="F2" s="22">
        <v>0</v>
      </c>
      <c r="G2" s="22">
        <v>0</v>
      </c>
      <c r="H2" s="22">
        <v>0</v>
      </c>
      <c r="I2" s="22">
        <v>5.6772988715228598E-3</v>
      </c>
      <c r="J2" s="22">
        <v>7200</v>
      </c>
      <c r="K2" s="22">
        <v>200</v>
      </c>
      <c r="L2" s="22">
        <v>200.12</v>
      </c>
      <c r="N2" s="22">
        <f>(0.000304*EXP(-5580/(1.987*(L2+273))))*(199000000000000000*EXP(680/(1.987*(L2+273))))*1.17*EXP(-57/(1.987*(273+L2)))</f>
        <v>363011215575.16974</v>
      </c>
      <c r="O2" s="23">
        <f>N2*$C$84*$C$85*(L2+273)</f>
        <v>4.6449098941734433E-5</v>
      </c>
      <c r="P2" s="25">
        <f>O2*J2</f>
        <v>0.33443351238048791</v>
      </c>
      <c r="Q2" s="25">
        <f>G2/((O2*J2)-1)</f>
        <v>0</v>
      </c>
      <c r="S2" s="22">
        <v>0</v>
      </c>
      <c r="T2" s="26">
        <f>S3</f>
        <v>0</v>
      </c>
    </row>
    <row r="3" spans="1:28" s="22" customFormat="1" x14ac:dyDescent="0.3">
      <c r="A3" s="22">
        <v>1</v>
      </c>
      <c r="B3" s="22" t="s">
        <v>12</v>
      </c>
      <c r="C3" s="22" t="s">
        <v>13</v>
      </c>
      <c r="D3" s="24">
        <v>45260.206944444442</v>
      </c>
      <c r="E3" s="22">
        <v>0</v>
      </c>
      <c r="F3" s="22">
        <v>0.159</v>
      </c>
      <c r="G3" s="22">
        <v>9.0142339085897002E-4</v>
      </c>
      <c r="H3" s="23">
        <v>1.16657310985703E-6</v>
      </c>
      <c r="I3" s="22">
        <v>5.6693295022576702E-3</v>
      </c>
      <c r="J3" s="22">
        <v>7200</v>
      </c>
      <c r="K3" s="22">
        <v>310</v>
      </c>
      <c r="L3" s="22">
        <v>310.11</v>
      </c>
      <c r="N3" s="22">
        <f t="shared" ref="N3" si="0">(0.000304*EXP(-5580/(1.987*(L3+273))))*(199000000000000000*EXP(680/(1.987*(L3+273))))*1.17*EXP(-57/(1.987*(273+L3)))</f>
        <v>981461607482.44775</v>
      </c>
      <c r="O3" s="23">
        <f>N3*$C$84*$C$85*(L3+273)</f>
        <v>1.5477818452848356E-4</v>
      </c>
      <c r="P3" s="25">
        <f t="shared" ref="P3" si="1">O3*J3</f>
        <v>1.1144029286050816</v>
      </c>
      <c r="Q3" s="25">
        <f>G3/((O3*J3)-1)</f>
        <v>7.8793733853674275E-3</v>
      </c>
      <c r="S3" s="26">
        <f>G2+S2</f>
        <v>0</v>
      </c>
      <c r="T3" s="26">
        <f>S3+G3</f>
        <v>9.0142339085897002E-4</v>
      </c>
      <c r="V3" s="22">
        <f>(G3-Q2)/($G$79-(S3+Q2))</f>
        <v>7.0129923777034806E-6</v>
      </c>
      <c r="W3" s="22">
        <f>(G3)/($G$79-(S3))</f>
        <v>7.0129923777034806E-6</v>
      </c>
      <c r="X3" s="22">
        <f>(G3+Q3)/($G$79-(S3))</f>
        <v>6.8313804019617819E-5</v>
      </c>
      <c r="Z3" s="22">
        <f>-LN(1-V3)/J3</f>
        <v>9.740301345631234E-10</v>
      </c>
      <c r="AA3" s="22">
        <f>-LN(1-W3)/J3</f>
        <v>9.740301345631234E-10</v>
      </c>
      <c r="AB3" s="22">
        <f>-LN(1-X3)/J3</f>
        <v>9.4883524324720604E-9</v>
      </c>
    </row>
    <row r="4" spans="1:28" s="22" customFormat="1" x14ac:dyDescent="0.3">
      <c r="A4" s="22">
        <v>2</v>
      </c>
      <c r="B4" s="22" t="s">
        <v>14</v>
      </c>
      <c r="C4" s="22" t="s">
        <v>15</v>
      </c>
      <c r="D4" s="24">
        <v>45260.308333333334</v>
      </c>
      <c r="E4" s="22">
        <v>0</v>
      </c>
      <c r="F4" s="22">
        <v>5.3E-3</v>
      </c>
      <c r="G4" s="23">
        <v>3.0038673661156799E-5</v>
      </c>
      <c r="H4" s="23">
        <v>3.9348650402392602E-8</v>
      </c>
      <c r="I4" s="22">
        <v>5.6676742756899797E-3</v>
      </c>
      <c r="J4" s="22">
        <v>7200</v>
      </c>
      <c r="K4" s="22">
        <v>200</v>
      </c>
      <c r="L4" s="22">
        <v>200.08</v>
      </c>
      <c r="N4" s="22">
        <f t="shared" ref="N4:N67" si="2">(0.000304*EXP(-5580/(1.987*(L4+273))))*(199000000000000000*EXP(680/(1.987*(L4+273))))*1.17*EXP(-57/(1.987*(273+L4)))</f>
        <v>362849408174.03912</v>
      </c>
      <c r="O4" s="23">
        <f t="shared" ref="O4:O67" si="3">N4*$C$84*$C$85*(L4+273)</f>
        <v>4.6424469580759281E-5</v>
      </c>
      <c r="P4" s="25">
        <f t="shared" ref="P4:P67" si="4">O4*J4</f>
        <v>0.33425618098146681</v>
      </c>
      <c r="Q4" s="25">
        <f t="shared" ref="Q4:Q59" si="5">G4/((O4*J4)-1)</f>
        <v>-4.5120469470435402E-5</v>
      </c>
      <c r="S4" s="26">
        <f t="shared" ref="S4:S67" si="6">G3+S3</f>
        <v>9.0142339085897002E-4</v>
      </c>
      <c r="T4" s="26">
        <f t="shared" ref="T4:T67" si="7">S4+G4</f>
        <v>9.3146206452012685E-4</v>
      </c>
      <c r="V4" s="22">
        <f t="shared" ref="V4:V67" si="8">(G4-Q3)/($G$79-(S4+Q3))</f>
        <v>-6.1071285491970666E-5</v>
      </c>
      <c r="W4" s="22">
        <f t="shared" ref="W4:W67" si="9">(G4)/($G$79-(S4))</f>
        <v>2.3369980070691061E-7</v>
      </c>
      <c r="X4" s="22">
        <f t="shared" ref="X4:X67" si="10">(G4+Q4)/($G$79-(S4))</f>
        <v>-1.1733582896133088E-7</v>
      </c>
      <c r="Z4" s="22">
        <f t="shared" ref="Z4:Z67" si="11">-LN(1-V4)/J4</f>
        <v>-8.4818639884734921E-9</v>
      </c>
      <c r="AA4" s="22">
        <f t="shared" ref="AA4:AA67" si="12">-LN(1-W4)/J4</f>
        <v>3.2458309450182479E-11</v>
      </c>
      <c r="AB4" s="22">
        <f t="shared" ref="AB4:AB67" si="13">-LN(1-X4)/J4</f>
        <v>-1.6296641967928577E-11</v>
      </c>
    </row>
    <row r="5" spans="1:28" s="22" customFormat="1" x14ac:dyDescent="0.3">
      <c r="A5" s="22">
        <v>3</v>
      </c>
      <c r="B5" s="22" t="s">
        <v>16</v>
      </c>
      <c r="C5" s="22" t="s">
        <v>17</v>
      </c>
      <c r="D5" s="24">
        <v>45260.424305555556</v>
      </c>
      <c r="E5" s="22">
        <v>0</v>
      </c>
      <c r="F5" s="22">
        <v>0.186</v>
      </c>
      <c r="G5" s="22">
        <v>1.05573600158489E-3</v>
      </c>
      <c r="H5" s="23">
        <v>1.7183862620644301E-6</v>
      </c>
      <c r="I5" s="22">
        <v>5.6760000085209102E-3</v>
      </c>
      <c r="J5" s="22">
        <v>7200</v>
      </c>
      <c r="K5" s="22">
        <v>320</v>
      </c>
      <c r="L5" s="22">
        <v>320.10000000000002</v>
      </c>
      <c r="N5" s="22">
        <f t="shared" si="2"/>
        <v>1054798674661.4034</v>
      </c>
      <c r="O5" s="23">
        <f t="shared" si="3"/>
        <v>1.6919340970215948E-4</v>
      </c>
      <c r="P5" s="25">
        <f t="shared" si="4"/>
        <v>1.2181925498555481</v>
      </c>
      <c r="Q5" s="25">
        <f t="shared" si="5"/>
        <v>4.8385520141903463E-3</v>
      </c>
      <c r="S5" s="26">
        <f t="shared" si="6"/>
        <v>9.3146206452012685E-4</v>
      </c>
      <c r="T5" s="26">
        <f t="shared" si="7"/>
        <v>1.9871980661050168E-3</v>
      </c>
      <c r="V5" s="22">
        <f t="shared" si="8"/>
        <v>8.5646227462513404E-6</v>
      </c>
      <c r="W5" s="22">
        <f t="shared" si="9"/>
        <v>8.2135900410345651E-6</v>
      </c>
      <c r="X5" s="22">
        <f t="shared" si="10"/>
        <v>4.5857359484456334E-5</v>
      </c>
      <c r="Z5" s="22">
        <f t="shared" si="11"/>
        <v>1.1895360309476335E-9</v>
      </c>
      <c r="AA5" s="22">
        <f t="shared" si="12"/>
        <v>1.1407810795431371E-9</v>
      </c>
      <c r="AB5" s="22">
        <f t="shared" si="13"/>
        <v>6.3692237451854457E-9</v>
      </c>
    </row>
    <row r="6" spans="1:28" s="22" customFormat="1" x14ac:dyDescent="0.3">
      <c r="A6" s="22">
        <v>4</v>
      </c>
      <c r="B6" s="22" t="s">
        <v>18</v>
      </c>
      <c r="C6" s="22" t="s">
        <v>19</v>
      </c>
      <c r="D6" s="24">
        <v>45260.525694444441</v>
      </c>
      <c r="E6" s="22">
        <v>0</v>
      </c>
      <c r="F6" s="22">
        <v>4.8899999999999999E-2</v>
      </c>
      <c r="G6" s="22">
        <v>2.7789560883219701E-4</v>
      </c>
      <c r="H6" s="23">
        <v>5.4211791917520703E-7</v>
      </c>
      <c r="I6" s="22">
        <v>5.6829367859345002E-3</v>
      </c>
      <c r="J6" s="22">
        <v>7200</v>
      </c>
      <c r="K6" s="22">
        <v>320</v>
      </c>
      <c r="L6" s="22">
        <v>320.10000000000002</v>
      </c>
      <c r="N6" s="22">
        <f t="shared" si="2"/>
        <v>1054798674661.4034</v>
      </c>
      <c r="O6" s="23">
        <f t="shared" si="3"/>
        <v>1.6919340970215948E-4</v>
      </c>
      <c r="P6" s="25">
        <f t="shared" si="4"/>
        <v>1.2181925498555481</v>
      </c>
      <c r="Q6" s="25">
        <f t="shared" si="5"/>
        <v>1.2736255615334922E-3</v>
      </c>
      <c r="S6" s="26">
        <f t="shared" si="6"/>
        <v>1.9871980661050168E-3</v>
      </c>
      <c r="T6" s="26">
        <f t="shared" si="7"/>
        <v>2.2650936749372139E-3</v>
      </c>
      <c r="V6" s="22">
        <f t="shared" si="8"/>
        <v>-3.5483378270325618E-5</v>
      </c>
      <c r="W6" s="22">
        <f t="shared" si="9"/>
        <v>2.1620361052074369E-6</v>
      </c>
      <c r="X6" s="22">
        <f t="shared" si="10"/>
        <v>1.2070880869333378E-5</v>
      </c>
      <c r="Z6" s="22">
        <f t="shared" si="11"/>
        <v>-4.9281595486293997E-9</v>
      </c>
      <c r="AA6" s="22">
        <f t="shared" si="12"/>
        <v>3.0028311700848592E-10</v>
      </c>
      <c r="AB6" s="22">
        <f t="shared" si="13"/>
        <v>1.6765213504119218E-9</v>
      </c>
    </row>
    <row r="7" spans="1:28" s="22" customFormat="1" x14ac:dyDescent="0.3">
      <c r="A7" s="22">
        <v>5</v>
      </c>
      <c r="B7" s="22" t="s">
        <v>20</v>
      </c>
      <c r="C7" s="22" t="s">
        <v>21</v>
      </c>
      <c r="D7" s="24">
        <v>45260.611111111109</v>
      </c>
      <c r="E7" s="22">
        <v>0</v>
      </c>
      <c r="F7" s="22">
        <v>2.1100000000000001E-2</v>
      </c>
      <c r="G7" s="22">
        <v>1.1994019058095899E-4</v>
      </c>
      <c r="H7" s="23">
        <v>2.6134244387051699E-7</v>
      </c>
      <c r="I7" s="22">
        <v>5.68436922184641E-3</v>
      </c>
      <c r="J7" s="22">
        <v>3600</v>
      </c>
      <c r="K7" s="22">
        <v>200</v>
      </c>
      <c r="L7" s="22">
        <v>200.25</v>
      </c>
      <c r="N7" s="22">
        <f t="shared" si="2"/>
        <v>363537398900.9389</v>
      </c>
      <c r="O7" s="23">
        <f t="shared" si="3"/>
        <v>4.6529208126477472E-5</v>
      </c>
      <c r="P7" s="25">
        <f t="shared" si="4"/>
        <v>0.1675051492553189</v>
      </c>
      <c r="Q7" s="25">
        <f t="shared" si="5"/>
        <v>-1.4407319213286473E-4</v>
      </c>
      <c r="S7" s="26">
        <f t="shared" si="6"/>
        <v>2.2650936749372139E-3</v>
      </c>
      <c r="T7" s="26">
        <f t="shared" si="7"/>
        <v>2.3850338655181727E-3</v>
      </c>
      <c r="V7" s="22">
        <f t="shared" si="8"/>
        <v>-8.975814858703128E-6</v>
      </c>
      <c r="W7" s="22">
        <f t="shared" si="9"/>
        <v>9.3314026889763287E-7</v>
      </c>
      <c r="X7" s="22">
        <f t="shared" si="10"/>
        <v>-1.8775587606100877E-7</v>
      </c>
      <c r="Z7" s="22">
        <f t="shared" si="11"/>
        <v>-2.4932707156437628E-9</v>
      </c>
      <c r="AA7" s="22">
        <f t="shared" si="12"/>
        <v>2.5920575119986603E-10</v>
      </c>
      <c r="AB7" s="22">
        <f t="shared" si="13"/>
        <v>-5.2154405092119491E-11</v>
      </c>
    </row>
    <row r="8" spans="1:28" s="22" customFormat="1" x14ac:dyDescent="0.3">
      <c r="A8" s="22">
        <v>6</v>
      </c>
      <c r="B8" s="22" t="s">
        <v>22</v>
      </c>
      <c r="C8" s="22" t="s">
        <v>23</v>
      </c>
      <c r="D8" s="24">
        <v>45260.719444444447</v>
      </c>
      <c r="E8" s="22">
        <v>0</v>
      </c>
      <c r="F8" s="22">
        <v>0.11799999999999999</v>
      </c>
      <c r="G8" s="22">
        <v>6.7032369694930601E-4</v>
      </c>
      <c r="H8" s="23">
        <v>1.59539577309417E-6</v>
      </c>
      <c r="I8" s="22">
        <v>5.68070929618056E-3</v>
      </c>
      <c r="J8" s="22">
        <v>7800</v>
      </c>
      <c r="K8" s="22">
        <v>330</v>
      </c>
      <c r="L8" s="22">
        <v>330.11</v>
      </c>
      <c r="N8" s="22">
        <f t="shared" si="2"/>
        <v>1131067655785.1118</v>
      </c>
      <c r="O8" s="23">
        <f t="shared" si="3"/>
        <v>1.8448924607146935E-4</v>
      </c>
      <c r="P8" s="25">
        <f t="shared" si="4"/>
        <v>1.4390161193574609</v>
      </c>
      <c r="Q8" s="25">
        <f t="shared" si="5"/>
        <v>1.5268771860367778E-3</v>
      </c>
      <c r="S8" s="26">
        <f t="shared" si="6"/>
        <v>2.3850338655181727E-3</v>
      </c>
      <c r="T8" s="26">
        <f t="shared" si="7"/>
        <v>3.0553575624674787E-3</v>
      </c>
      <c r="V8" s="22">
        <f t="shared" si="8"/>
        <v>6.3360445377162596E-6</v>
      </c>
      <c r="W8" s="22">
        <f t="shared" si="9"/>
        <v>5.2151544488578356E-6</v>
      </c>
      <c r="X8" s="22">
        <f t="shared" si="10"/>
        <v>1.7094341155010399E-5</v>
      </c>
      <c r="Z8" s="22">
        <f t="shared" si="11"/>
        <v>8.1231597570737364E-10</v>
      </c>
      <c r="AA8" s="22">
        <f t="shared" si="12"/>
        <v>6.6861128818085942E-10</v>
      </c>
      <c r="AB8" s="22">
        <f t="shared" si="13"/>
        <v>2.1916009314049745E-9</v>
      </c>
    </row>
    <row r="9" spans="1:28" s="22" customFormat="1" x14ac:dyDescent="0.3">
      <c r="A9" s="22">
        <v>7</v>
      </c>
      <c r="B9" s="22" t="s">
        <v>24</v>
      </c>
      <c r="C9" s="22" t="s">
        <v>25</v>
      </c>
      <c r="D9" s="24">
        <v>45260.799305555556</v>
      </c>
      <c r="E9" s="22">
        <v>0</v>
      </c>
      <c r="F9" s="22">
        <v>0</v>
      </c>
      <c r="G9" s="22">
        <v>0</v>
      </c>
      <c r="H9" s="22">
        <v>0</v>
      </c>
      <c r="I9" s="22">
        <v>5.6765593781938403E-3</v>
      </c>
      <c r="J9" s="22">
        <v>3600</v>
      </c>
      <c r="K9" s="22">
        <v>200</v>
      </c>
      <c r="L9" s="22">
        <v>200.19</v>
      </c>
      <c r="N9" s="22">
        <f t="shared" si="2"/>
        <v>363294486279.57202</v>
      </c>
      <c r="O9" s="23">
        <f t="shared" si="3"/>
        <v>4.6492222536877904E-5</v>
      </c>
      <c r="P9" s="25">
        <f t="shared" si="4"/>
        <v>0.16737200113276046</v>
      </c>
      <c r="Q9" s="25">
        <f t="shared" si="5"/>
        <v>0</v>
      </c>
      <c r="S9" s="26">
        <f t="shared" si="6"/>
        <v>3.0553575624674787E-3</v>
      </c>
      <c r="T9" s="26">
        <f t="shared" si="7"/>
        <v>3.0553575624674787E-3</v>
      </c>
      <c r="V9" s="22">
        <f t="shared" si="8"/>
        <v>-1.1879389776494117E-5</v>
      </c>
      <c r="W9" s="22">
        <f t="shared" si="9"/>
        <v>0</v>
      </c>
      <c r="X9" s="22">
        <f t="shared" si="10"/>
        <v>0</v>
      </c>
      <c r="Z9" s="22">
        <f t="shared" si="11"/>
        <v>-3.2998108936513519E-9</v>
      </c>
      <c r="AA9" s="22">
        <f t="shared" si="12"/>
        <v>0</v>
      </c>
      <c r="AB9" s="22">
        <f t="shared" si="13"/>
        <v>0</v>
      </c>
    </row>
    <row r="10" spans="1:28" s="22" customFormat="1" x14ac:dyDescent="0.3">
      <c r="A10" s="22">
        <v>8</v>
      </c>
      <c r="B10" s="22" t="s">
        <v>26</v>
      </c>
      <c r="C10" s="22" t="s">
        <v>27</v>
      </c>
      <c r="D10" s="24">
        <v>45260.906944444447</v>
      </c>
      <c r="E10" s="22">
        <v>0</v>
      </c>
      <c r="F10" s="22">
        <v>-3.0700000000000002E-2</v>
      </c>
      <c r="G10" s="22">
        <v>-1.74345568089692E-4</v>
      </c>
      <c r="H10" s="23">
        <v>-4.3456831152975502E-7</v>
      </c>
      <c r="I10" s="22">
        <v>5.6790087325632602E-3</v>
      </c>
      <c r="J10" s="22">
        <v>7200</v>
      </c>
      <c r="K10" s="22">
        <v>340</v>
      </c>
      <c r="L10" s="22">
        <v>340.11</v>
      </c>
      <c r="N10" s="22">
        <f t="shared" si="2"/>
        <v>1210009480977.5559</v>
      </c>
      <c r="O10" s="23">
        <f t="shared" si="3"/>
        <v>2.0063796585091437E-4</v>
      </c>
      <c r="P10" s="25">
        <f t="shared" si="4"/>
        <v>1.4445933541265834</v>
      </c>
      <c r="Q10" s="25">
        <f t="shared" si="5"/>
        <v>-3.9214614089812239E-4</v>
      </c>
      <c r="S10" s="26">
        <f t="shared" si="6"/>
        <v>3.0553575624674787E-3</v>
      </c>
      <c r="T10" s="26">
        <f t="shared" si="7"/>
        <v>2.8810119943777869E-3</v>
      </c>
      <c r="V10" s="22">
        <f t="shared" si="8"/>
        <v>-1.3564249795233649E-6</v>
      </c>
      <c r="W10" s="22">
        <f t="shared" si="9"/>
        <v>-1.3564249795233649E-6</v>
      </c>
      <c r="X10" s="22">
        <f t="shared" si="10"/>
        <v>-4.4073589778241293E-6</v>
      </c>
      <c r="Z10" s="22">
        <f t="shared" si="11"/>
        <v>-1.8839223048679214E-10</v>
      </c>
      <c r="AA10" s="22">
        <f t="shared" si="12"/>
        <v>-1.8839223048679214E-10</v>
      </c>
      <c r="AB10" s="22">
        <f t="shared" si="13"/>
        <v>-6.1213184241638292E-10</v>
      </c>
    </row>
    <row r="11" spans="1:28" s="22" customFormat="1" x14ac:dyDescent="0.3">
      <c r="A11" s="22">
        <v>9</v>
      </c>
      <c r="B11" s="22" t="s">
        <v>28</v>
      </c>
      <c r="C11" s="22" t="s">
        <v>29</v>
      </c>
      <c r="D11" s="24">
        <v>45261.338888888888</v>
      </c>
      <c r="E11" s="22">
        <v>0</v>
      </c>
      <c r="F11" s="22">
        <v>0.36599999999999999</v>
      </c>
      <c r="G11" s="22">
        <v>2.0872523961661298E-3</v>
      </c>
      <c r="H11" s="23">
        <v>4.0877784403422697E-6</v>
      </c>
      <c r="I11" s="22">
        <v>5.7028753993610204E-3</v>
      </c>
      <c r="J11" s="22">
        <v>35760</v>
      </c>
      <c r="K11" s="22">
        <v>200</v>
      </c>
      <c r="L11" s="22">
        <v>200.66999999999899</v>
      </c>
      <c r="N11" s="22">
        <f t="shared" si="2"/>
        <v>365240609348.99567</v>
      </c>
      <c r="O11" s="23">
        <f t="shared" si="3"/>
        <v>4.6788689512140689E-5</v>
      </c>
      <c r="P11" s="25">
        <f t="shared" si="4"/>
        <v>1.6731635369541511</v>
      </c>
      <c r="Q11" s="25">
        <f t="shared" si="5"/>
        <v>3.1006616989539821E-3</v>
      </c>
      <c r="S11" s="26">
        <f t="shared" si="6"/>
        <v>2.8810119943777869E-3</v>
      </c>
      <c r="T11" s="26">
        <f t="shared" si="7"/>
        <v>4.9682643905439167E-3</v>
      </c>
      <c r="V11" s="22">
        <f t="shared" si="8"/>
        <v>1.9289869678442442E-5</v>
      </c>
      <c r="W11" s="22">
        <f t="shared" si="9"/>
        <v>1.6238998670538548E-5</v>
      </c>
      <c r="X11" s="22">
        <f t="shared" si="10"/>
        <v>4.0362406697085559E-5</v>
      </c>
      <c r="Z11" s="22">
        <f t="shared" si="11"/>
        <v>5.3943108865778847E-10</v>
      </c>
      <c r="AA11" s="22">
        <f t="shared" si="12"/>
        <v>4.5411438826910716E-10</v>
      </c>
      <c r="AB11" s="22">
        <f t="shared" si="13"/>
        <v>1.1287254273208257E-9</v>
      </c>
    </row>
    <row r="12" spans="1:28" s="22" customFormat="1" x14ac:dyDescent="0.3">
      <c r="A12" s="22">
        <v>10</v>
      </c>
      <c r="B12" s="22" t="s">
        <v>30</v>
      </c>
      <c r="C12" s="22" t="s">
        <v>31</v>
      </c>
      <c r="D12" s="24">
        <v>45261.450694444444</v>
      </c>
      <c r="E12" s="22">
        <v>0</v>
      </c>
      <c r="F12" s="22">
        <v>0.59799999999999998</v>
      </c>
      <c r="G12" s="22">
        <v>3.41031948881789E-3</v>
      </c>
      <c r="H12" s="23">
        <v>6.5562880426308903E-6</v>
      </c>
      <c r="I12" s="22">
        <v>5.7028753993610204E-3</v>
      </c>
      <c r="J12" s="22">
        <v>7200</v>
      </c>
      <c r="K12" s="22">
        <v>350</v>
      </c>
      <c r="L12" s="22">
        <v>350.1</v>
      </c>
      <c r="N12" s="22">
        <f t="shared" si="2"/>
        <v>1291577908150.0596</v>
      </c>
      <c r="O12" s="23">
        <f t="shared" si="3"/>
        <v>2.1765282203821024E-4</v>
      </c>
      <c r="P12" s="25">
        <f t="shared" si="4"/>
        <v>1.5671003186751138</v>
      </c>
      <c r="Q12" s="25">
        <f t="shared" si="5"/>
        <v>6.013608838706417E-3</v>
      </c>
      <c r="S12" s="26">
        <f t="shared" si="6"/>
        <v>4.9682643905439167E-3</v>
      </c>
      <c r="T12" s="26">
        <f t="shared" si="7"/>
        <v>8.3785838793618075E-3</v>
      </c>
      <c r="V12" s="22">
        <f t="shared" si="8"/>
        <v>2.4092608153295113E-6</v>
      </c>
      <c r="W12" s="22">
        <f t="shared" si="9"/>
        <v>2.6533002467703459E-5</v>
      </c>
      <c r="X12" s="22">
        <f t="shared" si="10"/>
        <v>7.332014328555929E-5</v>
      </c>
      <c r="Z12" s="22">
        <f t="shared" si="11"/>
        <v>3.3461996077337495E-10</v>
      </c>
      <c r="AA12" s="22">
        <f t="shared" si="12"/>
        <v>3.6851881213922894E-9</v>
      </c>
      <c r="AB12" s="22">
        <f t="shared" si="13"/>
        <v>1.0183726574810656E-8</v>
      </c>
    </row>
    <row r="13" spans="1:28" s="22" customFormat="1" x14ac:dyDescent="0.3">
      <c r="A13" s="22">
        <v>11</v>
      </c>
      <c r="B13" s="22" t="s">
        <v>32</v>
      </c>
      <c r="C13" s="22" t="s">
        <v>33</v>
      </c>
      <c r="D13" s="24">
        <v>45261.57708333333</v>
      </c>
      <c r="E13" s="22">
        <v>0</v>
      </c>
      <c r="F13" s="22">
        <v>5.89</v>
      </c>
      <c r="G13" s="22">
        <v>3.3589936102236401E-2</v>
      </c>
      <c r="H13" s="23">
        <v>5.1080687555439E-5</v>
      </c>
      <c r="I13" s="22">
        <v>5.7028753993610204E-3</v>
      </c>
      <c r="J13" s="22">
        <v>7200</v>
      </c>
      <c r="K13" s="22">
        <v>400</v>
      </c>
      <c r="L13" s="22">
        <v>399.75</v>
      </c>
      <c r="N13" s="22">
        <f t="shared" si="2"/>
        <v>1735586107135.1155</v>
      </c>
      <c r="O13" s="23">
        <f t="shared" si="3"/>
        <v>3.1578086842199598E-4</v>
      </c>
      <c r="P13" s="25">
        <f t="shared" si="4"/>
        <v>2.2736222526383711</v>
      </c>
      <c r="Q13" s="25">
        <f t="shared" si="5"/>
        <v>2.637354681315688E-2</v>
      </c>
      <c r="S13" s="26">
        <f t="shared" si="6"/>
        <v>8.3785838793618075E-3</v>
      </c>
      <c r="T13" s="26">
        <f t="shared" si="7"/>
        <v>4.1968519981598208E-2</v>
      </c>
      <c r="V13" s="22">
        <f t="shared" si="8"/>
        <v>2.1456535458076197E-4</v>
      </c>
      <c r="W13" s="22">
        <f t="shared" si="9"/>
        <v>2.6134369766905098E-4</v>
      </c>
      <c r="X13" s="22">
        <f t="shared" si="10"/>
        <v>4.6654088005783589E-4</v>
      </c>
      <c r="Z13" s="22">
        <f t="shared" si="11"/>
        <v>2.9803941252738536E-8</v>
      </c>
      <c r="AA13" s="22">
        <f t="shared" si="12"/>
        <v>3.6302479706159953E-8</v>
      </c>
      <c r="AB13" s="22">
        <f t="shared" si="13"/>
        <v>6.4812464460445523E-8</v>
      </c>
    </row>
    <row r="14" spans="1:28" s="22" customFormat="1" x14ac:dyDescent="0.3">
      <c r="A14" s="22">
        <v>12</v>
      </c>
      <c r="B14" s="22" t="s">
        <v>34</v>
      </c>
      <c r="C14" s="22" t="s">
        <v>35</v>
      </c>
      <c r="D14" s="24">
        <v>45261.636805555558</v>
      </c>
      <c r="E14" s="22">
        <v>0</v>
      </c>
      <c r="F14" s="22">
        <v>0.20300000000000001</v>
      </c>
      <c r="G14" s="22">
        <v>1.15768370607028E-3</v>
      </c>
      <c r="H14" s="23">
        <v>1.17946540830093E-6</v>
      </c>
      <c r="I14" s="22">
        <v>5.7028753993610204E-3</v>
      </c>
      <c r="J14" s="22">
        <v>3600</v>
      </c>
      <c r="K14" s="22">
        <v>200</v>
      </c>
      <c r="L14" s="22">
        <v>200.18</v>
      </c>
      <c r="N14" s="22">
        <f t="shared" si="2"/>
        <v>363254010639.40149</v>
      </c>
      <c r="O14" s="23">
        <f t="shared" si="3"/>
        <v>4.6486060292091606E-5</v>
      </c>
      <c r="P14" s="25">
        <f t="shared" si="4"/>
        <v>0.16734981705152979</v>
      </c>
      <c r="Q14" s="25">
        <f t="shared" si="5"/>
        <v>-1.390360237441904E-3</v>
      </c>
      <c r="S14" s="26">
        <f t="shared" si="6"/>
        <v>4.1968519981598208E-2</v>
      </c>
      <c r="T14" s="26">
        <f t="shared" si="7"/>
        <v>4.3126203687668486E-2</v>
      </c>
      <c r="V14" s="22">
        <f t="shared" si="8"/>
        <v>-1.9628149416328852E-4</v>
      </c>
      <c r="W14" s="22">
        <f t="shared" si="9"/>
        <v>9.0096161729276289E-6</v>
      </c>
      <c r="X14" s="22">
        <f t="shared" si="10"/>
        <v>-1.810793595102412E-6</v>
      </c>
      <c r="Z14" s="22">
        <f t="shared" si="11"/>
        <v>-5.4517287075340411E-8</v>
      </c>
      <c r="AA14" s="22">
        <f t="shared" si="12"/>
        <v>2.5026824332584234E-9</v>
      </c>
      <c r="AB14" s="22">
        <f t="shared" si="13"/>
        <v>-5.0299776544021765E-10</v>
      </c>
    </row>
    <row r="15" spans="1:28" s="22" customFormat="1" x14ac:dyDescent="0.3">
      <c r="A15" s="22">
        <v>13</v>
      </c>
      <c r="B15" s="22" t="s">
        <v>36</v>
      </c>
      <c r="C15" s="22" t="s">
        <v>37</v>
      </c>
      <c r="D15" s="24">
        <v>45261.754166666666</v>
      </c>
      <c r="E15" s="22">
        <v>0</v>
      </c>
      <c r="F15" s="22">
        <v>2.4300000000000002</v>
      </c>
      <c r="G15" s="22">
        <v>1.3857987220447201E-2</v>
      </c>
      <c r="H15" s="23">
        <v>8.8579510169871795E-6</v>
      </c>
      <c r="I15" s="22">
        <v>5.7028753993610204E-3</v>
      </c>
      <c r="J15" s="22">
        <v>7200</v>
      </c>
      <c r="K15" s="22">
        <v>395</v>
      </c>
      <c r="L15" s="22">
        <v>395.11</v>
      </c>
      <c r="N15" s="22">
        <f t="shared" si="2"/>
        <v>1691459228821.959</v>
      </c>
      <c r="O15" s="23">
        <f t="shared" si="3"/>
        <v>3.0562962554683094E-4</v>
      </c>
      <c r="P15" s="25">
        <f t="shared" si="4"/>
        <v>2.2005333039371826</v>
      </c>
      <c r="Q15" s="25">
        <f t="shared" si="5"/>
        <v>1.1543192658628914E-2</v>
      </c>
      <c r="S15" s="26">
        <f t="shared" si="6"/>
        <v>4.3126203687668486E-2</v>
      </c>
      <c r="T15" s="26">
        <f t="shared" si="7"/>
        <v>5.6984190908115684E-2</v>
      </c>
      <c r="V15" s="22">
        <f t="shared" si="8"/>
        <v>1.1866929488348583E-4</v>
      </c>
      <c r="W15" s="22">
        <f t="shared" si="9"/>
        <v>1.0785007168880506E-4</v>
      </c>
      <c r="X15" s="22">
        <f t="shared" si="10"/>
        <v>1.9768520690338656E-4</v>
      </c>
      <c r="Z15" s="22">
        <f t="shared" si="11"/>
        <v>1.6482824533519428E-8</v>
      </c>
      <c r="AA15" s="22">
        <f t="shared" si="12"/>
        <v>1.4979984434161055E-8</v>
      </c>
      <c r="AB15" s="22">
        <f t="shared" si="13"/>
        <v>2.7458992944372275E-8</v>
      </c>
    </row>
    <row r="16" spans="1:28" s="22" customFormat="1" x14ac:dyDescent="0.3">
      <c r="A16" s="22">
        <v>14</v>
      </c>
      <c r="B16" s="22" t="s">
        <v>38</v>
      </c>
      <c r="C16" s="22" t="s">
        <v>39</v>
      </c>
      <c r="D16" s="24">
        <v>45261.813888888886</v>
      </c>
      <c r="E16" s="22">
        <v>0</v>
      </c>
      <c r="F16" s="22">
        <v>3.32E-2</v>
      </c>
      <c r="G16" s="22">
        <v>1.8933546325878499E-4</v>
      </c>
      <c r="H16" s="23">
        <v>1.24422503792674E-7</v>
      </c>
      <c r="I16" s="22">
        <v>5.7028753993610204E-3</v>
      </c>
      <c r="J16" s="22">
        <v>3600</v>
      </c>
      <c r="K16" s="22">
        <v>200</v>
      </c>
      <c r="L16" s="22">
        <v>200.26</v>
      </c>
      <c r="N16" s="22">
        <f t="shared" si="2"/>
        <v>363577894134.92218</v>
      </c>
      <c r="O16" s="23">
        <f t="shared" si="3"/>
        <v>4.6535374411816344E-5</v>
      </c>
      <c r="P16" s="25">
        <f t="shared" si="4"/>
        <v>0.16752734788253884</v>
      </c>
      <c r="Q16" s="25">
        <f t="shared" si="5"/>
        <v>-2.2743745728726945E-4</v>
      </c>
      <c r="S16" s="26">
        <f t="shared" si="6"/>
        <v>5.6984190908115684E-2</v>
      </c>
      <c r="T16" s="26">
        <f t="shared" si="7"/>
        <v>5.7173526371374468E-2</v>
      </c>
      <c r="V16" s="22">
        <f t="shared" si="8"/>
        <v>-8.837909930282161E-5</v>
      </c>
      <c r="W16" s="22">
        <f t="shared" si="9"/>
        <v>1.4736660872846533E-6</v>
      </c>
      <c r="X16" s="22">
        <f t="shared" si="10"/>
        <v>-2.9656153945631542E-7</v>
      </c>
      <c r="Z16" s="22">
        <f t="shared" si="11"/>
        <v>-2.4548665027894508E-8</v>
      </c>
      <c r="AA16" s="22">
        <f t="shared" si="12"/>
        <v>4.093519925326233E-10</v>
      </c>
      <c r="AB16" s="22">
        <f t="shared" si="13"/>
        <v>-8.2378193214849774E-11</v>
      </c>
    </row>
    <row r="17" spans="1:28" s="22" customFormat="1" x14ac:dyDescent="0.3">
      <c r="A17" s="22">
        <v>15</v>
      </c>
      <c r="B17" s="22" t="s">
        <v>40</v>
      </c>
      <c r="C17" s="22" t="s">
        <v>41</v>
      </c>
      <c r="D17" s="24">
        <v>45261.915277777778</v>
      </c>
      <c r="E17" s="22">
        <v>0</v>
      </c>
      <c r="F17" s="22">
        <v>1.06</v>
      </c>
      <c r="G17" s="22">
        <v>6.04504792332268E-3</v>
      </c>
      <c r="H17" s="23">
        <v>4.2683835748396303E-6</v>
      </c>
      <c r="I17" s="22">
        <v>5.7028753993610204E-3</v>
      </c>
      <c r="J17" s="22">
        <v>7200</v>
      </c>
      <c r="K17" s="22">
        <v>390</v>
      </c>
      <c r="L17" s="22">
        <v>390.1</v>
      </c>
      <c r="N17" s="22">
        <f t="shared" si="2"/>
        <v>1644406849929.6067</v>
      </c>
      <c r="O17" s="23">
        <f t="shared" si="3"/>
        <v>2.9489964405649737E-4</v>
      </c>
      <c r="P17" s="25">
        <f t="shared" si="4"/>
        <v>2.1232774372067809</v>
      </c>
      <c r="Q17" s="25">
        <f t="shared" si="5"/>
        <v>5.3816160844062828E-3</v>
      </c>
      <c r="S17" s="26">
        <f t="shared" si="6"/>
        <v>5.7173526371374468E-2</v>
      </c>
      <c r="T17" s="26">
        <f t="shared" si="7"/>
        <v>6.3218574294697155E-2</v>
      </c>
      <c r="V17" s="22">
        <f t="shared" si="8"/>
        <v>4.8820997862820907E-5</v>
      </c>
      <c r="W17" s="22">
        <f t="shared" si="9"/>
        <v>4.7050854051758221E-5</v>
      </c>
      <c r="X17" s="22">
        <f t="shared" si="10"/>
        <v>8.8937971600169168E-5</v>
      </c>
      <c r="Z17" s="22">
        <f t="shared" si="11"/>
        <v>6.7808596731331352E-9</v>
      </c>
      <c r="AA17" s="22">
        <f t="shared" si="12"/>
        <v>6.5349945802668788E-9</v>
      </c>
      <c r="AB17" s="22">
        <f t="shared" si="13"/>
        <v>1.2353045391118796E-8</v>
      </c>
    </row>
    <row r="18" spans="1:28" s="22" customFormat="1" x14ac:dyDescent="0.3">
      <c r="A18" s="22">
        <v>16</v>
      </c>
      <c r="B18" s="22" t="s">
        <v>42</v>
      </c>
      <c r="C18" s="22" t="s">
        <v>43</v>
      </c>
      <c r="D18" s="24">
        <v>45262.083333333336</v>
      </c>
      <c r="E18" s="22">
        <v>0</v>
      </c>
      <c r="F18" s="22">
        <v>0.80100000000000005</v>
      </c>
      <c r="G18" s="22">
        <v>4.5673288541004898E-3</v>
      </c>
      <c r="H18" s="23">
        <v>3.7900087232292801E-6</v>
      </c>
      <c r="I18" s="22">
        <v>5.7020335257184597E-3</v>
      </c>
      <c r="J18" s="22">
        <v>7800</v>
      </c>
      <c r="K18" s="22">
        <v>385</v>
      </c>
      <c r="L18" s="22">
        <v>385.08999999999901</v>
      </c>
      <c r="N18" s="22">
        <f t="shared" si="2"/>
        <v>1597976797334.7246</v>
      </c>
      <c r="O18" s="23">
        <f t="shared" si="3"/>
        <v>2.8440793156778101E-4</v>
      </c>
      <c r="P18" s="25">
        <f t="shared" si="4"/>
        <v>2.2183818662286918</v>
      </c>
      <c r="Q18" s="25">
        <f t="shared" si="5"/>
        <v>3.7486842021360127E-3</v>
      </c>
      <c r="S18" s="26">
        <f t="shared" si="6"/>
        <v>6.3218574294697155E-2</v>
      </c>
      <c r="T18" s="26">
        <f t="shared" si="7"/>
        <v>6.7785903148797649E-2</v>
      </c>
      <c r="V18" s="22">
        <f t="shared" si="8"/>
        <v>-6.3384637956379992E-6</v>
      </c>
      <c r="W18" s="22">
        <f t="shared" si="9"/>
        <v>3.5550890182631381E-5</v>
      </c>
      <c r="X18" s="22">
        <f t="shared" si="10"/>
        <v>6.4729665054481317E-5</v>
      </c>
      <c r="Z18" s="22">
        <f t="shared" si="11"/>
        <v>-8.1262098815780673E-10</v>
      </c>
      <c r="AA18" s="22">
        <f t="shared" si="12"/>
        <v>4.5578874526235364E-9</v>
      </c>
      <c r="AB18" s="22">
        <f t="shared" si="13"/>
        <v>8.298943603797337E-9</v>
      </c>
    </row>
    <row r="19" spans="1:28" s="22" customFormat="1" x14ac:dyDescent="0.3">
      <c r="A19" s="22">
        <v>17</v>
      </c>
      <c r="B19" s="22" t="s">
        <v>44</v>
      </c>
      <c r="C19" s="22" t="s">
        <v>45</v>
      </c>
      <c r="D19" s="24">
        <v>45262.258333333331</v>
      </c>
      <c r="E19" s="22">
        <v>0</v>
      </c>
      <c r="F19" s="22">
        <v>0.443</v>
      </c>
      <c r="G19" s="22">
        <v>2.5226790053182102E-3</v>
      </c>
      <c r="H19" s="23">
        <v>2.7736857607830801E-6</v>
      </c>
      <c r="I19" s="22">
        <v>5.6945350007183201E-3</v>
      </c>
      <c r="J19" s="22">
        <v>8400</v>
      </c>
      <c r="K19" s="22">
        <v>380</v>
      </c>
      <c r="L19" s="22">
        <v>380.08999999999901</v>
      </c>
      <c r="N19" s="22">
        <f t="shared" si="2"/>
        <v>1552266261110.0522</v>
      </c>
      <c r="O19" s="23">
        <f t="shared" si="3"/>
        <v>2.7417332271195314E-4</v>
      </c>
      <c r="P19" s="25">
        <f t="shared" si="4"/>
        <v>2.3030559107804063</v>
      </c>
      <c r="Q19" s="25">
        <f t="shared" si="5"/>
        <v>1.9359714225979498E-3</v>
      </c>
      <c r="S19" s="26">
        <f t="shared" si="6"/>
        <v>6.7785903148797649E-2</v>
      </c>
      <c r="T19" s="26">
        <f t="shared" si="7"/>
        <v>7.0308582154115853E-2</v>
      </c>
      <c r="V19" s="22">
        <f t="shared" si="8"/>
        <v>-9.5435207251712191E-6</v>
      </c>
      <c r="W19" s="22">
        <f t="shared" si="9"/>
        <v>1.9636569993122085E-5</v>
      </c>
      <c r="X19" s="22">
        <f t="shared" si="10"/>
        <v>3.4706199646512514E-5</v>
      </c>
      <c r="Z19" s="22">
        <f t="shared" si="11"/>
        <v>-1.1361279983496749E-9</v>
      </c>
      <c r="AA19" s="22">
        <f t="shared" si="12"/>
        <v>2.3377098563235515E-9</v>
      </c>
      <c r="AB19" s="22">
        <f t="shared" si="13"/>
        <v>4.1317621334046531E-9</v>
      </c>
    </row>
    <row r="20" spans="1:28" s="22" customFormat="1" x14ac:dyDescent="0.3">
      <c r="A20" s="22">
        <v>18</v>
      </c>
      <c r="B20" s="22" t="s">
        <v>46</v>
      </c>
      <c r="C20" s="22" t="s">
        <v>47</v>
      </c>
      <c r="D20" s="24">
        <v>45262.337500000001</v>
      </c>
      <c r="E20" s="22">
        <v>0</v>
      </c>
      <c r="F20" s="22">
        <v>1.24E-2</v>
      </c>
      <c r="G20" s="23">
        <v>7.0602870813397099E-5</v>
      </c>
      <c r="H20" s="23">
        <v>8.7379685135591196E-8</v>
      </c>
      <c r="I20" s="22">
        <v>5.6937799043062197E-3</v>
      </c>
      <c r="J20" s="22">
        <v>3600</v>
      </c>
      <c r="K20" s="22">
        <v>200</v>
      </c>
      <c r="L20" s="22">
        <v>200.16999999999899</v>
      </c>
      <c r="N20" s="22">
        <f t="shared" si="2"/>
        <v>363213537798.18726</v>
      </c>
      <c r="O20" s="23">
        <f t="shared" si="3"/>
        <v>4.6479898624415711E-5</v>
      </c>
      <c r="P20" s="25">
        <f t="shared" si="4"/>
        <v>0.16732763504789655</v>
      </c>
      <c r="Q20" s="25">
        <f t="shared" si="5"/>
        <v>-8.4790697740351058E-5</v>
      </c>
      <c r="S20" s="26">
        <f t="shared" si="6"/>
        <v>7.0308582154115853E-2</v>
      </c>
      <c r="T20" s="26">
        <f t="shared" si="7"/>
        <v>7.037918502492925E-2</v>
      </c>
      <c r="V20" s="22">
        <f t="shared" si="8"/>
        <v>-1.4520559835653799E-5</v>
      </c>
      <c r="W20" s="22">
        <f t="shared" si="9"/>
        <v>5.4958456314100887E-7</v>
      </c>
      <c r="X20" s="22">
        <f t="shared" si="10"/>
        <v>-1.1044041940134045E-7</v>
      </c>
      <c r="Z20" s="22">
        <f t="shared" si="11"/>
        <v>-4.0334595592588093E-9</v>
      </c>
      <c r="AA20" s="22">
        <f t="shared" si="12"/>
        <v>1.5266242061489895E-10</v>
      </c>
      <c r="AB20" s="22">
        <f t="shared" si="13"/>
        <v>-3.0677892604926051E-11</v>
      </c>
    </row>
    <row r="21" spans="1:28" s="22" customFormat="1" x14ac:dyDescent="0.3">
      <c r="A21" s="22">
        <v>19</v>
      </c>
      <c r="B21" s="22" t="s">
        <v>48</v>
      </c>
      <c r="C21" s="22" t="s">
        <v>49</v>
      </c>
      <c r="D21" s="24">
        <v>45262.459722222222</v>
      </c>
      <c r="E21" s="22">
        <v>0</v>
      </c>
      <c r="F21" s="22">
        <v>0</v>
      </c>
      <c r="G21" s="22">
        <v>0</v>
      </c>
      <c r="H21" s="22">
        <v>0</v>
      </c>
      <c r="I21" s="22">
        <v>5.6937799043062197E-3</v>
      </c>
      <c r="J21" s="22">
        <v>9000</v>
      </c>
      <c r="K21" s="22">
        <v>375</v>
      </c>
      <c r="L21" s="22">
        <v>375.07999999999902</v>
      </c>
      <c r="N21" s="22">
        <f t="shared" si="2"/>
        <v>1507098677504.4905</v>
      </c>
      <c r="O21" s="23">
        <f t="shared" si="3"/>
        <v>2.6415342806850452E-4</v>
      </c>
      <c r="P21" s="25">
        <f t="shared" si="4"/>
        <v>2.3773808526165405</v>
      </c>
      <c r="Q21" s="25">
        <f t="shared" si="5"/>
        <v>0</v>
      </c>
      <c r="S21" s="26">
        <f t="shared" si="6"/>
        <v>7.037918502492925E-2</v>
      </c>
      <c r="T21" s="26">
        <f t="shared" si="7"/>
        <v>7.037918502492925E-2</v>
      </c>
      <c r="V21" s="22">
        <f t="shared" si="8"/>
        <v>6.6002490964892144E-7</v>
      </c>
      <c r="W21" s="22">
        <f t="shared" si="9"/>
        <v>0</v>
      </c>
      <c r="X21" s="22">
        <f t="shared" si="10"/>
        <v>0</v>
      </c>
      <c r="Z21" s="22">
        <f t="shared" si="11"/>
        <v>7.3336125270235881E-11</v>
      </c>
      <c r="AA21" s="22">
        <f t="shared" si="12"/>
        <v>0</v>
      </c>
      <c r="AB21" s="22">
        <f t="shared" si="13"/>
        <v>0</v>
      </c>
    </row>
    <row r="22" spans="1:28" s="22" customFormat="1" x14ac:dyDescent="0.3">
      <c r="A22" s="22">
        <v>20</v>
      </c>
      <c r="B22" s="22" t="s">
        <v>50</v>
      </c>
      <c r="C22" s="22" t="s">
        <v>51</v>
      </c>
      <c r="D22" s="24">
        <v>45262.519444444442</v>
      </c>
      <c r="E22" s="22">
        <v>0</v>
      </c>
      <c r="F22" s="22">
        <v>0</v>
      </c>
      <c r="G22" s="22">
        <v>0</v>
      </c>
      <c r="H22" s="22">
        <v>0</v>
      </c>
      <c r="I22" s="22">
        <v>5.6937799043062197E-3</v>
      </c>
      <c r="J22" s="22">
        <v>3600</v>
      </c>
      <c r="K22" s="22">
        <v>200</v>
      </c>
      <c r="L22" s="22">
        <v>200.159999999999</v>
      </c>
      <c r="N22" s="22">
        <f t="shared" si="2"/>
        <v>363173067755.89795</v>
      </c>
      <c r="O22" s="23">
        <f t="shared" si="3"/>
        <v>4.6473737533823701E-5</v>
      </c>
      <c r="P22" s="25">
        <f t="shared" si="4"/>
        <v>0.16730545512176531</v>
      </c>
      <c r="Q22" s="25">
        <f t="shared" si="5"/>
        <v>0</v>
      </c>
      <c r="S22" s="26">
        <f t="shared" si="6"/>
        <v>7.037918502492925E-2</v>
      </c>
      <c r="T22" s="26">
        <f t="shared" si="7"/>
        <v>7.037918502492925E-2</v>
      </c>
      <c r="V22" s="22">
        <f t="shared" si="8"/>
        <v>0</v>
      </c>
      <c r="W22" s="22">
        <f t="shared" si="9"/>
        <v>0</v>
      </c>
      <c r="X22" s="22">
        <f t="shared" si="10"/>
        <v>0</v>
      </c>
      <c r="Z22" s="22">
        <f t="shared" si="11"/>
        <v>0</v>
      </c>
      <c r="AA22" s="22">
        <f t="shared" si="12"/>
        <v>0</v>
      </c>
      <c r="AB22" s="22">
        <f t="shared" si="13"/>
        <v>0</v>
      </c>
    </row>
    <row r="23" spans="1:28" s="22" customFormat="1" x14ac:dyDescent="0.3">
      <c r="A23" s="22">
        <v>21</v>
      </c>
      <c r="B23" s="22" t="s">
        <v>52</v>
      </c>
      <c r="C23" s="22" t="s">
        <v>53</v>
      </c>
      <c r="D23" s="24">
        <v>45262.648611111108</v>
      </c>
      <c r="E23" s="22">
        <v>0</v>
      </c>
      <c r="F23" s="22">
        <v>0.36099999999999999</v>
      </c>
      <c r="G23" s="22">
        <v>2.05597341471095E-3</v>
      </c>
      <c r="H23" s="23">
        <v>4.3484938963838904E-6</v>
      </c>
      <c r="I23" s="22">
        <v>5.6952172152658102E-3</v>
      </c>
      <c r="J23" s="22">
        <v>9600</v>
      </c>
      <c r="K23" s="22">
        <v>370</v>
      </c>
      <c r="L23" s="22">
        <v>370.07999999999902</v>
      </c>
      <c r="N23" s="22">
        <f t="shared" si="2"/>
        <v>1462660498511.1753</v>
      </c>
      <c r="O23" s="23">
        <f t="shared" si="3"/>
        <v>2.5438674542053145E-4</v>
      </c>
      <c r="P23" s="25">
        <f t="shared" si="4"/>
        <v>2.4421127560371021</v>
      </c>
      <c r="Q23" s="25">
        <f t="shared" si="5"/>
        <v>1.4256675881300191E-3</v>
      </c>
      <c r="S23" s="26">
        <f t="shared" si="6"/>
        <v>7.037918502492925E-2</v>
      </c>
      <c r="T23" s="26">
        <f t="shared" si="7"/>
        <v>7.2435158439640199E-2</v>
      </c>
      <c r="V23" s="22">
        <f t="shared" si="8"/>
        <v>1.6004049961834584E-5</v>
      </c>
      <c r="W23" s="22">
        <f t="shared" si="9"/>
        <v>1.6004049961834584E-5</v>
      </c>
      <c r="X23" s="22">
        <f t="shared" si="10"/>
        <v>2.7101691179441874E-5</v>
      </c>
      <c r="Z23" s="22">
        <f t="shared" si="11"/>
        <v>1.6671018779167021E-9</v>
      </c>
      <c r="AA23" s="22">
        <f t="shared" si="12"/>
        <v>1.6671018779167021E-9</v>
      </c>
      <c r="AB23" s="22">
        <f t="shared" si="13"/>
        <v>2.8231310871816981E-9</v>
      </c>
    </row>
    <row r="24" spans="1:28" s="22" customFormat="1" x14ac:dyDescent="0.3">
      <c r="A24" s="22">
        <v>22</v>
      </c>
      <c r="B24" s="22" t="s">
        <v>54</v>
      </c>
      <c r="C24" s="22" t="s">
        <v>55</v>
      </c>
      <c r="D24" s="24">
        <v>45262.708333333336</v>
      </c>
      <c r="E24" s="22">
        <v>0</v>
      </c>
      <c r="F24" s="22">
        <v>0</v>
      </c>
      <c r="G24" s="22">
        <v>0</v>
      </c>
      <c r="H24" s="22">
        <v>0</v>
      </c>
      <c r="I24" s="22">
        <v>5.69845016261429E-3</v>
      </c>
      <c r="J24" s="22">
        <v>3600</v>
      </c>
      <c r="K24" s="22">
        <v>200</v>
      </c>
      <c r="L24" s="22">
        <v>200.159999999999</v>
      </c>
      <c r="N24" s="22">
        <f t="shared" si="2"/>
        <v>363173067755.89795</v>
      </c>
      <c r="O24" s="23">
        <f t="shared" si="3"/>
        <v>4.6473737533823701E-5</v>
      </c>
      <c r="P24" s="25">
        <f t="shared" si="4"/>
        <v>0.16730545512176531</v>
      </c>
      <c r="Q24" s="25">
        <f t="shared" si="5"/>
        <v>0</v>
      </c>
      <c r="S24" s="26">
        <f t="shared" si="6"/>
        <v>7.2435158439640199E-2</v>
      </c>
      <c r="T24" s="26">
        <f t="shared" si="7"/>
        <v>7.2435158439640199E-2</v>
      </c>
      <c r="V24" s="22">
        <f t="shared" si="8"/>
        <v>-1.1097941990603844E-5</v>
      </c>
      <c r="W24" s="22">
        <f t="shared" si="9"/>
        <v>0</v>
      </c>
      <c r="X24" s="22">
        <f t="shared" si="10"/>
        <v>0</v>
      </c>
      <c r="Z24" s="22">
        <f t="shared" si="11"/>
        <v>-3.0827445579995771E-9</v>
      </c>
      <c r="AA24" s="22">
        <f t="shared" si="12"/>
        <v>0</v>
      </c>
      <c r="AB24" s="22">
        <f t="shared" si="13"/>
        <v>0</v>
      </c>
    </row>
    <row r="25" spans="1:28" s="22" customFormat="1" x14ac:dyDescent="0.3">
      <c r="A25" s="22">
        <v>23</v>
      </c>
      <c r="B25" s="22" t="s">
        <v>56</v>
      </c>
      <c r="C25" s="22" t="s">
        <v>57</v>
      </c>
      <c r="D25" s="24">
        <v>45262.844444444447</v>
      </c>
      <c r="E25" s="22">
        <v>0</v>
      </c>
      <c r="F25" s="22">
        <v>0.29199999999999998</v>
      </c>
      <c r="G25" s="22">
        <v>1.6673880774794301E-3</v>
      </c>
      <c r="H25" s="23">
        <v>3.5173413233908399E-6</v>
      </c>
      <c r="I25" s="22">
        <v>5.7102331420528698E-3</v>
      </c>
      <c r="J25" s="22">
        <v>10200</v>
      </c>
      <c r="K25" s="22">
        <v>365</v>
      </c>
      <c r="L25" s="22">
        <v>365.06999999999903</v>
      </c>
      <c r="N25" s="22">
        <f t="shared" si="2"/>
        <v>1418780002001.7444</v>
      </c>
      <c r="O25" s="23">
        <f t="shared" si="3"/>
        <v>2.448326467881487E-4</v>
      </c>
      <c r="P25" s="25">
        <f t="shared" si="4"/>
        <v>2.4972929972391169</v>
      </c>
      <c r="Q25" s="25">
        <f t="shared" si="5"/>
        <v>1.1136017336312628E-3</v>
      </c>
      <c r="S25" s="26">
        <f t="shared" si="6"/>
        <v>7.2435158439640199E-2</v>
      </c>
      <c r="T25" s="26">
        <f t="shared" si="7"/>
        <v>7.410254651711963E-2</v>
      </c>
      <c r="V25" s="22">
        <f t="shared" si="8"/>
        <v>1.2979442720956284E-5</v>
      </c>
      <c r="W25" s="22">
        <f t="shared" si="9"/>
        <v>1.2979442720956284E-5</v>
      </c>
      <c r="X25" s="22">
        <f t="shared" si="10"/>
        <v>2.1648048494768951E-5</v>
      </c>
      <c r="Z25" s="22">
        <f t="shared" si="11"/>
        <v>1.2725026426112825E-9</v>
      </c>
      <c r="AA25" s="22">
        <f t="shared" si="12"/>
        <v>1.2725026426112825E-9</v>
      </c>
      <c r="AB25" s="22">
        <f t="shared" si="13"/>
        <v>2.1223806683517725E-9</v>
      </c>
    </row>
    <row r="26" spans="1:28" s="22" customFormat="1" x14ac:dyDescent="0.3">
      <c r="A26" s="22">
        <v>24</v>
      </c>
      <c r="B26" s="22" t="s">
        <v>58</v>
      </c>
      <c r="C26" s="22" t="s">
        <v>59</v>
      </c>
      <c r="D26" s="24">
        <v>45262.92083333333</v>
      </c>
      <c r="E26" s="22">
        <v>0</v>
      </c>
      <c r="F26" s="22">
        <v>3.5799999999999998E-3</v>
      </c>
      <c r="G26" s="23">
        <v>2.0443376210030499E-5</v>
      </c>
      <c r="H26" s="23">
        <v>4.3351901134484501E-8</v>
      </c>
      <c r="I26" s="22">
        <v>5.7104402821314404E-3</v>
      </c>
      <c r="J26" s="22">
        <v>3600</v>
      </c>
      <c r="K26" s="22">
        <v>200</v>
      </c>
      <c r="L26" s="22">
        <v>200.159999999999</v>
      </c>
      <c r="N26" s="22">
        <f t="shared" si="2"/>
        <v>363173067755.89795</v>
      </c>
      <c r="O26" s="23">
        <f t="shared" si="3"/>
        <v>4.6473737533823701E-5</v>
      </c>
      <c r="P26" s="25">
        <f t="shared" si="4"/>
        <v>0.16730545512176531</v>
      </c>
      <c r="Q26" s="25">
        <f t="shared" si="5"/>
        <v>-2.4550870827453232E-5</v>
      </c>
      <c r="S26" s="26">
        <f t="shared" si="6"/>
        <v>7.410254651711963E-2</v>
      </c>
      <c r="T26" s="26">
        <f t="shared" si="7"/>
        <v>7.412298989332966E-2</v>
      </c>
      <c r="V26" s="22">
        <f t="shared" si="8"/>
        <v>-8.5096526948820109E-6</v>
      </c>
      <c r="W26" s="22">
        <f t="shared" si="9"/>
        <v>1.5913936184510147E-7</v>
      </c>
      <c r="X26" s="22">
        <f t="shared" si="10"/>
        <v>-3.197436986353184E-8</v>
      </c>
      <c r="Z26" s="22">
        <f t="shared" si="11"/>
        <v>-2.3637823577928994E-9</v>
      </c>
      <c r="AA26" s="22">
        <f t="shared" si="12"/>
        <v>4.4205381795034349E-11</v>
      </c>
      <c r="AB26" s="22">
        <f t="shared" si="13"/>
        <v>-8.8817692520331045E-12</v>
      </c>
    </row>
    <row r="27" spans="1:28" s="22" customFormat="1" x14ac:dyDescent="0.3">
      <c r="A27" s="22">
        <v>25</v>
      </c>
      <c r="B27" s="22" t="s">
        <v>60</v>
      </c>
      <c r="C27" s="22" t="s">
        <v>61</v>
      </c>
      <c r="D27" s="24">
        <v>45263.063888888886</v>
      </c>
      <c r="E27" s="22">
        <v>0</v>
      </c>
      <c r="F27" s="22">
        <v>0.249</v>
      </c>
      <c r="G27" s="22">
        <v>1.41641073293522E-3</v>
      </c>
      <c r="H27" s="23">
        <v>3.2882503424440701E-6</v>
      </c>
      <c r="I27" s="22">
        <v>5.6883965178121604E-3</v>
      </c>
      <c r="J27" s="22">
        <v>10800</v>
      </c>
      <c r="K27" s="22">
        <v>360</v>
      </c>
      <c r="L27" s="22">
        <v>360.06999999999903</v>
      </c>
      <c r="N27" s="22">
        <f t="shared" si="2"/>
        <v>1375638237860.0574</v>
      </c>
      <c r="O27" s="23">
        <f t="shared" si="3"/>
        <v>2.3552765928809232E-4</v>
      </c>
      <c r="P27" s="25">
        <f t="shared" si="4"/>
        <v>2.5436987203113972</v>
      </c>
      <c r="Q27" s="25">
        <f t="shared" si="5"/>
        <v>9.1754350398729324E-4</v>
      </c>
      <c r="S27" s="26">
        <f t="shared" si="6"/>
        <v>7.412298989332966E-2</v>
      </c>
      <c r="T27" s="26">
        <f t="shared" si="7"/>
        <v>7.553940062626488E-2</v>
      </c>
      <c r="V27" s="22">
        <f t="shared" si="8"/>
        <v>1.1217017207823646E-5</v>
      </c>
      <c r="W27" s="22">
        <f t="shared" si="9"/>
        <v>1.102590558942765E-5</v>
      </c>
      <c r="X27" s="22">
        <f t="shared" si="10"/>
        <v>1.8168429868519808E-5</v>
      </c>
      <c r="Z27" s="22">
        <f t="shared" si="11"/>
        <v>1.038618529542781E-9</v>
      </c>
      <c r="AA27" s="22">
        <f t="shared" si="12"/>
        <v>1.0209228125165243E-9</v>
      </c>
      <c r="AB27" s="22">
        <f t="shared" si="13"/>
        <v>1.6822773070825291E-9</v>
      </c>
    </row>
    <row r="28" spans="1:28" s="22" customFormat="1" x14ac:dyDescent="0.3">
      <c r="A28" s="22">
        <v>26</v>
      </c>
      <c r="B28" s="22" t="s">
        <v>62</v>
      </c>
      <c r="C28" s="22" t="s">
        <v>63</v>
      </c>
      <c r="D28" s="24">
        <v>45263.123611111114</v>
      </c>
      <c r="E28" s="22">
        <v>0</v>
      </c>
      <c r="F28" s="22">
        <v>0</v>
      </c>
      <c r="G28" s="22">
        <v>0</v>
      </c>
      <c r="H28" s="22">
        <v>0</v>
      </c>
      <c r="I28" s="22">
        <v>5.6809476463531901E-3</v>
      </c>
      <c r="J28" s="22">
        <v>3600</v>
      </c>
      <c r="K28" s="22">
        <v>200</v>
      </c>
      <c r="L28" s="22">
        <v>200.159999999999</v>
      </c>
      <c r="N28" s="22">
        <f t="shared" si="2"/>
        <v>363173067755.89795</v>
      </c>
      <c r="O28" s="23">
        <f t="shared" si="3"/>
        <v>4.6473737533823701E-5</v>
      </c>
      <c r="P28" s="25">
        <f t="shared" si="4"/>
        <v>0.16730545512176531</v>
      </c>
      <c r="Q28" s="25">
        <f t="shared" si="5"/>
        <v>0</v>
      </c>
      <c r="S28" s="26">
        <f t="shared" si="6"/>
        <v>7.553940062626488E-2</v>
      </c>
      <c r="T28" s="26">
        <f t="shared" si="7"/>
        <v>7.553940062626488E-2</v>
      </c>
      <c r="V28" s="22">
        <f t="shared" si="8"/>
        <v>-7.1426540499013387E-6</v>
      </c>
      <c r="W28" s="22">
        <f t="shared" si="9"/>
        <v>0</v>
      </c>
      <c r="X28" s="22">
        <f t="shared" si="10"/>
        <v>0</v>
      </c>
      <c r="Z28" s="22">
        <f t="shared" si="11"/>
        <v>-1.9840634837123316E-9</v>
      </c>
      <c r="AA28" s="22">
        <f t="shared" si="12"/>
        <v>0</v>
      </c>
      <c r="AB28" s="22">
        <f t="shared" si="13"/>
        <v>0</v>
      </c>
    </row>
    <row r="29" spans="1:28" s="22" customFormat="1" x14ac:dyDescent="0.3">
      <c r="A29" s="22">
        <v>27</v>
      </c>
      <c r="B29" s="22" t="s">
        <v>64</v>
      </c>
      <c r="C29" s="22" t="s">
        <v>65</v>
      </c>
      <c r="D29" s="24">
        <v>45263.224999999999</v>
      </c>
      <c r="E29" s="22">
        <v>0</v>
      </c>
      <c r="F29" s="22">
        <v>1.17</v>
      </c>
      <c r="G29" s="22">
        <v>6.6426456599542301E-3</v>
      </c>
      <c r="H29" s="23">
        <v>1.7627161553832699E-5</v>
      </c>
      <c r="I29" s="22">
        <v>5.6774749230377999E-3</v>
      </c>
      <c r="J29" s="22">
        <v>7200</v>
      </c>
      <c r="K29" s="22">
        <v>410</v>
      </c>
      <c r="L29" s="22">
        <v>410.08999999999901</v>
      </c>
      <c r="N29" s="22">
        <f t="shared" si="2"/>
        <v>1835794022791.8691</v>
      </c>
      <c r="O29" s="23">
        <f t="shared" si="3"/>
        <v>3.3914687704708656E-4</v>
      </c>
      <c r="P29" s="25">
        <f t="shared" si="4"/>
        <v>2.4418575147390231</v>
      </c>
      <c r="Q29" s="25">
        <f t="shared" si="5"/>
        <v>4.6070056105069106E-3</v>
      </c>
      <c r="S29" s="26">
        <f t="shared" si="6"/>
        <v>7.553940062626488E-2</v>
      </c>
      <c r="T29" s="26">
        <f t="shared" si="7"/>
        <v>8.2182046286219113E-2</v>
      </c>
      <c r="V29" s="22">
        <f t="shared" si="8"/>
        <v>5.1709571077720393E-5</v>
      </c>
      <c r="W29" s="22">
        <f t="shared" si="9"/>
        <v>5.1709571077720393E-5</v>
      </c>
      <c r="X29" s="22">
        <f t="shared" si="10"/>
        <v>8.7572734080397429E-5</v>
      </c>
      <c r="Z29" s="22">
        <f t="shared" si="11"/>
        <v>7.1820705643967671E-9</v>
      </c>
      <c r="AA29" s="22">
        <f t="shared" si="12"/>
        <v>7.1820705643967671E-9</v>
      </c>
      <c r="AB29" s="22">
        <f t="shared" si="13"/>
        <v>1.2163412332805528E-8</v>
      </c>
    </row>
    <row r="30" spans="1:28" s="22" customFormat="1" x14ac:dyDescent="0.3">
      <c r="A30" s="22">
        <v>28</v>
      </c>
      <c r="B30" s="22" t="s">
        <v>66</v>
      </c>
      <c r="C30" s="22" t="s">
        <v>67</v>
      </c>
      <c r="D30" s="24">
        <v>45263.284722222219</v>
      </c>
      <c r="E30" s="22">
        <v>0</v>
      </c>
      <c r="F30" s="22">
        <v>3.3999999999999998E-3</v>
      </c>
      <c r="G30" s="23">
        <v>1.9319127918961501E-5</v>
      </c>
      <c r="H30" s="23">
        <v>5.3405536645802297E-8</v>
      </c>
      <c r="I30" s="22">
        <v>5.6820964467533897E-3</v>
      </c>
      <c r="J30" s="22">
        <v>3600</v>
      </c>
      <c r="K30" s="22">
        <v>200</v>
      </c>
      <c r="L30" s="22">
        <v>200.14999999999901</v>
      </c>
      <c r="N30" s="22">
        <f t="shared" si="2"/>
        <v>363132600512.49017</v>
      </c>
      <c r="O30" s="23">
        <f t="shared" si="3"/>
        <v>4.6467577020287204E-5</v>
      </c>
      <c r="P30" s="25">
        <f t="shared" si="4"/>
        <v>0.16728327727303394</v>
      </c>
      <c r="Q30" s="25">
        <f t="shared" si="5"/>
        <v>-2.3200120030849821E-5</v>
      </c>
      <c r="S30" s="26">
        <f t="shared" si="6"/>
        <v>8.2182046286219113E-2</v>
      </c>
      <c r="T30" s="26">
        <f t="shared" si="7"/>
        <v>8.220136541413807E-2</v>
      </c>
      <c r="V30" s="22">
        <f t="shared" si="8"/>
        <v>-3.5715901293167377E-5</v>
      </c>
      <c r="W30" s="22">
        <f t="shared" si="9"/>
        <v>1.5039722561206938E-7</v>
      </c>
      <c r="X30" s="22">
        <f t="shared" si="10"/>
        <v>-3.0213084601890536E-8</v>
      </c>
      <c r="Z30" s="22">
        <f t="shared" si="11"/>
        <v>-9.9209065265351831E-9</v>
      </c>
      <c r="AA30" s="22">
        <f t="shared" si="12"/>
        <v>4.1777010242216451E-11</v>
      </c>
      <c r="AB30" s="22">
        <f t="shared" si="13"/>
        <v>-8.3925234012034272E-12</v>
      </c>
    </row>
    <row r="31" spans="1:28" s="22" customFormat="1" x14ac:dyDescent="0.3">
      <c r="A31" s="22">
        <v>29</v>
      </c>
      <c r="B31" s="22" t="s">
        <v>68</v>
      </c>
      <c r="C31" s="22" t="s">
        <v>69</v>
      </c>
      <c r="D31" s="24">
        <v>45263.386111111111</v>
      </c>
      <c r="E31" s="22">
        <v>0</v>
      </c>
      <c r="F31" s="22">
        <v>1.86</v>
      </c>
      <c r="G31" s="22">
        <v>1.0597214149369E-2</v>
      </c>
      <c r="H31" s="23">
        <v>3.2536038736123197E-5</v>
      </c>
      <c r="I31" s="22">
        <v>5.6974269620263798E-3</v>
      </c>
      <c r="J31" s="22">
        <v>7200</v>
      </c>
      <c r="K31" s="22">
        <v>420</v>
      </c>
      <c r="L31" s="22">
        <v>420.07999999999902</v>
      </c>
      <c r="N31" s="22">
        <f t="shared" si="2"/>
        <v>1935021104269.2546</v>
      </c>
      <c r="O31" s="23">
        <f t="shared" si="3"/>
        <v>3.6270623057951351E-4</v>
      </c>
      <c r="P31" s="25">
        <f t="shared" si="4"/>
        <v>2.6114848601724971</v>
      </c>
      <c r="Q31" s="25">
        <f t="shared" si="5"/>
        <v>6.5760556684563883E-3</v>
      </c>
      <c r="S31" s="26">
        <f t="shared" si="6"/>
        <v>8.220136541413807E-2</v>
      </c>
      <c r="T31" s="26">
        <f t="shared" si="7"/>
        <v>9.2798579563507066E-2</v>
      </c>
      <c r="V31" s="22">
        <f t="shared" si="8"/>
        <v>8.2678721286486115E-5</v>
      </c>
      <c r="W31" s="22">
        <f t="shared" si="9"/>
        <v>8.2498125881740614E-5</v>
      </c>
      <c r="X31" s="22">
        <f t="shared" si="10"/>
        <v>1.3369198312524573E-4</v>
      </c>
      <c r="Z31" s="22">
        <f t="shared" si="11"/>
        <v>1.1483630466723973E-8</v>
      </c>
      <c r="AA31" s="22">
        <f t="shared" si="12"/>
        <v>1.1458545699909597E-8</v>
      </c>
      <c r="AB31" s="22">
        <f t="shared" si="13"/>
        <v>1.8569572318759336E-8</v>
      </c>
    </row>
    <row r="32" spans="1:28" s="22" customFormat="1" x14ac:dyDescent="0.3">
      <c r="A32" s="22">
        <v>30</v>
      </c>
      <c r="B32" s="22" t="s">
        <v>70</v>
      </c>
      <c r="C32" s="22" t="s">
        <v>71</v>
      </c>
      <c r="D32" s="24">
        <v>45263.445138888892</v>
      </c>
      <c r="E32" s="22">
        <v>0</v>
      </c>
      <c r="F32" s="22">
        <v>0.17699999999999999</v>
      </c>
      <c r="G32" s="22">
        <v>1.0091904687523599E-3</v>
      </c>
      <c r="H32" s="23">
        <v>3.2197945474833499E-6</v>
      </c>
      <c r="I32" s="22">
        <v>5.7016410663975501E-3</v>
      </c>
      <c r="J32" s="22">
        <v>3600</v>
      </c>
      <c r="K32" s="22">
        <v>200</v>
      </c>
      <c r="L32" s="22">
        <v>200.14999999999901</v>
      </c>
      <c r="N32" s="22">
        <f t="shared" si="2"/>
        <v>363132600512.49017</v>
      </c>
      <c r="O32" s="23">
        <f t="shared" si="3"/>
        <v>4.6467577020287204E-5</v>
      </c>
      <c r="P32" s="25">
        <f t="shared" si="4"/>
        <v>0.16728327727303394</v>
      </c>
      <c r="Q32" s="25">
        <f t="shared" si="5"/>
        <v>-1.2119253056999753E-3</v>
      </c>
      <c r="S32" s="26">
        <f t="shared" si="6"/>
        <v>9.2798579563507066E-2</v>
      </c>
      <c r="T32" s="26">
        <f t="shared" si="7"/>
        <v>9.380777003225943E-2</v>
      </c>
      <c r="V32" s="22">
        <f t="shared" si="8"/>
        <v>-4.3343217055496415E-5</v>
      </c>
      <c r="W32" s="22">
        <f t="shared" si="9"/>
        <v>7.8570830232761874E-6</v>
      </c>
      <c r="X32" s="22">
        <f t="shared" si="10"/>
        <v>-1.5783982260326414E-6</v>
      </c>
      <c r="Z32" s="22">
        <f t="shared" si="11"/>
        <v>-1.2039521601490823E-8</v>
      </c>
      <c r="AA32" s="22">
        <f t="shared" si="12"/>
        <v>2.1825316362080421E-9</v>
      </c>
      <c r="AB32" s="22">
        <f t="shared" si="13"/>
        <v>-4.3844360568101549E-10</v>
      </c>
    </row>
    <row r="33" spans="1:28" s="22" customFormat="1" x14ac:dyDescent="0.3">
      <c r="A33" s="22">
        <v>31</v>
      </c>
      <c r="B33" s="22" t="s">
        <v>72</v>
      </c>
      <c r="C33" s="22" t="s">
        <v>73</v>
      </c>
      <c r="D33" s="24">
        <v>45263.546527777777</v>
      </c>
      <c r="E33" s="22">
        <v>0</v>
      </c>
      <c r="F33" s="22">
        <v>1.71</v>
      </c>
      <c r="G33" s="22">
        <v>9.7447153696889992E-3</v>
      </c>
      <c r="H33" s="23">
        <v>3.40339401830482E-5</v>
      </c>
      <c r="I33" s="22">
        <v>5.6986639588824496E-3</v>
      </c>
      <c r="J33" s="22">
        <v>7200</v>
      </c>
      <c r="K33" s="22">
        <v>430</v>
      </c>
      <c r="L33" s="22">
        <v>430.07999999999902</v>
      </c>
      <c r="N33" s="22">
        <f t="shared" si="2"/>
        <v>2036665412735.7178</v>
      </c>
      <c r="O33" s="23">
        <f t="shared" si="3"/>
        <v>3.8726689674058016E-4</v>
      </c>
      <c r="P33" s="25">
        <f t="shared" si="4"/>
        <v>2.7883216565321773</v>
      </c>
      <c r="Q33" s="25">
        <f t="shared" si="5"/>
        <v>5.4490842484038677E-3</v>
      </c>
      <c r="S33" s="26">
        <f t="shared" si="6"/>
        <v>9.380777003225943E-2</v>
      </c>
      <c r="T33" s="26">
        <f t="shared" si="7"/>
        <v>0.10355248540194843</v>
      </c>
      <c r="V33" s="22">
        <f t="shared" si="8"/>
        <v>8.5303123868617599E-5</v>
      </c>
      <c r="W33" s="22">
        <f t="shared" si="9"/>
        <v>7.5868373365716544E-5</v>
      </c>
      <c r="X33" s="22">
        <f t="shared" si="10"/>
        <v>1.1829271749228527E-4</v>
      </c>
      <c r="Z33" s="22">
        <f t="shared" si="11"/>
        <v>1.184816144263242E-8</v>
      </c>
      <c r="AA33" s="22">
        <f t="shared" si="12"/>
        <v>1.0537673821711029E-8</v>
      </c>
      <c r="AB33" s="22">
        <f t="shared" si="13"/>
        <v>1.643051592050357E-8</v>
      </c>
    </row>
    <row r="34" spans="1:28" s="22" customFormat="1" x14ac:dyDescent="0.3">
      <c r="A34" s="22">
        <v>32</v>
      </c>
      <c r="B34" s="22" t="s">
        <v>74</v>
      </c>
      <c r="C34" s="22" t="s">
        <v>75</v>
      </c>
      <c r="D34" s="24">
        <v>45263.606249999997</v>
      </c>
      <c r="E34" s="22">
        <v>0</v>
      </c>
      <c r="F34" s="22">
        <v>1.9900000000000001E-2</v>
      </c>
      <c r="G34" s="22">
        <v>1.13299852001551E-4</v>
      </c>
      <c r="H34" s="23">
        <v>4.1118440063328797E-7</v>
      </c>
      <c r="I34" s="22">
        <v>5.6934598995754303E-3</v>
      </c>
      <c r="J34" s="22">
        <v>3600</v>
      </c>
      <c r="K34" s="22">
        <v>200</v>
      </c>
      <c r="L34" s="22">
        <v>200.14</v>
      </c>
      <c r="N34" s="22">
        <f t="shared" si="2"/>
        <v>363092136067.92883</v>
      </c>
      <c r="O34" s="23">
        <f t="shared" si="3"/>
        <v>4.6461417083779129E-5</v>
      </c>
      <c r="P34" s="25">
        <f t="shared" si="4"/>
        <v>0.16726110150160486</v>
      </c>
      <c r="Q34" s="25">
        <f t="shared" si="5"/>
        <v>-1.3605687473691294E-4</v>
      </c>
      <c r="S34" s="26">
        <f t="shared" si="6"/>
        <v>0.10355248540194843</v>
      </c>
      <c r="T34" s="26">
        <f t="shared" si="7"/>
        <v>0.10366578525394998</v>
      </c>
      <c r="V34" s="22">
        <f t="shared" si="8"/>
        <v>-4.1547152484962849E-5</v>
      </c>
      <c r="W34" s="22">
        <f t="shared" si="9"/>
        <v>8.8217329623040748E-7</v>
      </c>
      <c r="X34" s="22">
        <f t="shared" si="10"/>
        <v>-1.7719032641428107E-7</v>
      </c>
      <c r="Z34" s="22">
        <f t="shared" si="11"/>
        <v>-1.1540635951672349E-8</v>
      </c>
      <c r="AA34" s="22">
        <f t="shared" si="12"/>
        <v>2.4504824591823592E-10</v>
      </c>
      <c r="AB34" s="22">
        <f t="shared" si="13"/>
        <v>-4.9219530753663222E-11</v>
      </c>
    </row>
    <row r="35" spans="1:28" s="22" customFormat="1" x14ac:dyDescent="0.3">
      <c r="A35" s="22">
        <v>33</v>
      </c>
      <c r="B35" s="22" t="s">
        <v>76</v>
      </c>
      <c r="C35" s="22" t="s">
        <v>77</v>
      </c>
      <c r="D35" s="24">
        <v>45263.707638888889</v>
      </c>
      <c r="E35" s="22">
        <v>0</v>
      </c>
      <c r="F35" s="22">
        <v>2.09</v>
      </c>
      <c r="G35" s="22">
        <v>1.18701701153241E-2</v>
      </c>
      <c r="H35" s="23">
        <v>4.6455062459428202E-5</v>
      </c>
      <c r="I35" s="22">
        <v>5.6795072322125204E-3</v>
      </c>
      <c r="J35" s="22">
        <v>7200</v>
      </c>
      <c r="K35" s="22">
        <v>440</v>
      </c>
      <c r="L35" s="22">
        <v>440.06999999999903</v>
      </c>
      <c r="N35" s="22">
        <f t="shared" si="2"/>
        <v>2140468093596.5017</v>
      </c>
      <c r="O35" s="23">
        <f t="shared" si="3"/>
        <v>4.127878132470286E-4</v>
      </c>
      <c r="P35" s="25">
        <f t="shared" si="4"/>
        <v>2.9720722553786061</v>
      </c>
      <c r="Q35" s="25">
        <f t="shared" si="5"/>
        <v>6.0191354971652492E-3</v>
      </c>
      <c r="S35" s="26">
        <f t="shared" si="6"/>
        <v>0.10366578525394998</v>
      </c>
      <c r="T35" s="26">
        <f t="shared" si="7"/>
        <v>0.11553595536927408</v>
      </c>
      <c r="V35" s="22">
        <f t="shared" si="8"/>
        <v>9.3482654877993126E-5</v>
      </c>
      <c r="W35" s="22">
        <f t="shared" si="9"/>
        <v>9.2423389353016617E-5</v>
      </c>
      <c r="X35" s="22">
        <f t="shared" si="10"/>
        <v>1.3928951664675149E-4</v>
      </c>
      <c r="Z35" s="22">
        <f t="shared" si="11"/>
        <v>1.2984308979677646E-8</v>
      </c>
      <c r="AA35" s="22">
        <f t="shared" si="12"/>
        <v>1.2837175091337941E-8</v>
      </c>
      <c r="AB35" s="22">
        <f t="shared" si="13"/>
        <v>1.9347113657277431E-8</v>
      </c>
    </row>
    <row r="36" spans="1:28" s="22" customFormat="1" x14ac:dyDescent="0.3">
      <c r="A36" s="22">
        <v>34</v>
      </c>
      <c r="B36" s="22" t="s">
        <v>78</v>
      </c>
      <c r="C36" s="22" t="s">
        <v>79</v>
      </c>
      <c r="D36" s="24">
        <v>45263.767361111109</v>
      </c>
      <c r="E36" s="22">
        <v>0</v>
      </c>
      <c r="F36" s="22">
        <v>0.13300000000000001</v>
      </c>
      <c r="G36" s="22">
        <v>7.5494548827995697E-4</v>
      </c>
      <c r="H36" s="23">
        <v>2.9977668664625598E-6</v>
      </c>
      <c r="I36" s="22">
        <v>5.67628186676659E-3</v>
      </c>
      <c r="J36" s="22">
        <v>3600</v>
      </c>
      <c r="K36" s="22">
        <v>200</v>
      </c>
      <c r="L36" s="22">
        <v>200.14</v>
      </c>
      <c r="N36" s="22">
        <f t="shared" si="2"/>
        <v>363092136067.92883</v>
      </c>
      <c r="O36" s="23">
        <f t="shared" si="3"/>
        <v>4.6461417083779129E-5</v>
      </c>
      <c r="P36" s="25">
        <f t="shared" si="4"/>
        <v>0.16726110150160486</v>
      </c>
      <c r="Q36" s="25">
        <f t="shared" si="5"/>
        <v>-9.0658127012114339E-4</v>
      </c>
      <c r="S36" s="26">
        <f t="shared" si="6"/>
        <v>0.11553595536927408</v>
      </c>
      <c r="T36" s="26">
        <f t="shared" si="7"/>
        <v>0.11629090085755403</v>
      </c>
      <c r="V36" s="22">
        <f t="shared" si="8"/>
        <v>-4.0993688941088022E-5</v>
      </c>
      <c r="W36" s="22">
        <f t="shared" si="9"/>
        <v>5.8786916723743678E-6</v>
      </c>
      <c r="X36" s="22">
        <f t="shared" si="10"/>
        <v>-1.1807740052526721E-6</v>
      </c>
      <c r="Z36" s="22">
        <f t="shared" si="11"/>
        <v>-1.1386902423018585E-8</v>
      </c>
      <c r="AA36" s="22">
        <f t="shared" si="12"/>
        <v>1.6329747088668991E-9</v>
      </c>
      <c r="AB36" s="22">
        <f t="shared" si="13"/>
        <v>-3.2799258559034123E-10</v>
      </c>
    </row>
    <row r="37" spans="1:28" s="22" customFormat="1" x14ac:dyDescent="0.3">
      <c r="A37" s="22">
        <v>35</v>
      </c>
      <c r="B37" s="22" t="s">
        <v>80</v>
      </c>
      <c r="C37" s="22" t="s">
        <v>81</v>
      </c>
      <c r="D37" s="24">
        <v>45263.868750000001</v>
      </c>
      <c r="E37" s="22">
        <v>0</v>
      </c>
      <c r="F37" s="22">
        <v>2.93</v>
      </c>
      <c r="G37" s="22">
        <v>1.6647302156447E-2</v>
      </c>
      <c r="H37" s="23">
        <v>6.6206312867297997E-5</v>
      </c>
      <c r="I37" s="22">
        <v>5.6816730909375604E-3</v>
      </c>
      <c r="J37" s="22">
        <v>7200</v>
      </c>
      <c r="K37" s="22">
        <v>450</v>
      </c>
      <c r="L37" s="22">
        <v>450.05999999999898</v>
      </c>
      <c r="N37" s="22">
        <f t="shared" si="2"/>
        <v>2246473332673.7529</v>
      </c>
      <c r="O37" s="23">
        <f t="shared" si="3"/>
        <v>4.3930034833780375E-4</v>
      </c>
      <c r="P37" s="25">
        <f t="shared" si="4"/>
        <v>3.1629625080321868</v>
      </c>
      <c r="Q37" s="25">
        <f t="shared" si="5"/>
        <v>7.6965283007111992E-3</v>
      </c>
      <c r="S37" s="26">
        <f t="shared" si="6"/>
        <v>0.11629090085755403</v>
      </c>
      <c r="T37" s="26">
        <f t="shared" si="7"/>
        <v>0.13293820301400103</v>
      </c>
      <c r="V37" s="22">
        <f t="shared" si="8"/>
        <v>1.3669032807152277E-4</v>
      </c>
      <c r="W37" s="22">
        <f t="shared" si="9"/>
        <v>1.2963178585958187E-4</v>
      </c>
      <c r="X37" s="22">
        <f t="shared" si="10"/>
        <v>1.8956430220149384E-4</v>
      </c>
      <c r="Z37" s="22">
        <f t="shared" si="11"/>
        <v>1.8986065423029065E-8</v>
      </c>
      <c r="AA37" s="22">
        <f t="shared" si="12"/>
        <v>1.8005581775793659E-8</v>
      </c>
      <c r="AB37" s="22">
        <f t="shared" si="13"/>
        <v>2.6330871081224323E-8</v>
      </c>
    </row>
    <row r="38" spans="1:28" s="22" customFormat="1" x14ac:dyDescent="0.3">
      <c r="A38" s="22">
        <v>36</v>
      </c>
      <c r="B38" s="22" t="s">
        <v>82</v>
      </c>
      <c r="C38" s="22" t="s">
        <v>83</v>
      </c>
      <c r="D38" s="24">
        <v>45263.928472222222</v>
      </c>
      <c r="E38" s="22">
        <v>0</v>
      </c>
      <c r="F38" s="22">
        <v>1.0699999999999999E-2</v>
      </c>
      <c r="G38" s="23">
        <v>6.0953111799011303E-5</v>
      </c>
      <c r="H38" s="23">
        <v>2.4177732002733402E-7</v>
      </c>
      <c r="I38" s="22">
        <v>5.6965525045804899E-3</v>
      </c>
      <c r="J38" s="22">
        <v>3600</v>
      </c>
      <c r="K38" s="22">
        <v>200</v>
      </c>
      <c r="L38" s="22">
        <v>200.13</v>
      </c>
      <c r="N38" s="22">
        <f t="shared" si="2"/>
        <v>363051674422.16711</v>
      </c>
      <c r="O38" s="23">
        <f t="shared" si="3"/>
        <v>4.6455257724270576E-5</v>
      </c>
      <c r="P38" s="25">
        <f t="shared" si="4"/>
        <v>0.16723892780737407</v>
      </c>
      <c r="Q38" s="25">
        <f t="shared" si="5"/>
        <v>-7.3193997455385664E-5</v>
      </c>
      <c r="S38" s="26">
        <f t="shared" si="6"/>
        <v>0.13293820301400103</v>
      </c>
      <c r="T38" s="26">
        <f t="shared" si="7"/>
        <v>0.13299915612580004</v>
      </c>
      <c r="V38" s="22">
        <f t="shared" si="8"/>
        <v>-5.9469150456510738E-5</v>
      </c>
      <c r="W38" s="22">
        <f t="shared" si="9"/>
        <v>4.7470064970298177E-7</v>
      </c>
      <c r="X38" s="22">
        <f t="shared" si="10"/>
        <v>-9.5331578692510223E-8</v>
      </c>
      <c r="Z38" s="22">
        <f t="shared" si="11"/>
        <v>-1.6518717287969295E-8</v>
      </c>
      <c r="AA38" s="22">
        <f t="shared" si="12"/>
        <v>1.3186132287440614E-10</v>
      </c>
      <c r="AB38" s="22">
        <f t="shared" si="13"/>
        <v>-2.6480992801977821E-11</v>
      </c>
    </row>
    <row r="39" spans="1:28" s="22" customFormat="1" x14ac:dyDescent="0.3">
      <c r="A39" s="22">
        <v>37</v>
      </c>
      <c r="B39" s="22" t="s">
        <v>84</v>
      </c>
      <c r="C39" s="22" t="s">
        <v>85</v>
      </c>
      <c r="D39" s="24">
        <v>45264.029861111114</v>
      </c>
      <c r="E39" s="22">
        <v>0</v>
      </c>
      <c r="F39" s="22">
        <v>1.31</v>
      </c>
      <c r="G39" s="22">
        <v>7.4886981139012298E-3</v>
      </c>
      <c r="H39" s="23">
        <v>2.9600774694935298E-5</v>
      </c>
      <c r="I39" s="22">
        <v>5.7165634457261296E-3</v>
      </c>
      <c r="J39" s="22">
        <v>7200</v>
      </c>
      <c r="K39" s="22">
        <v>445</v>
      </c>
      <c r="L39" s="22">
        <v>445.04999999999899</v>
      </c>
      <c r="N39" s="22">
        <f t="shared" si="2"/>
        <v>2193039770404.7302</v>
      </c>
      <c r="O39" s="23">
        <f t="shared" si="3"/>
        <v>4.2587989408202347E-4</v>
      </c>
      <c r="P39" s="25">
        <f t="shared" si="4"/>
        <v>3.066335237390569</v>
      </c>
      <c r="Q39" s="25">
        <f t="shared" si="5"/>
        <v>3.6241448039952052E-3</v>
      </c>
      <c r="S39" s="26">
        <f t="shared" si="6"/>
        <v>0.13299915612580004</v>
      </c>
      <c r="T39" s="26">
        <f t="shared" si="7"/>
        <v>0.14048785423970128</v>
      </c>
      <c r="V39" s="22">
        <f t="shared" si="8"/>
        <v>5.889173907766783E-5</v>
      </c>
      <c r="W39" s="22">
        <f t="shared" si="9"/>
        <v>5.8321740148882734E-5</v>
      </c>
      <c r="X39" s="22">
        <f t="shared" si="10"/>
        <v>8.6546463365882699E-5</v>
      </c>
      <c r="Z39" s="22">
        <f t="shared" si="11"/>
        <v>8.1796490644785568E-9</v>
      </c>
      <c r="AA39" s="22">
        <f t="shared" si="12"/>
        <v>8.1004779066214599E-9</v>
      </c>
      <c r="AB39" s="22">
        <f t="shared" si="13"/>
        <v>1.2020862323219793E-8</v>
      </c>
    </row>
    <row r="40" spans="1:28" s="22" customFormat="1" x14ac:dyDescent="0.3">
      <c r="A40" s="22">
        <v>38</v>
      </c>
      <c r="B40" s="22" t="s">
        <v>86</v>
      </c>
      <c r="C40" s="22" t="s">
        <v>87</v>
      </c>
      <c r="D40" s="24">
        <v>45264.089583333334</v>
      </c>
      <c r="E40" s="22">
        <v>0</v>
      </c>
      <c r="F40" s="22">
        <v>2.5000000000000001E-2</v>
      </c>
      <c r="G40" s="22">
        <v>1.4306473339723499E-4</v>
      </c>
      <c r="H40" s="23">
        <v>5.6684243458681701E-7</v>
      </c>
      <c r="I40" s="22">
        <v>5.7225893358894197E-3</v>
      </c>
      <c r="J40" s="22">
        <v>3600</v>
      </c>
      <c r="K40" s="22">
        <v>200</v>
      </c>
      <c r="L40" s="22">
        <v>200.13</v>
      </c>
      <c r="N40" s="22">
        <f t="shared" si="2"/>
        <v>363051674422.16711</v>
      </c>
      <c r="O40" s="23">
        <f t="shared" si="3"/>
        <v>4.6455257724270576E-5</v>
      </c>
      <c r="P40" s="25">
        <f t="shared" si="4"/>
        <v>0.16723892780737407</v>
      </c>
      <c r="Q40" s="25">
        <f t="shared" si="5"/>
        <v>-1.7179565444930245E-4</v>
      </c>
      <c r="S40" s="26">
        <f t="shared" si="6"/>
        <v>0.14048785423970128</v>
      </c>
      <c r="T40" s="26">
        <f t="shared" si="7"/>
        <v>0.14063091897309851</v>
      </c>
      <c r="V40" s="22">
        <f t="shared" si="8"/>
        <v>-2.7112886197255729E-5</v>
      </c>
      <c r="W40" s="22">
        <f t="shared" si="9"/>
        <v>1.1142485290694273E-6</v>
      </c>
      <c r="X40" s="22">
        <f t="shared" si="10"/>
        <v>-2.237685400229791E-7</v>
      </c>
      <c r="Z40" s="22">
        <f t="shared" si="11"/>
        <v>-7.5312551804507112E-9</v>
      </c>
      <c r="AA40" s="22">
        <f t="shared" si="12"/>
        <v>3.095136527460598E-10</v>
      </c>
      <c r="AB40" s="22">
        <f t="shared" si="13"/>
        <v>-6.2157920801003509E-11</v>
      </c>
    </row>
    <row r="41" spans="1:28" s="22" customFormat="1" x14ac:dyDescent="0.3">
      <c r="A41" s="22">
        <v>39</v>
      </c>
      <c r="B41" s="22" t="s">
        <v>88</v>
      </c>
      <c r="C41" s="22" t="s">
        <v>89</v>
      </c>
      <c r="D41" s="24">
        <v>45264.190972222219</v>
      </c>
      <c r="E41" s="22">
        <v>0</v>
      </c>
      <c r="F41" s="22">
        <v>0.74199999999999999</v>
      </c>
      <c r="G41" s="22">
        <v>4.2492619315189504E-3</v>
      </c>
      <c r="H41" s="23">
        <v>1.7649063048724E-5</v>
      </c>
      <c r="I41" s="22">
        <v>5.7267681017775596E-3</v>
      </c>
      <c r="J41" s="22">
        <v>7200</v>
      </c>
      <c r="K41" s="22">
        <v>440</v>
      </c>
      <c r="L41" s="22">
        <v>440.05999999999898</v>
      </c>
      <c r="N41" s="22">
        <f t="shared" si="2"/>
        <v>2140363076280.1387</v>
      </c>
      <c r="O41" s="23">
        <f t="shared" si="3"/>
        <v>4.1276177213108708E-4</v>
      </c>
      <c r="P41" s="25">
        <f t="shared" si="4"/>
        <v>2.9718847593438271</v>
      </c>
      <c r="Q41" s="25">
        <f t="shared" si="5"/>
        <v>2.1549240701738337E-3</v>
      </c>
      <c r="S41" s="26">
        <f t="shared" si="6"/>
        <v>0.14063091897309851</v>
      </c>
      <c r="T41" s="26">
        <f t="shared" si="7"/>
        <v>0.14488018090461746</v>
      </c>
      <c r="V41" s="22">
        <f t="shared" si="8"/>
        <v>3.4433054833294596E-5</v>
      </c>
      <c r="W41" s="22">
        <f t="shared" si="9"/>
        <v>3.3095082345383422E-5</v>
      </c>
      <c r="X41" s="22">
        <f t="shared" si="10"/>
        <v>4.9878559264387702E-5</v>
      </c>
      <c r="Z41" s="22">
        <f t="shared" si="11"/>
        <v>4.7824510645203087E-9</v>
      </c>
      <c r="AA41" s="22">
        <f t="shared" si="12"/>
        <v>4.5966152777377965E-9</v>
      </c>
      <c r="AB41" s="22">
        <f t="shared" si="13"/>
        <v>6.927750450155313E-9</v>
      </c>
    </row>
    <row r="42" spans="1:28" s="22" customFormat="1" x14ac:dyDescent="0.3">
      <c r="A42" s="22">
        <v>40</v>
      </c>
      <c r="B42" s="22" t="s">
        <v>90</v>
      </c>
      <c r="C42" s="22" t="s">
        <v>91</v>
      </c>
      <c r="D42" s="24">
        <v>45264.25</v>
      </c>
      <c r="E42" s="22">
        <v>0</v>
      </c>
      <c r="F42" s="22">
        <v>0</v>
      </c>
      <c r="G42" s="22">
        <v>0</v>
      </c>
      <c r="H42" s="22">
        <v>0</v>
      </c>
      <c r="I42" s="22">
        <v>5.7289925941181701E-3</v>
      </c>
      <c r="J42" s="22">
        <v>3600</v>
      </c>
      <c r="K42" s="22">
        <v>200</v>
      </c>
      <c r="L42" s="22">
        <v>200.14</v>
      </c>
      <c r="N42" s="22">
        <f t="shared" si="2"/>
        <v>363092136067.92883</v>
      </c>
      <c r="O42" s="23">
        <f t="shared" si="3"/>
        <v>4.6461417083779129E-5</v>
      </c>
      <c r="P42" s="25">
        <f t="shared" si="4"/>
        <v>0.16726110150160486</v>
      </c>
      <c r="Q42" s="25">
        <f t="shared" si="5"/>
        <v>0</v>
      </c>
      <c r="S42" s="26">
        <f t="shared" si="6"/>
        <v>0.14488018090461746</v>
      </c>
      <c r="T42" s="26">
        <f t="shared" si="7"/>
        <v>0.14488018090461746</v>
      </c>
      <c r="V42" s="22">
        <f t="shared" si="8"/>
        <v>-1.6784314096409649E-5</v>
      </c>
      <c r="W42" s="22">
        <f t="shared" si="9"/>
        <v>0</v>
      </c>
      <c r="X42" s="22">
        <f t="shared" si="10"/>
        <v>0</v>
      </c>
      <c r="Z42" s="22">
        <f t="shared" si="11"/>
        <v>-4.6622703448133914E-9</v>
      </c>
      <c r="AA42" s="22">
        <f t="shared" si="12"/>
        <v>0</v>
      </c>
      <c r="AB42" s="22">
        <f t="shared" si="13"/>
        <v>0</v>
      </c>
    </row>
    <row r="43" spans="1:28" s="22" customFormat="1" x14ac:dyDescent="0.3">
      <c r="A43" s="22">
        <v>41</v>
      </c>
      <c r="B43" s="22" t="s">
        <v>92</v>
      </c>
      <c r="C43" s="22" t="s">
        <v>93</v>
      </c>
      <c r="D43" s="24">
        <v>45264.379166666666</v>
      </c>
      <c r="E43" s="22">
        <v>0</v>
      </c>
      <c r="F43" s="22">
        <v>0.71799999999999997</v>
      </c>
      <c r="G43" s="22">
        <v>4.1129988678424599E-3</v>
      </c>
      <c r="H43" s="23">
        <v>1.91147824332253E-5</v>
      </c>
      <c r="I43" s="22">
        <v>5.7284106794463201E-3</v>
      </c>
      <c r="J43" s="22">
        <v>7800</v>
      </c>
      <c r="K43" s="22">
        <v>435</v>
      </c>
      <c r="L43" s="22">
        <v>435.04999999999899</v>
      </c>
      <c r="N43" s="22">
        <f t="shared" si="2"/>
        <v>2088028132363.0681</v>
      </c>
      <c r="O43" s="23">
        <f t="shared" si="3"/>
        <v>3.998399790768402E-4</v>
      </c>
      <c r="P43" s="25">
        <f t="shared" si="4"/>
        <v>3.1187518367993534</v>
      </c>
      <c r="Q43" s="25">
        <f t="shared" si="5"/>
        <v>1.9412367207929705E-3</v>
      </c>
      <c r="S43" s="26">
        <f t="shared" si="6"/>
        <v>0.14488018090461746</v>
      </c>
      <c r="T43" s="26">
        <f t="shared" si="7"/>
        <v>0.14899317977245993</v>
      </c>
      <c r="V43" s="22">
        <f t="shared" si="8"/>
        <v>3.2034867105017032E-5</v>
      </c>
      <c r="W43" s="22">
        <f t="shared" si="9"/>
        <v>3.2034867105017032E-5</v>
      </c>
      <c r="X43" s="22">
        <f t="shared" si="10"/>
        <v>4.7154555285870632E-5</v>
      </c>
      <c r="Z43" s="22">
        <f t="shared" si="11"/>
        <v>4.1071000297855021E-9</v>
      </c>
      <c r="AA43" s="22">
        <f t="shared" si="12"/>
        <v>4.1071000297855021E-9</v>
      </c>
      <c r="AB43" s="22">
        <f t="shared" si="13"/>
        <v>6.0455983457584099E-9</v>
      </c>
    </row>
    <row r="44" spans="1:28" s="22" customFormat="1" x14ac:dyDescent="0.3">
      <c r="A44" s="22">
        <v>42</v>
      </c>
      <c r="B44" s="22" t="s">
        <v>94</v>
      </c>
      <c r="C44" s="22" t="s">
        <v>95</v>
      </c>
      <c r="D44" s="24">
        <v>45264.438888888886</v>
      </c>
      <c r="E44" s="22">
        <v>0</v>
      </c>
      <c r="F44" s="22">
        <v>0</v>
      </c>
      <c r="G44" s="22">
        <v>0</v>
      </c>
      <c r="H44" s="22">
        <v>0</v>
      </c>
      <c r="I44" s="22">
        <v>5.7215031085728497E-3</v>
      </c>
      <c r="J44" s="22">
        <v>3600</v>
      </c>
      <c r="K44" s="22">
        <v>200</v>
      </c>
      <c r="L44" s="22">
        <v>200.22</v>
      </c>
      <c r="N44" s="22">
        <f t="shared" si="2"/>
        <v>363415929994.23254</v>
      </c>
      <c r="O44" s="23">
        <f t="shared" si="3"/>
        <v>4.6510712734179544E-5</v>
      </c>
      <c r="P44" s="25">
        <f t="shared" si="4"/>
        <v>0.16743856584304637</v>
      </c>
      <c r="Q44" s="25">
        <f t="shared" si="5"/>
        <v>0</v>
      </c>
      <c r="S44" s="26">
        <f t="shared" si="6"/>
        <v>0.14899317977245993</v>
      </c>
      <c r="T44" s="26">
        <f t="shared" si="7"/>
        <v>0.14899317977245993</v>
      </c>
      <c r="V44" s="22">
        <f t="shared" si="8"/>
        <v>-1.5120401176646827E-5</v>
      </c>
      <c r="W44" s="22">
        <f t="shared" si="9"/>
        <v>0</v>
      </c>
      <c r="X44" s="22">
        <f t="shared" si="10"/>
        <v>0</v>
      </c>
      <c r="Z44" s="22">
        <f t="shared" si="11"/>
        <v>-4.2000796846024963E-9</v>
      </c>
      <c r="AA44" s="22">
        <f t="shared" si="12"/>
        <v>0</v>
      </c>
      <c r="AB44" s="22">
        <f t="shared" si="13"/>
        <v>0</v>
      </c>
    </row>
    <row r="45" spans="1:28" s="22" customFormat="1" x14ac:dyDescent="0.3">
      <c r="A45" s="22">
        <v>43</v>
      </c>
      <c r="B45" s="22" t="s">
        <v>96</v>
      </c>
      <c r="C45" s="22" t="s">
        <v>97</v>
      </c>
      <c r="D45" s="24">
        <v>45264.554166666669</v>
      </c>
      <c r="E45" s="22">
        <v>0</v>
      </c>
      <c r="F45" s="22">
        <v>0.47899999999999998</v>
      </c>
      <c r="G45" s="22">
        <v>2.7274556471204399E-3</v>
      </c>
      <c r="H45" s="23">
        <v>1.3207268169705999E-5</v>
      </c>
      <c r="I45" s="22">
        <v>5.6940618937796304E-3</v>
      </c>
      <c r="J45" s="22">
        <v>8400</v>
      </c>
      <c r="K45" s="22">
        <v>430</v>
      </c>
      <c r="L45" s="22">
        <v>430.04999999999899</v>
      </c>
      <c r="N45" s="22">
        <f t="shared" si="2"/>
        <v>2036357066848.2708</v>
      </c>
      <c r="O45" s="23">
        <f t="shared" si="3"/>
        <v>3.8719174358843648E-4</v>
      </c>
      <c r="P45" s="25">
        <f t="shared" si="4"/>
        <v>3.2524106461428666</v>
      </c>
      <c r="Q45" s="25">
        <f t="shared" si="5"/>
        <v>1.2109051481314309E-3</v>
      </c>
      <c r="S45" s="26">
        <f t="shared" si="6"/>
        <v>0.14899317977245993</v>
      </c>
      <c r="T45" s="26">
        <f t="shared" si="7"/>
        <v>0.15172063541958036</v>
      </c>
      <c r="V45" s="22">
        <f t="shared" si="8"/>
        <v>2.1243983062420879E-5</v>
      </c>
      <c r="W45" s="22">
        <f t="shared" si="9"/>
        <v>2.1243983062420879E-5</v>
      </c>
      <c r="X45" s="22">
        <f t="shared" si="10"/>
        <v>3.0675648242480325E-5</v>
      </c>
      <c r="Z45" s="22">
        <f t="shared" si="11"/>
        <v>2.5290724665563059E-9</v>
      </c>
      <c r="AA45" s="22">
        <f t="shared" si="12"/>
        <v>2.5290724665563059E-9</v>
      </c>
      <c r="AB45" s="22">
        <f t="shared" si="13"/>
        <v>3.6519188987808789E-9</v>
      </c>
    </row>
    <row r="46" spans="1:28" s="22" customFormat="1" x14ac:dyDescent="0.3">
      <c r="A46" s="22">
        <v>44</v>
      </c>
      <c r="B46" s="22" t="s">
        <v>98</v>
      </c>
      <c r="C46" s="22" t="s">
        <v>99</v>
      </c>
      <c r="D46" s="24">
        <v>45264.804166666669</v>
      </c>
      <c r="E46" s="22">
        <v>0</v>
      </c>
      <c r="F46" s="22">
        <v>0.61199999999999999</v>
      </c>
      <c r="G46" s="22">
        <v>3.4694531814649099E-3</v>
      </c>
      <c r="H46" s="23">
        <v>1.64466370169217E-5</v>
      </c>
      <c r="I46" s="22">
        <v>5.6690411461844904E-3</v>
      </c>
      <c r="J46" s="22">
        <v>9000</v>
      </c>
      <c r="K46" s="22">
        <v>425</v>
      </c>
      <c r="L46" s="22">
        <v>425.06999999999903</v>
      </c>
      <c r="N46" s="22">
        <f t="shared" si="2"/>
        <v>1985455187852.9893</v>
      </c>
      <c r="O46" s="23">
        <f t="shared" si="3"/>
        <v>3.7483920400827931E-4</v>
      </c>
      <c r="P46" s="25">
        <f t="shared" si="4"/>
        <v>3.3735528360745137</v>
      </c>
      <c r="Q46" s="25">
        <f t="shared" si="5"/>
        <v>1.461713061000506E-3</v>
      </c>
      <c r="S46" s="26">
        <f t="shared" si="6"/>
        <v>0.15172063541958036</v>
      </c>
      <c r="T46" s="26">
        <f t="shared" si="7"/>
        <v>0.15519008860104527</v>
      </c>
      <c r="V46" s="22">
        <f t="shared" si="8"/>
        <v>1.7592230361755872E-5</v>
      </c>
      <c r="W46" s="22">
        <f t="shared" si="9"/>
        <v>2.7023929984655818E-5</v>
      </c>
      <c r="X46" s="22">
        <f t="shared" si="10"/>
        <v>3.8409364331821722E-5</v>
      </c>
      <c r="Z46" s="22">
        <f t="shared" si="11"/>
        <v>1.9547094563217047E-9</v>
      </c>
      <c r="AA46" s="22">
        <f t="shared" si="12"/>
        <v>3.0026994597371386E-9</v>
      </c>
      <c r="AB46" s="22">
        <f t="shared" si="13"/>
        <v>4.2677891100424891E-9</v>
      </c>
    </row>
    <row r="47" spans="1:28" s="30" customFormat="1" x14ac:dyDescent="0.3">
      <c r="A47" s="30">
        <v>45</v>
      </c>
      <c r="B47" s="30" t="s">
        <v>100</v>
      </c>
      <c r="C47" s="30" t="s">
        <v>101</v>
      </c>
      <c r="D47" s="31">
        <v>45264.863888888889</v>
      </c>
      <c r="E47" s="30">
        <v>0</v>
      </c>
      <c r="F47" s="30">
        <v>0</v>
      </c>
      <c r="G47" s="30">
        <v>0</v>
      </c>
      <c r="H47" s="30">
        <v>0</v>
      </c>
      <c r="I47" s="30">
        <v>5.6676965604363404E-3</v>
      </c>
      <c r="J47" s="30">
        <v>3600</v>
      </c>
      <c r="K47" s="30">
        <v>200</v>
      </c>
      <c r="L47" s="30">
        <v>200.22</v>
      </c>
      <c r="N47" s="30">
        <f t="shared" si="2"/>
        <v>363415929994.23254</v>
      </c>
      <c r="O47" s="32">
        <f t="shared" si="3"/>
        <v>4.6510712734179544E-5</v>
      </c>
      <c r="P47" s="33">
        <f t="shared" si="4"/>
        <v>0.16743856584304637</v>
      </c>
      <c r="Q47" s="33">
        <f>Q46-G47</f>
        <v>1.461713061000506E-3</v>
      </c>
      <c r="S47" s="34">
        <f t="shared" si="6"/>
        <v>0.15519008860104527</v>
      </c>
      <c r="T47" s="34">
        <f t="shared" si="7"/>
        <v>0.15519008860104527</v>
      </c>
      <c r="V47" s="30">
        <f t="shared" si="8"/>
        <v>-1.138587167125916E-5</v>
      </c>
      <c r="W47" s="30">
        <f t="shared" si="9"/>
        <v>0</v>
      </c>
      <c r="X47" s="30">
        <f t="shared" si="10"/>
        <v>1.1385742034661472E-5</v>
      </c>
      <c r="Z47" s="30">
        <f t="shared" si="11"/>
        <v>-3.1627241257557619E-9</v>
      </c>
      <c r="AA47" s="30">
        <f t="shared" si="12"/>
        <v>0</v>
      </c>
      <c r="AB47" s="30">
        <f t="shared" si="13"/>
        <v>3.1627241257454644E-9</v>
      </c>
    </row>
    <row r="48" spans="1:28" x14ac:dyDescent="0.3">
      <c r="A48">
        <v>46</v>
      </c>
      <c r="B48" t="s">
        <v>102</v>
      </c>
      <c r="C48" t="s">
        <v>103</v>
      </c>
      <c r="D48" s="13">
        <v>45264.965277777781</v>
      </c>
      <c r="E48">
        <v>0</v>
      </c>
      <c r="F48">
        <v>7.88</v>
      </c>
      <c r="G48">
        <v>4.4653333333333302E-2</v>
      </c>
      <c r="H48">
        <v>1.86284558195109E-4</v>
      </c>
      <c r="I48">
        <v>5.6666666666666601E-3</v>
      </c>
      <c r="J48">
        <v>7200</v>
      </c>
      <c r="K48">
        <v>500</v>
      </c>
      <c r="L48">
        <v>500.04999999999899</v>
      </c>
      <c r="N48">
        <f t="shared" si="2"/>
        <v>2808002113167.4023</v>
      </c>
      <c r="O48" s="14">
        <f t="shared" si="3"/>
        <v>5.8707144649841354E-4</v>
      </c>
      <c r="P48" s="2">
        <f t="shared" si="4"/>
        <v>4.2269144147885775</v>
      </c>
      <c r="Q48" s="2">
        <f t="shared" si="5"/>
        <v>1.3837780490456211E-2</v>
      </c>
      <c r="S48" s="15">
        <f t="shared" si="6"/>
        <v>0.15519008860104527</v>
      </c>
      <c r="T48" s="15">
        <f t="shared" si="7"/>
        <v>0.19984342193437857</v>
      </c>
      <c r="V48">
        <f t="shared" si="8"/>
        <v>3.3643692378169601E-4</v>
      </c>
      <c r="W48">
        <f t="shared" si="9"/>
        <v>3.4781883523233242E-4</v>
      </c>
      <c r="X48">
        <f t="shared" si="10"/>
        <v>4.5560565276871293E-4</v>
      </c>
      <c r="Z48">
        <f t="shared" si="11"/>
        <v>4.6735212691736401E-8</v>
      </c>
      <c r="AA48">
        <f t="shared" si="12"/>
        <v>4.8316574754618025E-8</v>
      </c>
      <c r="AB48">
        <f t="shared" si="13"/>
        <v>6.3292982299893786E-8</v>
      </c>
    </row>
    <row r="49" spans="1:28" s="30" customFormat="1" x14ac:dyDescent="0.3">
      <c r="A49" s="30">
        <v>47</v>
      </c>
      <c r="B49" s="30" t="s">
        <v>104</v>
      </c>
      <c r="C49" s="30" t="s">
        <v>105</v>
      </c>
      <c r="D49" s="31">
        <v>45265.025000000001</v>
      </c>
      <c r="E49" s="30">
        <v>0</v>
      </c>
      <c r="F49" s="30">
        <v>0.30499999999999999</v>
      </c>
      <c r="G49" s="30">
        <v>1.72833333333333E-3</v>
      </c>
      <c r="H49" s="32">
        <v>6.2163265430333997E-6</v>
      </c>
      <c r="I49" s="30">
        <v>5.6666666666666601E-3</v>
      </c>
      <c r="J49" s="30">
        <v>3600</v>
      </c>
      <c r="K49" s="30">
        <v>200</v>
      </c>
      <c r="L49" s="30">
        <v>200.12</v>
      </c>
      <c r="N49" s="30">
        <f t="shared" si="2"/>
        <v>363011215575.16974</v>
      </c>
      <c r="O49" s="32">
        <f t="shared" si="3"/>
        <v>4.6449098941734433E-5</v>
      </c>
      <c r="P49" s="33">
        <f t="shared" si="4"/>
        <v>0.16721675619024395</v>
      </c>
      <c r="Q49" s="33">
        <f>Q48-G49</f>
        <v>1.2109447157122881E-2</v>
      </c>
      <c r="S49" s="34">
        <f t="shared" si="6"/>
        <v>0.19984342193437857</v>
      </c>
      <c r="T49" s="34">
        <f t="shared" si="7"/>
        <v>0.2015717552677119</v>
      </c>
      <c r="V49" s="30">
        <f t="shared" si="8"/>
        <v>-9.4367280743804316E-5</v>
      </c>
      <c r="W49" s="30">
        <f t="shared" si="9"/>
        <v>1.3467215210227695E-5</v>
      </c>
      <c r="X49" s="30">
        <f t="shared" si="10"/>
        <v>1.0782432086607385E-4</v>
      </c>
      <c r="Z49" s="30">
        <f t="shared" si="11"/>
        <v>-2.6211896786699637E-8</v>
      </c>
      <c r="AA49" s="30">
        <f t="shared" si="12"/>
        <v>3.740918303884636E-9</v>
      </c>
      <c r="AB49" s="30">
        <f t="shared" si="13"/>
        <v>2.995281509057422E-8</v>
      </c>
    </row>
    <row r="50" spans="1:28" x14ac:dyDescent="0.3">
      <c r="A50">
        <v>48</v>
      </c>
      <c r="B50" t="s">
        <v>106</v>
      </c>
      <c r="C50" t="s">
        <v>107</v>
      </c>
      <c r="D50" s="13">
        <v>45265.126388888886</v>
      </c>
      <c r="E50">
        <v>0</v>
      </c>
      <c r="F50">
        <v>5.49</v>
      </c>
      <c r="G50">
        <v>3.1109999999999999E-2</v>
      </c>
      <c r="H50" s="14">
        <v>5.1087370033930703E-5</v>
      </c>
      <c r="I50">
        <v>5.6666666666666601E-3</v>
      </c>
      <c r="J50">
        <v>7200</v>
      </c>
      <c r="K50">
        <v>510</v>
      </c>
      <c r="L50">
        <v>510.05999999999898</v>
      </c>
      <c r="N50">
        <f t="shared" si="2"/>
        <v>2926262322118.3774</v>
      </c>
      <c r="O50" s="14">
        <f t="shared" si="3"/>
        <v>6.1971818285298124E-4</v>
      </c>
      <c r="P50" s="2">
        <f t="shared" si="4"/>
        <v>4.4619709165414649</v>
      </c>
      <c r="Q50" s="2">
        <f t="shared" si="5"/>
        <v>8.9862106730460699E-3</v>
      </c>
      <c r="S50" s="15">
        <f t="shared" si="6"/>
        <v>0.2015717552677119</v>
      </c>
      <c r="T50" s="15">
        <f t="shared" si="7"/>
        <v>0.2326817552677119</v>
      </c>
      <c r="V50">
        <f t="shared" si="8"/>
        <v>1.4806873353888814E-4</v>
      </c>
      <c r="W50">
        <f t="shared" si="9"/>
        <v>2.4241313841400375E-4</v>
      </c>
      <c r="X50">
        <f t="shared" si="10"/>
        <v>3.1243485270852369E-4</v>
      </c>
      <c r="Z50">
        <f t="shared" si="11"/>
        <v>2.0566624555006547E-8</v>
      </c>
      <c r="AA50">
        <f t="shared" si="12"/>
        <v>3.3672572948347182E-8</v>
      </c>
      <c r="AB50">
        <f t="shared" si="13"/>
        <v>4.340050981189293E-8</v>
      </c>
    </row>
    <row r="51" spans="1:28" x14ac:dyDescent="0.3">
      <c r="A51">
        <v>49</v>
      </c>
      <c r="B51" t="s">
        <v>108</v>
      </c>
      <c r="C51" t="s">
        <v>109</v>
      </c>
      <c r="D51" s="13">
        <v>45265.287499999999</v>
      </c>
      <c r="E51">
        <v>0</v>
      </c>
      <c r="F51">
        <v>4.57</v>
      </c>
      <c r="G51">
        <v>2.5896666666666599E-2</v>
      </c>
      <c r="H51" s="14">
        <v>2.27358866113212E-5</v>
      </c>
      <c r="I51">
        <v>5.6666666666666601E-3</v>
      </c>
      <c r="J51">
        <v>7200</v>
      </c>
      <c r="K51">
        <v>520</v>
      </c>
      <c r="L51">
        <v>520.07000000000005</v>
      </c>
      <c r="N51">
        <f t="shared" si="2"/>
        <v>3046329102242.8672</v>
      </c>
      <c r="O51" s="14">
        <f t="shared" si="3"/>
        <v>6.5339270970997745E-4</v>
      </c>
      <c r="P51" s="2">
        <f t="shared" si="4"/>
        <v>4.704427509911838</v>
      </c>
      <c r="Q51" s="2">
        <f t="shared" si="5"/>
        <v>6.9907338171351927E-3</v>
      </c>
      <c r="S51" s="15">
        <f t="shared" si="6"/>
        <v>0.2326817552677119</v>
      </c>
      <c r="T51" s="15">
        <f t="shared" si="7"/>
        <v>0.25857842193437852</v>
      </c>
      <c r="V51">
        <f t="shared" si="8"/>
        <v>1.3180963931597021E-4</v>
      </c>
      <c r="W51">
        <f t="shared" si="9"/>
        <v>2.0183910013496325E-4</v>
      </c>
      <c r="X51">
        <f t="shared" si="10"/>
        <v>2.5632500911682558E-4</v>
      </c>
      <c r="Z51">
        <f t="shared" si="11"/>
        <v>1.8308100968033886E-8</v>
      </c>
      <c r="AA51">
        <f t="shared" si="12"/>
        <v>2.8036037831587939E-8</v>
      </c>
      <c r="AB51">
        <f t="shared" si="13"/>
        <v>3.5605259164838422E-8</v>
      </c>
    </row>
    <row r="52" spans="1:28" s="30" customFormat="1" x14ac:dyDescent="0.3">
      <c r="A52" s="30">
        <v>50</v>
      </c>
      <c r="B52" s="30" t="s">
        <v>110</v>
      </c>
      <c r="C52" s="30" t="s">
        <v>111</v>
      </c>
      <c r="D52" s="31">
        <v>45265.347222222219</v>
      </c>
      <c r="E52" s="30">
        <v>0</v>
      </c>
      <c r="F52" s="30">
        <v>0.193</v>
      </c>
      <c r="G52" s="30">
        <v>1.0936666666666599E-3</v>
      </c>
      <c r="H52" s="32">
        <v>1.1382067107991499E-6</v>
      </c>
      <c r="I52" s="30">
        <v>5.6666666666666601E-3</v>
      </c>
      <c r="J52" s="30">
        <v>3600</v>
      </c>
      <c r="K52" s="30">
        <v>200</v>
      </c>
      <c r="L52" s="30">
        <v>200.12</v>
      </c>
      <c r="N52" s="30">
        <f t="shared" si="2"/>
        <v>363011215575.16974</v>
      </c>
      <c r="O52" s="32">
        <f t="shared" si="3"/>
        <v>4.6449098941734433E-5</v>
      </c>
      <c r="P52" s="33">
        <f t="shared" si="4"/>
        <v>0.16721675619024395</v>
      </c>
      <c r="Q52" s="33">
        <f>Q51-G52</f>
        <v>5.8970671504685324E-3</v>
      </c>
      <c r="S52" s="34">
        <f t="shared" si="6"/>
        <v>0.25857842193437852</v>
      </c>
      <c r="T52" s="34">
        <f t="shared" si="7"/>
        <v>0.25967208860104518</v>
      </c>
      <c r="V52" s="30">
        <f t="shared" si="8"/>
        <v>-4.5973634897211941E-5</v>
      </c>
      <c r="W52" s="30">
        <f t="shared" si="9"/>
        <v>8.5257791126185613E-6</v>
      </c>
      <c r="X52" s="30">
        <f t="shared" si="10"/>
        <v>5.4496908588852011E-5</v>
      </c>
      <c r="Z52" s="30">
        <f t="shared" si="11"/>
        <v>-1.277016059501624E-8</v>
      </c>
      <c r="AA52" s="30">
        <f t="shared" si="12"/>
        <v>2.3682820714584844E-9</v>
      </c>
      <c r="AB52" s="30">
        <f t="shared" si="13"/>
        <v>1.5138442666473807E-8</v>
      </c>
    </row>
    <row r="53" spans="1:28" x14ac:dyDescent="0.3">
      <c r="A53">
        <v>51</v>
      </c>
      <c r="B53" t="s">
        <v>112</v>
      </c>
      <c r="C53" t="s">
        <v>113</v>
      </c>
      <c r="D53" s="13">
        <v>45265.47152777778</v>
      </c>
      <c r="E53">
        <v>0</v>
      </c>
      <c r="F53">
        <v>5.73</v>
      </c>
      <c r="G53">
        <v>3.2469999999999999E-2</v>
      </c>
      <c r="H53" s="14">
        <v>5.3730297733326101E-5</v>
      </c>
      <c r="I53">
        <v>5.6666666666666601E-3</v>
      </c>
      <c r="J53">
        <v>7200</v>
      </c>
      <c r="K53">
        <v>530</v>
      </c>
      <c r="L53">
        <v>530.04</v>
      </c>
      <c r="N53">
        <f t="shared" si="2"/>
        <v>3167654698990.6548</v>
      </c>
      <c r="O53" s="14">
        <f t="shared" si="3"/>
        <v>6.879564635399679E-4</v>
      </c>
      <c r="P53" s="2">
        <f t="shared" si="4"/>
        <v>4.9532865374877693</v>
      </c>
      <c r="Q53" s="2">
        <f t="shared" si="5"/>
        <v>8.2134193138031428E-3</v>
      </c>
      <c r="S53" s="15">
        <f t="shared" si="6"/>
        <v>0.25967208860104518</v>
      </c>
      <c r="T53" s="15">
        <f t="shared" si="7"/>
        <v>0.29214208860104518</v>
      </c>
      <c r="V53">
        <f t="shared" si="8"/>
        <v>2.0716303236862867E-4</v>
      </c>
      <c r="W53">
        <f t="shared" si="9"/>
        <v>2.5312503018811941E-4</v>
      </c>
      <c r="X53">
        <f t="shared" si="10"/>
        <v>3.1715404194525228E-4</v>
      </c>
      <c r="Z53">
        <f t="shared" si="11"/>
        <v>2.8775624110235612E-8</v>
      </c>
      <c r="AA53">
        <f t="shared" si="12"/>
        <v>3.5160704407740304E-8</v>
      </c>
      <c r="AB53">
        <f t="shared" si="13"/>
        <v>4.4056159156212094E-8</v>
      </c>
    </row>
    <row r="54" spans="1:28" s="30" customFormat="1" x14ac:dyDescent="0.3">
      <c r="A54" s="30">
        <v>52</v>
      </c>
      <c r="B54" s="30" t="s">
        <v>114</v>
      </c>
      <c r="C54" s="30" t="s">
        <v>115</v>
      </c>
      <c r="D54" s="31">
        <v>45265.549305555556</v>
      </c>
      <c r="E54" s="30">
        <v>0</v>
      </c>
      <c r="F54" s="30">
        <v>7.7799999999999994E-2</v>
      </c>
      <c r="G54" s="30">
        <v>4.4086666666666598E-4</v>
      </c>
      <c r="H54" s="32">
        <v>8.1162748129081303E-7</v>
      </c>
      <c r="I54" s="30">
        <v>5.6666666666666601E-3</v>
      </c>
      <c r="J54" s="30">
        <v>3600</v>
      </c>
      <c r="K54" s="30">
        <v>200</v>
      </c>
      <c r="L54" s="30">
        <v>200.23</v>
      </c>
      <c r="N54" s="30">
        <f t="shared" si="2"/>
        <v>363456416830.63287</v>
      </c>
      <c r="O54" s="32">
        <f t="shared" si="3"/>
        <v>4.6516877287686743E-5</v>
      </c>
      <c r="P54" s="33">
        <f t="shared" si="4"/>
        <v>0.16746075823567227</v>
      </c>
      <c r="Q54" s="33">
        <f>Q53-G54</f>
        <v>7.7725526471364766E-3</v>
      </c>
      <c r="S54" s="34">
        <f t="shared" si="6"/>
        <v>0.29214208860104518</v>
      </c>
      <c r="T54" s="34">
        <f t="shared" si="7"/>
        <v>0.29258295526771183</v>
      </c>
      <c r="V54" s="30">
        <f t="shared" si="8"/>
        <v>-6.0611388944502236E-5</v>
      </c>
      <c r="W54" s="30">
        <f t="shared" si="9"/>
        <v>3.4377161316218745E-6</v>
      </c>
      <c r="X54" s="30">
        <f t="shared" si="10"/>
        <v>6.4045223206190334E-5</v>
      </c>
      <c r="Z54" s="30">
        <f t="shared" si="11"/>
        <v>-1.68359867079213E-8</v>
      </c>
      <c r="AA54" s="30">
        <f t="shared" si="12"/>
        <v>9.5492278905795778E-10</v>
      </c>
      <c r="AB54" s="30">
        <f t="shared" si="13"/>
        <v>1.7790909496978478E-8</v>
      </c>
    </row>
    <row r="55" spans="1:28" x14ac:dyDescent="0.3">
      <c r="A55">
        <v>53</v>
      </c>
      <c r="B55" t="s">
        <v>116</v>
      </c>
      <c r="C55" t="s">
        <v>117</v>
      </c>
      <c r="D55" s="13">
        <v>45265.6875</v>
      </c>
      <c r="E55">
        <v>0</v>
      </c>
      <c r="F55">
        <v>4.8899999999999997</v>
      </c>
      <c r="G55">
        <v>2.7719744502783899E-2</v>
      </c>
      <c r="H55" s="14">
        <v>5.0815967272019697E-5</v>
      </c>
      <c r="I55">
        <v>5.6686594075222698E-3</v>
      </c>
      <c r="J55">
        <v>7200</v>
      </c>
      <c r="K55">
        <v>540</v>
      </c>
      <c r="L55">
        <v>540.04</v>
      </c>
      <c r="N55">
        <f t="shared" si="2"/>
        <v>3291031445182.2319</v>
      </c>
      <c r="O55" s="14">
        <f t="shared" si="3"/>
        <v>7.2365220161333755E-4</v>
      </c>
      <c r="P55" s="2">
        <f t="shared" si="4"/>
        <v>5.2102958516160305</v>
      </c>
      <c r="Q55" s="2">
        <f t="shared" si="5"/>
        <v>6.5837996852749145E-3</v>
      </c>
      <c r="S55" s="15">
        <f t="shared" si="6"/>
        <v>0.29258295526771183</v>
      </c>
      <c r="T55" s="15">
        <f t="shared" si="7"/>
        <v>0.32030269977049575</v>
      </c>
      <c r="V55">
        <f t="shared" si="8"/>
        <v>1.5555082851174726E-4</v>
      </c>
      <c r="W55">
        <f t="shared" si="9"/>
        <v>2.1614911635808789E-4</v>
      </c>
      <c r="X55">
        <f t="shared" si="10"/>
        <v>2.6748734150326947E-4</v>
      </c>
      <c r="Z55">
        <f t="shared" si="11"/>
        <v>2.1605962193965571E-8</v>
      </c>
      <c r="AA55">
        <f t="shared" si="12"/>
        <v>3.0023955547920011E-8</v>
      </c>
      <c r="AB55">
        <f t="shared" si="13"/>
        <v>3.7155989253197178E-8</v>
      </c>
    </row>
    <row r="56" spans="1:28" s="30" customFormat="1" x14ac:dyDescent="0.3">
      <c r="A56" s="30">
        <v>54</v>
      </c>
      <c r="B56" s="30" t="s">
        <v>118</v>
      </c>
      <c r="C56" s="30" t="s">
        <v>119</v>
      </c>
      <c r="D56" s="31">
        <v>45265.74722222222</v>
      </c>
      <c r="E56" s="30">
        <v>0</v>
      </c>
      <c r="F56" s="30">
        <v>2.1999999999999999E-2</v>
      </c>
      <c r="G56" s="30">
        <v>1.24767979154478E-4</v>
      </c>
      <c r="H56" s="32">
        <v>2.24475711960117E-7</v>
      </c>
      <c r="I56" s="30">
        <v>5.67127177974902E-3</v>
      </c>
      <c r="J56" s="30">
        <v>3600</v>
      </c>
      <c r="K56" s="30">
        <v>200</v>
      </c>
      <c r="L56" s="30">
        <v>200.2</v>
      </c>
      <c r="N56" s="30">
        <f t="shared" si="2"/>
        <v>363334964718.74072</v>
      </c>
      <c r="O56" s="32">
        <f t="shared" si="3"/>
        <v>4.6498385358802771E-5</v>
      </c>
      <c r="P56" s="33">
        <f t="shared" si="4"/>
        <v>0.16739418729168998</v>
      </c>
      <c r="Q56" s="33">
        <f>Q55-G56</f>
        <v>6.4590317061204369E-3</v>
      </c>
      <c r="S56" s="34">
        <f t="shared" si="6"/>
        <v>0.32030269977049575</v>
      </c>
      <c r="T56" s="34">
        <f t="shared" si="7"/>
        <v>0.32042746774965025</v>
      </c>
      <c r="V56" s="30">
        <f t="shared" si="8"/>
        <v>-5.0378802676398551E-5</v>
      </c>
      <c r="W56" s="30">
        <f t="shared" si="9"/>
        <v>9.7310849732090675E-7</v>
      </c>
      <c r="X56" s="30">
        <f t="shared" si="10"/>
        <v>5.1349324256245185E-5</v>
      </c>
      <c r="Z56" s="30">
        <f t="shared" si="11"/>
        <v>-1.3993759363106279E-8</v>
      </c>
      <c r="AA56" s="30">
        <f t="shared" si="12"/>
        <v>2.7030804744661956E-10</v>
      </c>
      <c r="AB56" s="30">
        <f t="shared" si="13"/>
        <v>1.4264067410526571E-8</v>
      </c>
    </row>
    <row r="57" spans="1:28" x14ac:dyDescent="0.3">
      <c r="A57">
        <v>55</v>
      </c>
      <c r="B57" t="s">
        <v>120</v>
      </c>
      <c r="C57" t="s">
        <v>121</v>
      </c>
      <c r="D57" s="13">
        <v>45265.884722222225</v>
      </c>
      <c r="E57">
        <v>0</v>
      </c>
      <c r="F57">
        <v>5.75</v>
      </c>
      <c r="G57">
        <v>3.2645782389076901E-2</v>
      </c>
      <c r="H57" s="14">
        <v>5.6260616363166601E-5</v>
      </c>
      <c r="I57">
        <v>5.6775273720133697E-3</v>
      </c>
      <c r="J57">
        <v>7200</v>
      </c>
      <c r="K57">
        <v>550</v>
      </c>
      <c r="L57">
        <v>550.04</v>
      </c>
      <c r="N57">
        <f t="shared" si="2"/>
        <v>3416040323177.7344</v>
      </c>
      <c r="O57" s="14">
        <f t="shared" si="3"/>
        <v>7.6037858015733681E-4</v>
      </c>
      <c r="P57" s="2">
        <f t="shared" si="4"/>
        <v>5.474725777132825</v>
      </c>
      <c r="Q57" s="2">
        <f t="shared" si="5"/>
        <v>7.2955939682173426E-3</v>
      </c>
      <c r="S57" s="15">
        <f t="shared" si="6"/>
        <v>0.32042746774965025</v>
      </c>
      <c r="T57" s="15">
        <f t="shared" si="7"/>
        <v>0.35307325013872715</v>
      </c>
      <c r="V57">
        <f t="shared" si="8"/>
        <v>2.0424998752407571E-4</v>
      </c>
      <c r="W57">
        <f t="shared" si="9"/>
        <v>2.5461596295311837E-4</v>
      </c>
      <c r="X57">
        <f t="shared" si="10"/>
        <v>3.1151687166450383E-4</v>
      </c>
      <c r="Z57">
        <f t="shared" si="11"/>
        <v>2.8370951304659574E-8</v>
      </c>
      <c r="AA57">
        <f t="shared" si="12"/>
        <v>3.5367830986194586E-8</v>
      </c>
      <c r="AB57">
        <f t="shared" si="13"/>
        <v>4.3272972656162487E-8</v>
      </c>
    </row>
    <row r="58" spans="1:28" s="30" customFormat="1" x14ac:dyDescent="0.3">
      <c r="A58" s="30">
        <v>56</v>
      </c>
      <c r="B58" s="30" t="s">
        <v>122</v>
      </c>
      <c r="C58" s="30" t="s">
        <v>123</v>
      </c>
      <c r="D58" s="31">
        <v>45265.944444444445</v>
      </c>
      <c r="E58" s="30">
        <v>0</v>
      </c>
      <c r="F58" s="30">
        <v>8.7499999999999994E-2</v>
      </c>
      <c r="G58" s="30">
        <v>4.9706188582627098E-4</v>
      </c>
      <c r="H58" s="32">
        <v>8.3966562843828102E-7</v>
      </c>
      <c r="I58" s="30">
        <v>5.68070726658596E-3</v>
      </c>
      <c r="J58" s="30">
        <v>3600</v>
      </c>
      <c r="K58" s="30">
        <v>200</v>
      </c>
      <c r="L58" s="30">
        <v>200.24</v>
      </c>
      <c r="N58" s="30">
        <f t="shared" si="2"/>
        <v>363496906466.18866</v>
      </c>
      <c r="O58" s="32">
        <f t="shared" si="3"/>
        <v>4.6523042418443475E-5</v>
      </c>
      <c r="P58" s="33">
        <f t="shared" si="4"/>
        <v>0.16748295270639652</v>
      </c>
      <c r="Q58" s="33">
        <f>Q57-G58</f>
        <v>6.7985320823910718E-3</v>
      </c>
      <c r="S58" s="34">
        <f t="shared" si="6"/>
        <v>0.35307325013872715</v>
      </c>
      <c r="T58" s="34">
        <f t="shared" si="7"/>
        <v>0.35357031202455341</v>
      </c>
      <c r="V58" s="30">
        <f t="shared" si="8"/>
        <v>-5.3040670936803993E-5</v>
      </c>
      <c r="W58" s="30">
        <f t="shared" si="9"/>
        <v>3.8777481750483903E-6</v>
      </c>
      <c r="X58" s="30">
        <f t="shared" si="10"/>
        <v>5.6915400280834852E-5</v>
      </c>
      <c r="Z58" s="30">
        <f t="shared" si="11"/>
        <v>-1.473312898056961E-8</v>
      </c>
      <c r="AA58" s="30">
        <f t="shared" si="12"/>
        <v>1.0771543593034175E-9</v>
      </c>
      <c r="AB58" s="30">
        <f t="shared" si="13"/>
        <v>1.5810283339919018E-8</v>
      </c>
    </row>
    <row r="59" spans="1:28" x14ac:dyDescent="0.3">
      <c r="A59">
        <v>57</v>
      </c>
      <c r="B59" t="s">
        <v>124</v>
      </c>
      <c r="C59" t="s">
        <v>125</v>
      </c>
      <c r="D59" s="13">
        <v>45266.25</v>
      </c>
      <c r="E59">
        <v>0</v>
      </c>
      <c r="F59">
        <v>18.7</v>
      </c>
      <c r="G59">
        <v>0.10639607245179999</v>
      </c>
      <c r="H59">
        <v>1.65676920202831E-4</v>
      </c>
      <c r="I59">
        <v>5.6896295428770002E-3</v>
      </c>
      <c r="J59">
        <v>23040</v>
      </c>
      <c r="K59">
        <v>560</v>
      </c>
      <c r="L59">
        <v>560.11</v>
      </c>
      <c r="N59">
        <f t="shared" si="2"/>
        <v>3543516863481.2866</v>
      </c>
      <c r="O59" s="14">
        <f t="shared" si="3"/>
        <v>7.9840416632121435E-4</v>
      </c>
      <c r="P59" s="2">
        <f t="shared" si="4"/>
        <v>18.395231992040777</v>
      </c>
      <c r="Q59" s="15">
        <f t="shared" si="5"/>
        <v>6.116392842618122E-3</v>
      </c>
      <c r="S59" s="15">
        <f t="shared" si="6"/>
        <v>0.35357031202455341</v>
      </c>
      <c r="T59" s="15">
        <f t="shared" si="7"/>
        <v>0.45996638447635341</v>
      </c>
      <c r="V59">
        <f t="shared" si="8"/>
        <v>7.7703838134877425E-4</v>
      </c>
      <c r="W59">
        <f t="shared" si="9"/>
        <v>8.3003502667086258E-4</v>
      </c>
      <c r="X59">
        <f t="shared" si="10"/>
        <v>8.7775126449112547E-4</v>
      </c>
      <c r="Z59">
        <f t="shared" si="11"/>
        <v>3.3738734034375829E-8</v>
      </c>
      <c r="AA59">
        <f t="shared" si="12"/>
        <v>3.6040785437594921E-8</v>
      </c>
      <c r="AB59">
        <f t="shared" si="13"/>
        <v>3.8113572643276739E-8</v>
      </c>
    </row>
    <row r="60" spans="1:28" x14ac:dyDescent="0.3">
      <c r="A60" s="16">
        <v>58</v>
      </c>
      <c r="B60" s="16" t="s">
        <v>126</v>
      </c>
      <c r="C60" s="16" t="s">
        <v>127</v>
      </c>
      <c r="D60" s="17">
        <v>45266.326388888891</v>
      </c>
      <c r="E60" s="16">
        <v>0</v>
      </c>
      <c r="F60" s="16">
        <v>2.74</v>
      </c>
      <c r="G60" s="16">
        <v>1.5562947308168901E-2</v>
      </c>
      <c r="H60" s="18">
        <v>2.4286594629839601E-5</v>
      </c>
      <c r="I60" s="16">
        <v>5.6799077767040003E-3</v>
      </c>
      <c r="J60" s="16">
        <v>3600</v>
      </c>
      <c r="K60" s="16">
        <v>570</v>
      </c>
      <c r="L60" s="16">
        <v>570.08000000000004</v>
      </c>
      <c r="M60" s="16"/>
      <c r="N60" s="16">
        <f t="shared" si="2"/>
        <v>3671246534563.9468</v>
      </c>
      <c r="O60" s="18">
        <f t="shared" si="3"/>
        <v>8.3708253275074484E-4</v>
      </c>
      <c r="P60" s="19">
        <f t="shared" si="4"/>
        <v>3.0134971179026815</v>
      </c>
      <c r="Q60" s="19">
        <f>(G60/((O60*J60)-1))+(Q59*EXP(-P60))</f>
        <v>8.0297467128855621E-3</v>
      </c>
      <c r="R60" s="16"/>
      <c r="S60" s="20">
        <f t="shared" si="6"/>
        <v>0.45996638447635341</v>
      </c>
      <c r="T60" s="20">
        <f t="shared" si="7"/>
        <v>0.47552933178452228</v>
      </c>
      <c r="U60" s="16"/>
      <c r="V60" s="16">
        <f t="shared" si="8"/>
        <v>7.3760801273615206E-5</v>
      </c>
      <c r="W60" s="16">
        <f t="shared" si="9"/>
        <v>1.2151315563266671E-4</v>
      </c>
      <c r="X60" s="16">
        <f t="shared" si="10"/>
        <v>1.8420821221115985E-4</v>
      </c>
      <c r="Y60" s="16"/>
      <c r="Z60" s="16">
        <f t="shared" si="11"/>
        <v>2.0489867148698759E-8</v>
      </c>
      <c r="AA60" s="16">
        <f t="shared" si="12"/>
        <v>3.3755705265085198E-8</v>
      </c>
      <c r="AB60" s="16">
        <f t="shared" si="13"/>
        <v>5.1173661285494877E-8</v>
      </c>
    </row>
    <row r="61" spans="1:28" x14ac:dyDescent="0.3">
      <c r="A61" s="16">
        <v>59</v>
      </c>
      <c r="B61" s="16" t="s">
        <v>128</v>
      </c>
      <c r="C61" s="16" t="s">
        <v>129</v>
      </c>
      <c r="D61" s="17">
        <v>45266.386805555558</v>
      </c>
      <c r="E61" s="16">
        <v>0</v>
      </c>
      <c r="F61" s="16">
        <v>4.63</v>
      </c>
      <c r="G61" s="16">
        <v>2.6282039911756799E-2</v>
      </c>
      <c r="H61" s="18">
        <v>4.1053209474883303E-5</v>
      </c>
      <c r="I61" s="16">
        <v>5.67646650361918E-3</v>
      </c>
      <c r="J61" s="16">
        <v>3600</v>
      </c>
      <c r="K61" s="16">
        <v>580</v>
      </c>
      <c r="L61" s="16">
        <v>580.01</v>
      </c>
      <c r="M61" s="16"/>
      <c r="N61" s="16">
        <f t="shared" si="2"/>
        <v>3799912124006.7529</v>
      </c>
      <c r="O61" s="18">
        <f t="shared" si="3"/>
        <v>8.7662453004500041E-4</v>
      </c>
      <c r="P61" s="19">
        <f t="shared" si="4"/>
        <v>3.1558483081620015</v>
      </c>
      <c r="Q61" s="19">
        <f t="shared" ref="Q61:Q76" si="14">(G61/((O61*J61)-1))+(Q60*EXP(-P61))</f>
        <v>1.2533128468578243E-2</v>
      </c>
      <c r="R61" s="16"/>
      <c r="S61" s="20">
        <f t="shared" si="6"/>
        <v>0.47552933178452228</v>
      </c>
      <c r="T61" s="20">
        <f t="shared" si="7"/>
        <v>0.5018113716962791</v>
      </c>
      <c r="U61" s="16"/>
      <c r="V61" s="16">
        <f t="shared" si="8"/>
        <v>1.4253742107560327E-4</v>
      </c>
      <c r="W61" s="16">
        <f t="shared" si="9"/>
        <v>2.0523115937639685E-4</v>
      </c>
      <c r="X61" s="16">
        <f t="shared" si="10"/>
        <v>3.0309983680234566E-4</v>
      </c>
      <c r="Y61" s="16"/>
      <c r="Z61" s="16">
        <f t="shared" si="11"/>
        <v>3.9596550138675151E-8</v>
      </c>
      <c r="AA61" s="16">
        <f t="shared" si="12"/>
        <v>5.7014506159082151E-8</v>
      </c>
      <c r="AB61" s="16">
        <f t="shared" si="13"/>
        <v>8.42071613449573E-8</v>
      </c>
    </row>
    <row r="62" spans="1:28" x14ac:dyDescent="0.3">
      <c r="A62" s="16">
        <v>60</v>
      </c>
      <c r="B62" s="16" t="s">
        <v>130</v>
      </c>
      <c r="C62" s="16" t="s">
        <v>131</v>
      </c>
      <c r="D62" s="17">
        <v>45266.472222222219</v>
      </c>
      <c r="E62" s="16">
        <v>0</v>
      </c>
      <c r="F62" s="16">
        <v>10.5</v>
      </c>
      <c r="G62" s="16">
        <v>5.9594594594594499E-2</v>
      </c>
      <c r="H62" s="18">
        <v>9.8556188118189195E-5</v>
      </c>
      <c r="I62" s="16">
        <v>5.6756756756756697E-3</v>
      </c>
      <c r="J62" s="16">
        <v>3600</v>
      </c>
      <c r="K62" s="16">
        <v>590</v>
      </c>
      <c r="L62" s="16">
        <v>590.04999999999995</v>
      </c>
      <c r="M62" s="16"/>
      <c r="N62" s="16">
        <f t="shared" si="2"/>
        <v>3931418572806.8911</v>
      </c>
      <c r="O62" s="18">
        <f t="shared" si="3"/>
        <v>9.1763756784084825E-4</v>
      </c>
      <c r="P62" s="19">
        <f t="shared" si="4"/>
        <v>3.3034952442270535</v>
      </c>
      <c r="Q62" s="19">
        <f t="shared" si="14"/>
        <v>2.6332025888732093E-2</v>
      </c>
      <c r="R62" s="16"/>
      <c r="S62" s="20">
        <f t="shared" si="6"/>
        <v>0.5018113716962791</v>
      </c>
      <c r="T62" s="20">
        <f t="shared" si="7"/>
        <v>0.56140596629087358</v>
      </c>
      <c r="U62" s="16"/>
      <c r="V62" s="16">
        <f t="shared" si="8"/>
        <v>3.6760493700293905E-4</v>
      </c>
      <c r="W62" s="16">
        <f t="shared" si="9"/>
        <v>4.6545771985996207E-4</v>
      </c>
      <c r="X62" s="16">
        <f t="shared" si="10"/>
        <v>6.7112141826818062E-4</v>
      </c>
      <c r="Y62" s="16"/>
      <c r="Z62" s="16">
        <f t="shared" si="11"/>
        <v>1.0213125562803589E-7</v>
      </c>
      <c r="AA62" s="16">
        <f t="shared" si="12"/>
        <v>1.2932391081392284E-7</v>
      </c>
      <c r="AB62" s="16">
        <f t="shared" si="13"/>
        <v>1.8648520029348556E-7</v>
      </c>
    </row>
    <row r="63" spans="1:28" x14ac:dyDescent="0.3">
      <c r="A63" s="16">
        <v>61</v>
      </c>
      <c r="B63" s="16" t="s">
        <v>132</v>
      </c>
      <c r="C63" s="16" t="s">
        <v>133</v>
      </c>
      <c r="D63" s="17">
        <v>45266.532638888886</v>
      </c>
      <c r="E63" s="16">
        <v>0</v>
      </c>
      <c r="F63" s="16">
        <v>11.1</v>
      </c>
      <c r="G63" s="16">
        <v>6.3E-2</v>
      </c>
      <c r="H63" s="16">
        <v>1.1974219597019901E-4</v>
      </c>
      <c r="I63" s="16">
        <v>5.6756756756756697E-3</v>
      </c>
      <c r="J63" s="16">
        <v>3600</v>
      </c>
      <c r="K63" s="16">
        <v>600</v>
      </c>
      <c r="L63" s="16">
        <v>600.02</v>
      </c>
      <c r="M63" s="16"/>
      <c r="N63" s="16">
        <f t="shared" si="2"/>
        <v>4063363673330.1147</v>
      </c>
      <c r="O63" s="18">
        <f t="shared" si="3"/>
        <v>9.5939141954303245E-4</v>
      </c>
      <c r="P63" s="19">
        <f t="shared" si="4"/>
        <v>3.4538091103549169</v>
      </c>
      <c r="Q63" s="19">
        <f>(G63/((O63*J63)-1))+(Q62*EXP(-P63))</f>
        <v>2.6507117611649159E-2</v>
      </c>
      <c r="R63" s="16"/>
      <c r="S63" s="20">
        <f t="shared" si="6"/>
        <v>0.56140596629087358</v>
      </c>
      <c r="T63" s="20">
        <f t="shared" si="7"/>
        <v>0.62440596629087364</v>
      </c>
      <c r="U63" s="16"/>
      <c r="V63" s="16">
        <f t="shared" si="8"/>
        <v>2.8658393806270773E-4</v>
      </c>
      <c r="W63" s="16">
        <f t="shared" si="9"/>
        <v>4.9228444144559856E-4</v>
      </c>
      <c r="X63" s="16">
        <f t="shared" si="10"/>
        <v>6.9941208569613016E-4</v>
      </c>
      <c r="Y63" s="16"/>
      <c r="Z63" s="16">
        <f t="shared" si="11"/>
        <v>7.9618058635250349E-8</v>
      </c>
      <c r="AA63" s="16">
        <f t="shared" si="12"/>
        <v>1.3677934811479952E-7</v>
      </c>
      <c r="AB63" s="16">
        <f t="shared" si="13"/>
        <v>1.94349107898414E-7</v>
      </c>
    </row>
    <row r="64" spans="1:28" x14ac:dyDescent="0.3">
      <c r="A64" s="16">
        <v>62</v>
      </c>
      <c r="B64" s="16" t="s">
        <v>134</v>
      </c>
      <c r="C64" s="16" t="s">
        <v>135</v>
      </c>
      <c r="D64" s="17">
        <v>45266.61041666667</v>
      </c>
      <c r="E64" s="16">
        <v>0</v>
      </c>
      <c r="F64" s="16">
        <v>8.24</v>
      </c>
      <c r="G64" s="16">
        <v>4.6767567567567503E-2</v>
      </c>
      <c r="H64" s="16">
        <v>1.0206100985361599E-4</v>
      </c>
      <c r="I64" s="16">
        <v>5.6756756756756697E-3</v>
      </c>
      <c r="J64" s="16">
        <v>3600</v>
      </c>
      <c r="K64" s="16">
        <v>595</v>
      </c>
      <c r="L64" s="16">
        <v>595.04</v>
      </c>
      <c r="M64" s="16"/>
      <c r="N64" s="16">
        <f t="shared" si="2"/>
        <v>3997291727674.3647</v>
      </c>
      <c r="O64" s="18">
        <f t="shared" si="3"/>
        <v>9.3840762147001818E-4</v>
      </c>
      <c r="P64" s="19">
        <f t="shared" si="4"/>
        <v>3.3782674372920654</v>
      </c>
      <c r="Q64" s="19">
        <f t="shared" si="14"/>
        <v>2.0568618510199588E-2</v>
      </c>
      <c r="R64" s="16"/>
      <c r="S64" s="20">
        <f t="shared" si="6"/>
        <v>0.62440596629087364</v>
      </c>
      <c r="T64" s="20">
        <f t="shared" si="7"/>
        <v>0.67117353385844114</v>
      </c>
      <c r="U64" s="16"/>
      <c r="V64" s="16">
        <f t="shared" si="8"/>
        <v>1.5842674669221918E-4</v>
      </c>
      <c r="W64" s="16">
        <f t="shared" si="9"/>
        <v>3.6562357615938575E-4</v>
      </c>
      <c r="X64" s="16">
        <f t="shared" si="10"/>
        <v>5.26426719181358E-4</v>
      </c>
      <c r="Y64" s="16"/>
      <c r="Z64" s="16">
        <f t="shared" si="11"/>
        <v>4.4010915981900384E-8</v>
      </c>
      <c r="AA64" s="16">
        <f t="shared" si="12"/>
        <v>1.0158067576552373E-7</v>
      </c>
      <c r="AB64" s="16">
        <f t="shared" si="13"/>
        <v>1.4626814732627103E-7</v>
      </c>
    </row>
    <row r="65" spans="1:28" x14ac:dyDescent="0.3">
      <c r="A65" s="16">
        <v>63</v>
      </c>
      <c r="B65" s="16" t="s">
        <v>136</v>
      </c>
      <c r="C65" s="16" t="s">
        <v>137</v>
      </c>
      <c r="D65" s="17">
        <v>45266.67083333333</v>
      </c>
      <c r="E65" s="16">
        <v>0</v>
      </c>
      <c r="F65" s="16">
        <v>5.61</v>
      </c>
      <c r="G65" s="16">
        <v>3.1840540540540502E-2</v>
      </c>
      <c r="H65" s="18">
        <v>7.5652556459119804E-5</v>
      </c>
      <c r="I65" s="16">
        <v>5.6756756756756697E-3</v>
      </c>
      <c r="J65" s="16">
        <v>3600</v>
      </c>
      <c r="K65" s="16">
        <v>590</v>
      </c>
      <c r="L65" s="16">
        <v>590.05999999999995</v>
      </c>
      <c r="M65" s="16"/>
      <c r="N65" s="16">
        <f t="shared" si="2"/>
        <v>3931550246999.4038</v>
      </c>
      <c r="O65" s="18">
        <f t="shared" si="3"/>
        <v>9.1767893493902247E-4</v>
      </c>
      <c r="P65" s="19">
        <f t="shared" si="4"/>
        <v>3.3036441657804807</v>
      </c>
      <c r="Q65" s="19">
        <f t="shared" si="14"/>
        <v>1.4577689958028023E-2</v>
      </c>
      <c r="R65" s="16"/>
      <c r="S65" s="20">
        <f t="shared" si="6"/>
        <v>0.67117353385844114</v>
      </c>
      <c r="T65" s="20">
        <f t="shared" si="7"/>
        <v>0.70301407439898167</v>
      </c>
      <c r="U65" s="16"/>
      <c r="V65" s="16">
        <f t="shared" si="8"/>
        <v>8.8169031494310932E-5</v>
      </c>
      <c r="W65" s="16">
        <f t="shared" si="9"/>
        <v>2.4901680639757915E-4</v>
      </c>
      <c r="X65" s="16">
        <f t="shared" si="10"/>
        <v>3.6302522887961079E-4</v>
      </c>
      <c r="Y65" s="16"/>
      <c r="Z65" s="16">
        <f t="shared" si="11"/>
        <v>2.4492477392187562E-8</v>
      </c>
      <c r="AA65" s="16">
        <f t="shared" si="12"/>
        <v>6.9179948952936509E-8</v>
      </c>
      <c r="AB65" s="16">
        <f t="shared" si="13"/>
        <v>1.0085864958049241E-7</v>
      </c>
    </row>
    <row r="66" spans="1:28" x14ac:dyDescent="0.3">
      <c r="A66" s="16">
        <v>64</v>
      </c>
      <c r="B66" s="16" t="s">
        <v>138</v>
      </c>
      <c r="C66" s="16" t="s">
        <v>139</v>
      </c>
      <c r="D66" s="17">
        <v>45266.776388888888</v>
      </c>
      <c r="E66" s="16">
        <v>0</v>
      </c>
      <c r="F66" s="16">
        <v>4.57</v>
      </c>
      <c r="G66" s="16">
        <v>2.5946976955677201E-2</v>
      </c>
      <c r="H66" s="18">
        <v>6.38085748111375E-5</v>
      </c>
      <c r="I66" s="16">
        <v>5.6776754826427297E-3</v>
      </c>
      <c r="J66" s="16">
        <v>3600</v>
      </c>
      <c r="K66" s="16">
        <v>585</v>
      </c>
      <c r="L66" s="16">
        <v>585.09</v>
      </c>
      <c r="M66" s="16"/>
      <c r="N66" s="16">
        <f t="shared" si="2"/>
        <v>3866276722209.6587</v>
      </c>
      <c r="O66" s="18">
        <f t="shared" si="3"/>
        <v>8.9724638814850616E-4</v>
      </c>
      <c r="P66" s="19">
        <f t="shared" si="4"/>
        <v>3.230086997334622</v>
      </c>
      <c r="Q66" s="19">
        <f t="shared" si="14"/>
        <v>1.2211568556481579E-2</v>
      </c>
      <c r="R66" s="16"/>
      <c r="S66" s="20">
        <f t="shared" si="6"/>
        <v>0.70301407439898167</v>
      </c>
      <c r="T66" s="20">
        <f t="shared" si="7"/>
        <v>0.72896105135465883</v>
      </c>
      <c r="U66" s="16"/>
      <c r="V66" s="16">
        <f t="shared" si="8"/>
        <v>8.8948605798375334E-5</v>
      </c>
      <c r="W66" s="16">
        <f t="shared" si="9"/>
        <v>2.0297528194891708E-4</v>
      </c>
      <c r="X66" s="16">
        <f t="shared" si="10"/>
        <v>2.9850265590945275E-4</v>
      </c>
      <c r="Y66" s="16"/>
      <c r="Z66" s="16">
        <f t="shared" si="11"/>
        <v>2.4709044988935755E-8</v>
      </c>
      <c r="AA66" s="16">
        <f t="shared" si="12"/>
        <v>5.6387745616479304E-8</v>
      </c>
      <c r="AB66" s="16">
        <f t="shared" si="13"/>
        <v>8.2929782415322243E-8</v>
      </c>
    </row>
    <row r="67" spans="1:28" x14ac:dyDescent="0.3">
      <c r="A67" s="16">
        <v>65</v>
      </c>
      <c r="B67" s="16" t="s">
        <v>140</v>
      </c>
      <c r="C67" s="16" t="s">
        <v>141</v>
      </c>
      <c r="D67" s="17">
        <v>45266.836805555555</v>
      </c>
      <c r="E67" s="16">
        <v>0</v>
      </c>
      <c r="F67" s="16">
        <v>2.91</v>
      </c>
      <c r="G67" s="16">
        <v>1.65343094465185E-2</v>
      </c>
      <c r="H67" s="18">
        <v>4.1417200496797597E-5</v>
      </c>
      <c r="I67" s="16">
        <v>5.6818932805905598E-3</v>
      </c>
      <c r="J67" s="16">
        <v>3600</v>
      </c>
      <c r="K67" s="16">
        <v>580</v>
      </c>
      <c r="L67" s="16">
        <v>580.15</v>
      </c>
      <c r="M67" s="16"/>
      <c r="N67" s="16">
        <f t="shared" si="2"/>
        <v>3801736218535.9614</v>
      </c>
      <c r="O67" s="18">
        <f t="shared" si="3"/>
        <v>8.7718928615069787E-4</v>
      </c>
      <c r="P67" s="19">
        <f t="shared" si="4"/>
        <v>3.1578814301425124</v>
      </c>
      <c r="Q67" s="19">
        <f t="shared" si="14"/>
        <v>8.181471820862667E-3</v>
      </c>
      <c r="R67" s="16"/>
      <c r="S67" s="20">
        <f t="shared" si="6"/>
        <v>0.72896105135465883</v>
      </c>
      <c r="T67" s="20">
        <f t="shared" si="7"/>
        <v>0.74549536080117729</v>
      </c>
      <c r="U67" s="16"/>
      <c r="V67" s="16">
        <f t="shared" si="8"/>
        <v>3.3825579747952128E-5</v>
      </c>
      <c r="W67" s="16">
        <f t="shared" si="9"/>
        <v>1.2936911541577243E-4</v>
      </c>
      <c r="X67" s="16">
        <f t="shared" si="10"/>
        <v>1.9338326585172769E-4</v>
      </c>
      <c r="Y67" s="16"/>
      <c r="Z67" s="16">
        <f t="shared" si="11"/>
        <v>9.3961532904952475E-9</v>
      </c>
      <c r="AA67" s="16">
        <f t="shared" si="12"/>
        <v>3.5938190089313227E-8</v>
      </c>
      <c r="AB67" s="16">
        <f t="shared" si="13"/>
        <v>5.3722768557356483E-8</v>
      </c>
    </row>
    <row r="68" spans="1:28" x14ac:dyDescent="0.3">
      <c r="A68" s="16">
        <v>66</v>
      </c>
      <c r="B68" s="16" t="s">
        <v>142</v>
      </c>
      <c r="C68" s="16" t="s">
        <v>143</v>
      </c>
      <c r="D68" s="17">
        <v>45266.918749999997</v>
      </c>
      <c r="E68" s="16">
        <v>0</v>
      </c>
      <c r="F68" s="16">
        <v>2</v>
      </c>
      <c r="G68" s="16">
        <v>1.1374370737712899E-2</v>
      </c>
      <c r="H68" s="18">
        <v>2.88469940311867E-5</v>
      </c>
      <c r="I68" s="16">
        <v>5.6871853688564601E-3</v>
      </c>
      <c r="J68" s="16">
        <v>3600</v>
      </c>
      <c r="K68" s="16">
        <v>575</v>
      </c>
      <c r="L68" s="16">
        <v>575.13</v>
      </c>
      <c r="M68" s="16"/>
      <c r="N68" s="16">
        <f t="shared" ref="N68:N78" si="15">(0.000304*EXP(-5580/(1.987*(L68+273))))*(199000000000000000*EXP(680/(1.987*(L68+273))))*1.17*EXP(-57/(1.987*(273+L68)))</f>
        <v>3736503413924.5371</v>
      </c>
      <c r="O68" s="18">
        <f t="shared" ref="O68:O78" si="16">N68*$C$84*$C$85*(L68+273)</f>
        <v>8.5706498379739657E-4</v>
      </c>
      <c r="P68" s="19">
        <f t="shared" ref="P68:P78" si="17">O68*J68</f>
        <v>3.0854339416706278</v>
      </c>
      <c r="Q68" s="19">
        <f t="shared" si="14"/>
        <v>5.8281751937954507E-3</v>
      </c>
      <c r="R68" s="16"/>
      <c r="S68" s="20">
        <f t="shared" ref="S68:S78" si="18">G67+S67</f>
        <v>0.74549536080117729</v>
      </c>
      <c r="T68" s="20">
        <f t="shared" ref="T68:T78" si="19">S68+G68</f>
        <v>0.75686973153889014</v>
      </c>
      <c r="U68" s="16"/>
      <c r="V68" s="16">
        <f t="shared" ref="V68:V78" si="20">(G68-Q67)/($G$79-(S68+Q67))</f>
        <v>2.4986976604523326E-5</v>
      </c>
      <c r="W68" s="16">
        <f t="shared" ref="W68:W78" si="21">(G68)/($G$79-(S68))</f>
        <v>8.9007809838963044E-5</v>
      </c>
      <c r="X68" s="16">
        <f t="shared" ref="X68:X78" si="22">(G68+Q68)/($G$79-(S68))</f>
        <v>1.3461500177244974E-4</v>
      </c>
      <c r="Y68" s="16"/>
      <c r="Z68" s="16">
        <f t="shared" ref="Z68:Z78" si="23">-LN(1-V68)/J68</f>
        <v>6.9409135511579979E-9</v>
      </c>
      <c r="AA68" s="16">
        <f t="shared" ref="AA68:AA78" si="24">-LN(1-W68)/J68</f>
        <v>2.4725492019215795E-8</v>
      </c>
      <c r="AB68" s="16">
        <f t="shared" ref="AB68:AB78" si="25">-LN(1-X68)/J68</f>
        <v>3.739557310695479E-8</v>
      </c>
    </row>
    <row r="69" spans="1:28" x14ac:dyDescent="0.3">
      <c r="A69" s="16">
        <v>67</v>
      </c>
      <c r="B69" s="16" t="s">
        <v>144</v>
      </c>
      <c r="C69" s="16" t="s">
        <v>145</v>
      </c>
      <c r="D69" s="17">
        <v>45266.978472222225</v>
      </c>
      <c r="E69" s="16">
        <v>0</v>
      </c>
      <c r="F69" s="16">
        <v>1.77</v>
      </c>
      <c r="G69" s="16">
        <v>1.0075509492293201E-2</v>
      </c>
      <c r="H69" s="18">
        <v>2.5693317540153602E-5</v>
      </c>
      <c r="I69" s="16">
        <v>5.6923782442334899E-3</v>
      </c>
      <c r="J69" s="16">
        <v>3600</v>
      </c>
      <c r="K69" s="16">
        <v>570</v>
      </c>
      <c r="L69" s="16">
        <v>570.15</v>
      </c>
      <c r="M69" s="16"/>
      <c r="N69" s="16">
        <f t="shared" si="15"/>
        <v>3672148546650.6973</v>
      </c>
      <c r="O69" s="18">
        <f t="shared" si="16"/>
        <v>8.3735772003564336E-4</v>
      </c>
      <c r="P69" s="19">
        <f t="shared" si="17"/>
        <v>3.0144877921283162</v>
      </c>
      <c r="Q69" s="19">
        <f t="shared" si="14"/>
        <v>5.2875183972029881E-3</v>
      </c>
      <c r="R69" s="16"/>
      <c r="S69" s="20">
        <f t="shared" si="18"/>
        <v>0.75686973153889014</v>
      </c>
      <c r="T69" s="20">
        <f t="shared" si="19"/>
        <v>0.76694524103118333</v>
      </c>
      <c r="U69" s="16"/>
      <c r="V69" s="16">
        <f t="shared" si="20"/>
        <v>3.3241119863783967E-5</v>
      </c>
      <c r="W69" s="16">
        <f t="shared" si="21"/>
        <v>7.8850855385803115E-5</v>
      </c>
      <c r="X69" s="16">
        <f t="shared" si="22"/>
        <v>1.2023093138161596E-4</v>
      </c>
      <c r="Y69" s="16"/>
      <c r="Z69" s="16">
        <f t="shared" si="23"/>
        <v>9.2337978783531783E-9</v>
      </c>
      <c r="AA69" s="16">
        <f t="shared" si="24"/>
        <v>2.1903878966100388E-8</v>
      </c>
      <c r="AB69" s="16">
        <f t="shared" si="25"/>
        <v>3.3399488805387894E-8</v>
      </c>
    </row>
    <row r="70" spans="1:28" x14ac:dyDescent="0.3">
      <c r="A70" s="16">
        <v>68</v>
      </c>
      <c r="B70" s="16" t="s">
        <v>146</v>
      </c>
      <c r="C70" s="16" t="s">
        <v>147</v>
      </c>
      <c r="D70" s="17">
        <v>45267.084027777775</v>
      </c>
      <c r="E70" s="16">
        <v>0</v>
      </c>
      <c r="F70" s="16">
        <v>1.31</v>
      </c>
      <c r="G70" s="16">
        <v>7.4659306388969301E-3</v>
      </c>
      <c r="H70" s="18">
        <v>1.9023522952200499E-5</v>
      </c>
      <c r="I70" s="16">
        <v>5.6991836938144504E-3</v>
      </c>
      <c r="J70" s="16">
        <v>3600</v>
      </c>
      <c r="K70" s="16">
        <v>565</v>
      </c>
      <c r="L70" s="16">
        <v>565.16</v>
      </c>
      <c r="M70" s="16"/>
      <c r="N70" s="16">
        <f t="shared" si="15"/>
        <v>3608028981787.9502</v>
      </c>
      <c r="O70" s="18">
        <f t="shared" si="16"/>
        <v>8.1786738846079826E-4</v>
      </c>
      <c r="P70" s="19">
        <f t="shared" si="17"/>
        <v>2.9443225984588737</v>
      </c>
      <c r="Q70" s="19">
        <f t="shared" si="14"/>
        <v>4.1181849226870886E-3</v>
      </c>
      <c r="R70" s="16"/>
      <c r="S70" s="20">
        <f t="shared" si="18"/>
        <v>0.76694524103118333</v>
      </c>
      <c r="T70" s="20">
        <f t="shared" si="19"/>
        <v>0.77441117167008022</v>
      </c>
      <c r="U70" s="16"/>
      <c r="V70" s="16">
        <f t="shared" si="20"/>
        <v>1.7050286467640189E-5</v>
      </c>
      <c r="W70" s="16">
        <f t="shared" si="21"/>
        <v>5.8432919977353607E-5</v>
      </c>
      <c r="X70" s="16">
        <f t="shared" si="22"/>
        <v>9.0664343182066394E-5</v>
      </c>
      <c r="Y70" s="16"/>
      <c r="Z70" s="16">
        <f t="shared" si="23"/>
        <v>4.736231062604695E-9</v>
      </c>
      <c r="AA70" s="16">
        <f t="shared" si="24"/>
        <v>1.6231840901913811E-8</v>
      </c>
      <c r="AB70" s="16">
        <f t="shared" si="25"/>
        <v>2.5185681511682392E-8</v>
      </c>
    </row>
    <row r="71" spans="1:28" x14ac:dyDescent="0.3">
      <c r="A71" s="16">
        <v>69</v>
      </c>
      <c r="B71" s="16" t="s">
        <v>148</v>
      </c>
      <c r="C71" s="16" t="s">
        <v>149</v>
      </c>
      <c r="D71" s="17">
        <v>45267.144444444442</v>
      </c>
      <c r="E71" s="16">
        <v>0</v>
      </c>
      <c r="F71" s="16">
        <v>1.02</v>
      </c>
      <c r="G71" s="16">
        <v>5.8192630942515396E-3</v>
      </c>
      <c r="H71" s="18">
        <v>1.4812208710873599E-5</v>
      </c>
      <c r="I71" s="16">
        <v>5.7051598963250398E-3</v>
      </c>
      <c r="J71" s="16">
        <v>3600</v>
      </c>
      <c r="K71" s="16">
        <v>560</v>
      </c>
      <c r="L71" s="16">
        <v>560.15</v>
      </c>
      <c r="M71" s="16"/>
      <c r="N71" s="16">
        <f t="shared" si="15"/>
        <v>3544026336535.8789</v>
      </c>
      <c r="O71" s="18">
        <f t="shared" si="16"/>
        <v>7.9855729694777939E-4</v>
      </c>
      <c r="P71" s="19">
        <f t="shared" si="17"/>
        <v>2.874806269012006</v>
      </c>
      <c r="Q71" s="19">
        <f t="shared" si="14"/>
        <v>3.3363048007097667E-3</v>
      </c>
      <c r="R71" s="16"/>
      <c r="S71" s="20">
        <f t="shared" si="18"/>
        <v>0.77441117167008022</v>
      </c>
      <c r="T71" s="20">
        <f t="shared" si="19"/>
        <v>0.78023043476433174</v>
      </c>
      <c r="U71" s="16"/>
      <c r="V71" s="16">
        <f t="shared" si="20"/>
        <v>1.3314880922590093E-5</v>
      </c>
      <c r="W71" s="16">
        <f t="shared" si="21"/>
        <v>4.5547758430893043E-5</v>
      </c>
      <c r="X71" s="16">
        <f t="shared" si="22"/>
        <v>7.166123751807669E-5</v>
      </c>
      <c r="Y71" s="16"/>
      <c r="Z71" s="16">
        <f t="shared" si="23"/>
        <v>3.6986026573369399E-9</v>
      </c>
      <c r="AA71" s="16">
        <f t="shared" si="24"/>
        <v>1.2652443267098941E-8</v>
      </c>
      <c r="AB71" s="16">
        <f t="shared" si="25"/>
        <v>1.9906612585353596E-8</v>
      </c>
    </row>
    <row r="72" spans="1:28" x14ac:dyDescent="0.3">
      <c r="A72" s="16">
        <v>70</v>
      </c>
      <c r="B72" s="16" t="s">
        <v>150</v>
      </c>
      <c r="C72" s="16" t="s">
        <v>151</v>
      </c>
      <c r="D72" s="17">
        <v>45267.20416666667</v>
      </c>
      <c r="E72" s="16">
        <v>0</v>
      </c>
      <c r="F72" s="16">
        <v>0.89</v>
      </c>
      <c r="G72" s="16">
        <v>5.08192438982115E-3</v>
      </c>
      <c r="H72" s="18">
        <v>1.29243781888995E-5</v>
      </c>
      <c r="I72" s="16">
        <v>5.7100274042934203E-3</v>
      </c>
      <c r="J72" s="16">
        <v>3600</v>
      </c>
      <c r="K72" s="16">
        <v>555</v>
      </c>
      <c r="L72" s="16">
        <v>555.16</v>
      </c>
      <c r="M72" s="16"/>
      <c r="N72" s="16">
        <f t="shared" si="15"/>
        <v>3480658451317.5034</v>
      </c>
      <c r="O72" s="18">
        <f t="shared" si="16"/>
        <v>7.7958164035653462E-4</v>
      </c>
      <c r="P72" s="19">
        <f t="shared" si="17"/>
        <v>2.8064939052835247</v>
      </c>
      <c r="Q72" s="19">
        <f t="shared" si="14"/>
        <v>3.0147099665657081E-3</v>
      </c>
      <c r="R72" s="16"/>
      <c r="S72" s="20">
        <f t="shared" si="18"/>
        <v>0.78023043476433174</v>
      </c>
      <c r="T72" s="20">
        <f t="shared" si="19"/>
        <v>0.78531235915415287</v>
      </c>
      <c r="U72" s="16"/>
      <c r="V72" s="16">
        <f t="shared" si="20"/>
        <v>1.3664059554473408E-5</v>
      </c>
      <c r="W72" s="16">
        <f t="shared" si="21"/>
        <v>3.9778371273885426E-5</v>
      </c>
      <c r="X72" s="16">
        <f t="shared" si="22"/>
        <v>6.3375781060880275E-5</v>
      </c>
      <c r="Y72" s="16"/>
      <c r="Z72" s="16">
        <f t="shared" si="23"/>
        <v>3.7955980301691503E-9</v>
      </c>
      <c r="AA72" s="16">
        <f t="shared" si="24"/>
        <v>1.1049767348411875E-8</v>
      </c>
      <c r="AB72" s="16">
        <f t="shared" si="25"/>
        <v>1.760494149736812E-8</v>
      </c>
    </row>
    <row r="73" spans="1:28" x14ac:dyDescent="0.3">
      <c r="A73" s="16">
        <v>71</v>
      </c>
      <c r="B73" s="16" t="s">
        <v>152</v>
      </c>
      <c r="C73" s="16" t="s">
        <v>153</v>
      </c>
      <c r="D73" s="17">
        <v>45267.734027777777</v>
      </c>
      <c r="E73" s="16">
        <v>0</v>
      </c>
      <c r="F73" s="16">
        <v>5.93</v>
      </c>
      <c r="G73" s="16">
        <v>3.37168862882452E-2</v>
      </c>
      <c r="H73" s="18">
        <v>7.7861455804254399E-5</v>
      </c>
      <c r="I73" s="16">
        <v>5.6858155629418601E-3</v>
      </c>
      <c r="J73" s="16">
        <v>3600</v>
      </c>
      <c r="K73" s="16">
        <v>600</v>
      </c>
      <c r="L73" s="16">
        <v>600.1</v>
      </c>
      <c r="M73" s="16"/>
      <c r="N73" s="16">
        <f t="shared" si="15"/>
        <v>4064427731592.9175</v>
      </c>
      <c r="O73" s="18">
        <f t="shared" si="16"/>
        <v>9.5973058963114925E-4</v>
      </c>
      <c r="P73" s="19">
        <f t="shared" si="17"/>
        <v>3.4550301226721372</v>
      </c>
      <c r="Q73" s="19">
        <f t="shared" si="14"/>
        <v>1.3829021081650551E-2</v>
      </c>
      <c r="R73" s="16"/>
      <c r="S73" s="20">
        <f t="shared" si="18"/>
        <v>0.78531235915415287</v>
      </c>
      <c r="T73" s="20">
        <f t="shared" si="19"/>
        <v>0.81902924544239808</v>
      </c>
      <c r="U73" s="16"/>
      <c r="V73" s="16">
        <f t="shared" si="20"/>
        <v>2.4033414895519682E-4</v>
      </c>
      <c r="W73" s="16">
        <f t="shared" si="21"/>
        <v>2.6392682595705806E-4</v>
      </c>
      <c r="X73" s="16">
        <f t="shared" si="22"/>
        <v>3.7217672806755421E-4</v>
      </c>
      <c r="Y73" s="16"/>
      <c r="Z73" s="16">
        <f t="shared" si="23"/>
        <v>6.676750939857646E-8</v>
      </c>
      <c r="AA73" s="16">
        <f t="shared" si="24"/>
        <v>7.3322683547555173E-8</v>
      </c>
      <c r="AB73" s="16">
        <f t="shared" si="25"/>
        <v>1.034016675041367E-7</v>
      </c>
    </row>
    <row r="74" spans="1:28" x14ac:dyDescent="0.3">
      <c r="A74" s="16">
        <v>72</v>
      </c>
      <c r="B74" s="16" t="s">
        <v>154</v>
      </c>
      <c r="C74" s="16" t="s">
        <v>155</v>
      </c>
      <c r="D74" s="17">
        <v>45267.807638888888</v>
      </c>
      <c r="E74" s="16">
        <v>0</v>
      </c>
      <c r="F74" s="16">
        <v>2.02</v>
      </c>
      <c r="G74" s="16">
        <v>1.1467431269373701E-2</v>
      </c>
      <c r="H74" s="18">
        <v>2.69072478986312E-5</v>
      </c>
      <c r="I74" s="16">
        <v>5.6769461729573199E-3</v>
      </c>
      <c r="J74" s="16">
        <v>4765</v>
      </c>
      <c r="K74" s="16">
        <v>550</v>
      </c>
      <c r="L74" s="16">
        <v>551.66999999999996</v>
      </c>
      <c r="M74" s="16"/>
      <c r="N74" s="16">
        <f t="shared" si="15"/>
        <v>3436567636405.8198</v>
      </c>
      <c r="O74" s="18">
        <f t="shared" si="16"/>
        <v>7.6646271831864706E-4</v>
      </c>
      <c r="P74" s="19">
        <f t="shared" si="17"/>
        <v>3.6521948527883534</v>
      </c>
      <c r="Q74" s="19">
        <f t="shared" si="14"/>
        <v>4.6823952561165982E-3</v>
      </c>
      <c r="R74" s="16"/>
      <c r="S74" s="20">
        <f t="shared" si="18"/>
        <v>0.81902924544239808</v>
      </c>
      <c r="T74" s="20">
        <f t="shared" si="19"/>
        <v>0.83049667671177174</v>
      </c>
      <c r="U74" s="16"/>
      <c r="V74" s="16">
        <f t="shared" si="20"/>
        <v>-1.8492780065267374E-5</v>
      </c>
      <c r="W74" s="16">
        <f t="shared" si="21"/>
        <v>8.9787702010808018E-5</v>
      </c>
      <c r="X74" s="16">
        <f t="shared" si="22"/>
        <v>1.2644992392233989E-4</v>
      </c>
      <c r="Y74" s="16"/>
      <c r="Z74" s="16">
        <f t="shared" si="23"/>
        <v>-3.8809253044956955E-9</v>
      </c>
      <c r="AA74" s="16">
        <f t="shared" si="24"/>
        <v>1.8844015355270319E-8</v>
      </c>
      <c r="AB74" s="16">
        <f t="shared" si="25"/>
        <v>2.6538912778164724E-8</v>
      </c>
    </row>
    <row r="75" spans="1:28" x14ac:dyDescent="0.3">
      <c r="A75" s="16">
        <v>73</v>
      </c>
      <c r="B75" s="16" t="s">
        <v>156</v>
      </c>
      <c r="C75" s="16" t="s">
        <v>157</v>
      </c>
      <c r="D75" s="17">
        <v>45267.885416666664</v>
      </c>
      <c r="E75" s="16">
        <v>0</v>
      </c>
      <c r="F75" s="16">
        <v>0.77100000000000002</v>
      </c>
      <c r="G75" s="16">
        <v>4.3761169224717103E-3</v>
      </c>
      <c r="H75" s="18">
        <v>1.02918973935104E-5</v>
      </c>
      <c r="I75" s="16">
        <v>5.67589743511246E-3</v>
      </c>
      <c r="J75" s="16">
        <v>3600</v>
      </c>
      <c r="K75" s="16">
        <v>550</v>
      </c>
      <c r="L75" s="16">
        <v>550.16</v>
      </c>
      <c r="M75" s="16"/>
      <c r="N75" s="16">
        <f t="shared" si="15"/>
        <v>3417550111424.5596</v>
      </c>
      <c r="O75" s="18">
        <f t="shared" si="16"/>
        <v>7.6082555778496201E-4</v>
      </c>
      <c r="P75" s="19">
        <f t="shared" si="17"/>
        <v>2.738972008025863</v>
      </c>
      <c r="Q75" s="19">
        <f t="shared" si="14"/>
        <v>2.8191513245114349E-3</v>
      </c>
      <c r="R75" s="16"/>
      <c r="S75" s="20">
        <f t="shared" si="18"/>
        <v>0.83049667671177174</v>
      </c>
      <c r="T75" s="20">
        <f t="shared" si="19"/>
        <v>0.83487279363424349</v>
      </c>
      <c r="U75" s="16"/>
      <c r="V75" s="16">
        <f t="shared" si="20"/>
        <v>-2.3984016057122662E-6</v>
      </c>
      <c r="W75" s="16">
        <f t="shared" si="21"/>
        <v>3.4267200356694556E-5</v>
      </c>
      <c r="X75" s="16">
        <f t="shared" si="22"/>
        <v>5.6342575623018615E-5</v>
      </c>
      <c r="Y75" s="16"/>
      <c r="Z75" s="16">
        <f t="shared" si="23"/>
        <v>-6.6622186933407758E-10</v>
      </c>
      <c r="AA75" s="16">
        <f t="shared" si="24"/>
        <v>9.5188298585086332E-9</v>
      </c>
      <c r="AB75" s="16">
        <f t="shared" si="25"/>
        <v>1.5651156368214512E-8</v>
      </c>
    </row>
    <row r="76" spans="1:28" x14ac:dyDescent="0.3">
      <c r="A76" s="16">
        <v>74</v>
      </c>
      <c r="B76" s="16" t="s">
        <v>158</v>
      </c>
      <c r="C76" s="16" t="s">
        <v>159</v>
      </c>
      <c r="D76" s="17">
        <v>45267.945833333331</v>
      </c>
      <c r="E76" s="16">
        <v>0</v>
      </c>
      <c r="F76" s="16">
        <v>0.7</v>
      </c>
      <c r="G76" s="16">
        <v>3.9746420820367598E-3</v>
      </c>
      <c r="H76" s="18">
        <v>9.3441351173246104E-6</v>
      </c>
      <c r="I76" s="16">
        <v>5.6780601171953797E-3</v>
      </c>
      <c r="J76" s="16">
        <v>3600</v>
      </c>
      <c r="K76" s="16">
        <v>550</v>
      </c>
      <c r="L76" s="16">
        <v>550.16</v>
      </c>
      <c r="M76" s="16"/>
      <c r="N76" s="16">
        <f t="shared" si="15"/>
        <v>3417550111424.5596</v>
      </c>
      <c r="O76" s="18">
        <f t="shared" si="16"/>
        <v>7.6082555778496201E-4</v>
      </c>
      <c r="P76" s="19">
        <f t="shared" si="17"/>
        <v>2.738972008025863</v>
      </c>
      <c r="Q76" s="19">
        <f t="shared" si="14"/>
        <v>2.4678482115228573E-3</v>
      </c>
      <c r="R76" s="16"/>
      <c r="S76" s="20">
        <f t="shared" si="18"/>
        <v>0.83487279363424349</v>
      </c>
      <c r="T76" s="20">
        <f t="shared" si="19"/>
        <v>0.83884743571628029</v>
      </c>
      <c r="U76" s="16"/>
      <c r="V76" s="16">
        <f t="shared" si="20"/>
        <v>9.0485846320716584E-6</v>
      </c>
      <c r="W76" s="16">
        <f t="shared" si="21"/>
        <v>3.1124516627879097E-5</v>
      </c>
      <c r="X76" s="16">
        <f t="shared" si="22"/>
        <v>5.0449673738696022E-5</v>
      </c>
      <c r="Y76" s="16"/>
      <c r="Z76" s="16">
        <f t="shared" si="23"/>
        <v>2.5135071029749557E-9</v>
      </c>
      <c r="AA76" s="16">
        <f t="shared" si="24"/>
        <v>8.6458336126997172E-9</v>
      </c>
      <c r="AB76" s="16">
        <f t="shared" si="25"/>
        <v>1.4014151768410193E-8</v>
      </c>
    </row>
    <row r="77" spans="1:28" x14ac:dyDescent="0.3">
      <c r="A77">
        <v>75</v>
      </c>
      <c r="B77" t="s">
        <v>160</v>
      </c>
      <c r="C77" t="s">
        <v>161</v>
      </c>
      <c r="D77" s="13">
        <v>45268.256249999999</v>
      </c>
      <c r="E77">
        <v>0</v>
      </c>
      <c r="F77">
        <v>1.1399999999999999</v>
      </c>
      <c r="G77">
        <v>6.4805732484076398E-3</v>
      </c>
      <c r="H77" s="14">
        <v>1.56540049529323E-5</v>
      </c>
      <c r="I77">
        <v>5.6847133757961703E-3</v>
      </c>
      <c r="J77">
        <v>25200</v>
      </c>
      <c r="K77">
        <v>500</v>
      </c>
      <c r="L77">
        <v>500.04999999999899</v>
      </c>
      <c r="N77">
        <f t="shared" si="15"/>
        <v>2808002113167.4023</v>
      </c>
      <c r="O77" s="14">
        <f t="shared" si="16"/>
        <v>5.8707144649841354E-4</v>
      </c>
      <c r="P77" s="2">
        <f t="shared" si="17"/>
        <v>14.794200451760021</v>
      </c>
      <c r="Q77" s="2">
        <f t="shared" ref="Q77:Q78" si="26">G77/((O77*J77)-1)</f>
        <v>4.6980419568868703E-4</v>
      </c>
      <c r="S77" s="15">
        <f t="shared" si="18"/>
        <v>0.83884743571628029</v>
      </c>
      <c r="T77" s="15">
        <f t="shared" si="19"/>
        <v>0.84532800896468796</v>
      </c>
      <c r="V77">
        <f t="shared" si="20"/>
        <v>3.1424320917842724E-5</v>
      </c>
      <c r="W77">
        <f t="shared" si="21"/>
        <v>5.074947223471431E-5</v>
      </c>
      <c r="X77">
        <f t="shared" si="22"/>
        <v>5.4428516367224297E-5</v>
      </c>
      <c r="Z77">
        <f t="shared" si="23"/>
        <v>1.2470164552447025E-9</v>
      </c>
      <c r="AA77">
        <f t="shared" si="24"/>
        <v>2.0139190489185975E-9</v>
      </c>
      <c r="AB77">
        <f t="shared" si="25"/>
        <v>2.159920541774769E-9</v>
      </c>
    </row>
    <row r="78" spans="1:28" x14ac:dyDescent="0.3">
      <c r="A78">
        <v>76</v>
      </c>
      <c r="B78" t="s">
        <v>162</v>
      </c>
      <c r="C78" t="s">
        <v>163</v>
      </c>
      <c r="D78" s="13">
        <v>45268.399305555555</v>
      </c>
      <c r="E78">
        <v>0</v>
      </c>
      <c r="F78">
        <v>0.40200000000000002</v>
      </c>
      <c r="G78">
        <v>2.2852547770700598E-3</v>
      </c>
      <c r="H78" s="14">
        <v>5.9456756171794097E-6</v>
      </c>
      <c r="I78">
        <v>5.6847133757961703E-3</v>
      </c>
      <c r="J78">
        <v>10800</v>
      </c>
      <c r="K78">
        <v>500</v>
      </c>
      <c r="L78">
        <v>500.05999999999898</v>
      </c>
      <c r="N78">
        <f t="shared" si="15"/>
        <v>2808119334528.5327</v>
      </c>
      <c r="O78" s="14">
        <f t="shared" si="16"/>
        <v>5.8710354861094948E-4</v>
      </c>
      <c r="P78" s="2">
        <f t="shared" si="17"/>
        <v>6.3407183249982548</v>
      </c>
      <c r="Q78" s="2">
        <f t="shared" si="26"/>
        <v>4.2789277359442217E-4</v>
      </c>
      <c r="S78" s="15">
        <f t="shared" si="18"/>
        <v>0.84532800896468796</v>
      </c>
      <c r="T78" s="15">
        <f t="shared" si="19"/>
        <v>0.84761326374175805</v>
      </c>
      <c r="V78">
        <f t="shared" si="20"/>
        <v>1.4217596235032315E-5</v>
      </c>
      <c r="W78">
        <f t="shared" si="21"/>
        <v>1.7896774776747542E-5</v>
      </c>
      <c r="X78">
        <f t="shared" si="22"/>
        <v>2.1247779957638333E-5</v>
      </c>
      <c r="Z78">
        <f t="shared" si="23"/>
        <v>1.3164534542563151E-9</v>
      </c>
      <c r="AA78">
        <f t="shared" si="24"/>
        <v>1.6571236042489775E-9</v>
      </c>
      <c r="AB78">
        <f t="shared" si="25"/>
        <v>1.9674079347106203E-9</v>
      </c>
    </row>
    <row r="79" spans="1:28" x14ac:dyDescent="0.3">
      <c r="A79" t="s">
        <v>193</v>
      </c>
      <c r="G79">
        <f>(54.93*2.34)</f>
        <v>128.53619999999998</v>
      </c>
      <c r="H79">
        <v>2.34</v>
      </c>
    </row>
    <row r="80" spans="1:28" ht="15" thickBot="1" x14ac:dyDescent="0.35"/>
    <row r="81" spans="2:5" x14ac:dyDescent="0.3">
      <c r="B81" s="4" t="s">
        <v>170</v>
      </c>
      <c r="C81" s="5"/>
      <c r="D81" s="5"/>
      <c r="E81" s="6"/>
    </row>
    <row r="82" spans="2:5" x14ac:dyDescent="0.3">
      <c r="B82" s="7" t="s">
        <v>171</v>
      </c>
      <c r="C82">
        <v>0.13</v>
      </c>
      <c r="E82" s="8"/>
    </row>
    <row r="83" spans="2:5" x14ac:dyDescent="0.3">
      <c r="B83" s="7" t="s">
        <v>172</v>
      </c>
      <c r="C83">
        <v>0.16500000000000001</v>
      </c>
      <c r="E83" s="8"/>
    </row>
    <row r="84" spans="2:5" x14ac:dyDescent="0.3">
      <c r="B84" s="7" t="s">
        <v>173</v>
      </c>
      <c r="C84">
        <f>2/((LN(C83/C82)*((C82/2)^2)))</f>
        <v>1985.5322720608037</v>
      </c>
      <c r="E84" s="8"/>
    </row>
    <row r="85" spans="2:5" ht="58.2" thickBot="1" x14ac:dyDescent="0.35">
      <c r="B85" s="9" t="s">
        <v>174</v>
      </c>
      <c r="C85" s="10">
        <v>1.3621000000000001E-22</v>
      </c>
      <c r="D85" s="11"/>
      <c r="E85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95FF9-C583-4568-8D04-5CE67CF1811E}">
  <dimension ref="A1:AC81"/>
  <sheetViews>
    <sheetView zoomScaleNormal="100" workbookViewId="0">
      <selection activeCell="R11" sqref="R11"/>
    </sheetView>
  </sheetViews>
  <sheetFormatPr defaultRowHeight="14.4" x14ac:dyDescent="0.3"/>
  <sheetData>
    <row r="1" spans="1:29" ht="16.8" x14ac:dyDescent="0.35">
      <c r="A1">
        <v>3</v>
      </c>
      <c r="D1" t="s">
        <v>175</v>
      </c>
      <c r="E1" s="2" t="s">
        <v>166</v>
      </c>
      <c r="F1" t="s">
        <v>186</v>
      </c>
      <c r="G1" t="s">
        <v>187</v>
      </c>
      <c r="H1" t="s">
        <v>188</v>
      </c>
      <c r="J1" t="s">
        <v>176</v>
      </c>
      <c r="K1" t="s">
        <v>177</v>
      </c>
      <c r="L1" t="s">
        <v>178</v>
      </c>
      <c r="M1" t="s">
        <v>179</v>
      </c>
      <c r="N1" t="s">
        <v>180</v>
      </c>
      <c r="O1" t="s">
        <v>181</v>
      </c>
      <c r="Q1" t="s">
        <v>176</v>
      </c>
      <c r="R1" t="s">
        <v>177</v>
      </c>
      <c r="S1" t="s">
        <v>178</v>
      </c>
      <c r="T1" t="s">
        <v>179</v>
      </c>
      <c r="U1" t="s">
        <v>181</v>
      </c>
      <c r="V1" s="1" t="s">
        <v>189</v>
      </c>
      <c r="X1" t="s">
        <v>176</v>
      </c>
      <c r="Y1" t="s">
        <v>177</v>
      </c>
      <c r="Z1" t="s">
        <v>178</v>
      </c>
      <c r="AA1" t="s">
        <v>179</v>
      </c>
      <c r="AB1" t="s">
        <v>181</v>
      </c>
      <c r="AC1" s="1" t="s">
        <v>189</v>
      </c>
    </row>
    <row r="2" spans="1:29" x14ac:dyDescent="0.3">
      <c r="J2" t="s">
        <v>190</v>
      </c>
      <c r="Q2" t="s">
        <v>191</v>
      </c>
      <c r="X2" t="s">
        <v>192</v>
      </c>
    </row>
    <row r="3" spans="1:29" x14ac:dyDescent="0.3">
      <c r="A3" t="s">
        <v>182</v>
      </c>
      <c r="B3" t="s">
        <v>183</v>
      </c>
      <c r="C3" t="s">
        <v>184</v>
      </c>
      <c r="D3">
        <v>0</v>
      </c>
      <c r="E3">
        <v>0</v>
      </c>
      <c r="G3">
        <v>0</v>
      </c>
    </row>
    <row r="4" spans="1:29" s="27" customFormat="1" x14ac:dyDescent="0.3">
      <c r="A4" s="27">
        <v>0</v>
      </c>
      <c r="B4" s="27" cm="1">
        <f t="array" ref="B4:B80">Reduced112123LVCOPyIrrOG!L2:L78</f>
        <v>200.12</v>
      </c>
      <c r="C4" s="27" cm="1">
        <f t="array" ref="C4:C80">Reduced112123LVCOPyIrrOG!J2:J78</f>
        <v>7200</v>
      </c>
      <c r="D4" s="28" cm="1">
        <f t="array" ref="D4:D80">Reduced112123LVCOPyIrrOG!T2:T78</f>
        <v>0</v>
      </c>
      <c r="E4" s="29" cm="1">
        <f t="array" ref="E4:F80">Reduced112123LVCOPyIrrOG!P2:Q78</f>
        <v>0.33443351238048791</v>
      </c>
      <c r="F4" s="29">
        <v>0</v>
      </c>
      <c r="G4" s="28">
        <f>D4/$D$81</f>
        <v>0</v>
      </c>
      <c r="H4" s="28">
        <f t="shared" ref="H4:H35" si="0">(D4+F4)/$D$81</f>
        <v>0</v>
      </c>
      <c r="J4" s="27">
        <f t="shared" ref="J4:J35" si="1">((G4^2-G3^2)*PI())/(36*C4)</f>
        <v>0</v>
      </c>
      <c r="K4" s="28">
        <f t="shared" ref="K4:K35" si="2">(1/(PI()*PI()*C4))*(-(G4-G3)*PI()*PI()/3-2*PI()*(SQRT(1-PI()/3*G4)-SQRT(1-PI()/3*G3)))</f>
        <v>0</v>
      </c>
      <c r="L4" s="28">
        <f t="shared" ref="L4:L35" si="3">(1/(PI()^2*C4))*LN((1-G3)/(1-G4))</f>
        <v>0</v>
      </c>
      <c r="M4" s="28">
        <f t="shared" ref="M4:M35" si="4">(G4&lt;0.05)*J4+((G4&gt;=0.05)*(G4&lt;0.9))*K4+(G4&gt;=0.9)*L4</f>
        <v>0</v>
      </c>
      <c r="N4" s="27">
        <f t="shared" ref="N4:N35" si="5">10000/(273+B4)</f>
        <v>21.136286777138992</v>
      </c>
      <c r="O4" s="27" t="e">
        <f>LN(M4)</f>
        <v>#NUM!</v>
      </c>
      <c r="Q4" s="28">
        <f t="shared" ref="Q4:Q35" si="6">((G4^2-H3^2)*PI())/(36*C4)</f>
        <v>0</v>
      </c>
      <c r="R4" s="27">
        <f t="shared" ref="R4:R35" si="7">(1/(PI()*PI()*C4))*(-(G4-H3)*PI()*PI()/3-2*PI()*(SQRT(1-PI()/3*G4)-SQRT(1-PI()/3*H3)))</f>
        <v>0</v>
      </c>
      <c r="S4" s="27">
        <f t="shared" ref="S4:S35" si="8">(1/(PI()^2*C4))*LN((1-H3)/(1-G4))</f>
        <v>0</v>
      </c>
      <c r="T4" s="27">
        <f t="shared" ref="T4:T35" si="9">(G4&lt;0.05)*Q4+((G4&gt;=0.05)*(G4&lt;0.9))*R4+(G4&gt;=0.9)*S4</f>
        <v>0</v>
      </c>
      <c r="U4" s="27" t="e">
        <f>LN(T4)</f>
        <v>#NUM!</v>
      </c>
      <c r="V4" s="27">
        <f>IFERROR(O4-U4,5)</f>
        <v>5</v>
      </c>
      <c r="X4" s="28">
        <f t="shared" ref="X4:X35" si="10">((H4^2-G3^2)*PI())/(36*C4)</f>
        <v>0</v>
      </c>
      <c r="Y4" s="28">
        <f t="shared" ref="Y4:Y35" si="11">(1/(PI()*PI()*C4))*(-(H4-G3)*PI()*PI()/3-2*PI()*(SQRT(1-PI()/3*H4)-SQRT(1-PI()/3*G3)))</f>
        <v>0</v>
      </c>
      <c r="Z4" s="28">
        <f t="shared" ref="Z4:Z35" si="12">(1/(PI()^2*C4))*LN((1-G3)/(1-H4))</f>
        <v>0</v>
      </c>
      <c r="AA4" s="28">
        <f>(H4&lt;0.05)*X4+((H4&gt;=0.05)*(H4&lt;0.9))*Y4+(H4&gt;=0.9)*Z4</f>
        <v>0</v>
      </c>
      <c r="AB4" s="27" t="e">
        <f>LN(AA4)</f>
        <v>#NUM!</v>
      </c>
      <c r="AC4" s="27" t="e">
        <f>AB4-O4</f>
        <v>#NUM!</v>
      </c>
    </row>
    <row r="5" spans="1:29" s="27" customFormat="1" x14ac:dyDescent="0.3">
      <c r="A5" s="27">
        <v>1</v>
      </c>
      <c r="B5" s="27">
        <v>310.11</v>
      </c>
      <c r="C5" s="27">
        <v>7200</v>
      </c>
      <c r="D5" s="27">
        <v>9.0142339085897002E-4</v>
      </c>
      <c r="E5" s="27">
        <v>1.1144029286050816</v>
      </c>
      <c r="F5" s="27">
        <v>7.8793733853674275E-3</v>
      </c>
      <c r="G5" s="28">
        <f t="shared" ref="G5:G68" si="13">D5/$D$81</f>
        <v>2.5754954024542001E-5</v>
      </c>
      <c r="H5" s="28">
        <f t="shared" si="0"/>
        <v>2.5087990789218279E-4</v>
      </c>
      <c r="J5" s="27">
        <f t="shared" si="1"/>
        <v>8.0396368735300173E-15</v>
      </c>
      <c r="K5" s="28">
        <f t="shared" si="2"/>
        <v>8.0397474088654344E-15</v>
      </c>
      <c r="L5" s="28">
        <f t="shared" si="3"/>
        <v>3.6243833764770156E-10</v>
      </c>
      <c r="M5" s="28">
        <f t="shared" si="4"/>
        <v>8.0396368735300173E-15</v>
      </c>
      <c r="N5" s="27">
        <f t="shared" si="5"/>
        <v>17.149422921918678</v>
      </c>
      <c r="O5" s="27">
        <f t="shared" ref="O5:O68" si="14">LN(M5)</f>
        <v>-32.454392477723609</v>
      </c>
      <c r="Q5" s="27">
        <f t="shared" si="6"/>
        <v>8.0396368735300173E-15</v>
      </c>
      <c r="R5" s="27">
        <f t="shared" si="7"/>
        <v>8.0397474088654344E-15</v>
      </c>
      <c r="S5" s="27">
        <f t="shared" si="8"/>
        <v>3.6243833764770156E-10</v>
      </c>
      <c r="T5" s="27">
        <f t="shared" si="9"/>
        <v>8.0396368735300173E-15</v>
      </c>
      <c r="U5" s="27">
        <f t="shared" ref="U5:U68" si="15">LN(T5)</f>
        <v>-32.454392477723609</v>
      </c>
      <c r="V5" s="27">
        <f t="shared" ref="V5:V68" si="16">IFERROR(O5-U5,5)</f>
        <v>0</v>
      </c>
      <c r="X5" s="28">
        <f t="shared" si="10"/>
        <v>7.6286315306487415E-13</v>
      </c>
      <c r="Y5" s="28">
        <f t="shared" si="11"/>
        <v>7.6296338212243103E-13</v>
      </c>
      <c r="Z5" s="28">
        <f t="shared" si="12"/>
        <v>3.530921995508084E-9</v>
      </c>
      <c r="AA5" s="28">
        <f t="shared" ref="AA5:AA68" si="17">(H5&lt;0.05)*X5+((H5&gt;=0.05)*(H5&lt;0.9))*Y5+(H5&gt;=0.9)*Z5</f>
        <v>7.6286315306487415E-13</v>
      </c>
      <c r="AB5" s="27">
        <f t="shared" ref="AB5:AB68" si="18">LN(AA5)</f>
        <v>-27.901697733493332</v>
      </c>
      <c r="AC5" s="27">
        <f t="shared" ref="AC5:AC68" si="19">AB5-O5</f>
        <v>4.5526947442302763</v>
      </c>
    </row>
    <row r="6" spans="1:29" s="27" customFormat="1" x14ac:dyDescent="0.3">
      <c r="A6" s="27">
        <v>2</v>
      </c>
      <c r="B6" s="27">
        <v>200.08</v>
      </c>
      <c r="C6" s="27">
        <v>7200</v>
      </c>
      <c r="D6" s="27">
        <v>9.3146206452012685E-4</v>
      </c>
      <c r="E6" s="27">
        <v>0.33425618098146681</v>
      </c>
      <c r="F6" s="27">
        <v>-4.5120469470435402E-5</v>
      </c>
      <c r="G6" s="28">
        <f t="shared" si="13"/>
        <v>2.6613201843432197E-5</v>
      </c>
      <c r="H6" s="28">
        <f t="shared" si="0"/>
        <v>2.5324045572848328E-5</v>
      </c>
      <c r="J6" s="27">
        <f t="shared" si="1"/>
        <v>5.4474702168954449E-16</v>
      </c>
      <c r="K6" s="28">
        <f t="shared" si="2"/>
        <v>5.4475513715020575E-16</v>
      </c>
      <c r="L6" s="28">
        <f t="shared" si="3"/>
        <v>1.20779113678605E-11</v>
      </c>
      <c r="M6" s="28">
        <f t="shared" si="4"/>
        <v>5.4474702168954449E-16</v>
      </c>
      <c r="N6" s="27">
        <f t="shared" si="5"/>
        <v>21.138073898706349</v>
      </c>
      <c r="O6" s="27">
        <f t="shared" si="14"/>
        <v>-35.146210167380801</v>
      </c>
      <c r="Q6" s="27">
        <f t="shared" si="6"/>
        <v>-7.542787691696546E-13</v>
      </c>
      <c r="R6" s="27">
        <f t="shared" si="7"/>
        <v>-7.5437887957811402E-13</v>
      </c>
      <c r="S6" s="27">
        <f t="shared" si="8"/>
        <v>-3.1564057464919611E-9</v>
      </c>
      <c r="T6" s="27">
        <f t="shared" si="9"/>
        <v>-7.542787691696546E-13</v>
      </c>
      <c r="U6" s="27" t="e">
        <f t="shared" si="15"/>
        <v>#NUM!</v>
      </c>
      <c r="V6" s="27">
        <f t="shared" si="16"/>
        <v>5</v>
      </c>
      <c r="X6" s="28">
        <f t="shared" si="10"/>
        <v>-2.6677324444051953E-16</v>
      </c>
      <c r="Y6" s="28">
        <f t="shared" si="11"/>
        <v>-2.6677629136942013E-16</v>
      </c>
      <c r="Z6" s="28">
        <f t="shared" si="12"/>
        <v>-6.0640652017762351E-12</v>
      </c>
      <c r="AA6" s="28">
        <f t="shared" si="17"/>
        <v>-2.6677324444051953E-16</v>
      </c>
      <c r="AB6" s="27" t="e">
        <f t="shared" si="18"/>
        <v>#NUM!</v>
      </c>
      <c r="AC6" s="27" t="e">
        <f t="shared" si="19"/>
        <v>#NUM!</v>
      </c>
    </row>
    <row r="7" spans="1:29" s="27" customFormat="1" x14ac:dyDescent="0.3">
      <c r="A7" s="27">
        <v>3</v>
      </c>
      <c r="B7" s="27">
        <v>320.10000000000002</v>
      </c>
      <c r="C7" s="27">
        <v>7200</v>
      </c>
      <c r="D7" s="27">
        <v>1.9871980661050168E-3</v>
      </c>
      <c r="E7" s="27">
        <v>1.2181925498555481</v>
      </c>
      <c r="F7" s="27">
        <v>4.8385520141903463E-3</v>
      </c>
      <c r="G7" s="28">
        <f t="shared" si="13"/>
        <v>5.6777087603000478E-5</v>
      </c>
      <c r="H7" s="28">
        <f t="shared" si="0"/>
        <v>1.9502143086558179E-4</v>
      </c>
      <c r="J7" s="27">
        <f t="shared" si="1"/>
        <v>3.0487207319631358E-14</v>
      </c>
      <c r="K7" s="28">
        <f t="shared" si="2"/>
        <v>3.0488249342127717E-14</v>
      </c>
      <c r="L7" s="28">
        <f t="shared" si="3"/>
        <v>4.2449556171642407E-10</v>
      </c>
      <c r="M7" s="28">
        <f t="shared" si="4"/>
        <v>3.0487207319631358E-14</v>
      </c>
      <c r="N7" s="27">
        <f t="shared" si="5"/>
        <v>16.860563142808971</v>
      </c>
      <c r="O7" s="27">
        <f t="shared" si="14"/>
        <v>-31.121469231426818</v>
      </c>
      <c r="Q7" s="27">
        <f t="shared" si="6"/>
        <v>3.1298727585761419E-14</v>
      </c>
      <c r="R7" s="27">
        <f t="shared" si="7"/>
        <v>3.1299780770763564E-14</v>
      </c>
      <c r="S7" s="27">
        <f t="shared" si="8"/>
        <v>4.4263753828659833E-10</v>
      </c>
      <c r="T7" s="27">
        <f t="shared" si="9"/>
        <v>3.1298727585761419E-14</v>
      </c>
      <c r="U7" s="27">
        <f t="shared" si="15"/>
        <v>-31.095198950402995</v>
      </c>
      <c r="V7" s="27">
        <f t="shared" si="16"/>
        <v>-2.6270281023823117E-2</v>
      </c>
      <c r="X7" s="28">
        <f t="shared" si="10"/>
        <v>4.5239292955030073E-13</v>
      </c>
      <c r="Y7" s="28">
        <f t="shared" si="11"/>
        <v>4.5243988666249798E-13</v>
      </c>
      <c r="Z7" s="28">
        <f t="shared" si="12"/>
        <v>2.3701683695846386E-9</v>
      </c>
      <c r="AA7" s="28">
        <f t="shared" si="17"/>
        <v>4.5239292955030073E-13</v>
      </c>
      <c r="AB7" s="27">
        <f t="shared" si="18"/>
        <v>-28.424225279547922</v>
      </c>
      <c r="AC7" s="27">
        <f t="shared" si="19"/>
        <v>2.697243951878896</v>
      </c>
    </row>
    <row r="8" spans="1:29" s="27" customFormat="1" x14ac:dyDescent="0.3">
      <c r="A8" s="27">
        <v>4</v>
      </c>
      <c r="B8" s="27">
        <v>320.10000000000002</v>
      </c>
      <c r="C8" s="27">
        <v>7200</v>
      </c>
      <c r="D8" s="27">
        <v>2.2650936749372139E-3</v>
      </c>
      <c r="E8" s="27">
        <v>1.2181925498555481</v>
      </c>
      <c r="F8" s="27">
        <v>1.2736255615334922E-3</v>
      </c>
      <c r="G8" s="28">
        <f t="shared" si="13"/>
        <v>6.4716962141063254E-5</v>
      </c>
      <c r="H8" s="28">
        <f t="shared" si="0"/>
        <v>1.0110626389916302E-4</v>
      </c>
      <c r="J8" s="27">
        <f t="shared" si="1"/>
        <v>1.1691857782725881E-14</v>
      </c>
      <c r="K8" s="28">
        <f t="shared" si="2"/>
        <v>1.1692422310479449E-14</v>
      </c>
      <c r="L8" s="28">
        <f t="shared" si="3"/>
        <v>1.1173977204953993E-10</v>
      </c>
      <c r="M8" s="28">
        <f t="shared" si="4"/>
        <v>1.1691857782725881E-14</v>
      </c>
      <c r="N8" s="27">
        <f t="shared" si="5"/>
        <v>16.860563142808971</v>
      </c>
      <c r="O8" s="27">
        <f t="shared" si="14"/>
        <v>-32.07988371137526</v>
      </c>
      <c r="Q8" s="27">
        <f t="shared" si="6"/>
        <v>-4.1021386444794348E-13</v>
      </c>
      <c r="R8" s="27">
        <f t="shared" si="7"/>
        <v>-4.1025921500927098E-13</v>
      </c>
      <c r="S8" s="27">
        <f t="shared" si="8"/>
        <v>-1.8339330358182682E-9</v>
      </c>
      <c r="T8" s="27">
        <f t="shared" si="9"/>
        <v>-4.1021386444794348E-13</v>
      </c>
      <c r="U8" s="27" t="e">
        <f t="shared" si="15"/>
        <v>#NUM!</v>
      </c>
      <c r="V8" s="27">
        <f t="shared" si="16"/>
        <v>5</v>
      </c>
      <c r="X8" s="28">
        <f t="shared" si="10"/>
        <v>8.4828321543425309E-14</v>
      </c>
      <c r="Y8" s="28">
        <f t="shared" si="11"/>
        <v>8.4833716870467534E-14</v>
      </c>
      <c r="Z8" s="28">
        <f t="shared" si="12"/>
        <v>6.238665564267845E-10</v>
      </c>
      <c r="AA8" s="28">
        <f t="shared" si="17"/>
        <v>8.4828321543425309E-14</v>
      </c>
      <c r="AB8" s="27">
        <f t="shared" si="18"/>
        <v>-30.098146927406969</v>
      </c>
      <c r="AC8" s="27">
        <f t="shared" si="19"/>
        <v>1.9817367839682909</v>
      </c>
    </row>
    <row r="9" spans="1:29" s="27" customFormat="1" x14ac:dyDescent="0.3">
      <c r="A9" s="27">
        <v>5</v>
      </c>
      <c r="B9" s="27">
        <v>200.25</v>
      </c>
      <c r="C9" s="27">
        <v>3600</v>
      </c>
      <c r="D9" s="27">
        <v>2.3850338655181727E-3</v>
      </c>
      <c r="E9" s="27">
        <v>0.1675051492553189</v>
      </c>
      <c r="F9" s="27">
        <v>-1.4407319213286473E-4</v>
      </c>
      <c r="G9" s="28">
        <f t="shared" si="13"/>
        <v>6.8143824729090645E-5</v>
      </c>
      <c r="H9" s="28">
        <f t="shared" si="0"/>
        <v>6.402744781100879E-5</v>
      </c>
      <c r="J9" s="27">
        <f t="shared" si="1"/>
        <v>1.10366782444647E-14</v>
      </c>
      <c r="K9" s="28">
        <f t="shared" si="2"/>
        <v>1.1037241517981605E-14</v>
      </c>
      <c r="L9" s="28">
        <f t="shared" si="3"/>
        <v>9.6454677968852307E-11</v>
      </c>
      <c r="M9" s="28">
        <f t="shared" si="4"/>
        <v>1.10366782444647E-14</v>
      </c>
      <c r="N9" s="27">
        <f t="shared" si="5"/>
        <v>21.130480718436345</v>
      </c>
      <c r="O9" s="27">
        <f t="shared" si="14"/>
        <v>-32.137552282989866</v>
      </c>
      <c r="Q9" s="27">
        <f t="shared" si="6"/>
        <v>-1.3523624927693418E-13</v>
      </c>
      <c r="R9" s="27">
        <f t="shared" si="7"/>
        <v>-1.3524534760194688E-13</v>
      </c>
      <c r="S9" s="27">
        <f t="shared" si="8"/>
        <v>-9.2779889078734097E-10</v>
      </c>
      <c r="T9" s="27">
        <f t="shared" si="9"/>
        <v>-1.3523624927693418E-13</v>
      </c>
      <c r="U9" s="27" t="e">
        <f t="shared" si="15"/>
        <v>#NUM!</v>
      </c>
      <c r="V9" s="27">
        <f t="shared" si="16"/>
        <v>5</v>
      </c>
      <c r="X9" s="28">
        <f t="shared" si="10"/>
        <v>-2.1518725659387582E-15</v>
      </c>
      <c r="Y9" s="28">
        <f t="shared" si="11"/>
        <v>-2.1519890051510963E-15</v>
      </c>
      <c r="Z9" s="28">
        <f t="shared" si="12"/>
        <v>-1.9407473763849034E-11</v>
      </c>
      <c r="AA9" s="28">
        <f t="shared" si="17"/>
        <v>-2.1518725659387582E-15</v>
      </c>
      <c r="AB9" s="27" t="e">
        <f t="shared" si="18"/>
        <v>#NUM!</v>
      </c>
      <c r="AC9" s="27" t="e">
        <f t="shared" si="19"/>
        <v>#NUM!</v>
      </c>
    </row>
    <row r="10" spans="1:29" s="27" customFormat="1" x14ac:dyDescent="0.3">
      <c r="A10" s="27">
        <v>6</v>
      </c>
      <c r="B10" s="27">
        <v>330.11</v>
      </c>
      <c r="C10" s="27">
        <v>7800</v>
      </c>
      <c r="D10" s="27">
        <v>3.0553575624674787E-3</v>
      </c>
      <c r="E10" s="27">
        <v>1.4390161193574609</v>
      </c>
      <c r="F10" s="27">
        <v>1.5268771860367778E-3</v>
      </c>
      <c r="G10" s="28">
        <f t="shared" si="13"/>
        <v>8.7295930356213683E-5</v>
      </c>
      <c r="H10" s="28">
        <f t="shared" si="0"/>
        <v>1.3092099281440732E-4</v>
      </c>
      <c r="J10" s="27">
        <f t="shared" si="1"/>
        <v>3.3306684319053672E-14</v>
      </c>
      <c r="K10" s="28">
        <f t="shared" si="2"/>
        <v>3.330873356004487E-14</v>
      </c>
      <c r="L10" s="28">
        <f t="shared" si="3"/>
        <v>2.4880318457327834E-10</v>
      </c>
      <c r="M10" s="28">
        <f t="shared" si="4"/>
        <v>3.3306684319053672E-14</v>
      </c>
      <c r="N10" s="27">
        <f t="shared" si="5"/>
        <v>16.580723251148214</v>
      </c>
      <c r="O10" s="27">
        <f t="shared" si="14"/>
        <v>-31.033018287766005</v>
      </c>
      <c r="Q10" s="27">
        <f t="shared" si="6"/>
        <v>3.9393707770009116E-14</v>
      </c>
      <c r="R10" s="27">
        <f t="shared" si="7"/>
        <v>3.9396070724529149E-14</v>
      </c>
      <c r="S10" s="27">
        <f t="shared" si="8"/>
        <v>3.0227802383445077E-10</v>
      </c>
      <c r="T10" s="27">
        <f t="shared" si="9"/>
        <v>3.9393707770009116E-14</v>
      </c>
      <c r="U10" s="27">
        <f t="shared" si="15"/>
        <v>-30.865170292629205</v>
      </c>
      <c r="V10" s="27">
        <f t="shared" si="16"/>
        <v>-0.16784799513679971</v>
      </c>
      <c r="X10" s="28">
        <f t="shared" si="10"/>
        <v>1.3981346530862103E-13</v>
      </c>
      <c r="Y10" s="28">
        <f t="shared" si="11"/>
        <v>1.3982475561871177E-13</v>
      </c>
      <c r="Z10" s="28">
        <f t="shared" si="12"/>
        <v>8.1555001701741163E-10</v>
      </c>
      <c r="AA10" s="28">
        <f t="shared" si="17"/>
        <v>1.3981346530862103E-13</v>
      </c>
      <c r="AB10" s="27">
        <f t="shared" si="18"/>
        <v>-29.598467251375752</v>
      </c>
      <c r="AC10" s="27">
        <f t="shared" si="19"/>
        <v>1.4345510363902534</v>
      </c>
    </row>
    <row r="11" spans="1:29" s="27" customFormat="1" x14ac:dyDescent="0.3">
      <c r="A11" s="27">
        <v>7</v>
      </c>
      <c r="B11" s="27">
        <v>200.19</v>
      </c>
      <c r="C11" s="27">
        <v>3600</v>
      </c>
      <c r="D11" s="27">
        <v>3.0553575624674787E-3</v>
      </c>
      <c r="E11" s="27">
        <v>0.16737200113276046</v>
      </c>
      <c r="F11" s="27">
        <v>0</v>
      </c>
      <c r="G11" s="28">
        <f t="shared" si="13"/>
        <v>8.7295930356213683E-5</v>
      </c>
      <c r="H11" s="28">
        <f t="shared" si="0"/>
        <v>8.7295930356213683E-5</v>
      </c>
      <c r="J11" s="27">
        <f t="shared" si="1"/>
        <v>0</v>
      </c>
      <c r="K11" s="28">
        <f t="shared" si="2"/>
        <v>0</v>
      </c>
      <c r="L11" s="28">
        <f t="shared" si="3"/>
        <v>0</v>
      </c>
      <c r="M11" s="28">
        <f t="shared" si="4"/>
        <v>0</v>
      </c>
      <c r="N11" s="27">
        <f t="shared" si="5"/>
        <v>21.133160041420993</v>
      </c>
      <c r="O11" s="27" t="e">
        <f t="shared" si="14"/>
        <v>#NUM!</v>
      </c>
      <c r="Q11" s="27">
        <f t="shared" si="6"/>
        <v>-2.3076469214406267E-13</v>
      </c>
      <c r="R11" s="27">
        <f t="shared" si="7"/>
        <v>-2.307847144596821E-13</v>
      </c>
      <c r="S11" s="27">
        <f t="shared" si="8"/>
        <v>-1.2279514702955988E-9</v>
      </c>
      <c r="T11" s="27">
        <f t="shared" si="9"/>
        <v>-2.3076469214406267E-13</v>
      </c>
      <c r="U11" s="27" t="e">
        <f t="shared" si="15"/>
        <v>#NUM!</v>
      </c>
      <c r="V11" s="27">
        <f t="shared" si="16"/>
        <v>5</v>
      </c>
      <c r="X11" s="28">
        <f t="shared" si="10"/>
        <v>0</v>
      </c>
      <c r="Y11" s="28">
        <f t="shared" si="11"/>
        <v>0</v>
      </c>
      <c r="Z11" s="28">
        <f t="shared" si="12"/>
        <v>0</v>
      </c>
      <c r="AA11" s="28">
        <f t="shared" si="17"/>
        <v>0</v>
      </c>
      <c r="AB11" s="27" t="e">
        <f t="shared" si="18"/>
        <v>#NUM!</v>
      </c>
      <c r="AC11" s="27" t="e">
        <f t="shared" si="19"/>
        <v>#NUM!</v>
      </c>
    </row>
    <row r="12" spans="1:29" s="27" customFormat="1" x14ac:dyDescent="0.3">
      <c r="A12" s="27">
        <v>8</v>
      </c>
      <c r="B12" s="27">
        <v>340.11</v>
      </c>
      <c r="C12" s="27">
        <v>7200</v>
      </c>
      <c r="D12" s="27">
        <v>2.8810119943777869E-3</v>
      </c>
      <c r="E12" s="27">
        <v>1.4445933541265834</v>
      </c>
      <c r="F12" s="27">
        <v>-3.9214614089812239E-4</v>
      </c>
      <c r="G12" s="28">
        <f t="shared" si="13"/>
        <v>8.2314628410793913E-5</v>
      </c>
      <c r="H12" s="28">
        <f t="shared" si="0"/>
        <v>7.1110452956561841E-5</v>
      </c>
      <c r="J12" s="27">
        <f t="shared" si="1"/>
        <v>-1.024025161783655E-14</v>
      </c>
      <c r="K12" s="28">
        <f t="shared" si="2"/>
        <v>-1.024093751632316E-14</v>
      </c>
      <c r="L12" s="28">
        <f t="shared" si="3"/>
        <v>-7.0104752084265392E-11</v>
      </c>
      <c r="M12" s="28">
        <f t="shared" si="4"/>
        <v>-1.024025161783655E-14</v>
      </c>
      <c r="N12" s="27">
        <f t="shared" si="5"/>
        <v>16.310286897946533</v>
      </c>
      <c r="O12" s="27" t="e">
        <f t="shared" si="14"/>
        <v>#NUM!</v>
      </c>
      <c r="Q12" s="27">
        <f t="shared" si="6"/>
        <v>-1.024025161783655E-14</v>
      </c>
      <c r="R12" s="27">
        <f t="shared" si="7"/>
        <v>-1.024093751632316E-14</v>
      </c>
      <c r="S12" s="27">
        <f t="shared" si="8"/>
        <v>-7.0104752084265392E-11</v>
      </c>
      <c r="T12" s="27">
        <f t="shared" si="9"/>
        <v>-1.024025161783655E-14</v>
      </c>
      <c r="U12" s="27" t="e">
        <f t="shared" si="15"/>
        <v>#NUM!</v>
      </c>
      <c r="V12" s="27">
        <f t="shared" si="16"/>
        <v>5</v>
      </c>
      <c r="X12" s="28">
        <f t="shared" si="10"/>
        <v>-3.1075138116365008E-14</v>
      </c>
      <c r="Y12" s="28">
        <f t="shared" si="11"/>
        <v>-3.1077083825583964E-14</v>
      </c>
      <c r="Z12" s="28">
        <f t="shared" si="12"/>
        <v>-2.2778633695724156E-10</v>
      </c>
      <c r="AA12" s="28">
        <f t="shared" si="17"/>
        <v>-3.1075138116365008E-14</v>
      </c>
      <c r="AB12" s="27" t="e">
        <f t="shared" si="18"/>
        <v>#NUM!</v>
      </c>
      <c r="AC12" s="27" t="e">
        <f t="shared" si="19"/>
        <v>#NUM!</v>
      </c>
    </row>
    <row r="13" spans="1:29" s="27" customFormat="1" x14ac:dyDescent="0.3">
      <c r="A13" s="27">
        <v>9</v>
      </c>
      <c r="B13" s="27">
        <v>200.66999999999899</v>
      </c>
      <c r="C13" s="27">
        <v>35760</v>
      </c>
      <c r="D13" s="27">
        <v>4.9682643905439167E-3</v>
      </c>
      <c r="E13" s="27">
        <v>1.6731635369541511</v>
      </c>
      <c r="F13" s="27">
        <v>3.1006616989539821E-3</v>
      </c>
      <c r="G13" s="28">
        <f t="shared" si="13"/>
        <v>1.4195041115839762E-4</v>
      </c>
      <c r="H13" s="28">
        <f t="shared" si="0"/>
        <v>2.305407454142257E-4</v>
      </c>
      <c r="J13" s="27">
        <f t="shared" si="1"/>
        <v>3.2637611079364558E-14</v>
      </c>
      <c r="K13" s="28">
        <f t="shared" si="2"/>
        <v>3.264055328003918E-14</v>
      </c>
      <c r="L13" s="28">
        <f t="shared" si="3"/>
        <v>1.6898897424937362E-10</v>
      </c>
      <c r="M13" s="28">
        <f t="shared" si="4"/>
        <v>3.2637611079364558E-14</v>
      </c>
      <c r="N13" s="27">
        <f t="shared" si="5"/>
        <v>21.11174446344506</v>
      </c>
      <c r="O13" s="27">
        <f t="shared" si="14"/>
        <v>-31.053311057463745</v>
      </c>
      <c r="Q13" s="27">
        <f t="shared" si="6"/>
        <v>3.6832554669672303E-14</v>
      </c>
      <c r="R13" s="27">
        <f t="shared" si="7"/>
        <v>3.6835750523504908E-14</v>
      </c>
      <c r="S13" s="27">
        <f t="shared" si="8"/>
        <v>2.0073694435778763E-10</v>
      </c>
      <c r="T13" s="27">
        <f t="shared" si="9"/>
        <v>3.6832554669672303E-14</v>
      </c>
      <c r="U13" s="27">
        <f t="shared" si="15"/>
        <v>-30.932394303034336</v>
      </c>
      <c r="V13" s="27">
        <f t="shared" si="16"/>
        <v>-0.12091675442940897</v>
      </c>
      <c r="X13" s="28">
        <f t="shared" si="10"/>
        <v>1.1316658558107906E-13</v>
      </c>
      <c r="Y13" s="28">
        <f t="shared" si="11"/>
        <v>1.1318153221517671E-13</v>
      </c>
      <c r="Z13" s="28">
        <f t="shared" si="12"/>
        <v>4.2004461178049251E-10</v>
      </c>
      <c r="AA13" s="28">
        <f t="shared" si="17"/>
        <v>1.1316658558107906E-13</v>
      </c>
      <c r="AB13" s="27">
        <f t="shared" si="18"/>
        <v>-29.809915453095066</v>
      </c>
      <c r="AC13" s="27">
        <f t="shared" si="19"/>
        <v>1.2433956043686791</v>
      </c>
    </row>
    <row r="14" spans="1:29" s="27" customFormat="1" x14ac:dyDescent="0.3">
      <c r="A14" s="27">
        <v>10</v>
      </c>
      <c r="B14" s="27">
        <v>350.1</v>
      </c>
      <c r="C14" s="27">
        <v>7200</v>
      </c>
      <c r="D14" s="27">
        <v>8.3785838793618075E-3</v>
      </c>
      <c r="E14" s="27">
        <v>1.5671003186751138</v>
      </c>
      <c r="F14" s="27">
        <v>6.013608838706417E-3</v>
      </c>
      <c r="G14" s="28">
        <f t="shared" si="13"/>
        <v>2.3938811083890879E-4</v>
      </c>
      <c r="H14" s="28">
        <f t="shared" si="0"/>
        <v>4.1120550623052071E-4</v>
      </c>
      <c r="J14" s="27">
        <f t="shared" si="1"/>
        <v>4.503524990403763E-13</v>
      </c>
      <c r="K14" s="28">
        <f t="shared" si="2"/>
        <v>4.5042142263603189E-13</v>
      </c>
      <c r="L14" s="28">
        <f t="shared" si="3"/>
        <v>1.371442473982666E-9</v>
      </c>
      <c r="M14" s="28">
        <f t="shared" si="4"/>
        <v>4.503524990403763E-13</v>
      </c>
      <c r="N14" s="27">
        <f t="shared" si="5"/>
        <v>16.048788316482106</v>
      </c>
      <c r="O14" s="27">
        <f t="shared" si="14"/>
        <v>-28.428745787589243</v>
      </c>
      <c r="Q14" s="27">
        <f t="shared" si="6"/>
        <v>5.0391925681860911E-14</v>
      </c>
      <c r="R14" s="27">
        <f t="shared" si="7"/>
        <v>5.0401227258325181E-14</v>
      </c>
      <c r="S14" s="27">
        <f t="shared" si="8"/>
        <v>1.2453280757861918E-10</v>
      </c>
      <c r="T14" s="27">
        <f t="shared" si="9"/>
        <v>5.0391925681860911E-14</v>
      </c>
      <c r="U14" s="27">
        <f t="shared" si="15"/>
        <v>-30.61894543739249</v>
      </c>
      <c r="V14" s="27">
        <f t="shared" si="16"/>
        <v>2.1901996498032474</v>
      </c>
      <c r="X14" s="28">
        <f t="shared" si="10"/>
        <v>1.8052043370384392E-12</v>
      </c>
      <c r="Y14" s="28">
        <f t="shared" si="11"/>
        <v>1.8056275561881558E-12</v>
      </c>
      <c r="Z14" s="28">
        <f t="shared" si="12"/>
        <v>3.7901100802649098E-9</v>
      </c>
      <c r="AA14" s="28">
        <f t="shared" si="17"/>
        <v>1.8052043370384392E-12</v>
      </c>
      <c r="AB14" s="27">
        <f t="shared" si="18"/>
        <v>-27.040347324435555</v>
      </c>
      <c r="AC14" s="27">
        <f t="shared" si="19"/>
        <v>1.3883984631536883</v>
      </c>
    </row>
    <row r="15" spans="1:29" s="27" customFormat="1" x14ac:dyDescent="0.3">
      <c r="A15" s="27">
        <v>11</v>
      </c>
      <c r="B15" s="27">
        <v>399.75</v>
      </c>
      <c r="C15" s="27">
        <v>7200</v>
      </c>
      <c r="D15" s="27">
        <v>4.1968519981598208E-2</v>
      </c>
      <c r="E15" s="27">
        <v>2.2736222526383711</v>
      </c>
      <c r="F15" s="27">
        <v>2.637354681315688E-2</v>
      </c>
      <c r="G15" s="28">
        <f t="shared" si="13"/>
        <v>1.199100570902806E-3</v>
      </c>
      <c r="H15" s="28">
        <f t="shared" si="0"/>
        <v>1.9526304798501454E-3</v>
      </c>
      <c r="J15" s="27">
        <f t="shared" si="1"/>
        <v>1.6732562581163161E-11</v>
      </c>
      <c r="K15" s="28">
        <f t="shared" si="2"/>
        <v>1.6743425686850758E-11</v>
      </c>
      <c r="L15" s="28">
        <f t="shared" si="3"/>
        <v>1.3515166524290331E-8</v>
      </c>
      <c r="M15" s="28">
        <f t="shared" si="4"/>
        <v>1.6732562581163161E-11</v>
      </c>
      <c r="N15" s="27">
        <f t="shared" si="5"/>
        <v>14.864362690449648</v>
      </c>
      <c r="O15" s="27">
        <f t="shared" si="14"/>
        <v>-24.813664439846473</v>
      </c>
      <c r="Q15" s="27">
        <f t="shared" si="6"/>
        <v>1.5377710743165095E-11</v>
      </c>
      <c r="R15" s="27">
        <f t="shared" si="7"/>
        <v>1.5388219553303975E-11</v>
      </c>
      <c r="S15" s="27">
        <f t="shared" si="8"/>
        <v>1.1096498918009397E-8</v>
      </c>
      <c r="T15" s="27">
        <f t="shared" si="9"/>
        <v>1.5377710743165095E-11</v>
      </c>
      <c r="U15" s="27">
        <f t="shared" si="15"/>
        <v>-24.898102009277942</v>
      </c>
      <c r="V15" s="27">
        <f t="shared" si="16"/>
        <v>8.4437569431468518E-2</v>
      </c>
      <c r="X15" s="28">
        <f t="shared" si="10"/>
        <v>4.5517449044723474E-11</v>
      </c>
      <c r="Y15" s="28">
        <f t="shared" si="11"/>
        <v>4.5564669379862097E-11</v>
      </c>
      <c r="Z15" s="28">
        <f t="shared" si="12"/>
        <v>2.4135868031161418E-8</v>
      </c>
      <c r="AA15" s="28">
        <f t="shared" si="17"/>
        <v>4.5517449044723474E-11</v>
      </c>
      <c r="AB15" s="27">
        <f t="shared" si="18"/>
        <v>-23.812925367998815</v>
      </c>
      <c r="AC15" s="27">
        <f t="shared" si="19"/>
        <v>1.0007390718476579</v>
      </c>
    </row>
    <row r="16" spans="1:29" s="27" customFormat="1" x14ac:dyDescent="0.3">
      <c r="A16" s="27">
        <v>12</v>
      </c>
      <c r="B16" s="27">
        <v>200.18</v>
      </c>
      <c r="C16" s="27">
        <v>3600</v>
      </c>
      <c r="D16" s="27">
        <v>4.3126203687668486E-2</v>
      </c>
      <c r="E16" s="27">
        <v>0.16734981705152979</v>
      </c>
      <c r="F16" s="27">
        <v>-1.390360237441904E-3</v>
      </c>
      <c r="G16" s="28">
        <f t="shared" si="13"/>
        <v>1.2321772482190997E-3</v>
      </c>
      <c r="H16" s="28">
        <f t="shared" si="0"/>
        <v>1.1924526700064738E-3</v>
      </c>
      <c r="J16" s="27">
        <f t="shared" si="1"/>
        <v>1.9494016781762462E-12</v>
      </c>
      <c r="K16" s="28">
        <f t="shared" si="2"/>
        <v>1.9512649819173326E-12</v>
      </c>
      <c r="L16" s="28">
        <f t="shared" si="3"/>
        <v>9.3206864139351107E-10</v>
      </c>
      <c r="M16" s="28">
        <f t="shared" si="4"/>
        <v>1.9494016781762462E-12</v>
      </c>
      <c r="N16" s="27">
        <f t="shared" si="5"/>
        <v>21.133606661312818</v>
      </c>
      <c r="O16" s="27">
        <f t="shared" si="14"/>
        <v>-26.963498622139859</v>
      </c>
      <c r="Q16" s="27">
        <f t="shared" si="6"/>
        <v>-5.5620371248944379E-11</v>
      </c>
      <c r="R16" s="27">
        <f t="shared" si="7"/>
        <v>-5.5691222404078639E-11</v>
      </c>
      <c r="S16" s="27">
        <f t="shared" si="8"/>
        <v>-2.0309334372347254E-8</v>
      </c>
      <c r="T16" s="27">
        <f t="shared" si="9"/>
        <v>-5.5620371248944379E-11</v>
      </c>
      <c r="U16" s="27" t="e">
        <f t="shared" si="15"/>
        <v>#NUM!</v>
      </c>
      <c r="V16" s="27">
        <f t="shared" si="16"/>
        <v>5</v>
      </c>
      <c r="X16" s="28">
        <f t="shared" si="10"/>
        <v>-3.8539800422426186E-13</v>
      </c>
      <c r="Y16" s="28">
        <f t="shared" si="11"/>
        <v>-3.8576034039535308E-13</v>
      </c>
      <c r="Z16" s="28">
        <f t="shared" si="12"/>
        <v>-1.8732766525099736E-10</v>
      </c>
      <c r="AA16" s="28">
        <f t="shared" si="17"/>
        <v>-3.8539800422426186E-13</v>
      </c>
      <c r="AB16" s="27" t="e">
        <f t="shared" si="18"/>
        <v>#NUM!</v>
      </c>
      <c r="AC16" s="27" t="e">
        <f t="shared" si="19"/>
        <v>#NUM!</v>
      </c>
    </row>
    <row r="17" spans="1:29" s="27" customFormat="1" x14ac:dyDescent="0.3">
      <c r="A17" s="27">
        <v>13</v>
      </c>
      <c r="B17" s="27">
        <v>395.11</v>
      </c>
      <c r="C17" s="27">
        <v>7200</v>
      </c>
      <c r="D17" s="27">
        <v>5.6984190908115684E-2</v>
      </c>
      <c r="E17" s="27">
        <v>2.2005333039371826</v>
      </c>
      <c r="F17" s="27">
        <v>1.1543192658628914E-2</v>
      </c>
      <c r="G17" s="28">
        <f t="shared" si="13"/>
        <v>1.6281197402318766E-3</v>
      </c>
      <c r="H17" s="28">
        <f t="shared" si="0"/>
        <v>1.9579252447641314E-3</v>
      </c>
      <c r="J17" s="27">
        <f t="shared" si="1"/>
        <v>1.3726446335047804E-11</v>
      </c>
      <c r="K17" s="28">
        <f t="shared" si="2"/>
        <v>1.374198249337596E-11</v>
      </c>
      <c r="L17" s="28">
        <f t="shared" si="3"/>
        <v>5.5798358925988759E-9</v>
      </c>
      <c r="M17" s="28">
        <f t="shared" si="4"/>
        <v>1.3726446335047804E-11</v>
      </c>
      <c r="N17" s="27">
        <f t="shared" si="5"/>
        <v>14.967595156486206</v>
      </c>
      <c r="O17" s="27">
        <f t="shared" si="14"/>
        <v>-25.011696754482241</v>
      </c>
      <c r="Q17" s="27">
        <f t="shared" si="6"/>
        <v>1.4893846176248055E-11</v>
      </c>
      <c r="R17" s="27">
        <f t="shared" si="7"/>
        <v>1.4910495154527344E-11</v>
      </c>
      <c r="S17" s="27">
        <f t="shared" si="8"/>
        <v>6.1395340459219345E-9</v>
      </c>
      <c r="T17" s="27">
        <f t="shared" si="9"/>
        <v>1.4893846176248055E-11</v>
      </c>
      <c r="U17" s="27">
        <f t="shared" si="15"/>
        <v>-24.930072996594056</v>
      </c>
      <c r="V17" s="27">
        <f t="shared" si="16"/>
        <v>-8.1623757888184656E-2</v>
      </c>
      <c r="X17" s="28">
        <f t="shared" si="10"/>
        <v>2.8061143042046255E-11</v>
      </c>
      <c r="Y17" s="28">
        <f t="shared" si="11"/>
        <v>2.8096954665749955E-11</v>
      </c>
      <c r="Z17" s="28">
        <f t="shared" si="12"/>
        <v>1.022932313821909E-8</v>
      </c>
      <c r="AA17" s="28">
        <f t="shared" si="17"/>
        <v>2.8061143042046255E-11</v>
      </c>
      <c r="AB17" s="27">
        <f t="shared" si="18"/>
        <v>-24.29663530644434</v>
      </c>
      <c r="AC17" s="27">
        <f t="shared" si="19"/>
        <v>0.7150614480379005</v>
      </c>
    </row>
    <row r="18" spans="1:29" s="27" customFormat="1" x14ac:dyDescent="0.3">
      <c r="A18" s="27">
        <v>14</v>
      </c>
      <c r="B18" s="27">
        <v>200.26</v>
      </c>
      <c r="C18" s="27">
        <v>3600</v>
      </c>
      <c r="D18" s="27">
        <v>5.7173526371374468E-2</v>
      </c>
      <c r="E18" s="27">
        <v>0.16752734788253884</v>
      </c>
      <c r="F18" s="27">
        <v>-2.2743745728726945E-4</v>
      </c>
      <c r="G18" s="28">
        <f t="shared" si="13"/>
        <v>1.6335293248964135E-3</v>
      </c>
      <c r="H18" s="28">
        <f t="shared" si="0"/>
        <v>1.6270311118310628E-3</v>
      </c>
      <c r="J18" s="27">
        <f t="shared" si="1"/>
        <v>4.2770667194388389E-13</v>
      </c>
      <c r="K18" s="28">
        <f t="shared" si="2"/>
        <v>4.2825527883207881E-13</v>
      </c>
      <c r="L18" s="28">
        <f t="shared" si="3"/>
        <v>1.525002348002248E-10</v>
      </c>
      <c r="M18" s="28">
        <f t="shared" si="4"/>
        <v>4.2770667194388389E-13</v>
      </c>
      <c r="N18" s="27">
        <f t="shared" si="5"/>
        <v>21.130034230655454</v>
      </c>
      <c r="O18" s="27">
        <f t="shared" si="14"/>
        <v>-28.48033878021127</v>
      </c>
      <c r="Q18" s="27">
        <f t="shared" si="6"/>
        <v>-2.8241686742053018E-11</v>
      </c>
      <c r="R18" s="27">
        <f t="shared" si="7"/>
        <v>-2.828168906591381E-11</v>
      </c>
      <c r="S18" s="27">
        <f t="shared" si="8"/>
        <v>-9.1464742564397246E-9</v>
      </c>
      <c r="T18" s="27">
        <f t="shared" si="9"/>
        <v>-2.8241686742053018E-11</v>
      </c>
      <c r="U18" s="27" t="e">
        <f t="shared" si="15"/>
        <v>#NUM!</v>
      </c>
      <c r="V18" s="27">
        <f t="shared" si="16"/>
        <v>5</v>
      </c>
      <c r="X18" s="28">
        <f t="shared" si="10"/>
        <v>-8.5900491968656352E-14</v>
      </c>
      <c r="Y18" s="28">
        <f t="shared" si="11"/>
        <v>-8.6010457984908975E-14</v>
      </c>
      <c r="Z18" s="28">
        <f t="shared" si="12"/>
        <v>-3.0689148383080401E-11</v>
      </c>
      <c r="AA18" s="28">
        <f t="shared" si="17"/>
        <v>-8.5900491968656352E-14</v>
      </c>
      <c r="AB18" s="27" t="e">
        <f t="shared" si="18"/>
        <v>#NUM!</v>
      </c>
      <c r="AC18" s="27" t="e">
        <f t="shared" si="19"/>
        <v>#NUM!</v>
      </c>
    </row>
    <row r="19" spans="1:29" s="27" customFormat="1" x14ac:dyDescent="0.3">
      <c r="A19" s="27">
        <v>15</v>
      </c>
      <c r="B19" s="27">
        <v>390.1</v>
      </c>
      <c r="C19" s="27">
        <v>7200</v>
      </c>
      <c r="D19" s="27">
        <v>6.3218574294697155E-2</v>
      </c>
      <c r="E19" s="27">
        <v>2.1232774372067809</v>
      </c>
      <c r="F19" s="27">
        <v>5.3816160844062828E-3</v>
      </c>
      <c r="G19" s="28">
        <f t="shared" si="13"/>
        <v>1.8062449798484901E-3</v>
      </c>
      <c r="H19" s="28">
        <f t="shared" si="0"/>
        <v>1.9600054394029553E-3</v>
      </c>
      <c r="J19" s="27">
        <f t="shared" si="1"/>
        <v>7.2007300074695061E-12</v>
      </c>
      <c r="K19" s="28">
        <f t="shared" si="2"/>
        <v>7.2104795546862503E-12</v>
      </c>
      <c r="L19" s="28">
        <f t="shared" si="3"/>
        <v>2.434708901915784E-9</v>
      </c>
      <c r="M19" s="28">
        <f t="shared" si="4"/>
        <v>7.2007300074695061E-12</v>
      </c>
      <c r="N19" s="27">
        <f t="shared" si="5"/>
        <v>15.080681646810435</v>
      </c>
      <c r="O19" s="27">
        <f t="shared" si="14"/>
        <v>-25.656838705119828</v>
      </c>
      <c r="Q19" s="27">
        <f t="shared" si="6"/>
        <v>7.4575335894257759E-12</v>
      </c>
      <c r="R19" s="27">
        <f t="shared" si="7"/>
        <v>7.4676124230946558E-12</v>
      </c>
      <c r="S19" s="27">
        <f t="shared" si="8"/>
        <v>2.5263035935060914E-9</v>
      </c>
      <c r="T19" s="27">
        <f t="shared" si="9"/>
        <v>7.4575335894257759E-12</v>
      </c>
      <c r="U19" s="27">
        <f t="shared" si="15"/>
        <v>-25.621796374418512</v>
      </c>
      <c r="V19" s="27">
        <f t="shared" si="16"/>
        <v>-3.5042330701315905E-2</v>
      </c>
      <c r="X19" s="28">
        <f t="shared" si="10"/>
        <v>1.4219624866434958E-11</v>
      </c>
      <c r="Y19" s="28">
        <f t="shared" si="11"/>
        <v>1.4239778264565449E-11</v>
      </c>
      <c r="Z19" s="28">
        <f t="shared" si="12"/>
        <v>4.6025678893610796E-9</v>
      </c>
      <c r="AA19" s="28">
        <f t="shared" si="17"/>
        <v>1.4219624866434958E-11</v>
      </c>
      <c r="AB19" s="27">
        <f t="shared" si="18"/>
        <v>-24.976398072602208</v>
      </c>
      <c r="AC19" s="27">
        <f t="shared" si="19"/>
        <v>0.68044063251761955</v>
      </c>
    </row>
    <row r="20" spans="1:29" s="27" customFormat="1" x14ac:dyDescent="0.3">
      <c r="A20" s="27">
        <v>16</v>
      </c>
      <c r="B20" s="27">
        <v>385.08999999999901</v>
      </c>
      <c r="C20" s="27">
        <v>7800</v>
      </c>
      <c r="D20" s="27">
        <v>6.7785903148797649E-2</v>
      </c>
      <c r="E20" s="27">
        <v>2.2183818662286918</v>
      </c>
      <c r="F20" s="27">
        <v>3.7486842021360127E-3</v>
      </c>
      <c r="G20" s="28">
        <f t="shared" si="13"/>
        <v>1.9367400899656471E-3</v>
      </c>
      <c r="H20" s="28">
        <f t="shared" si="0"/>
        <v>2.0438453528838193E-3</v>
      </c>
      <c r="J20" s="27">
        <f t="shared" si="1"/>
        <v>5.4646846121955692E-12</v>
      </c>
      <c r="K20" s="28">
        <f t="shared" si="2"/>
        <v>5.4727333850991331E-12</v>
      </c>
      <c r="L20" s="28">
        <f t="shared" si="3"/>
        <v>1.6982961736674346E-9</v>
      </c>
      <c r="M20" s="28">
        <f t="shared" si="4"/>
        <v>5.4646846121955692E-12</v>
      </c>
      <c r="N20" s="27">
        <f t="shared" si="5"/>
        <v>15.195489978574383</v>
      </c>
      <c r="O20" s="27">
        <f t="shared" si="14"/>
        <v>-25.932714706451076</v>
      </c>
      <c r="Q20" s="27">
        <f t="shared" si="6"/>
        <v>-1.014295257618694E-12</v>
      </c>
      <c r="R20" s="27">
        <f t="shared" si="7"/>
        <v>-1.0158500394049196E-12</v>
      </c>
      <c r="S20" s="27">
        <f t="shared" si="8"/>
        <v>-3.0280443012872173E-10</v>
      </c>
      <c r="T20" s="27">
        <f t="shared" si="9"/>
        <v>-1.014295257618694E-12</v>
      </c>
      <c r="U20" s="27" t="e">
        <f t="shared" si="15"/>
        <v>#NUM!</v>
      </c>
      <c r="V20" s="27">
        <f t="shared" si="16"/>
        <v>5</v>
      </c>
      <c r="X20" s="28">
        <f t="shared" si="10"/>
        <v>1.0234598418795993E-11</v>
      </c>
      <c r="Y20" s="28">
        <f t="shared" si="11"/>
        <v>1.0250118173526731E-11</v>
      </c>
      <c r="Z20" s="28">
        <f t="shared" si="12"/>
        <v>3.0923569194956496E-9</v>
      </c>
      <c r="AA20" s="28">
        <f t="shared" si="17"/>
        <v>1.0234598418795993E-11</v>
      </c>
      <c r="AB20" s="27">
        <f t="shared" si="18"/>
        <v>-25.305247133657744</v>
      </c>
      <c r="AC20" s="27">
        <f t="shared" si="19"/>
        <v>0.6274675727933321</v>
      </c>
    </row>
    <row r="21" spans="1:29" s="27" customFormat="1" x14ac:dyDescent="0.3">
      <c r="A21" s="27">
        <v>17</v>
      </c>
      <c r="B21" s="27">
        <v>380.08999999999901</v>
      </c>
      <c r="C21" s="27">
        <v>8400</v>
      </c>
      <c r="D21" s="27">
        <v>7.0308582154115853E-2</v>
      </c>
      <c r="E21" s="27">
        <v>2.3030559107804063</v>
      </c>
      <c r="F21" s="27">
        <v>1.9359714225979498E-3</v>
      </c>
      <c r="G21" s="28">
        <f t="shared" si="13"/>
        <v>2.0088166329747387E-3</v>
      </c>
      <c r="H21" s="28">
        <f t="shared" si="0"/>
        <v>2.0641301021918231E-3</v>
      </c>
      <c r="J21" s="27">
        <f t="shared" si="1"/>
        <v>2.9544070142167411E-12</v>
      </c>
      <c r="K21" s="28">
        <f t="shared" si="2"/>
        <v>2.9589930233931615E-12</v>
      </c>
      <c r="L21" s="28">
        <f t="shared" si="3"/>
        <v>8.7110905911234851E-10</v>
      </c>
      <c r="M21" s="28">
        <f t="shared" si="4"/>
        <v>2.9544070142167411E-12</v>
      </c>
      <c r="N21" s="27">
        <f t="shared" si="5"/>
        <v>15.311825322696741</v>
      </c>
      <c r="O21" s="27">
        <f t="shared" si="14"/>
        <v>-26.547723157215678</v>
      </c>
      <c r="Q21" s="27">
        <f t="shared" si="6"/>
        <v>-1.4747986633407945E-12</v>
      </c>
      <c r="R21" s="27">
        <f t="shared" si="7"/>
        <v>-1.4771499944334461E-12</v>
      </c>
      <c r="S21" s="27">
        <f t="shared" si="8"/>
        <v>-4.2337591915491125E-10</v>
      </c>
      <c r="T21" s="27">
        <f t="shared" si="9"/>
        <v>-1.4747986633407945E-12</v>
      </c>
      <c r="U21" s="27" t="e">
        <f t="shared" si="15"/>
        <v>#NUM!</v>
      </c>
      <c r="V21" s="27">
        <f t="shared" si="16"/>
        <v>5</v>
      </c>
      <c r="X21" s="28">
        <f t="shared" si="10"/>
        <v>5.2949019962064822E-12</v>
      </c>
      <c r="Y21" s="28">
        <f t="shared" si="11"/>
        <v>5.3032383911888792E-12</v>
      </c>
      <c r="Z21" s="28">
        <f t="shared" si="12"/>
        <v>1.5396641458702585E-9</v>
      </c>
      <c r="AA21" s="28">
        <f t="shared" si="17"/>
        <v>5.2949019962064822E-12</v>
      </c>
      <c r="AB21" s="27">
        <f t="shared" si="18"/>
        <v>-25.96427664578934</v>
      </c>
      <c r="AC21" s="27">
        <f t="shared" si="19"/>
        <v>0.58344651142633808</v>
      </c>
    </row>
    <row r="22" spans="1:29" s="27" customFormat="1" x14ac:dyDescent="0.3">
      <c r="A22" s="27">
        <v>18</v>
      </c>
      <c r="B22" s="27">
        <v>200.16999999999899</v>
      </c>
      <c r="C22" s="27">
        <v>3600</v>
      </c>
      <c r="D22" s="27">
        <v>7.037918502492925E-2</v>
      </c>
      <c r="E22" s="27">
        <v>0.16732763504789655</v>
      </c>
      <c r="F22" s="27">
        <v>-8.4790697740351058E-5</v>
      </c>
      <c r="G22" s="28">
        <f t="shared" si="13"/>
        <v>2.0108338578551216E-3</v>
      </c>
      <c r="H22" s="28">
        <f t="shared" si="0"/>
        <v>2.0084112664911112E-3</v>
      </c>
      <c r="J22" s="27">
        <f t="shared" si="1"/>
        <v>1.9655653157893131E-13</v>
      </c>
      <c r="K22" s="28">
        <f t="shared" si="2"/>
        <v>1.9686734760496221E-13</v>
      </c>
      <c r="L22" s="28">
        <f t="shared" si="3"/>
        <v>5.6888673111353942E-11</v>
      </c>
      <c r="M22" s="28">
        <f t="shared" si="4"/>
        <v>1.9655653157893131E-13</v>
      </c>
      <c r="N22" s="27">
        <f t="shared" si="5"/>
        <v>21.134053300082467</v>
      </c>
      <c r="O22" s="27">
        <f t="shared" si="14"/>
        <v>-29.25782631246328</v>
      </c>
      <c r="Q22" s="27">
        <f t="shared" si="6"/>
        <v>-5.2645984263971306E-12</v>
      </c>
      <c r="R22" s="27">
        <f t="shared" si="7"/>
        <v>-5.273038510586904E-12</v>
      </c>
      <c r="S22" s="27">
        <f t="shared" si="8"/>
        <v>-1.5030731959875121E-9</v>
      </c>
      <c r="T22" s="27">
        <f t="shared" si="9"/>
        <v>-5.2645984263971306E-12</v>
      </c>
      <c r="U22" s="27" t="e">
        <f t="shared" si="15"/>
        <v>#NUM!</v>
      </c>
      <c r="V22" s="27">
        <f t="shared" si="16"/>
        <v>5</v>
      </c>
      <c r="X22" s="28">
        <f t="shared" si="10"/>
        <v>-3.9474730982123593E-14</v>
      </c>
      <c r="Y22" s="28">
        <f t="shared" si="11"/>
        <v>-3.9537103726983229E-14</v>
      </c>
      <c r="Z22" s="28">
        <f t="shared" si="12"/>
        <v>-1.1431910050570627E-11</v>
      </c>
      <c r="AA22" s="28">
        <f t="shared" si="17"/>
        <v>-3.9474730982123593E-14</v>
      </c>
      <c r="AB22" s="27" t="e">
        <f t="shared" si="18"/>
        <v>#NUM!</v>
      </c>
      <c r="AC22" s="27" t="e">
        <f t="shared" si="19"/>
        <v>#NUM!</v>
      </c>
    </row>
    <row r="23" spans="1:29" s="27" customFormat="1" x14ac:dyDescent="0.3">
      <c r="A23" s="27">
        <v>19</v>
      </c>
      <c r="B23" s="27">
        <v>375.07999999999902</v>
      </c>
      <c r="C23" s="27">
        <v>9000</v>
      </c>
      <c r="D23" s="27">
        <v>7.037918502492925E-2</v>
      </c>
      <c r="E23" s="27">
        <v>2.3773808526165405</v>
      </c>
      <c r="F23" s="27">
        <v>0</v>
      </c>
      <c r="G23" s="28">
        <f t="shared" si="13"/>
        <v>2.0108338578551216E-3</v>
      </c>
      <c r="H23" s="28">
        <f t="shared" si="0"/>
        <v>2.0108338578551216E-3</v>
      </c>
      <c r="J23" s="27">
        <f t="shared" si="1"/>
        <v>0</v>
      </c>
      <c r="K23" s="28">
        <f t="shared" si="2"/>
        <v>0</v>
      </c>
      <c r="L23" s="28">
        <f t="shared" si="3"/>
        <v>0</v>
      </c>
      <c r="M23" s="28">
        <f t="shared" si="4"/>
        <v>0</v>
      </c>
      <c r="N23" s="27">
        <f t="shared" si="5"/>
        <v>15.430193803234191</v>
      </c>
      <c r="O23" s="27" t="e">
        <f t="shared" si="14"/>
        <v>#NUM!</v>
      </c>
      <c r="Q23" s="27">
        <f t="shared" si="6"/>
        <v>9.4412505024421955E-14</v>
      </c>
      <c r="R23" s="27">
        <f t="shared" si="7"/>
        <v>9.4561780532794874E-14</v>
      </c>
      <c r="S23" s="27">
        <f t="shared" si="8"/>
        <v>2.7328233267187928E-11</v>
      </c>
      <c r="T23" s="27">
        <f t="shared" si="9"/>
        <v>9.4412505024421955E-14</v>
      </c>
      <c r="U23" s="27">
        <f t="shared" si="15"/>
        <v>-29.99110286205336</v>
      </c>
      <c r="V23" s="27">
        <f t="shared" si="16"/>
        <v>5</v>
      </c>
      <c r="X23" s="28">
        <f t="shared" si="10"/>
        <v>0</v>
      </c>
      <c r="Y23" s="28">
        <f t="shared" si="11"/>
        <v>0</v>
      </c>
      <c r="Z23" s="28">
        <f t="shared" si="12"/>
        <v>0</v>
      </c>
      <c r="AA23" s="28">
        <f t="shared" si="17"/>
        <v>0</v>
      </c>
      <c r="AB23" s="27" t="e">
        <f t="shared" si="18"/>
        <v>#NUM!</v>
      </c>
      <c r="AC23" s="27" t="e">
        <f t="shared" si="19"/>
        <v>#NUM!</v>
      </c>
    </row>
    <row r="24" spans="1:29" s="27" customFormat="1" x14ac:dyDescent="0.3">
      <c r="A24" s="27">
        <v>20</v>
      </c>
      <c r="B24" s="27">
        <v>200.159999999999</v>
      </c>
      <c r="C24" s="27">
        <v>3600</v>
      </c>
      <c r="D24" s="27">
        <v>7.037918502492925E-2</v>
      </c>
      <c r="E24" s="27">
        <v>0.16730545512176531</v>
      </c>
      <c r="F24" s="27">
        <v>0</v>
      </c>
      <c r="G24" s="28">
        <f t="shared" si="13"/>
        <v>2.0108338578551216E-3</v>
      </c>
      <c r="H24" s="28">
        <f t="shared" si="0"/>
        <v>2.0108338578551216E-3</v>
      </c>
      <c r="J24" s="27">
        <f t="shared" si="1"/>
        <v>0</v>
      </c>
      <c r="K24" s="28">
        <f t="shared" si="2"/>
        <v>0</v>
      </c>
      <c r="L24" s="28">
        <f t="shared" si="3"/>
        <v>0</v>
      </c>
      <c r="M24" s="28">
        <f t="shared" si="4"/>
        <v>0</v>
      </c>
      <c r="N24" s="27">
        <f t="shared" si="5"/>
        <v>21.134499957731045</v>
      </c>
      <c r="O24" s="27" t="e">
        <f t="shared" si="14"/>
        <v>#NUM!</v>
      </c>
      <c r="Q24" s="27">
        <f t="shared" si="6"/>
        <v>0</v>
      </c>
      <c r="R24" s="27">
        <f t="shared" si="7"/>
        <v>0</v>
      </c>
      <c r="S24" s="27">
        <f t="shared" si="8"/>
        <v>0</v>
      </c>
      <c r="T24" s="27">
        <f t="shared" si="9"/>
        <v>0</v>
      </c>
      <c r="U24" s="27" t="e">
        <f t="shared" si="15"/>
        <v>#NUM!</v>
      </c>
      <c r="V24" s="27">
        <f t="shared" si="16"/>
        <v>5</v>
      </c>
      <c r="X24" s="28">
        <f t="shared" si="10"/>
        <v>0</v>
      </c>
      <c r="Y24" s="28">
        <f t="shared" si="11"/>
        <v>0</v>
      </c>
      <c r="Z24" s="28">
        <f t="shared" si="12"/>
        <v>0</v>
      </c>
      <c r="AA24" s="28">
        <f t="shared" si="17"/>
        <v>0</v>
      </c>
      <c r="AB24" s="27" t="e">
        <f t="shared" si="18"/>
        <v>#NUM!</v>
      </c>
      <c r="AC24" s="27" t="e">
        <f t="shared" si="19"/>
        <v>#NUM!</v>
      </c>
    </row>
    <row r="25" spans="1:29" s="27" customFormat="1" x14ac:dyDescent="0.3">
      <c r="A25" s="27">
        <v>21</v>
      </c>
      <c r="B25" s="27">
        <v>370.07999999999902</v>
      </c>
      <c r="C25" s="27">
        <v>9600</v>
      </c>
      <c r="D25" s="27">
        <v>7.2435158439640199E-2</v>
      </c>
      <c r="E25" s="27">
        <v>2.4421127560371021</v>
      </c>
      <c r="F25" s="27">
        <v>1.4256675881300191E-3</v>
      </c>
      <c r="G25" s="28">
        <f t="shared" si="13"/>
        <v>2.0695759554182915E-3</v>
      </c>
      <c r="H25" s="28">
        <f t="shared" si="0"/>
        <v>2.1103093150791493E-3</v>
      </c>
      <c r="J25" s="27">
        <f t="shared" si="1"/>
        <v>2.1788602329038574E-12</v>
      </c>
      <c r="K25" s="28">
        <f t="shared" si="2"/>
        <v>2.1823580561854119E-12</v>
      </c>
      <c r="L25" s="28">
        <f t="shared" si="3"/>
        <v>6.2124860533255544E-10</v>
      </c>
      <c r="M25" s="28">
        <f t="shared" si="4"/>
        <v>2.1788602329038574E-12</v>
      </c>
      <c r="N25" s="27">
        <f t="shared" si="5"/>
        <v>15.550164831747241</v>
      </c>
      <c r="O25" s="27">
        <f t="shared" si="14"/>
        <v>-26.852219204793446</v>
      </c>
      <c r="Q25" s="27">
        <f t="shared" si="6"/>
        <v>2.1788602329038574E-12</v>
      </c>
      <c r="R25" s="27">
        <f t="shared" si="7"/>
        <v>2.1823580561854119E-12</v>
      </c>
      <c r="S25" s="27">
        <f t="shared" si="8"/>
        <v>6.2124860533255544E-10</v>
      </c>
      <c r="T25" s="27">
        <f t="shared" si="9"/>
        <v>2.1788602329038574E-12</v>
      </c>
      <c r="U25" s="27">
        <f t="shared" si="15"/>
        <v>-26.852219204793446</v>
      </c>
      <c r="V25" s="27">
        <f t="shared" si="16"/>
        <v>0</v>
      </c>
      <c r="X25" s="28">
        <f t="shared" si="10"/>
        <v>3.726574308217879E-12</v>
      </c>
      <c r="Y25" s="28">
        <f t="shared" si="11"/>
        <v>3.7326173251716634E-12</v>
      </c>
      <c r="Z25" s="28">
        <f t="shared" si="12"/>
        <v>1.0520606669055455E-9</v>
      </c>
      <c r="AA25" s="28">
        <f t="shared" si="17"/>
        <v>3.726574308217879E-12</v>
      </c>
      <c r="AB25" s="27">
        <f t="shared" si="18"/>
        <v>-26.315531720302605</v>
      </c>
      <c r="AC25" s="27">
        <f t="shared" si="19"/>
        <v>0.53668748449084092</v>
      </c>
    </row>
    <row r="26" spans="1:29" s="27" customFormat="1" x14ac:dyDescent="0.3">
      <c r="A26" s="27">
        <v>22</v>
      </c>
      <c r="B26" s="27">
        <v>200.159999999999</v>
      </c>
      <c r="C26" s="27">
        <v>3600</v>
      </c>
      <c r="D26" s="27">
        <v>7.2435158439640199E-2</v>
      </c>
      <c r="E26" s="27">
        <v>0.16730545512176531</v>
      </c>
      <c r="F26" s="27">
        <v>0</v>
      </c>
      <c r="G26" s="28">
        <f t="shared" si="13"/>
        <v>2.0695759554182915E-3</v>
      </c>
      <c r="H26" s="28">
        <f t="shared" si="0"/>
        <v>2.0695759554182915E-3</v>
      </c>
      <c r="J26" s="27">
        <f t="shared" si="1"/>
        <v>0</v>
      </c>
      <c r="K26" s="28">
        <f t="shared" si="2"/>
        <v>0</v>
      </c>
      <c r="L26" s="28">
        <f t="shared" si="3"/>
        <v>0</v>
      </c>
      <c r="M26" s="28">
        <f t="shared" si="4"/>
        <v>0</v>
      </c>
      <c r="N26" s="27">
        <f t="shared" si="5"/>
        <v>21.134499957731045</v>
      </c>
      <c r="O26" s="27" t="e">
        <f t="shared" si="14"/>
        <v>#NUM!</v>
      </c>
      <c r="Q26" s="27">
        <f t="shared" si="6"/>
        <v>-4.1272375341707255E-12</v>
      </c>
      <c r="R26" s="27">
        <f t="shared" si="7"/>
        <v>-4.134024717296671E-12</v>
      </c>
      <c r="S26" s="27">
        <f t="shared" si="8"/>
        <v>-1.1488321641908439E-9</v>
      </c>
      <c r="T26" s="27">
        <f t="shared" si="9"/>
        <v>-4.1272375341707255E-12</v>
      </c>
      <c r="U26" s="27" t="e">
        <f t="shared" si="15"/>
        <v>#NUM!</v>
      </c>
      <c r="V26" s="27">
        <f t="shared" si="16"/>
        <v>5</v>
      </c>
      <c r="X26" s="28">
        <f t="shared" si="10"/>
        <v>0</v>
      </c>
      <c r="Y26" s="28">
        <f t="shared" si="11"/>
        <v>0</v>
      </c>
      <c r="Z26" s="28">
        <f t="shared" si="12"/>
        <v>0</v>
      </c>
      <c r="AA26" s="28">
        <f t="shared" si="17"/>
        <v>0</v>
      </c>
      <c r="AB26" s="27" t="e">
        <f t="shared" si="18"/>
        <v>#NUM!</v>
      </c>
      <c r="AC26" s="27" t="e">
        <f t="shared" si="19"/>
        <v>#NUM!</v>
      </c>
    </row>
    <row r="27" spans="1:29" s="27" customFormat="1" x14ac:dyDescent="0.3">
      <c r="A27" s="27">
        <v>23</v>
      </c>
      <c r="B27" s="27">
        <v>365.06999999999903</v>
      </c>
      <c r="C27" s="27">
        <v>10200</v>
      </c>
      <c r="D27" s="27">
        <v>7.410254651711963E-2</v>
      </c>
      <c r="E27" s="27">
        <v>2.4972929972391169</v>
      </c>
      <c r="F27" s="27">
        <v>1.1136017336312628E-3</v>
      </c>
      <c r="G27" s="28">
        <f t="shared" si="13"/>
        <v>2.1172156147748465E-3</v>
      </c>
      <c r="H27" s="28">
        <f t="shared" si="0"/>
        <v>2.149032807164311E-3</v>
      </c>
      <c r="J27" s="27">
        <f t="shared" si="1"/>
        <v>1.706464227707558E-12</v>
      </c>
      <c r="K27" s="28">
        <f t="shared" si="2"/>
        <v>1.7092751613878409E-12</v>
      </c>
      <c r="L27" s="28">
        <f t="shared" si="3"/>
        <v>4.7421887241885041E-10</v>
      </c>
      <c r="M27" s="28">
        <f t="shared" si="4"/>
        <v>1.706464227707558E-12</v>
      </c>
      <c r="N27" s="27">
        <f t="shared" si="5"/>
        <v>15.672261664080768</v>
      </c>
      <c r="O27" s="27">
        <f t="shared" si="14"/>
        <v>-27.096597589158346</v>
      </c>
      <c r="Q27" s="27">
        <f t="shared" si="6"/>
        <v>1.706464227707558E-12</v>
      </c>
      <c r="R27" s="27">
        <f t="shared" si="7"/>
        <v>1.7092751613878409E-12</v>
      </c>
      <c r="S27" s="27">
        <f t="shared" si="8"/>
        <v>4.7421887241885041E-10</v>
      </c>
      <c r="T27" s="27">
        <f t="shared" si="9"/>
        <v>1.706464227707558E-12</v>
      </c>
      <c r="U27" s="27">
        <f t="shared" si="15"/>
        <v>-27.096597589158346</v>
      </c>
      <c r="V27" s="27">
        <f t="shared" si="16"/>
        <v>0</v>
      </c>
      <c r="X27" s="28">
        <f t="shared" si="10"/>
        <v>2.8677930237157439E-12</v>
      </c>
      <c r="Y27" s="28">
        <f t="shared" si="11"/>
        <v>2.8725532607102043E-12</v>
      </c>
      <c r="Z27" s="28">
        <f t="shared" si="12"/>
        <v>7.9094896698814182E-10</v>
      </c>
      <c r="AA27" s="28">
        <f t="shared" si="17"/>
        <v>2.8677930237157439E-12</v>
      </c>
      <c r="AB27" s="27">
        <f t="shared" si="18"/>
        <v>-26.5774783632585</v>
      </c>
      <c r="AC27" s="27">
        <f t="shared" si="19"/>
        <v>0.51911922589984627</v>
      </c>
    </row>
    <row r="28" spans="1:29" s="27" customFormat="1" x14ac:dyDescent="0.3">
      <c r="A28" s="27">
        <v>24</v>
      </c>
      <c r="B28" s="27">
        <v>200.159999999999</v>
      </c>
      <c r="C28" s="27">
        <v>3600</v>
      </c>
      <c r="D28" s="27">
        <v>7.412298989332966E-2</v>
      </c>
      <c r="E28" s="27">
        <v>0.16730545512176531</v>
      </c>
      <c r="F28" s="27">
        <v>-2.4550870827453232E-5</v>
      </c>
      <c r="G28" s="28">
        <f t="shared" si="13"/>
        <v>2.1177997112379904E-3</v>
      </c>
      <c r="H28" s="28">
        <f t="shared" si="0"/>
        <v>2.1170982577857775E-3</v>
      </c>
      <c r="J28" s="27">
        <f t="shared" si="1"/>
        <v>5.9963149271365083E-14</v>
      </c>
      <c r="K28" s="28">
        <f t="shared" si="2"/>
        <v>6.0063061855348522E-14</v>
      </c>
      <c r="L28" s="28">
        <f t="shared" si="3"/>
        <v>1.6474146635950586E-11</v>
      </c>
      <c r="M28" s="28">
        <f t="shared" si="4"/>
        <v>5.9963149271365083E-14</v>
      </c>
      <c r="N28" s="27">
        <f t="shared" si="5"/>
        <v>21.134499957731045</v>
      </c>
      <c r="O28" s="27">
        <f t="shared" si="14"/>
        <v>-30.445046200184233</v>
      </c>
      <c r="Q28" s="27">
        <f t="shared" si="6"/>
        <v>-3.2304684394184939E-12</v>
      </c>
      <c r="R28" s="27">
        <f t="shared" si="7"/>
        <v>-3.2358915528916331E-12</v>
      </c>
      <c r="S28" s="27">
        <f t="shared" si="8"/>
        <v>-8.8092778797630186E-10</v>
      </c>
      <c r="T28" s="27">
        <f t="shared" si="9"/>
        <v>-3.2304684394184939E-12</v>
      </c>
      <c r="U28" s="27" t="e">
        <f t="shared" si="15"/>
        <v>#NUM!</v>
      </c>
      <c r="V28" s="27">
        <f t="shared" si="16"/>
        <v>5</v>
      </c>
      <c r="X28" s="28">
        <f t="shared" si="10"/>
        <v>-1.2045834088183882E-14</v>
      </c>
      <c r="Y28" s="28">
        <f t="shared" si="11"/>
        <v>-1.2065891818361642E-14</v>
      </c>
      <c r="Z28" s="28">
        <f t="shared" si="12"/>
        <v>-3.3099936189401239E-12</v>
      </c>
      <c r="AA28" s="28">
        <f t="shared" si="17"/>
        <v>-1.2045834088183882E-14</v>
      </c>
      <c r="AB28" s="27" t="e">
        <f t="shared" si="18"/>
        <v>#NUM!</v>
      </c>
      <c r="AC28" s="27" t="e">
        <f t="shared" si="19"/>
        <v>#NUM!</v>
      </c>
    </row>
    <row r="29" spans="1:29" s="27" customFormat="1" x14ac:dyDescent="0.3">
      <c r="A29" s="27">
        <v>25</v>
      </c>
      <c r="B29" s="27">
        <v>360.06999999999903</v>
      </c>
      <c r="C29" s="27">
        <v>10800</v>
      </c>
      <c r="D29" s="27">
        <v>7.553940062626488E-2</v>
      </c>
      <c r="E29" s="27">
        <v>2.5436987203113972</v>
      </c>
      <c r="F29" s="27">
        <v>9.1754350398729324E-4</v>
      </c>
      <c r="G29" s="28">
        <f t="shared" si="13"/>
        <v>2.1582685893218535E-3</v>
      </c>
      <c r="H29" s="28">
        <f t="shared" si="0"/>
        <v>2.1844841180072047E-3</v>
      </c>
      <c r="J29" s="27">
        <f t="shared" si="1"/>
        <v>1.3982647668803281E-12</v>
      </c>
      <c r="K29" s="28">
        <f t="shared" si="2"/>
        <v>1.4006172041628892E-12</v>
      </c>
      <c r="L29" s="28">
        <f t="shared" si="3"/>
        <v>3.8047593616473782E-10</v>
      </c>
      <c r="M29" s="28">
        <f t="shared" si="4"/>
        <v>1.3982647668803281E-12</v>
      </c>
      <c r="N29" s="27">
        <f t="shared" si="5"/>
        <v>15.796041511997117</v>
      </c>
      <c r="O29" s="27">
        <f t="shared" si="14"/>
        <v>-27.295789100291877</v>
      </c>
      <c r="Q29" s="27">
        <f t="shared" si="6"/>
        <v>1.4222677613335112E-12</v>
      </c>
      <c r="R29" s="27">
        <f t="shared" si="7"/>
        <v>1.4246601887210378E-12</v>
      </c>
      <c r="S29" s="27">
        <f t="shared" si="8"/>
        <v>3.8707064958287328E-10</v>
      </c>
      <c r="T29" s="27">
        <f t="shared" si="9"/>
        <v>1.4222677613335112E-12</v>
      </c>
      <c r="U29" s="27">
        <f t="shared" si="15"/>
        <v>-27.278768503164191</v>
      </c>
      <c r="V29" s="27">
        <f t="shared" si="16"/>
        <v>-1.7020597127686443E-2</v>
      </c>
      <c r="X29" s="28">
        <f t="shared" si="10"/>
        <v>2.3181789962616537E-12</v>
      </c>
      <c r="Y29" s="28">
        <f t="shared" si="11"/>
        <v>2.3221032465329119E-12</v>
      </c>
      <c r="Z29" s="28">
        <f t="shared" si="12"/>
        <v>6.2695450393096181E-10</v>
      </c>
      <c r="AA29" s="28">
        <f t="shared" si="17"/>
        <v>2.3181789962616537E-12</v>
      </c>
      <c r="AB29" s="27">
        <f t="shared" si="18"/>
        <v>-26.790239153862174</v>
      </c>
      <c r="AC29" s="27">
        <f t="shared" si="19"/>
        <v>0.50554994642970286</v>
      </c>
    </row>
    <row r="30" spans="1:29" s="27" customFormat="1" x14ac:dyDescent="0.3">
      <c r="A30" s="27">
        <v>26</v>
      </c>
      <c r="B30" s="27">
        <v>200.159999999999</v>
      </c>
      <c r="C30" s="27">
        <v>3600</v>
      </c>
      <c r="D30" s="27">
        <v>7.553940062626488E-2</v>
      </c>
      <c r="E30" s="27">
        <v>0.16730545512176531</v>
      </c>
      <c r="F30" s="27">
        <v>0</v>
      </c>
      <c r="G30" s="28">
        <f t="shared" si="13"/>
        <v>2.1582685893218535E-3</v>
      </c>
      <c r="H30" s="28">
        <f t="shared" si="0"/>
        <v>2.1582685893218535E-3</v>
      </c>
      <c r="J30" s="27">
        <f t="shared" si="1"/>
        <v>0</v>
      </c>
      <c r="K30" s="28">
        <f t="shared" si="2"/>
        <v>0</v>
      </c>
      <c r="L30" s="28">
        <f t="shared" si="3"/>
        <v>0</v>
      </c>
      <c r="M30" s="28">
        <f t="shared" si="4"/>
        <v>0</v>
      </c>
      <c r="N30" s="27">
        <f t="shared" si="5"/>
        <v>21.134499957731045</v>
      </c>
      <c r="O30" s="27" t="e">
        <f t="shared" si="14"/>
        <v>#NUM!</v>
      </c>
      <c r="Q30" s="27">
        <f t="shared" si="6"/>
        <v>-2.7597426881439767E-12</v>
      </c>
      <c r="R30" s="27">
        <f t="shared" si="7"/>
        <v>-2.7644581271104498E-12</v>
      </c>
      <c r="S30" s="27">
        <f t="shared" si="8"/>
        <v>-7.394357033019388E-10</v>
      </c>
      <c r="T30" s="27">
        <f t="shared" si="9"/>
        <v>-2.7597426881439767E-12</v>
      </c>
      <c r="U30" s="27" t="e">
        <f t="shared" si="15"/>
        <v>#NUM!</v>
      </c>
      <c r="V30" s="27">
        <f t="shared" si="16"/>
        <v>5</v>
      </c>
      <c r="X30" s="28">
        <f t="shared" si="10"/>
        <v>0</v>
      </c>
      <c r="Y30" s="28">
        <f t="shared" si="11"/>
        <v>0</v>
      </c>
      <c r="Z30" s="28">
        <f t="shared" si="12"/>
        <v>0</v>
      </c>
      <c r="AA30" s="28">
        <f t="shared" si="17"/>
        <v>0</v>
      </c>
      <c r="AB30" s="27" t="e">
        <f t="shared" si="18"/>
        <v>#NUM!</v>
      </c>
      <c r="AC30" s="27" t="e">
        <f t="shared" si="19"/>
        <v>#NUM!</v>
      </c>
    </row>
    <row r="31" spans="1:29" s="27" customFormat="1" x14ac:dyDescent="0.3">
      <c r="A31" s="27">
        <v>27</v>
      </c>
      <c r="B31" s="27">
        <v>410.08999999999901</v>
      </c>
      <c r="C31" s="27">
        <v>7200</v>
      </c>
      <c r="D31" s="27">
        <v>8.2182046286219113E-2</v>
      </c>
      <c r="E31" s="27">
        <v>2.4418575147390231</v>
      </c>
      <c r="F31" s="27">
        <v>4.6070056105069106E-3</v>
      </c>
      <c r="G31" s="28">
        <f t="shared" si="13"/>
        <v>2.3480584653205461E-3</v>
      </c>
      <c r="H31" s="28">
        <f t="shared" si="0"/>
        <v>2.4796871970493147E-3</v>
      </c>
      <c r="J31" s="27">
        <f t="shared" si="1"/>
        <v>1.0365986186290735E-11</v>
      </c>
      <c r="K31" s="28">
        <f t="shared" si="2"/>
        <v>1.038437719810744E-11</v>
      </c>
      <c r="L31" s="28">
        <f t="shared" si="3"/>
        <v>2.676827849978659E-9</v>
      </c>
      <c r="M31" s="28">
        <f t="shared" si="4"/>
        <v>1.0365986186290735E-11</v>
      </c>
      <c r="N31" s="27">
        <f t="shared" si="5"/>
        <v>14.639359381633481</v>
      </c>
      <c r="O31" s="27">
        <f t="shared" si="14"/>
        <v>-25.292491228759765</v>
      </c>
      <c r="Q31" s="27">
        <f t="shared" si="6"/>
        <v>1.0365986186290735E-11</v>
      </c>
      <c r="R31" s="27">
        <f t="shared" si="7"/>
        <v>1.038437719810744E-11</v>
      </c>
      <c r="S31" s="27">
        <f t="shared" si="8"/>
        <v>2.676827849978659E-9</v>
      </c>
      <c r="T31" s="27">
        <f t="shared" si="9"/>
        <v>1.0365986186290735E-11</v>
      </c>
      <c r="U31" s="27">
        <f t="shared" si="15"/>
        <v>-25.292491228759765</v>
      </c>
      <c r="V31" s="27">
        <f t="shared" si="16"/>
        <v>0</v>
      </c>
      <c r="X31" s="28">
        <f t="shared" si="10"/>
        <v>1.8068100403070208E-11</v>
      </c>
      <c r="Y31" s="28">
        <f t="shared" si="11"/>
        <v>1.8101127954538757E-11</v>
      </c>
      <c r="Z31" s="28">
        <f t="shared" si="12"/>
        <v>4.5336403647375848E-9</v>
      </c>
      <c r="AA31" s="28">
        <f t="shared" si="17"/>
        <v>1.8068100403070208E-11</v>
      </c>
      <c r="AB31" s="27">
        <f t="shared" si="18"/>
        <v>-24.736873141196227</v>
      </c>
      <c r="AC31" s="27">
        <f t="shared" si="19"/>
        <v>0.5556180875635377</v>
      </c>
    </row>
    <row r="32" spans="1:29" s="27" customFormat="1" x14ac:dyDescent="0.3">
      <c r="A32" s="27">
        <v>28</v>
      </c>
      <c r="B32" s="27">
        <v>200.14999999999901</v>
      </c>
      <c r="C32" s="27">
        <v>3600</v>
      </c>
      <c r="D32" s="27">
        <v>8.220136541413807E-2</v>
      </c>
      <c r="E32" s="27">
        <v>0.16728327727303394</v>
      </c>
      <c r="F32" s="27">
        <v>-2.3200120030849821E-5</v>
      </c>
      <c r="G32" s="28">
        <f t="shared" si="13"/>
        <v>2.3486104404039448E-3</v>
      </c>
      <c r="H32" s="28">
        <f t="shared" si="0"/>
        <v>2.3479475798316349E-3</v>
      </c>
      <c r="J32" s="27">
        <f t="shared" si="1"/>
        <v>6.2842621048679561E-14</v>
      </c>
      <c r="K32" s="28">
        <f t="shared" si="2"/>
        <v>6.2958783355578121E-14</v>
      </c>
      <c r="L32" s="28">
        <f t="shared" si="3"/>
        <v>1.5571781299424759E-11</v>
      </c>
      <c r="M32" s="28">
        <f t="shared" si="4"/>
        <v>6.2842621048679561E-14</v>
      </c>
      <c r="N32" s="27">
        <f t="shared" si="5"/>
        <v>21.134946634259794</v>
      </c>
      <c r="O32" s="27">
        <f t="shared" si="14"/>
        <v>-30.398142872515955</v>
      </c>
      <c r="Q32" s="27">
        <f t="shared" si="6"/>
        <v>-1.5341385812510264E-11</v>
      </c>
      <c r="R32" s="27">
        <f t="shared" si="7"/>
        <v>-1.5370542729498463E-11</v>
      </c>
      <c r="S32" s="27">
        <f t="shared" si="8"/>
        <v>-3.6980532482189931E-9</v>
      </c>
      <c r="T32" s="27">
        <f t="shared" si="9"/>
        <v>-1.5341385812510264E-11</v>
      </c>
      <c r="U32" s="27" t="e">
        <f t="shared" si="15"/>
        <v>#NUM!</v>
      </c>
      <c r="V32" s="27">
        <f t="shared" si="16"/>
        <v>5</v>
      </c>
      <c r="X32" s="28">
        <f t="shared" si="10"/>
        <v>-1.2622582972836508E-14</v>
      </c>
      <c r="Y32" s="28">
        <f t="shared" si="11"/>
        <v>-1.2645901023953073E-14</v>
      </c>
      <c r="Z32" s="28">
        <f t="shared" si="12"/>
        <v>-3.1281919466949851E-12</v>
      </c>
      <c r="AA32" s="28">
        <f t="shared" si="17"/>
        <v>-1.2622582972836508E-14</v>
      </c>
      <c r="AB32" s="27" t="e">
        <f t="shared" si="18"/>
        <v>#NUM!</v>
      </c>
      <c r="AC32" s="27" t="e">
        <f t="shared" si="19"/>
        <v>#NUM!</v>
      </c>
    </row>
    <row r="33" spans="1:29" s="27" customFormat="1" x14ac:dyDescent="0.3">
      <c r="A33" s="27">
        <v>29</v>
      </c>
      <c r="B33" s="27">
        <v>420.07999999999902</v>
      </c>
      <c r="C33" s="27">
        <v>7200</v>
      </c>
      <c r="D33" s="27">
        <v>9.2798579563507066E-2</v>
      </c>
      <c r="E33" s="27">
        <v>2.6114848601724971</v>
      </c>
      <c r="F33" s="27">
        <v>6.5760556684563883E-3</v>
      </c>
      <c r="G33" s="28">
        <f t="shared" si="13"/>
        <v>2.6513879875287734E-3</v>
      </c>
      <c r="H33" s="28">
        <f t="shared" si="0"/>
        <v>2.8392752923418127E-3</v>
      </c>
      <c r="J33" s="27">
        <f t="shared" si="1"/>
        <v>1.8348831378241722E-11</v>
      </c>
      <c r="K33" s="28">
        <f t="shared" si="2"/>
        <v>1.838498231279112E-11</v>
      </c>
      <c r="L33" s="28">
        <f t="shared" si="3"/>
        <v>4.271481435029449E-9</v>
      </c>
      <c r="M33" s="28">
        <f t="shared" si="4"/>
        <v>1.8348831378241722E-11</v>
      </c>
      <c r="N33" s="27">
        <f t="shared" si="5"/>
        <v>14.428348819761087</v>
      </c>
      <c r="O33" s="27">
        <f t="shared" si="14"/>
        <v>-24.721455228565393</v>
      </c>
      <c r="Q33" s="27">
        <f t="shared" si="6"/>
        <v>1.8386563980252476E-11</v>
      </c>
      <c r="R33" s="27">
        <f t="shared" si="7"/>
        <v>1.8422784654985766E-11</v>
      </c>
      <c r="S33" s="27">
        <f t="shared" si="8"/>
        <v>4.2808314216533315E-9</v>
      </c>
      <c r="T33" s="27">
        <f t="shared" si="9"/>
        <v>1.8386563980252476E-11</v>
      </c>
      <c r="U33" s="27">
        <f t="shared" si="15"/>
        <v>-24.719400936517509</v>
      </c>
      <c r="V33" s="27">
        <f t="shared" si="16"/>
        <v>-2.0542920478838766E-3</v>
      </c>
      <c r="X33" s="28">
        <f t="shared" si="10"/>
        <v>3.0852490437448391E-11</v>
      </c>
      <c r="Y33" s="28">
        <f t="shared" si="11"/>
        <v>3.0915676849157593E-11</v>
      </c>
      <c r="Z33" s="28">
        <f t="shared" si="12"/>
        <v>6.9227829385087479E-9</v>
      </c>
      <c r="AA33" s="28">
        <f t="shared" si="17"/>
        <v>3.0852490437448391E-11</v>
      </c>
      <c r="AB33" s="27">
        <f t="shared" si="18"/>
        <v>-24.201803641527537</v>
      </c>
      <c r="AC33" s="27">
        <f t="shared" si="19"/>
        <v>0.51965158703785619</v>
      </c>
    </row>
    <row r="34" spans="1:29" s="27" customFormat="1" x14ac:dyDescent="0.3">
      <c r="A34" s="27">
        <v>30</v>
      </c>
      <c r="B34" s="27">
        <v>200.14999999999901</v>
      </c>
      <c r="C34" s="27">
        <v>3600</v>
      </c>
      <c r="D34" s="27">
        <v>9.380777003225943E-2</v>
      </c>
      <c r="E34" s="27">
        <v>0.16728327727303394</v>
      </c>
      <c r="F34" s="27">
        <v>-1.2119253056999753E-3</v>
      </c>
      <c r="G34" s="28">
        <f t="shared" si="13"/>
        <v>2.6802220009216979E-3</v>
      </c>
      <c r="H34" s="28">
        <f t="shared" si="0"/>
        <v>2.6455955636159843E-3</v>
      </c>
      <c r="J34" s="27">
        <f t="shared" si="1"/>
        <v>3.7265619038438272E-12</v>
      </c>
      <c r="K34" s="28">
        <f t="shared" si="2"/>
        <v>3.7343825645277839E-12</v>
      </c>
      <c r="L34" s="28">
        <f t="shared" si="3"/>
        <v>8.1369592308210465E-10</v>
      </c>
      <c r="M34" s="28">
        <f t="shared" si="4"/>
        <v>3.7265619038438272E-12</v>
      </c>
      <c r="N34" s="27">
        <f t="shared" si="5"/>
        <v>21.134946634259794</v>
      </c>
      <c r="O34" s="27">
        <f t="shared" si="14"/>
        <v>-26.31553504893466</v>
      </c>
      <c r="Q34" s="27">
        <f t="shared" si="6"/>
        <v>-2.128075621456952E-11</v>
      </c>
      <c r="R34" s="27">
        <f t="shared" si="7"/>
        <v>-2.1327006508198681E-11</v>
      </c>
      <c r="S34" s="27">
        <f t="shared" si="8"/>
        <v>-4.4889070838776699E-9</v>
      </c>
      <c r="T34" s="27">
        <f t="shared" si="9"/>
        <v>-2.128075621456952E-11</v>
      </c>
      <c r="U34" s="27" t="e">
        <f t="shared" si="15"/>
        <v>#NUM!</v>
      </c>
      <c r="V34" s="27">
        <f t="shared" si="16"/>
        <v>5</v>
      </c>
      <c r="X34" s="28">
        <f t="shared" si="10"/>
        <v>-7.4376173874628537E-13</v>
      </c>
      <c r="Y34" s="28">
        <f t="shared" si="11"/>
        <v>-7.4531242002485291E-13</v>
      </c>
      <c r="Z34" s="28">
        <f t="shared" si="12"/>
        <v>-1.6345937831984796E-10</v>
      </c>
      <c r="AA34" s="28">
        <f t="shared" si="17"/>
        <v>-7.4376173874628537E-13</v>
      </c>
      <c r="AB34" s="27" t="e">
        <f t="shared" si="18"/>
        <v>#NUM!</v>
      </c>
      <c r="AC34" s="27" t="e">
        <f t="shared" si="19"/>
        <v>#NUM!</v>
      </c>
    </row>
    <row r="35" spans="1:29" s="27" customFormat="1" x14ac:dyDescent="0.3">
      <c r="A35" s="27">
        <v>31</v>
      </c>
      <c r="B35" s="27">
        <v>430.07999999999902</v>
      </c>
      <c r="C35" s="27">
        <v>7200</v>
      </c>
      <c r="D35" s="27">
        <v>0.10355248540194843</v>
      </c>
      <c r="E35" s="27">
        <v>2.7883216565321773</v>
      </c>
      <c r="F35" s="27">
        <v>5.4490842484038677E-3</v>
      </c>
      <c r="G35" s="28">
        <f t="shared" si="13"/>
        <v>2.9586424400556695E-3</v>
      </c>
      <c r="H35" s="28">
        <f t="shared" si="0"/>
        <v>3.1143305614386371E-3</v>
      </c>
      <c r="J35" s="27">
        <f t="shared" si="1"/>
        <v>1.9028635355188655E-11</v>
      </c>
      <c r="K35" s="28">
        <f t="shared" si="2"/>
        <v>1.9070910359884297E-11</v>
      </c>
      <c r="L35" s="28">
        <f t="shared" si="3"/>
        <v>3.929117968818777E-9</v>
      </c>
      <c r="M35" s="28">
        <f t="shared" si="4"/>
        <v>1.9028635355188655E-11</v>
      </c>
      <c r="N35" s="27">
        <f t="shared" si="5"/>
        <v>14.223132502702414</v>
      </c>
      <c r="O35" s="27">
        <f t="shared" si="14"/>
        <v>-24.685076147376304</v>
      </c>
      <c r="Q35" s="27">
        <f t="shared" si="6"/>
        <v>2.1263797176483712E-11</v>
      </c>
      <c r="R35" s="27">
        <f t="shared" si="7"/>
        <v>2.1310757852157324E-11</v>
      </c>
      <c r="S35" s="27">
        <f t="shared" si="8"/>
        <v>4.4176956195175027E-9</v>
      </c>
      <c r="T35" s="27">
        <f t="shared" si="9"/>
        <v>2.1263797176483712E-11</v>
      </c>
      <c r="U35" s="27">
        <f t="shared" si="15"/>
        <v>-24.57401515235512</v>
      </c>
      <c r="V35" s="27">
        <f t="shared" si="16"/>
        <v>-0.11106099502118383</v>
      </c>
      <c r="X35" s="28">
        <f t="shared" si="10"/>
        <v>3.0488294603595244E-11</v>
      </c>
      <c r="Y35" s="28">
        <f t="shared" si="11"/>
        <v>3.055797784576489E-11</v>
      </c>
      <c r="Z35" s="28">
        <f t="shared" si="12"/>
        <v>6.1266943199708608E-9</v>
      </c>
      <c r="AA35" s="28">
        <f t="shared" si="17"/>
        <v>3.0488294603595244E-11</v>
      </c>
      <c r="AB35" s="27">
        <f t="shared" si="18"/>
        <v>-24.213678289467595</v>
      </c>
      <c r="AC35" s="27">
        <f t="shared" si="19"/>
        <v>0.47139785790870903</v>
      </c>
    </row>
    <row r="36" spans="1:29" s="27" customFormat="1" x14ac:dyDescent="0.3">
      <c r="A36" s="27">
        <v>32</v>
      </c>
      <c r="B36" s="27">
        <v>200.14</v>
      </c>
      <c r="C36" s="27">
        <v>3600</v>
      </c>
      <c r="D36" s="27">
        <v>0.10366578525394998</v>
      </c>
      <c r="E36" s="27">
        <v>0.16726110150160486</v>
      </c>
      <c r="F36" s="27">
        <v>-1.3605687473691294E-4</v>
      </c>
      <c r="G36" s="28">
        <f t="shared" si="13"/>
        <v>2.9618795786842851E-3</v>
      </c>
      <c r="H36" s="28">
        <f t="shared" ref="H36:H67" si="20">(D36+F36)/$D$81</f>
        <v>2.9579922394060874E-3</v>
      </c>
      <c r="J36" s="27">
        <f t="shared" ref="J36:J67" si="21">((G36^2-G35^2)*PI())/(36*C36)</f>
        <v>4.6458605510901763E-13</v>
      </c>
      <c r="K36" s="28">
        <f t="shared" ref="K36:K67" si="22">(1/(PI()*PI()*C36))*(-(G36-G35)*PI()*PI()/3-2*PI()*(SQRT(1-PI()/3*G36)-SQRT(1-PI()/3*G35)))</f>
        <v>4.6566900817131711E-13</v>
      </c>
      <c r="L36" s="28">
        <f t="shared" ref="L36:L67" si="23">(1/(PI()^2*C36))*LN((1-G35)/(1-G36))</f>
        <v>9.1379038433584372E-11</v>
      </c>
      <c r="M36" s="28">
        <f t="shared" ref="M36:M67" si="24">(G36&lt;0.05)*J36+((G36&gt;=0.05)*(G36&lt;0.9))*K36+(G36&gt;=0.9)*L36</f>
        <v>4.6458605510901763E-13</v>
      </c>
      <c r="N36" s="27">
        <f t="shared" ref="N36:N67" si="25">10000/(273+B36)</f>
        <v>21.135393329669867</v>
      </c>
      <c r="O36" s="27">
        <f t="shared" si="14"/>
        <v>-28.397629589856905</v>
      </c>
      <c r="Q36" s="27">
        <f t="shared" ref="Q36:Q67" si="26">((G36^2-H35^2)*PI())/(36*C36)</f>
        <v>-2.2454732441704158E-11</v>
      </c>
      <c r="R36" s="27">
        <f t="shared" ref="R36:R67" si="27">(1/(PI()*PI()*C36))*(-(G36-H35)*PI()*PI()/3-2*PI()*(SQRT(1-PI()/3*G36)-SQRT(1-PI()/3*H35)))</f>
        <v>-2.2508465963587346E-11</v>
      </c>
      <c r="S36" s="27">
        <f t="shared" ref="S36:S67" si="28">(1/(PI()^2*C36))*LN((1-H35)/(1-G36))</f>
        <v>-4.3037736638671906E-9</v>
      </c>
      <c r="T36" s="27">
        <f t="shared" ref="T36:T67" si="29">(G36&lt;0.05)*Q36+((G36&gt;=0.05)*(G36&lt;0.9))*R36+(G36&gt;=0.9)*S36</f>
        <v>-2.2454732441704158E-11</v>
      </c>
      <c r="U36" s="27" t="e">
        <f t="shared" si="15"/>
        <v>#NUM!</v>
      </c>
      <c r="V36" s="27">
        <f t="shared" si="16"/>
        <v>5</v>
      </c>
      <c r="X36" s="28">
        <f t="shared" ref="X36:X67" si="30">((H36^2-G35^2)*PI())/(36*C36)</f>
        <v>-9.3253904578264677E-14</v>
      </c>
      <c r="Y36" s="28">
        <f t="shared" ref="Y36:Y67" si="31">(1/(PI()*PI()*C36))*(-(H36-G35)*PI()*PI()/3-2*PI()*(SQRT(1-PI()/3*H36)-SQRT(1-PI()/3*G35)))</f>
        <v>-9.3471140080900211E-14</v>
      </c>
      <c r="Z36" s="28">
        <f t="shared" ref="Z36:Z67" si="32">(1/(PI()^2*C36))*LN((1-G35)/(1-H36))</f>
        <v>-1.8354046932799866E-11</v>
      </c>
      <c r="AA36" s="28">
        <f t="shared" si="17"/>
        <v>-9.3253904578264677E-14</v>
      </c>
      <c r="AB36" s="27" t="e">
        <f t="shared" si="18"/>
        <v>#NUM!</v>
      </c>
      <c r="AC36" s="27" t="e">
        <f t="shared" si="19"/>
        <v>#NUM!</v>
      </c>
    </row>
    <row r="37" spans="1:29" s="27" customFormat="1" x14ac:dyDescent="0.3">
      <c r="A37" s="27">
        <v>33</v>
      </c>
      <c r="B37" s="27">
        <v>440.06999999999903</v>
      </c>
      <c r="C37" s="27">
        <v>7200</v>
      </c>
      <c r="D37" s="27">
        <v>0.11553595536927408</v>
      </c>
      <c r="E37" s="27">
        <v>2.9720722553786061</v>
      </c>
      <c r="F37" s="27">
        <v>6.0191354971652492E-3</v>
      </c>
      <c r="G37" s="28">
        <f t="shared" si="13"/>
        <v>3.3010272962649737E-3</v>
      </c>
      <c r="H37" s="28">
        <f t="shared" si="20"/>
        <v>3.4730025961839809E-3</v>
      </c>
      <c r="J37" s="27">
        <f t="shared" si="21"/>
        <v>2.5744219417573875E-11</v>
      </c>
      <c r="K37" s="28">
        <f t="shared" si="22"/>
        <v>2.5807771645854701E-11</v>
      </c>
      <c r="L37" s="28">
        <f t="shared" si="23"/>
        <v>4.7876100259720007E-9</v>
      </c>
      <c r="M37" s="28">
        <f t="shared" si="24"/>
        <v>2.5744219417573875E-11</v>
      </c>
      <c r="N37" s="27">
        <f t="shared" si="25"/>
        <v>14.023868624398746</v>
      </c>
      <c r="O37" s="27">
        <f t="shared" si="14"/>
        <v>-24.382811002658055</v>
      </c>
      <c r="Q37" s="27">
        <f t="shared" si="26"/>
        <v>2.6023139397417514E-11</v>
      </c>
      <c r="R37" s="27">
        <f t="shared" si="27"/>
        <v>2.6087341719982836E-11</v>
      </c>
      <c r="S37" s="27">
        <f t="shared" si="28"/>
        <v>4.8424765686570283E-9</v>
      </c>
      <c r="T37" s="27">
        <f t="shared" si="29"/>
        <v>2.6023139397417514E-11</v>
      </c>
      <c r="U37" s="27">
        <f t="shared" si="15"/>
        <v>-24.372034996877876</v>
      </c>
      <c r="V37" s="27">
        <f t="shared" si="16"/>
        <v>-1.0776005780179787E-2</v>
      </c>
      <c r="X37" s="28">
        <f t="shared" si="30"/>
        <v>3.9864003635859872E-11</v>
      </c>
      <c r="Y37" s="28">
        <f t="shared" si="31"/>
        <v>3.9965236191834385E-11</v>
      </c>
      <c r="Z37" s="28">
        <f t="shared" si="32"/>
        <v>7.2159377232148924E-9</v>
      </c>
      <c r="AA37" s="28">
        <f t="shared" si="17"/>
        <v>3.9864003635859872E-11</v>
      </c>
      <c r="AB37" s="27">
        <f t="shared" si="18"/>
        <v>-23.94554736374285</v>
      </c>
      <c r="AC37" s="27">
        <f t="shared" si="19"/>
        <v>0.43726363891520492</v>
      </c>
    </row>
    <row r="38" spans="1:29" s="27" customFormat="1" x14ac:dyDescent="0.3">
      <c r="A38" s="27">
        <v>34</v>
      </c>
      <c r="B38" s="27">
        <v>200.14</v>
      </c>
      <c r="C38" s="27">
        <v>3600</v>
      </c>
      <c r="D38" s="27">
        <v>0.11629090085755403</v>
      </c>
      <c r="E38" s="27">
        <v>0.16726110150160486</v>
      </c>
      <c r="F38" s="27">
        <v>-9.0658127012114339E-4</v>
      </c>
      <c r="G38" s="28">
        <f t="shared" si="13"/>
        <v>3.3225971673586864E-3</v>
      </c>
      <c r="H38" s="28">
        <f t="shared" si="20"/>
        <v>3.2966948453552257E-3</v>
      </c>
      <c r="J38" s="27">
        <f t="shared" si="21"/>
        <v>3.4632841261919395E-12</v>
      </c>
      <c r="K38" s="28">
        <f t="shared" si="22"/>
        <v>3.4723185913201126E-12</v>
      </c>
      <c r="L38" s="28">
        <f t="shared" si="23"/>
        <v>6.090963433598167E-10</v>
      </c>
      <c r="M38" s="28">
        <f t="shared" si="24"/>
        <v>3.4632841261919395E-12</v>
      </c>
      <c r="N38" s="27">
        <f t="shared" si="25"/>
        <v>21.135393329669867</v>
      </c>
      <c r="O38" s="27">
        <f t="shared" si="14"/>
        <v>-26.388803807615734</v>
      </c>
      <c r="Q38" s="27">
        <f t="shared" si="26"/>
        <v>-2.4776284310380065E-11</v>
      </c>
      <c r="R38" s="27">
        <f t="shared" si="27"/>
        <v>-2.4842610500638105E-11</v>
      </c>
      <c r="S38" s="27">
        <f t="shared" si="28"/>
        <v>-4.2475590511232396E-9</v>
      </c>
      <c r="T38" s="27">
        <f t="shared" si="29"/>
        <v>-2.4776284310380065E-11</v>
      </c>
      <c r="U38" s="27" t="e">
        <f t="shared" si="15"/>
        <v>#NUM!</v>
      </c>
      <c r="V38" s="27">
        <f t="shared" si="16"/>
        <v>5</v>
      </c>
      <c r="X38" s="28">
        <f t="shared" si="30"/>
        <v>-6.9290316207613235E-13</v>
      </c>
      <c r="Y38" s="28">
        <f t="shared" si="31"/>
        <v>-6.9470359172485942E-13</v>
      </c>
      <c r="Z38" s="28">
        <f t="shared" si="32"/>
        <v>-1.2233942918541102E-10</v>
      </c>
      <c r="AA38" s="28">
        <f t="shared" si="17"/>
        <v>-6.9290316207613235E-13</v>
      </c>
      <c r="AB38" s="27" t="e">
        <f t="shared" si="18"/>
        <v>#NUM!</v>
      </c>
      <c r="AC38" s="27" t="e">
        <f t="shared" si="19"/>
        <v>#NUM!</v>
      </c>
    </row>
    <row r="39" spans="1:29" s="27" customFormat="1" x14ac:dyDescent="0.3">
      <c r="A39" s="27">
        <v>35</v>
      </c>
      <c r="B39" s="27">
        <v>450.05999999999898</v>
      </c>
      <c r="C39" s="27">
        <v>7200</v>
      </c>
      <c r="D39" s="27">
        <v>0.13293820301400103</v>
      </c>
      <c r="E39" s="27">
        <v>3.1629625080321868</v>
      </c>
      <c r="F39" s="27">
        <v>7.6965283007111992E-3</v>
      </c>
      <c r="G39" s="28">
        <f t="shared" si="13"/>
        <v>3.7982343718286006E-3</v>
      </c>
      <c r="H39" s="28">
        <f t="shared" si="20"/>
        <v>4.0181351804203487E-3</v>
      </c>
      <c r="J39" s="27">
        <f t="shared" si="21"/>
        <v>4.1050779195250077E-11</v>
      </c>
      <c r="K39" s="28">
        <f t="shared" si="22"/>
        <v>4.1166101454345156E-11</v>
      </c>
      <c r="L39" s="28">
        <f t="shared" si="23"/>
        <v>6.7172670212461181E-9</v>
      </c>
      <c r="M39" s="28">
        <f t="shared" si="24"/>
        <v>4.1050779195250077E-11</v>
      </c>
      <c r="N39" s="27">
        <f t="shared" si="25"/>
        <v>13.830110917489577</v>
      </c>
      <c r="O39" s="27">
        <f t="shared" si="14"/>
        <v>-23.916211298596373</v>
      </c>
      <c r="Q39" s="27">
        <f t="shared" si="26"/>
        <v>4.3128872839384117E-11</v>
      </c>
      <c r="R39" s="27">
        <f t="shared" si="27"/>
        <v>4.3249612545868999E-11</v>
      </c>
      <c r="S39" s="27">
        <f t="shared" si="28"/>
        <v>7.0829849075193139E-9</v>
      </c>
      <c r="T39" s="27">
        <f t="shared" si="29"/>
        <v>4.3128872839384117E-11</v>
      </c>
      <c r="U39" s="27">
        <f t="shared" si="15"/>
        <v>-23.866828439638024</v>
      </c>
      <c r="V39" s="27">
        <f t="shared" si="16"/>
        <v>-4.9382858958349374E-2</v>
      </c>
      <c r="X39" s="28">
        <f t="shared" si="30"/>
        <v>6.1883538017086899E-11</v>
      </c>
      <c r="Y39" s="28">
        <f t="shared" si="31"/>
        <v>6.2063041946594249E-11</v>
      </c>
      <c r="Z39" s="28">
        <f t="shared" si="32"/>
        <v>9.8239376726515767E-9</v>
      </c>
      <c r="AA39" s="28">
        <f t="shared" si="17"/>
        <v>6.1883538017086899E-11</v>
      </c>
      <c r="AB39" s="27">
        <f t="shared" si="18"/>
        <v>-23.505766916404244</v>
      </c>
      <c r="AC39" s="27">
        <f t="shared" si="19"/>
        <v>0.41044438219212864</v>
      </c>
    </row>
    <row r="40" spans="1:29" s="27" customFormat="1" x14ac:dyDescent="0.3">
      <c r="A40" s="27">
        <v>36</v>
      </c>
      <c r="B40" s="27">
        <v>200.13</v>
      </c>
      <c r="C40" s="27">
        <v>3600</v>
      </c>
      <c r="D40" s="27">
        <v>0.13299915612580004</v>
      </c>
      <c r="E40" s="27">
        <v>0.16723892780737407</v>
      </c>
      <c r="F40" s="27">
        <v>-7.3193997455385664E-5</v>
      </c>
      <c r="G40" s="28">
        <f t="shared" si="13"/>
        <v>3.7999758893085727E-3</v>
      </c>
      <c r="H40" s="28">
        <f t="shared" si="20"/>
        <v>3.7978846322384184E-3</v>
      </c>
      <c r="J40" s="27">
        <f t="shared" si="21"/>
        <v>3.2076281521390426E-13</v>
      </c>
      <c r="K40" s="28">
        <f t="shared" si="22"/>
        <v>3.2172309093376433E-13</v>
      </c>
      <c r="L40" s="28">
        <f t="shared" si="23"/>
        <v>4.9201536365772575E-11</v>
      </c>
      <c r="M40" s="28">
        <f t="shared" si="24"/>
        <v>3.2076281521390426E-13</v>
      </c>
      <c r="N40" s="27">
        <f t="shared" si="25"/>
        <v>21.135840043962549</v>
      </c>
      <c r="O40" s="27">
        <f t="shared" si="14"/>
        <v>-28.768074438311579</v>
      </c>
      <c r="Q40" s="27">
        <f t="shared" si="26"/>
        <v>-4.1344754828459719E-11</v>
      </c>
      <c r="R40" s="27">
        <f t="shared" si="27"/>
        <v>-4.1472157893575374E-11</v>
      </c>
      <c r="S40" s="27">
        <f t="shared" si="28"/>
        <v>-6.1641397664421384E-9</v>
      </c>
      <c r="T40" s="27">
        <f t="shared" si="29"/>
        <v>-4.1344754828459719E-11</v>
      </c>
      <c r="U40" s="27" t="e">
        <f t="shared" si="15"/>
        <v>#NUM!</v>
      </c>
      <c r="V40" s="27">
        <f t="shared" si="16"/>
        <v>5</v>
      </c>
      <c r="X40" s="28">
        <f t="shared" si="30"/>
        <v>-6.4399341695625253E-14</v>
      </c>
      <c r="Y40" s="28">
        <f t="shared" si="31"/>
        <v>-6.4592088650944803E-14</v>
      </c>
      <c r="Z40" s="28">
        <f t="shared" si="32"/>
        <v>-9.8808695864833618E-12</v>
      </c>
      <c r="AA40" s="28">
        <f t="shared" si="17"/>
        <v>-6.4399341695625253E-14</v>
      </c>
      <c r="AB40" s="27" t="e">
        <f t="shared" si="18"/>
        <v>#NUM!</v>
      </c>
      <c r="AC40" s="27" t="e">
        <f t="shared" si="19"/>
        <v>#NUM!</v>
      </c>
    </row>
    <row r="41" spans="1:29" s="27" customFormat="1" x14ac:dyDescent="0.3">
      <c r="A41" s="27">
        <v>37</v>
      </c>
      <c r="B41" s="27">
        <v>445.04999999999899</v>
      </c>
      <c r="C41" s="27">
        <v>7200</v>
      </c>
      <c r="D41" s="27">
        <v>0.14048785423970128</v>
      </c>
      <c r="E41" s="27">
        <v>3.066335237390569</v>
      </c>
      <c r="F41" s="27">
        <v>3.6241448039952052E-3</v>
      </c>
      <c r="G41" s="28">
        <f t="shared" si="13"/>
        <v>4.0139386925628941E-3</v>
      </c>
      <c r="H41" s="28">
        <f t="shared" si="20"/>
        <v>4.1174856869627564E-3</v>
      </c>
      <c r="J41" s="27">
        <f t="shared" si="21"/>
        <v>2.0263843099876548E-11</v>
      </c>
      <c r="K41" s="28">
        <f t="shared" si="22"/>
        <v>2.0326251506059738E-11</v>
      </c>
      <c r="L41" s="28">
        <f t="shared" si="23"/>
        <v>3.0227771618982938E-9</v>
      </c>
      <c r="M41" s="28">
        <f t="shared" si="24"/>
        <v>2.0263843099876548E-11</v>
      </c>
      <c r="N41" s="27">
        <f t="shared" si="25"/>
        <v>13.926606782257522</v>
      </c>
      <c r="O41" s="27">
        <f t="shared" si="14"/>
        <v>-24.622182946060345</v>
      </c>
      <c r="Q41" s="27">
        <f t="shared" si="26"/>
        <v>2.0456424178331313E-11</v>
      </c>
      <c r="R41" s="27">
        <f t="shared" si="27"/>
        <v>2.051940909585225E-11</v>
      </c>
      <c r="S41" s="27">
        <f t="shared" si="28"/>
        <v>3.0523183648754242E-9</v>
      </c>
      <c r="T41" s="27">
        <f t="shared" si="29"/>
        <v>2.0456424178331313E-11</v>
      </c>
      <c r="U41" s="27">
        <f t="shared" si="15"/>
        <v>-24.612724142021914</v>
      </c>
      <c r="V41" s="27">
        <f t="shared" si="16"/>
        <v>-9.4588040384309124E-3</v>
      </c>
      <c r="X41" s="28">
        <f t="shared" si="30"/>
        <v>3.0468983884788056E-11</v>
      </c>
      <c r="Y41" s="28">
        <f t="shared" si="31"/>
        <v>3.056409721671654E-11</v>
      </c>
      <c r="Z41" s="28">
        <f t="shared" si="32"/>
        <v>4.4858790526253868E-9</v>
      </c>
      <c r="AA41" s="28">
        <f t="shared" si="17"/>
        <v>3.0468983884788056E-11</v>
      </c>
      <c r="AB41" s="27">
        <f t="shared" si="18"/>
        <v>-24.214311871541206</v>
      </c>
      <c r="AC41" s="27">
        <f t="shared" si="19"/>
        <v>0.4078710745191394</v>
      </c>
    </row>
    <row r="42" spans="1:29" s="27" customFormat="1" x14ac:dyDescent="0.3">
      <c r="A42" s="27">
        <v>38</v>
      </c>
      <c r="B42" s="27">
        <v>200.13</v>
      </c>
      <c r="C42" s="27">
        <v>3600</v>
      </c>
      <c r="D42" s="27">
        <v>0.14063091897309851</v>
      </c>
      <c r="E42" s="27">
        <v>0.16723892780737407</v>
      </c>
      <c r="F42" s="27">
        <v>-1.7179565444930245E-4</v>
      </c>
      <c r="G42" s="28">
        <f t="shared" si="13"/>
        <v>4.0180262563742431E-3</v>
      </c>
      <c r="H42" s="28">
        <f t="shared" si="20"/>
        <v>4.0131178091042628E-3</v>
      </c>
      <c r="J42" s="27">
        <f t="shared" si="21"/>
        <v>7.9585000118656038E-13</v>
      </c>
      <c r="K42" s="28">
        <f t="shared" si="22"/>
        <v>7.9836905935985945E-13</v>
      </c>
      <c r="L42" s="28">
        <f t="shared" si="23"/>
        <v>1.1550743237011226E-10</v>
      </c>
      <c r="M42" s="28">
        <f t="shared" si="24"/>
        <v>7.9585000118656038E-13</v>
      </c>
      <c r="N42" s="27">
        <f t="shared" si="25"/>
        <v>21.135840043962549</v>
      </c>
      <c r="O42" s="27">
        <f t="shared" si="14"/>
        <v>-27.859365667543887</v>
      </c>
      <c r="Q42" s="27">
        <f t="shared" si="26"/>
        <v>-1.9614431568636455E-11</v>
      </c>
      <c r="R42" s="27">
        <f t="shared" si="27"/>
        <v>-1.9677322361954799E-11</v>
      </c>
      <c r="S42" s="27">
        <f t="shared" si="28"/>
        <v>-2.8106963490791845E-9</v>
      </c>
      <c r="T42" s="27">
        <f t="shared" si="29"/>
        <v>-1.9614431568636455E-11</v>
      </c>
      <c r="U42" s="27" t="e">
        <f t="shared" si="15"/>
        <v>#NUM!</v>
      </c>
      <c r="V42" s="27">
        <f t="shared" si="16"/>
        <v>5</v>
      </c>
      <c r="X42" s="28">
        <f t="shared" si="30"/>
        <v>-1.597286038177654E-13</v>
      </c>
      <c r="Y42" s="28">
        <f t="shared" si="31"/>
        <v>-1.6023387023944563E-13</v>
      </c>
      <c r="Z42" s="28">
        <f t="shared" si="32"/>
        <v>-2.3196679324506321E-11</v>
      </c>
      <c r="AA42" s="28">
        <f t="shared" si="17"/>
        <v>-1.597286038177654E-13</v>
      </c>
      <c r="AB42" s="27" t="e">
        <f t="shared" si="18"/>
        <v>#NUM!</v>
      </c>
      <c r="AC42" s="27" t="e">
        <f t="shared" si="19"/>
        <v>#NUM!</v>
      </c>
    </row>
    <row r="43" spans="1:29" s="27" customFormat="1" x14ac:dyDescent="0.3">
      <c r="A43" s="27">
        <v>39</v>
      </c>
      <c r="B43" s="27">
        <v>440.05999999999898</v>
      </c>
      <c r="C43" s="27">
        <v>7200</v>
      </c>
      <c r="D43" s="27">
        <v>0.14488018090461746</v>
      </c>
      <c r="E43" s="27">
        <v>2.9718847593438271</v>
      </c>
      <c r="F43" s="27">
        <v>2.1549240701738337E-3</v>
      </c>
      <c r="G43" s="28">
        <f t="shared" si="13"/>
        <v>4.1394337401319276E-3</v>
      </c>
      <c r="H43" s="28">
        <f t="shared" si="20"/>
        <v>4.2010029992797515E-3</v>
      </c>
      <c r="J43" s="27">
        <f t="shared" si="21"/>
        <v>1.2003704243701129E-11</v>
      </c>
      <c r="K43" s="28">
        <f t="shared" si="22"/>
        <v>1.2042297488495893E-11</v>
      </c>
      <c r="L43" s="28">
        <f t="shared" si="23"/>
        <v>1.715490072571703E-9</v>
      </c>
      <c r="M43" s="28">
        <f t="shared" si="24"/>
        <v>1.2003704243701129E-11</v>
      </c>
      <c r="N43" s="27">
        <f t="shared" si="25"/>
        <v>14.024065296048038</v>
      </c>
      <c r="O43" s="27">
        <f t="shared" si="14"/>
        <v>-25.145805826799474</v>
      </c>
      <c r="Q43" s="27">
        <f t="shared" si="26"/>
        <v>1.2481493546203291E-11</v>
      </c>
      <c r="R43" s="27">
        <f t="shared" si="27"/>
        <v>1.2521598953294865E-11</v>
      </c>
      <c r="S43" s="27">
        <f t="shared" si="28"/>
        <v>1.7848421284187464E-9</v>
      </c>
      <c r="T43" s="27">
        <f t="shared" si="29"/>
        <v>1.2481493546203291E-11</v>
      </c>
      <c r="U43" s="27">
        <f t="shared" si="15"/>
        <v>-25.106774084971224</v>
      </c>
      <c r="V43" s="27">
        <f t="shared" si="16"/>
        <v>-3.9031741828249977E-2</v>
      </c>
      <c r="X43" s="28">
        <f t="shared" si="30"/>
        <v>1.8227675753408167E-11</v>
      </c>
      <c r="Y43" s="28">
        <f t="shared" si="31"/>
        <v>1.8286729096510834E-11</v>
      </c>
      <c r="Z43" s="28">
        <f t="shared" si="32"/>
        <v>2.5855448095426802E-9</v>
      </c>
      <c r="AA43" s="28">
        <f t="shared" si="17"/>
        <v>1.8227675753408167E-11</v>
      </c>
      <c r="AB43" s="27">
        <f t="shared" si="18"/>
        <v>-24.728080031065193</v>
      </c>
      <c r="AC43" s="27">
        <f t="shared" si="19"/>
        <v>0.41772579573428104</v>
      </c>
    </row>
    <row r="44" spans="1:29" s="27" customFormat="1" x14ac:dyDescent="0.3">
      <c r="A44" s="27">
        <v>40</v>
      </c>
      <c r="B44" s="27">
        <v>200.14</v>
      </c>
      <c r="C44" s="27">
        <v>3600</v>
      </c>
      <c r="D44" s="27">
        <v>0.14488018090461746</v>
      </c>
      <c r="E44" s="27">
        <v>0.16726110150160486</v>
      </c>
      <c r="F44" s="27">
        <v>0</v>
      </c>
      <c r="G44" s="28">
        <f t="shared" si="13"/>
        <v>4.1394337401319276E-3</v>
      </c>
      <c r="H44" s="28">
        <f t="shared" si="20"/>
        <v>4.1394337401319276E-3</v>
      </c>
      <c r="J44" s="27">
        <f t="shared" si="21"/>
        <v>0</v>
      </c>
      <c r="K44" s="28">
        <f t="shared" si="22"/>
        <v>0</v>
      </c>
      <c r="L44" s="28">
        <f t="shared" si="23"/>
        <v>0</v>
      </c>
      <c r="M44" s="28">
        <f t="shared" si="24"/>
        <v>0</v>
      </c>
      <c r="N44" s="27">
        <f t="shared" si="25"/>
        <v>21.135393329669867</v>
      </c>
      <c r="O44" s="27" t="e">
        <f t="shared" si="14"/>
        <v>#NUM!</v>
      </c>
      <c r="Q44" s="27">
        <f t="shared" si="26"/>
        <v>-1.2447943019414077E-11</v>
      </c>
      <c r="R44" s="27">
        <f t="shared" si="27"/>
        <v>-1.248886321602988E-11</v>
      </c>
      <c r="S44" s="27">
        <f t="shared" si="28"/>
        <v>-1.7401094739437536E-9</v>
      </c>
      <c r="T44" s="27">
        <f t="shared" si="29"/>
        <v>-1.2447943019414077E-11</v>
      </c>
      <c r="U44" s="27" t="e">
        <f t="shared" si="15"/>
        <v>#NUM!</v>
      </c>
      <c r="V44" s="27">
        <f t="shared" si="16"/>
        <v>5</v>
      </c>
      <c r="X44" s="28">
        <f t="shared" si="30"/>
        <v>0</v>
      </c>
      <c r="Y44" s="28">
        <f t="shared" si="31"/>
        <v>0</v>
      </c>
      <c r="Z44" s="28">
        <f t="shared" si="32"/>
        <v>0</v>
      </c>
      <c r="AA44" s="28">
        <f t="shared" si="17"/>
        <v>0</v>
      </c>
      <c r="AB44" s="27" t="e">
        <f t="shared" si="18"/>
        <v>#NUM!</v>
      </c>
      <c r="AC44" s="27" t="e">
        <f t="shared" si="19"/>
        <v>#NUM!</v>
      </c>
    </row>
    <row r="45" spans="1:29" s="27" customFormat="1" x14ac:dyDescent="0.3">
      <c r="A45" s="27">
        <v>41</v>
      </c>
      <c r="B45" s="27">
        <v>435.04999999999899</v>
      </c>
      <c r="C45" s="27">
        <v>7800</v>
      </c>
      <c r="D45" s="27">
        <v>0.14899317977245993</v>
      </c>
      <c r="E45" s="27">
        <v>3.1187518367993534</v>
      </c>
      <c r="F45" s="27">
        <v>1.9412367207929705E-3</v>
      </c>
      <c r="G45" s="28">
        <f t="shared" si="13"/>
        <v>4.2569479934988549E-3</v>
      </c>
      <c r="H45" s="28">
        <f t="shared" si="20"/>
        <v>4.3124118998072256E-3</v>
      </c>
      <c r="J45" s="27">
        <f t="shared" si="21"/>
        <v>1.1039146325062149E-11</v>
      </c>
      <c r="K45" s="28">
        <f t="shared" si="22"/>
        <v>1.1075681427776223E-11</v>
      </c>
      <c r="L45" s="28">
        <f t="shared" si="23"/>
        <v>1.5329334008221557E-9</v>
      </c>
      <c r="M45" s="28">
        <f t="shared" si="24"/>
        <v>1.1039146325062149E-11</v>
      </c>
      <c r="N45" s="27">
        <f t="shared" si="25"/>
        <v>14.123296377374498</v>
      </c>
      <c r="O45" s="27">
        <f t="shared" si="14"/>
        <v>-25.22957340369781</v>
      </c>
      <c r="Q45" s="27">
        <f t="shared" si="26"/>
        <v>1.1039146325062149E-11</v>
      </c>
      <c r="R45" s="27">
        <f t="shared" si="27"/>
        <v>1.1075681427776223E-11</v>
      </c>
      <c r="S45" s="27">
        <f t="shared" si="28"/>
        <v>1.5329334008221557E-9</v>
      </c>
      <c r="T45" s="27">
        <f t="shared" si="29"/>
        <v>1.1039146325062149E-11</v>
      </c>
      <c r="U45" s="27">
        <f t="shared" si="15"/>
        <v>-25.22957340369781</v>
      </c>
      <c r="V45" s="27">
        <f t="shared" si="16"/>
        <v>0</v>
      </c>
      <c r="X45" s="28">
        <f t="shared" si="30"/>
        <v>1.6356696609006696E-11</v>
      </c>
      <c r="Y45" s="28">
        <f t="shared" si="31"/>
        <v>1.6411193654928711E-11</v>
      </c>
      <c r="Z45" s="28">
        <f t="shared" si="32"/>
        <v>2.256504007503131E-9</v>
      </c>
      <c r="AA45" s="28">
        <f t="shared" si="17"/>
        <v>1.6356696609006696E-11</v>
      </c>
      <c r="AB45" s="27">
        <f t="shared" si="18"/>
        <v>-24.836383723907158</v>
      </c>
      <c r="AC45" s="27">
        <f t="shared" si="19"/>
        <v>0.39318967979065178</v>
      </c>
    </row>
    <row r="46" spans="1:29" s="27" customFormat="1" x14ac:dyDescent="0.3">
      <c r="A46" s="27">
        <v>42</v>
      </c>
      <c r="B46" s="27">
        <v>200.22</v>
      </c>
      <c r="C46" s="27">
        <v>3600</v>
      </c>
      <c r="D46" s="27">
        <v>0.14899317977245993</v>
      </c>
      <c r="E46" s="27">
        <v>0.16743856584304637</v>
      </c>
      <c r="F46" s="27">
        <v>0</v>
      </c>
      <c r="G46" s="28">
        <f t="shared" si="13"/>
        <v>4.2569479934988549E-3</v>
      </c>
      <c r="H46" s="28">
        <f t="shared" si="20"/>
        <v>4.2569479934988549E-3</v>
      </c>
      <c r="J46" s="27">
        <f t="shared" si="21"/>
        <v>0</v>
      </c>
      <c r="K46" s="28">
        <f t="shared" si="22"/>
        <v>0</v>
      </c>
      <c r="L46" s="28">
        <f t="shared" si="23"/>
        <v>0</v>
      </c>
      <c r="M46" s="28">
        <f t="shared" si="24"/>
        <v>0</v>
      </c>
      <c r="N46" s="27">
        <f t="shared" si="25"/>
        <v>21.13182029500021</v>
      </c>
      <c r="O46" s="27" t="e">
        <f t="shared" si="14"/>
        <v>#NUM!</v>
      </c>
      <c r="Q46" s="27">
        <f t="shared" si="26"/>
        <v>-1.1521358948546518E-11</v>
      </c>
      <c r="R46" s="27">
        <f t="shared" si="27"/>
        <v>-1.1560276492162963E-11</v>
      </c>
      <c r="S46" s="27">
        <f t="shared" si="28"/>
        <v>-1.5677363144722644E-9</v>
      </c>
      <c r="T46" s="27">
        <f t="shared" si="29"/>
        <v>-1.1521358948546518E-11</v>
      </c>
      <c r="U46" s="27" t="e">
        <f t="shared" si="15"/>
        <v>#NUM!</v>
      </c>
      <c r="V46" s="27">
        <f t="shared" si="16"/>
        <v>5</v>
      </c>
      <c r="X46" s="28">
        <f t="shared" si="30"/>
        <v>0</v>
      </c>
      <c r="Y46" s="28">
        <f t="shared" si="31"/>
        <v>0</v>
      </c>
      <c r="Z46" s="28">
        <f t="shared" si="32"/>
        <v>0</v>
      </c>
      <c r="AA46" s="28">
        <f t="shared" si="17"/>
        <v>0</v>
      </c>
      <c r="AB46" s="27" t="e">
        <f t="shared" si="18"/>
        <v>#NUM!</v>
      </c>
      <c r="AC46" s="27" t="e">
        <f t="shared" si="19"/>
        <v>#NUM!</v>
      </c>
    </row>
    <row r="47" spans="1:29" s="27" customFormat="1" x14ac:dyDescent="0.3">
      <c r="A47" s="27">
        <v>43</v>
      </c>
      <c r="B47" s="27">
        <v>430.04999999999899</v>
      </c>
      <c r="C47" s="27">
        <v>8400</v>
      </c>
      <c r="D47" s="27">
        <v>0.15172063541958036</v>
      </c>
      <c r="E47" s="27">
        <v>3.2524106461428666</v>
      </c>
      <c r="F47" s="27">
        <v>1.2109051481314309E-3</v>
      </c>
      <c r="G47" s="28">
        <f t="shared" si="13"/>
        <v>4.3348752977022962E-3</v>
      </c>
      <c r="H47" s="28">
        <f t="shared" si="20"/>
        <v>4.3694725876489088E-3</v>
      </c>
      <c r="J47" s="27">
        <f t="shared" si="21"/>
        <v>6.9557357511610716E-12</v>
      </c>
      <c r="K47" s="28">
        <f t="shared" si="22"/>
        <v>6.9792933928280902E-12</v>
      </c>
      <c r="L47" s="28">
        <f t="shared" si="23"/>
        <v>9.4401812129597128E-10</v>
      </c>
      <c r="M47" s="28">
        <f t="shared" si="24"/>
        <v>6.9557357511610716E-12</v>
      </c>
      <c r="N47" s="27">
        <f t="shared" si="25"/>
        <v>14.223739421093825</v>
      </c>
      <c r="O47" s="27">
        <f t="shared" si="14"/>
        <v>-25.691454508777841</v>
      </c>
      <c r="Q47" s="27">
        <f t="shared" si="26"/>
        <v>6.9557357511610716E-12</v>
      </c>
      <c r="R47" s="27">
        <f t="shared" si="27"/>
        <v>6.9792933928280902E-12</v>
      </c>
      <c r="S47" s="27">
        <f t="shared" si="28"/>
        <v>9.4401812129597128E-10</v>
      </c>
      <c r="T47" s="27">
        <f t="shared" si="29"/>
        <v>6.9557357511610716E-12</v>
      </c>
      <c r="U47" s="27">
        <f t="shared" si="15"/>
        <v>-25.691454508777841</v>
      </c>
      <c r="V47" s="27">
        <f t="shared" si="16"/>
        <v>0</v>
      </c>
      <c r="X47" s="28">
        <f t="shared" si="30"/>
        <v>1.0084309574001329E-11</v>
      </c>
      <c r="Y47" s="28">
        <f t="shared" si="31"/>
        <v>1.011860211557075E-11</v>
      </c>
      <c r="Z47" s="28">
        <f t="shared" si="32"/>
        <v>1.3631563753777752E-9</v>
      </c>
      <c r="AA47" s="28">
        <f t="shared" si="17"/>
        <v>1.0084309574001329E-11</v>
      </c>
      <c r="AB47" s="27">
        <f t="shared" si="18"/>
        <v>-25.320040407549964</v>
      </c>
      <c r="AC47" s="27">
        <f t="shared" si="19"/>
        <v>0.37141410122787732</v>
      </c>
    </row>
    <row r="48" spans="1:29" s="27" customFormat="1" x14ac:dyDescent="0.3">
      <c r="A48" s="27">
        <v>44</v>
      </c>
      <c r="B48" s="27">
        <v>425.06999999999903</v>
      </c>
      <c r="C48" s="27">
        <v>9000</v>
      </c>
      <c r="D48" s="27">
        <v>0.15519008860104527</v>
      </c>
      <c r="E48" s="27">
        <v>3.3735528360745137</v>
      </c>
      <c r="F48" s="27">
        <v>1.461713061000506E-3</v>
      </c>
      <c r="G48" s="28">
        <f t="shared" si="13"/>
        <v>4.4340025314584365E-3</v>
      </c>
      <c r="H48" s="28">
        <f t="shared" si="20"/>
        <v>4.4757657617727365E-3</v>
      </c>
      <c r="J48" s="27">
        <f t="shared" si="21"/>
        <v>8.4283365462641983E-12</v>
      </c>
      <c r="K48" s="28">
        <f t="shared" si="22"/>
        <v>8.4574725314932916E-12</v>
      </c>
      <c r="L48" s="28">
        <f t="shared" si="23"/>
        <v>1.1208798362451326E-9</v>
      </c>
      <c r="M48" s="28">
        <f t="shared" si="24"/>
        <v>8.4283365462641983E-12</v>
      </c>
      <c r="N48" s="27">
        <f t="shared" si="25"/>
        <v>14.325210938731093</v>
      </c>
      <c r="O48" s="27">
        <f t="shared" si="14"/>
        <v>-25.499421688858828</v>
      </c>
      <c r="Q48" s="27">
        <f t="shared" si="26"/>
        <v>5.5083343116132913E-12</v>
      </c>
      <c r="R48" s="27">
        <f t="shared" si="27"/>
        <v>5.5274510569328653E-12</v>
      </c>
      <c r="S48" s="27">
        <f t="shared" si="28"/>
        <v>7.2968413243639215E-10</v>
      </c>
      <c r="T48" s="27">
        <f t="shared" si="29"/>
        <v>5.5083343116132913E-12</v>
      </c>
      <c r="U48" s="27">
        <f t="shared" si="15"/>
        <v>-25.924758841258932</v>
      </c>
      <c r="V48" s="27">
        <f t="shared" si="16"/>
        <v>0.42533715240010395</v>
      </c>
      <c r="X48" s="28">
        <f t="shared" si="30"/>
        <v>1.2036326799642657E-11</v>
      </c>
      <c r="Y48" s="28">
        <f t="shared" si="31"/>
        <v>1.2078135998012374E-11</v>
      </c>
      <c r="Z48" s="28">
        <f t="shared" si="32"/>
        <v>1.5931504056729107E-9</v>
      </c>
      <c r="AA48" s="28">
        <f t="shared" si="17"/>
        <v>1.2036326799642657E-11</v>
      </c>
      <c r="AB48" s="27">
        <f t="shared" si="18"/>
        <v>-25.143091805681344</v>
      </c>
      <c r="AC48" s="27">
        <f t="shared" si="19"/>
        <v>0.35632988317748371</v>
      </c>
    </row>
    <row r="49" spans="1:29" s="30" customFormat="1" x14ac:dyDescent="0.3">
      <c r="A49" s="30">
        <v>45</v>
      </c>
      <c r="B49" s="30">
        <v>200.22</v>
      </c>
      <c r="C49" s="30">
        <v>3600</v>
      </c>
      <c r="D49" s="30">
        <v>0.15519008860104527</v>
      </c>
      <c r="E49" s="30">
        <v>0.16743856584304637</v>
      </c>
      <c r="F49" s="30">
        <v>1.461713061000506E-3</v>
      </c>
      <c r="G49" s="32">
        <f t="shared" si="13"/>
        <v>4.4340025314584365E-3</v>
      </c>
      <c r="H49" s="32">
        <f t="shared" si="20"/>
        <v>4.4757657617727365E-3</v>
      </c>
      <c r="J49" s="30">
        <f t="shared" si="21"/>
        <v>0</v>
      </c>
      <c r="K49" s="32">
        <f t="shared" si="22"/>
        <v>0</v>
      </c>
      <c r="L49" s="32">
        <f t="shared" si="23"/>
        <v>0</v>
      </c>
      <c r="M49" s="32">
        <f t="shared" si="24"/>
        <v>0</v>
      </c>
      <c r="N49" s="30">
        <f t="shared" si="25"/>
        <v>21.13182029500021</v>
      </c>
      <c r="O49" s="30" t="e">
        <f t="shared" si="14"/>
        <v>#NUM!</v>
      </c>
      <c r="Q49" s="30">
        <f t="shared" si="26"/>
        <v>-9.0199756334461437E-12</v>
      </c>
      <c r="R49" s="30">
        <f t="shared" si="27"/>
        <v>-9.0516586662992287E-12</v>
      </c>
      <c r="S49" s="30">
        <f t="shared" si="28"/>
        <v>-1.1806764235710447E-9</v>
      </c>
      <c r="T49" s="30">
        <f t="shared" si="29"/>
        <v>-9.0199756334461437E-12</v>
      </c>
      <c r="U49" s="30" t="e">
        <f t="shared" si="15"/>
        <v>#NUM!</v>
      </c>
      <c r="V49" s="30">
        <f t="shared" si="16"/>
        <v>5</v>
      </c>
      <c r="X49" s="32">
        <f t="shared" si="30"/>
        <v>9.0199756334461437E-12</v>
      </c>
      <c r="Y49" s="32">
        <f t="shared" si="31"/>
        <v>9.0516586662992287E-12</v>
      </c>
      <c r="Z49" s="32">
        <f t="shared" si="32"/>
        <v>1.1806764235700266E-9</v>
      </c>
      <c r="AA49" s="32">
        <f t="shared" si="17"/>
        <v>9.0199756334461437E-12</v>
      </c>
      <c r="AB49" s="30">
        <f t="shared" si="18"/>
        <v>-25.431579483249443</v>
      </c>
      <c r="AC49" s="30" t="e">
        <f t="shared" si="19"/>
        <v>#NUM!</v>
      </c>
    </row>
    <row r="50" spans="1:29" x14ac:dyDescent="0.3">
      <c r="A50">
        <v>46</v>
      </c>
      <c r="B50">
        <v>500.04999999999899</v>
      </c>
      <c r="C50">
        <v>7200</v>
      </c>
      <c r="D50">
        <v>0.19984342193437857</v>
      </c>
      <c r="E50">
        <v>4.2269144147885775</v>
      </c>
      <c r="F50">
        <v>1.3837780490456211E-2</v>
      </c>
      <c r="G50" s="14">
        <f t="shared" si="13"/>
        <v>5.7098120552679594E-3</v>
      </c>
      <c r="H50" s="14">
        <f t="shared" si="20"/>
        <v>6.1051772121381367E-3</v>
      </c>
      <c r="J50">
        <f t="shared" si="21"/>
        <v>1.5685631849865895E-10</v>
      </c>
      <c r="K50" s="14">
        <f t="shared" si="22"/>
        <v>1.574872676986911E-10</v>
      </c>
      <c r="L50" s="14">
        <f t="shared" si="23"/>
        <v>1.8045210965941819E-8</v>
      </c>
      <c r="M50" s="14">
        <f t="shared" si="24"/>
        <v>1.5685631849865895E-10</v>
      </c>
      <c r="N50">
        <f t="shared" si="25"/>
        <v>12.935773882672548</v>
      </c>
      <c r="O50">
        <f t="shared" si="14"/>
        <v>-22.575690898401227</v>
      </c>
      <c r="Q50">
        <f t="shared" si="26"/>
        <v>1.523463306819359E-10</v>
      </c>
      <c r="R50">
        <f t="shared" si="27"/>
        <v>1.5296143836555293E-10</v>
      </c>
      <c r="S50">
        <f t="shared" si="28"/>
        <v>1.745487275415804E-8</v>
      </c>
      <c r="T50">
        <f t="shared" si="29"/>
        <v>1.523463306819359E-10</v>
      </c>
      <c r="U50">
        <f t="shared" si="15"/>
        <v>-22.604864695578893</v>
      </c>
      <c r="V50">
        <f t="shared" si="16"/>
        <v>2.9173797177666216E-2</v>
      </c>
      <c r="X50" s="14">
        <f t="shared" si="30"/>
        <v>2.1347328542237565E-10</v>
      </c>
      <c r="Y50" s="14">
        <f t="shared" si="31"/>
        <v>2.1436838354526938E-10</v>
      </c>
      <c r="Z50" s="14">
        <f t="shared" si="32"/>
        <v>2.3642005414816667E-8</v>
      </c>
      <c r="AA50" s="14">
        <f t="shared" si="17"/>
        <v>2.1347328542237565E-10</v>
      </c>
      <c r="AB50">
        <f t="shared" si="18"/>
        <v>-22.267509417916163</v>
      </c>
      <c r="AC50">
        <f t="shared" si="19"/>
        <v>0.30818148048506444</v>
      </c>
    </row>
    <row r="51" spans="1:29" s="30" customFormat="1" x14ac:dyDescent="0.3">
      <c r="A51" s="30">
        <v>47</v>
      </c>
      <c r="B51" s="30">
        <v>200.12</v>
      </c>
      <c r="C51" s="30">
        <v>3600</v>
      </c>
      <c r="D51" s="30">
        <v>0.2015717552677119</v>
      </c>
      <c r="E51" s="30">
        <v>0.16721675619024395</v>
      </c>
      <c r="F51" s="30">
        <v>1.2109447157122881E-2</v>
      </c>
      <c r="G51" s="32">
        <f t="shared" si="13"/>
        <v>5.7591930076489111E-3</v>
      </c>
      <c r="H51" s="32">
        <f t="shared" si="20"/>
        <v>6.1051772121381367E-3</v>
      </c>
      <c r="J51" s="30">
        <f t="shared" si="21"/>
        <v>1.3728720938227594E-11</v>
      </c>
      <c r="K51" s="32">
        <f t="shared" si="22"/>
        <v>1.3790864733487932E-11</v>
      </c>
      <c r="L51" s="32">
        <f t="shared" si="23"/>
        <v>1.3978315758339592E-9</v>
      </c>
      <c r="M51" s="32">
        <f t="shared" si="24"/>
        <v>1.3728720938227594E-11</v>
      </c>
      <c r="N51" s="30">
        <f t="shared" si="25"/>
        <v>21.136286777138992</v>
      </c>
      <c r="O51" s="30">
        <f t="shared" si="14"/>
        <v>-25.011531058665319</v>
      </c>
      <c r="Q51" s="30">
        <f t="shared" si="26"/>
        <v>-9.9505212909205783E-11</v>
      </c>
      <c r="R51" s="30">
        <f t="shared" si="27"/>
        <v>-9.9971366959642697E-11</v>
      </c>
      <c r="S51" s="30">
        <f t="shared" si="28"/>
        <v>-9.7957573219135572E-9</v>
      </c>
      <c r="T51" s="30">
        <f t="shared" si="29"/>
        <v>-9.9505212909205783E-11</v>
      </c>
      <c r="U51" s="30" t="e">
        <f t="shared" si="15"/>
        <v>#NUM!</v>
      </c>
      <c r="V51" s="30">
        <f t="shared" si="16"/>
        <v>5</v>
      </c>
      <c r="X51" s="32">
        <f t="shared" si="30"/>
        <v>1.1323393384743338E-10</v>
      </c>
      <c r="Y51" s="32">
        <f t="shared" si="31"/>
        <v>1.1376223169313215E-10</v>
      </c>
      <c r="Z51" s="32">
        <f t="shared" si="32"/>
        <v>1.1193588897749801E-8</v>
      </c>
      <c r="AA51" s="32">
        <f t="shared" si="17"/>
        <v>1.1323393384743338E-10</v>
      </c>
      <c r="AB51" s="30">
        <f t="shared" si="18"/>
        <v>-22.901565226110947</v>
      </c>
      <c r="AC51" s="30">
        <f t="shared" si="19"/>
        <v>2.1099658325543729</v>
      </c>
    </row>
    <row r="52" spans="1:29" x14ac:dyDescent="0.3">
      <c r="A52">
        <v>48</v>
      </c>
      <c r="B52">
        <v>510.05999999999898</v>
      </c>
      <c r="C52">
        <v>7200</v>
      </c>
      <c r="D52">
        <v>0.2326817552677119</v>
      </c>
      <c r="E52">
        <v>4.4619709165414649</v>
      </c>
      <c r="F52">
        <v>8.9862106730460699E-3</v>
      </c>
      <c r="G52" s="14">
        <f t="shared" si="13"/>
        <v>6.6480501505060546E-3</v>
      </c>
      <c r="H52" s="14">
        <f t="shared" si="20"/>
        <v>6.9047990268787983E-3</v>
      </c>
      <c r="J52">
        <f t="shared" si="21"/>
        <v>1.3366636442913193E-10</v>
      </c>
      <c r="K52" s="14">
        <f t="shared" si="22"/>
        <v>1.3432230715568472E-10</v>
      </c>
      <c r="L52" s="14">
        <f t="shared" si="23"/>
        <v>1.2586423604485725E-8</v>
      </c>
      <c r="M52" s="14">
        <f t="shared" si="24"/>
        <v>1.3366636442913193E-10</v>
      </c>
      <c r="N52">
        <f t="shared" si="25"/>
        <v>12.770413505989339</v>
      </c>
      <c r="O52">
        <f t="shared" si="14"/>
        <v>-22.735674238421336</v>
      </c>
      <c r="Q52">
        <f t="shared" si="26"/>
        <v>8.3913757974529024E-11</v>
      </c>
      <c r="R52">
        <f t="shared" si="27"/>
        <v>8.4336623675863389E-11</v>
      </c>
      <c r="S52">
        <f t="shared" si="28"/>
        <v>7.6885449435280842E-9</v>
      </c>
      <c r="T52">
        <f t="shared" si="29"/>
        <v>8.3913757974529024E-11</v>
      </c>
      <c r="U52">
        <f t="shared" si="15"/>
        <v>-23.201231535272651</v>
      </c>
      <c r="V52">
        <f t="shared" si="16"/>
        <v>0.46555729685131553</v>
      </c>
      <c r="X52" s="14">
        <f t="shared" si="30"/>
        <v>1.7584126160686853E-10</v>
      </c>
      <c r="Y52" s="14">
        <f t="shared" si="31"/>
        <v>1.7672303021315122E-10</v>
      </c>
      <c r="Z52" s="14">
        <f t="shared" si="32"/>
        <v>1.6224143813068729E-8</v>
      </c>
      <c r="AA52" s="14">
        <f t="shared" si="17"/>
        <v>1.7584126160686853E-10</v>
      </c>
      <c r="AB52">
        <f t="shared" si="18"/>
        <v>-22.461439450555638</v>
      </c>
      <c r="AC52">
        <f t="shared" si="19"/>
        <v>0.27423478786569788</v>
      </c>
    </row>
    <row r="53" spans="1:29" x14ac:dyDescent="0.3">
      <c r="A53">
        <v>49</v>
      </c>
      <c r="B53">
        <v>520.07000000000005</v>
      </c>
      <c r="C53">
        <v>7200</v>
      </c>
      <c r="D53">
        <v>0.25857842193437852</v>
      </c>
      <c r="E53">
        <v>4.704427509911838</v>
      </c>
      <c r="F53">
        <v>6.9907338171351927E-3</v>
      </c>
      <c r="G53" s="14">
        <f t="shared" si="13"/>
        <v>7.3879549124108148E-3</v>
      </c>
      <c r="H53" s="14">
        <f t="shared" si="20"/>
        <v>7.5876901643289639E-3</v>
      </c>
      <c r="J53">
        <f t="shared" si="21"/>
        <v>1.2587347271121911E-10</v>
      </c>
      <c r="K53" s="14">
        <f t="shared" si="22"/>
        <v>1.2657220925914422E-10</v>
      </c>
      <c r="L53" s="14">
        <f t="shared" si="23"/>
        <v>1.0485815833099281E-8</v>
      </c>
      <c r="M53" s="14">
        <f t="shared" si="24"/>
        <v>1.2587347271121911E-10</v>
      </c>
      <c r="N53">
        <f t="shared" si="25"/>
        <v>12.609227432635201</v>
      </c>
      <c r="O53">
        <f t="shared" si="14"/>
        <v>-22.795743898340042</v>
      </c>
      <c r="Q53">
        <f t="shared" si="26"/>
        <v>8.3698575533482501E-11</v>
      </c>
      <c r="R53">
        <f t="shared" si="27"/>
        <v>8.4171486201680796E-11</v>
      </c>
      <c r="S53">
        <f t="shared" si="28"/>
        <v>6.8480956245163614E-9</v>
      </c>
      <c r="T53">
        <f t="shared" si="29"/>
        <v>8.3698575533482501E-11</v>
      </c>
      <c r="U53">
        <f t="shared" si="15"/>
        <v>-23.203799157293798</v>
      </c>
      <c r="V53">
        <f t="shared" si="16"/>
        <v>0.40805525895375538</v>
      </c>
      <c r="X53" s="14">
        <f t="shared" si="30"/>
        <v>1.6212740638587761E-10</v>
      </c>
      <c r="Y53" s="14">
        <f t="shared" si="31"/>
        <v>1.6304076517661318E-10</v>
      </c>
      <c r="Z53" s="14">
        <f t="shared" si="32"/>
        <v>1.3317772719216641E-8</v>
      </c>
      <c r="AA53" s="14">
        <f t="shared" si="17"/>
        <v>1.6212740638587761E-10</v>
      </c>
      <c r="AB53">
        <f t="shared" si="18"/>
        <v>-22.542638630621045</v>
      </c>
      <c r="AC53">
        <f t="shared" si="19"/>
        <v>0.25310526771899688</v>
      </c>
    </row>
    <row r="54" spans="1:29" s="30" customFormat="1" x14ac:dyDescent="0.3">
      <c r="A54" s="30">
        <v>50</v>
      </c>
      <c r="B54" s="30">
        <v>200.12</v>
      </c>
      <c r="C54" s="30">
        <v>3600</v>
      </c>
      <c r="D54" s="30">
        <v>0.25967208860104518</v>
      </c>
      <c r="E54" s="30">
        <v>0.16721675619024395</v>
      </c>
      <c r="F54" s="30">
        <v>5.8970671504685324E-3</v>
      </c>
      <c r="G54" s="32">
        <f t="shared" si="13"/>
        <v>7.4192025314584334E-3</v>
      </c>
      <c r="H54" s="32">
        <f t="shared" si="20"/>
        <v>7.5876901643289639E-3</v>
      </c>
      <c r="J54" s="30">
        <f t="shared" si="21"/>
        <v>1.1215883683759876E-11</v>
      </c>
      <c r="K54" s="32">
        <f t="shared" si="22"/>
        <v>1.128152567059582E-11</v>
      </c>
      <c r="L54" s="32">
        <f t="shared" si="23"/>
        <v>8.860168477498201E-10</v>
      </c>
      <c r="M54" s="32">
        <f t="shared" si="24"/>
        <v>1.1215883683759876E-11</v>
      </c>
      <c r="N54" s="30">
        <f t="shared" si="25"/>
        <v>21.136286777138992</v>
      </c>
      <c r="O54" s="30">
        <f t="shared" si="14"/>
        <v>-25.21369015625358</v>
      </c>
      <c r="Q54" s="30">
        <f t="shared" si="26"/>
        <v>-6.129198366555715E-11</v>
      </c>
      <c r="R54" s="30">
        <f t="shared" si="27"/>
        <v>-6.165558616433408E-11</v>
      </c>
      <c r="S54" s="30">
        <f t="shared" si="28"/>
        <v>-4.7778969244860417E-9</v>
      </c>
      <c r="T54" s="30">
        <f t="shared" si="29"/>
        <v>-6.129198366555715E-11</v>
      </c>
      <c r="U54" s="30" t="e">
        <f t="shared" si="15"/>
        <v>#NUM!</v>
      </c>
      <c r="V54" s="30">
        <f t="shared" si="16"/>
        <v>5</v>
      </c>
      <c r="X54" s="32">
        <f t="shared" si="30"/>
        <v>7.2507867349317022E-11</v>
      </c>
      <c r="Y54" s="32">
        <f t="shared" si="31"/>
        <v>7.2937111834931814E-11</v>
      </c>
      <c r="Z54" s="32">
        <f t="shared" si="32"/>
        <v>5.6639137722380949E-9</v>
      </c>
      <c r="AA54" s="32">
        <f t="shared" si="17"/>
        <v>7.2507867349317022E-11</v>
      </c>
      <c r="AB54" s="30">
        <f t="shared" si="18"/>
        <v>-23.347326044792268</v>
      </c>
      <c r="AC54" s="30">
        <f t="shared" si="19"/>
        <v>1.8663641114613121</v>
      </c>
    </row>
    <row r="55" spans="1:29" x14ac:dyDescent="0.3">
      <c r="A55">
        <v>51</v>
      </c>
      <c r="B55">
        <v>530.04</v>
      </c>
      <c r="C55">
        <v>7200</v>
      </c>
      <c r="D55">
        <v>0.29214208860104518</v>
      </c>
      <c r="E55">
        <v>4.9532865374877693</v>
      </c>
      <c r="F55">
        <v>8.2134193138031428E-3</v>
      </c>
      <c r="G55" s="14">
        <f t="shared" si="13"/>
        <v>8.3469168171727195E-3</v>
      </c>
      <c r="H55" s="14">
        <f t="shared" si="20"/>
        <v>8.5815859404242377E-3</v>
      </c>
      <c r="J55">
        <f t="shared" si="21"/>
        <v>1.772776269510523E-10</v>
      </c>
      <c r="K55" s="14">
        <f t="shared" si="22"/>
        <v>1.7838411194302442E-10</v>
      </c>
      <c r="L55" s="14">
        <f t="shared" si="23"/>
        <v>1.3158887344126621E-8</v>
      </c>
      <c r="M55" s="14">
        <f t="shared" si="24"/>
        <v>1.772776269510523E-10</v>
      </c>
      <c r="N55">
        <f t="shared" si="25"/>
        <v>12.452679816696554</v>
      </c>
      <c r="O55">
        <f t="shared" si="14"/>
        <v>-22.453304098340016</v>
      </c>
      <c r="Q55">
        <f t="shared" si="26"/>
        <v>1.466316351182737E-10</v>
      </c>
      <c r="R55">
        <f t="shared" si="27"/>
        <v>1.4755631886086195E-10</v>
      </c>
      <c r="S55">
        <f t="shared" si="28"/>
        <v>1.0769938881883544E-8</v>
      </c>
      <c r="T55">
        <f t="shared" si="29"/>
        <v>1.466316351182737E-10</v>
      </c>
      <c r="U55">
        <f t="shared" si="15"/>
        <v>-22.643097557680221</v>
      </c>
      <c r="V55">
        <f t="shared" si="16"/>
        <v>0.18979345934020486</v>
      </c>
      <c r="X55" s="14">
        <f t="shared" si="30"/>
        <v>2.2542686011843015E-10</v>
      </c>
      <c r="Y55" s="14">
        <f t="shared" si="31"/>
        <v>2.2685583569720325E-10</v>
      </c>
      <c r="Z55" s="14">
        <f t="shared" si="32"/>
        <v>1.6489432560950823E-8</v>
      </c>
      <c r="AA55" s="14">
        <f t="shared" si="17"/>
        <v>2.2542686011843015E-10</v>
      </c>
      <c r="AB55">
        <f t="shared" si="18"/>
        <v>-22.213025354969968</v>
      </c>
      <c r="AC55">
        <f t="shared" si="19"/>
        <v>0.24027874337004818</v>
      </c>
    </row>
    <row r="56" spans="1:29" s="30" customFormat="1" x14ac:dyDescent="0.3">
      <c r="A56" s="30">
        <v>52</v>
      </c>
      <c r="B56" s="30">
        <v>200.23</v>
      </c>
      <c r="C56" s="30">
        <v>3600</v>
      </c>
      <c r="D56" s="30">
        <v>0.29258295526771183</v>
      </c>
      <c r="E56" s="30">
        <v>0.16746075823567227</v>
      </c>
      <c r="F56" s="30">
        <v>7.7725526471364766E-3</v>
      </c>
      <c r="G56" s="32">
        <f t="shared" si="13"/>
        <v>8.35951300764891E-3</v>
      </c>
      <c r="H56" s="32">
        <f t="shared" si="20"/>
        <v>8.5815859404242377E-3</v>
      </c>
      <c r="J56" s="30">
        <f t="shared" si="21"/>
        <v>5.1011458541905474E-12</v>
      </c>
      <c r="K56" s="32">
        <f t="shared" si="22"/>
        <v>5.1348582668919724E-12</v>
      </c>
      <c r="L56" s="32">
        <f t="shared" si="23"/>
        <v>3.5750322584744406E-10</v>
      </c>
      <c r="M56" s="32">
        <f t="shared" si="24"/>
        <v>5.1011458541905474E-12</v>
      </c>
      <c r="N56" s="30">
        <f t="shared" si="25"/>
        <v>21.131373750607526</v>
      </c>
      <c r="O56" s="30">
        <f t="shared" si="14"/>
        <v>-26.001555924142167</v>
      </c>
      <c r="Q56" s="30">
        <f t="shared" si="26"/>
        <v>-9.1197320480565165E-11</v>
      </c>
      <c r="R56" s="30">
        <f t="shared" si="27"/>
        <v>-9.180858924147104E-11</v>
      </c>
      <c r="S56" s="30">
        <f t="shared" si="28"/>
        <v>-6.3035872078020706E-9</v>
      </c>
      <c r="T56" s="30">
        <f t="shared" si="29"/>
        <v>-9.1197320480565165E-11</v>
      </c>
      <c r="U56" s="30" t="e">
        <f t="shared" si="15"/>
        <v>#NUM!</v>
      </c>
      <c r="V56" s="30">
        <f t="shared" si="16"/>
        <v>5</v>
      </c>
      <c r="X56" s="32">
        <f t="shared" si="30"/>
        <v>9.6298466334755715E-11</v>
      </c>
      <c r="Y56" s="32">
        <f t="shared" si="31"/>
        <v>9.6943447508363785E-11</v>
      </c>
      <c r="Z56" s="32">
        <f t="shared" si="32"/>
        <v>6.6610904336494252E-9</v>
      </c>
      <c r="AA56" s="32">
        <f t="shared" si="17"/>
        <v>9.6298466334755715E-11</v>
      </c>
      <c r="AB56" s="30">
        <f t="shared" si="18"/>
        <v>-23.063568723162444</v>
      </c>
      <c r="AC56" s="30">
        <f t="shared" si="19"/>
        <v>2.9379872009797232</v>
      </c>
    </row>
    <row r="57" spans="1:29" x14ac:dyDescent="0.3">
      <c r="A57">
        <v>53</v>
      </c>
      <c r="B57">
        <v>540.04</v>
      </c>
      <c r="C57">
        <v>7200</v>
      </c>
      <c r="D57">
        <v>0.32030269977049575</v>
      </c>
      <c r="E57">
        <v>5.2102958516160305</v>
      </c>
      <c r="F57">
        <v>6.5837996852749145E-3</v>
      </c>
      <c r="G57" s="14">
        <f t="shared" si="13"/>
        <v>9.1515057077284495E-3</v>
      </c>
      <c r="H57" s="14">
        <f t="shared" si="20"/>
        <v>9.3396142701648761E-3</v>
      </c>
      <c r="J57">
        <f t="shared" si="21"/>
        <v>1.6809216324719354E-10</v>
      </c>
      <c r="K57" s="14">
        <f t="shared" si="22"/>
        <v>1.6925776899248449E-10</v>
      </c>
      <c r="L57" s="14">
        <f t="shared" si="23"/>
        <v>1.1243672142926287E-8</v>
      </c>
      <c r="M57" s="14">
        <f t="shared" si="24"/>
        <v>1.6809216324719354E-10</v>
      </c>
      <c r="N57">
        <f t="shared" si="25"/>
        <v>12.299517858899932</v>
      </c>
      <c r="O57">
        <f t="shared" si="14"/>
        <v>-22.506508696189083</v>
      </c>
      <c r="Q57">
        <f t="shared" si="26"/>
        <v>1.2249350300691096E-10</v>
      </c>
      <c r="R57">
        <f t="shared" si="27"/>
        <v>1.2335347437174745E-10</v>
      </c>
      <c r="S57">
        <f t="shared" si="28"/>
        <v>8.0918785390256963E-9</v>
      </c>
      <c r="T57">
        <f t="shared" si="29"/>
        <v>1.2249350300691096E-10</v>
      </c>
      <c r="U57">
        <f t="shared" si="15"/>
        <v>-22.82296312402854</v>
      </c>
      <c r="V57">
        <f t="shared" si="16"/>
        <v>0.31645442783945654</v>
      </c>
      <c r="X57" s="14">
        <f t="shared" si="30"/>
        <v>2.1025080945746983E-10</v>
      </c>
      <c r="Y57" s="14">
        <f t="shared" si="31"/>
        <v>2.1172504982197843E-10</v>
      </c>
      <c r="Z57" s="14">
        <f t="shared" si="32"/>
        <v>1.391551121587935E-8</v>
      </c>
      <c r="AA57" s="14">
        <f t="shared" si="17"/>
        <v>2.1025080945746983E-10</v>
      </c>
      <c r="AB57">
        <f t="shared" si="18"/>
        <v>-22.282719967106825</v>
      </c>
      <c r="AC57">
        <f t="shared" si="19"/>
        <v>0.22378872908225844</v>
      </c>
    </row>
    <row r="58" spans="1:29" s="30" customFormat="1" x14ac:dyDescent="0.3">
      <c r="A58" s="30">
        <v>54</v>
      </c>
      <c r="B58" s="30">
        <v>200.2</v>
      </c>
      <c r="C58" s="30">
        <v>3600</v>
      </c>
      <c r="D58" s="30">
        <v>0.32042746774965025</v>
      </c>
      <c r="E58" s="30">
        <v>0.16739418729168998</v>
      </c>
      <c r="F58" s="30">
        <v>6.4590317061204369E-3</v>
      </c>
      <c r="G58" s="32">
        <f t="shared" si="13"/>
        <v>9.1550705071328647E-3</v>
      </c>
      <c r="H58" s="32">
        <f t="shared" si="20"/>
        <v>9.3396142701648779E-3</v>
      </c>
      <c r="J58" s="30">
        <f t="shared" si="21"/>
        <v>1.5819293939423516E-12</v>
      </c>
      <c r="K58" s="32">
        <f t="shared" si="22"/>
        <v>1.5933934646693879E-12</v>
      </c>
      <c r="L58" s="32">
        <f t="shared" si="23"/>
        <v>1.0125730817484722E-10</v>
      </c>
      <c r="M58" s="32">
        <f t="shared" si="24"/>
        <v>1.5819293939423516E-12</v>
      </c>
      <c r="N58" s="30">
        <f t="shared" si="25"/>
        <v>21.132713440405748</v>
      </c>
      <c r="O58" s="30">
        <f t="shared" si="14"/>
        <v>-27.172375878462542</v>
      </c>
      <c r="Q58" s="30">
        <f t="shared" si="26"/>
        <v>-8.2735363026610228E-11</v>
      </c>
      <c r="R58" s="30">
        <f t="shared" si="27"/>
        <v>-8.3341168194318745E-11</v>
      </c>
      <c r="S58" s="30">
        <f t="shared" si="28"/>
        <v>-5.2424208377297401E-9</v>
      </c>
      <c r="T58" s="30">
        <f t="shared" si="29"/>
        <v>-8.2735363026610228E-11</v>
      </c>
      <c r="U58" s="30" t="e">
        <f t="shared" si="15"/>
        <v>#NUM!</v>
      </c>
      <c r="V58" s="30">
        <f t="shared" si="16"/>
        <v>5</v>
      </c>
      <c r="X58" s="32">
        <f t="shared" si="30"/>
        <v>8.4317292420553241E-11</v>
      </c>
      <c r="Y58" s="32">
        <f t="shared" si="31"/>
        <v>8.4934561658826159E-11</v>
      </c>
      <c r="Z58" s="32">
        <f t="shared" si="32"/>
        <v>5.3436781459029692E-9</v>
      </c>
      <c r="AA58" s="32">
        <f t="shared" si="17"/>
        <v>8.4317292420553241E-11</v>
      </c>
      <c r="AB58" s="30">
        <f t="shared" si="18"/>
        <v>-23.196434142412997</v>
      </c>
      <c r="AC58" s="30">
        <f t="shared" si="19"/>
        <v>3.9759417360495455</v>
      </c>
    </row>
    <row r="59" spans="1:29" x14ac:dyDescent="0.3">
      <c r="A59">
        <v>55</v>
      </c>
      <c r="B59">
        <v>550.04</v>
      </c>
      <c r="C59">
        <v>7200</v>
      </c>
      <c r="D59">
        <v>0.35307325013872715</v>
      </c>
      <c r="E59">
        <v>5.474725777132825</v>
      </c>
      <c r="F59">
        <v>7.2955939682173426E-3</v>
      </c>
      <c r="G59" s="14">
        <f t="shared" si="13"/>
        <v>1.0087807146820775E-2</v>
      </c>
      <c r="H59" s="14">
        <f t="shared" si="20"/>
        <v>1.0296252688769842E-2</v>
      </c>
      <c r="J59">
        <f t="shared" si="21"/>
        <v>2.175424078329281E-10</v>
      </c>
      <c r="K59" s="14">
        <f t="shared" si="22"/>
        <v>2.1920154779698968E-10</v>
      </c>
      <c r="L59" s="14">
        <f t="shared" si="23"/>
        <v>1.3253347851326186E-8</v>
      </c>
      <c r="M59" s="14">
        <f t="shared" si="24"/>
        <v>2.175424078329281E-10</v>
      </c>
      <c r="N59">
        <f t="shared" si="25"/>
        <v>12.150077760497668</v>
      </c>
      <c r="O59">
        <f t="shared" si="14"/>
        <v>-22.248627305863458</v>
      </c>
      <c r="Q59">
        <f t="shared" si="26"/>
        <v>1.7617472631962266E-10</v>
      </c>
      <c r="R59">
        <f t="shared" si="27"/>
        <v>1.7753096369992032E-10</v>
      </c>
      <c r="S59">
        <f t="shared" si="28"/>
        <v>1.0632137432461009E-8</v>
      </c>
      <c r="T59">
        <f t="shared" si="29"/>
        <v>1.7617472631962266E-10</v>
      </c>
      <c r="U59">
        <f t="shared" si="15"/>
        <v>-22.459544850174183</v>
      </c>
      <c r="V59">
        <f t="shared" si="16"/>
        <v>0.21091754431072474</v>
      </c>
      <c r="X59" s="14">
        <f t="shared" si="30"/>
        <v>2.6904133385986531E-10</v>
      </c>
      <c r="Y59" s="14">
        <f t="shared" si="31"/>
        <v>2.711164283908259E-10</v>
      </c>
      <c r="Z59" s="14">
        <f t="shared" si="32"/>
        <v>1.6216878510199221E-8</v>
      </c>
      <c r="AA59" s="14">
        <f t="shared" si="17"/>
        <v>2.6904133385986531E-10</v>
      </c>
      <c r="AB59">
        <f t="shared" si="18"/>
        <v>-22.03615609065919</v>
      </c>
      <c r="AC59">
        <f t="shared" si="19"/>
        <v>0.21247121520426759</v>
      </c>
    </row>
    <row r="60" spans="1:29" s="30" customFormat="1" x14ac:dyDescent="0.3">
      <c r="A60" s="30">
        <v>56</v>
      </c>
      <c r="B60" s="30">
        <v>200.24</v>
      </c>
      <c r="C60" s="30">
        <v>3600</v>
      </c>
      <c r="D60" s="30">
        <v>0.35357031202455341</v>
      </c>
      <c r="E60" s="30">
        <v>0.16748295270639652</v>
      </c>
      <c r="F60" s="30">
        <v>6.7985320823910718E-3</v>
      </c>
      <c r="G60" s="32">
        <f t="shared" si="13"/>
        <v>1.010200891498724E-2</v>
      </c>
      <c r="H60" s="32">
        <f t="shared" si="20"/>
        <v>1.0296252688769842E-2</v>
      </c>
      <c r="J60" s="30">
        <f t="shared" si="21"/>
        <v>6.9505576896591903E-12</v>
      </c>
      <c r="K60" s="32">
        <f t="shared" si="22"/>
        <v>7.006155350864608E-12</v>
      </c>
      <c r="L60" s="32">
        <f t="shared" si="23"/>
        <v>4.0378168353080733E-10</v>
      </c>
      <c r="M60" s="32">
        <f t="shared" si="24"/>
        <v>6.9505576896591903E-12</v>
      </c>
      <c r="N60" s="30">
        <f t="shared" si="25"/>
        <v>21.130927225086637</v>
      </c>
      <c r="O60" s="30">
        <f t="shared" si="14"/>
        <v>-25.692199216454725</v>
      </c>
      <c r="Q60" s="30">
        <f t="shared" si="26"/>
        <v>-9.6047294364215193E-11</v>
      </c>
      <c r="R60" s="30">
        <f t="shared" si="27"/>
        <v>-9.682360583681511E-11</v>
      </c>
      <c r="S60" s="30">
        <f t="shared" si="28"/>
        <v>-5.523279634213784E-9</v>
      </c>
      <c r="T60" s="30">
        <f t="shared" si="29"/>
        <v>-9.6047294364215193E-11</v>
      </c>
      <c r="U60" s="30" t="e">
        <f t="shared" si="15"/>
        <v>#NUM!</v>
      </c>
      <c r="V60" s="30">
        <f t="shared" si="16"/>
        <v>5</v>
      </c>
      <c r="X60" s="32">
        <f t="shared" si="30"/>
        <v>1.0299785205387437E-10</v>
      </c>
      <c r="Y60" s="32">
        <f t="shared" si="31"/>
        <v>1.0382976118767857E-10</v>
      </c>
      <c r="Z60" s="32">
        <f t="shared" si="32"/>
        <v>5.9270613177459768E-9</v>
      </c>
      <c r="AA60" s="32">
        <f t="shared" si="17"/>
        <v>1.0299785205387437E-10</v>
      </c>
      <c r="AB60" s="30">
        <f t="shared" si="18"/>
        <v>-22.996312981762237</v>
      </c>
      <c r="AC60" s="30">
        <f t="shared" si="19"/>
        <v>2.6958862346924874</v>
      </c>
    </row>
    <row r="61" spans="1:29" x14ac:dyDescent="0.3">
      <c r="A61">
        <v>57</v>
      </c>
      <c r="B61">
        <v>560.11</v>
      </c>
      <c r="C61">
        <v>23040</v>
      </c>
      <c r="D61">
        <v>0.45996638447635341</v>
      </c>
      <c r="E61">
        <v>18.395231992040777</v>
      </c>
      <c r="F61">
        <v>6.116392842618122E-3</v>
      </c>
      <c r="G61" s="14">
        <f t="shared" si="13"/>
        <v>1.3141896699324383E-2</v>
      </c>
      <c r="H61" s="14">
        <f t="shared" si="20"/>
        <v>1.3316650780542044E-2</v>
      </c>
      <c r="J61">
        <f t="shared" si="21"/>
        <v>2.6762800247092163E-10</v>
      </c>
      <c r="K61" s="14">
        <f t="shared" si="22"/>
        <v>2.7011027660959664E-10</v>
      </c>
      <c r="L61" s="14">
        <f t="shared" si="23"/>
        <v>1.3525476795348482E-8</v>
      </c>
      <c r="M61" s="14">
        <f t="shared" si="24"/>
        <v>2.6762800247092163E-10</v>
      </c>
      <c r="N61">
        <f t="shared" si="25"/>
        <v>12.003216862119048</v>
      </c>
      <c r="O61">
        <f t="shared" si="14"/>
        <v>-22.04142315013377</v>
      </c>
      <c r="Q61">
        <f t="shared" si="26"/>
        <v>2.5262061272651301E-10</v>
      </c>
      <c r="R61">
        <f t="shared" si="27"/>
        <v>2.549815881976E-10</v>
      </c>
      <c r="S61">
        <f t="shared" si="28"/>
        <v>1.2662464352502019E-8</v>
      </c>
      <c r="T61">
        <f t="shared" si="29"/>
        <v>2.5262061272651301E-10</v>
      </c>
      <c r="U61">
        <f t="shared" si="15"/>
        <v>-22.09913230709871</v>
      </c>
      <c r="V61">
        <f t="shared" si="16"/>
        <v>5.7709156964939723E-2</v>
      </c>
      <c r="X61" s="14">
        <f t="shared" si="30"/>
        <v>2.8514090872343561E-10</v>
      </c>
      <c r="Y61" s="14">
        <f t="shared" si="31"/>
        <v>2.8780727553159147E-10</v>
      </c>
      <c r="Z61" s="14">
        <f t="shared" si="32"/>
        <v>1.4304282010295524E-8</v>
      </c>
      <c r="AA61" s="14">
        <f t="shared" si="17"/>
        <v>2.8514090872343561E-10</v>
      </c>
      <c r="AB61">
        <f t="shared" si="18"/>
        <v>-21.978037641270042</v>
      </c>
      <c r="AC61">
        <f t="shared" si="19"/>
        <v>6.338550886372829E-2</v>
      </c>
    </row>
    <row r="62" spans="1:29" x14ac:dyDescent="0.3">
      <c r="A62">
        <v>58</v>
      </c>
      <c r="B62">
        <v>570.08000000000004</v>
      </c>
      <c r="C62">
        <v>3600</v>
      </c>
      <c r="D62">
        <v>0.47552933178452228</v>
      </c>
      <c r="E62">
        <v>3.0134971179026815</v>
      </c>
      <c r="F62">
        <v>8.0297467128855621E-3</v>
      </c>
      <c r="G62" s="14">
        <f t="shared" si="13"/>
        <v>1.3586552336700636E-2</v>
      </c>
      <c r="H62" s="14">
        <f t="shared" si="20"/>
        <v>1.3815973671354511E-2</v>
      </c>
      <c r="J62">
        <f t="shared" si="21"/>
        <v>2.8809945231167373E-10</v>
      </c>
      <c r="K62" s="14">
        <f t="shared" si="22"/>
        <v>2.9115940580214257E-10</v>
      </c>
      <c r="L62" s="14">
        <f t="shared" si="23"/>
        <v>1.2684247423398829E-8</v>
      </c>
      <c r="M62" s="14">
        <f t="shared" si="24"/>
        <v>2.8809945231167373E-10</v>
      </c>
      <c r="N62">
        <f t="shared" si="25"/>
        <v>11.861270579304454</v>
      </c>
      <c r="O62">
        <f t="shared" si="14"/>
        <v>-21.967715374875368</v>
      </c>
      <c r="Q62">
        <f t="shared" si="26"/>
        <v>1.7601685229558446E-10</v>
      </c>
      <c r="R62">
        <f t="shared" si="27"/>
        <v>1.7789861270137859E-10</v>
      </c>
      <c r="S62">
        <f t="shared" si="28"/>
        <v>7.6998940477382148E-9</v>
      </c>
      <c r="T62">
        <f t="shared" si="29"/>
        <v>1.7601685229558446E-10</v>
      </c>
      <c r="U62">
        <f t="shared" si="15"/>
        <v>-22.46044137379484</v>
      </c>
      <c r="V62">
        <f t="shared" si="16"/>
        <v>0.49272599891947166</v>
      </c>
      <c r="X62" s="14">
        <f t="shared" si="30"/>
        <v>4.4049394471296816E-10</v>
      </c>
      <c r="Y62" s="14">
        <f t="shared" si="31"/>
        <v>4.4521370407638721E-10</v>
      </c>
      <c r="Z62" s="14">
        <f t="shared" si="32"/>
        <v>1.923095708223216E-8</v>
      </c>
      <c r="AA62" s="14">
        <f t="shared" si="17"/>
        <v>4.4049394471296816E-10</v>
      </c>
      <c r="AB62">
        <f t="shared" si="18"/>
        <v>-21.543124417041874</v>
      </c>
      <c r="AC62">
        <f t="shared" si="19"/>
        <v>0.42459095783349454</v>
      </c>
    </row>
    <row r="63" spans="1:29" x14ac:dyDescent="0.3">
      <c r="A63">
        <v>59</v>
      </c>
      <c r="B63">
        <v>580.01</v>
      </c>
      <c r="C63">
        <v>3600</v>
      </c>
      <c r="D63">
        <v>0.5018113716962791</v>
      </c>
      <c r="E63">
        <v>3.1558483081620015</v>
      </c>
      <c r="F63">
        <v>1.2533128468578243E-2</v>
      </c>
      <c r="G63" s="14">
        <f t="shared" si="13"/>
        <v>1.4337467762750831E-2</v>
      </c>
      <c r="H63" s="14">
        <f t="shared" si="20"/>
        <v>1.4695557147567352E-2</v>
      </c>
      <c r="J63">
        <f t="shared" si="21"/>
        <v>5.082926610585795E-10</v>
      </c>
      <c r="K63" s="14">
        <f t="shared" si="22"/>
        <v>5.1393665116642915E-10</v>
      </c>
      <c r="L63" s="14">
        <f t="shared" si="23"/>
        <v>2.1433601565963279E-8</v>
      </c>
      <c r="M63" s="14">
        <f t="shared" si="24"/>
        <v>5.082926610585795E-10</v>
      </c>
      <c r="N63">
        <f t="shared" si="25"/>
        <v>11.723191990715232</v>
      </c>
      <c r="O63">
        <f t="shared" si="14"/>
        <v>-21.399963729788503</v>
      </c>
      <c r="Q63">
        <f t="shared" si="26"/>
        <v>3.5589816865728506E-10</v>
      </c>
      <c r="R63">
        <f t="shared" si="27"/>
        <v>3.5988235289217841E-10</v>
      </c>
      <c r="S63">
        <f t="shared" si="28"/>
        <v>1.4886891907132239E-8</v>
      </c>
      <c r="T63">
        <f t="shared" si="29"/>
        <v>3.5589816865728506E-10</v>
      </c>
      <c r="U63">
        <f t="shared" si="15"/>
        <v>-21.75637646909216</v>
      </c>
      <c r="V63">
        <f t="shared" si="16"/>
        <v>0.35641273930365713</v>
      </c>
      <c r="X63" s="14">
        <f t="shared" si="30"/>
        <v>7.6030894582031779E-10</v>
      </c>
      <c r="Y63" s="14">
        <f t="shared" si="31"/>
        <v>7.688632759628349E-10</v>
      </c>
      <c r="Z63" s="14">
        <f t="shared" si="32"/>
        <v>3.1660403710724051E-8</v>
      </c>
      <c r="AA63" s="14">
        <f t="shared" si="17"/>
        <v>7.6030894582031779E-10</v>
      </c>
      <c r="AB63">
        <f t="shared" si="18"/>
        <v>-20.997296257591714</v>
      </c>
      <c r="AC63">
        <f t="shared" si="19"/>
        <v>0.40266747219678933</v>
      </c>
    </row>
    <row r="64" spans="1:29" x14ac:dyDescent="0.3">
      <c r="A64">
        <v>60</v>
      </c>
      <c r="B64">
        <v>590.04999999999995</v>
      </c>
      <c r="C64">
        <v>3600</v>
      </c>
      <c r="D64">
        <v>0.56140596629087358</v>
      </c>
      <c r="E64">
        <v>3.3034952442270535</v>
      </c>
      <c r="F64">
        <v>2.6332025888732093E-2</v>
      </c>
      <c r="G64" s="14">
        <f t="shared" si="13"/>
        <v>1.6040170465453529E-2</v>
      </c>
      <c r="H64" s="14">
        <f t="shared" si="20"/>
        <v>1.6792514062274447E-2</v>
      </c>
      <c r="J64">
        <f t="shared" si="21"/>
        <v>1.2538272440652123E-9</v>
      </c>
      <c r="K64" s="14">
        <f t="shared" si="22"/>
        <v>1.2690018468697257E-9</v>
      </c>
      <c r="L64" s="14">
        <f t="shared" si="23"/>
        <v>4.8661301090456999E-8</v>
      </c>
      <c r="M64" s="14">
        <f t="shared" si="24"/>
        <v>1.2538272440652123E-9</v>
      </c>
      <c r="N64">
        <f t="shared" si="25"/>
        <v>11.586814205434216</v>
      </c>
      <c r="O64">
        <f t="shared" si="14"/>
        <v>-20.497065168129339</v>
      </c>
      <c r="Q64">
        <f t="shared" si="26"/>
        <v>1.001810959303474E-9</v>
      </c>
      <c r="R64">
        <f t="shared" si="27"/>
        <v>1.0140752220733442E-9</v>
      </c>
      <c r="S64">
        <f t="shared" si="28"/>
        <v>3.8434498945699612E-8</v>
      </c>
      <c r="T64">
        <f t="shared" si="29"/>
        <v>1.001810959303474E-9</v>
      </c>
      <c r="U64">
        <f t="shared" si="15"/>
        <v>-20.721456515452697</v>
      </c>
      <c r="V64">
        <f t="shared" si="16"/>
        <v>0.2243913473233583</v>
      </c>
      <c r="X64" s="14">
        <f t="shared" si="30"/>
        <v>1.852607530928258E-9</v>
      </c>
      <c r="Y64" s="14">
        <f t="shared" si="31"/>
        <v>1.875616128116411E-9</v>
      </c>
      <c r="Z64" s="14">
        <f t="shared" si="32"/>
        <v>7.0189252264118169E-8</v>
      </c>
      <c r="AA64" s="14">
        <f t="shared" si="17"/>
        <v>1.852607530928258E-9</v>
      </c>
      <c r="AB64">
        <f t="shared" si="18"/>
        <v>-20.106671714057907</v>
      </c>
      <c r="AC64">
        <f t="shared" si="19"/>
        <v>0.39039345407143244</v>
      </c>
    </row>
    <row r="65" spans="1:29" x14ac:dyDescent="0.3">
      <c r="A65">
        <v>61</v>
      </c>
      <c r="B65">
        <v>600.02</v>
      </c>
      <c r="C65">
        <v>3600</v>
      </c>
      <c r="D65">
        <v>0.62440596629087364</v>
      </c>
      <c r="E65">
        <v>3.4538091103549169</v>
      </c>
      <c r="F65">
        <v>2.6507117611649159E-2</v>
      </c>
      <c r="G65" s="14">
        <f t="shared" si="13"/>
        <v>1.7840170465453532E-2</v>
      </c>
      <c r="H65" s="14">
        <f t="shared" si="20"/>
        <v>1.8597516682929222E-2</v>
      </c>
      <c r="J65">
        <f t="shared" si="21"/>
        <v>1.4783087523563245E-9</v>
      </c>
      <c r="K65" s="14">
        <f t="shared" si="22"/>
        <v>1.4982920243868104E-9</v>
      </c>
      <c r="L65" s="14">
        <f t="shared" si="23"/>
        <v>5.153359383934737E-8</v>
      </c>
      <c r="M65" s="14">
        <f t="shared" si="24"/>
        <v>1.4783087523563245E-9</v>
      </c>
      <c r="N65">
        <f t="shared" si="25"/>
        <v>11.454491306041099</v>
      </c>
      <c r="O65">
        <f t="shared" si="14"/>
        <v>-20.33236713748412</v>
      </c>
      <c r="Q65">
        <f t="shared" si="26"/>
        <v>8.7952846549327887E-10</v>
      </c>
      <c r="R65">
        <f t="shared" si="27"/>
        <v>8.9167774314017399E-10</v>
      </c>
      <c r="S65">
        <f t="shared" si="28"/>
        <v>3.0005642665689436E-8</v>
      </c>
      <c r="T65">
        <f t="shared" si="29"/>
        <v>8.7952846549327887E-10</v>
      </c>
      <c r="U65">
        <f t="shared" si="15"/>
        <v>-20.851635186733724</v>
      </c>
      <c r="V65">
        <f t="shared" si="16"/>
        <v>0.51926804924960379</v>
      </c>
      <c r="X65" s="14">
        <f t="shared" si="30"/>
        <v>2.1472533250511804E-9</v>
      </c>
      <c r="Y65" s="14">
        <f t="shared" si="31"/>
        <v>2.17696477126317E-9</v>
      </c>
      <c r="Z65" s="14">
        <f t="shared" si="32"/>
        <v>7.3244479679786855E-8</v>
      </c>
      <c r="AA65" s="14">
        <f t="shared" si="17"/>
        <v>2.1472533250511804E-9</v>
      </c>
      <c r="AB65">
        <f t="shared" si="18"/>
        <v>-19.959076334767321</v>
      </c>
      <c r="AC65">
        <f t="shared" si="19"/>
        <v>0.37329080271679871</v>
      </c>
    </row>
    <row r="66" spans="1:29" x14ac:dyDescent="0.3">
      <c r="A66">
        <v>62</v>
      </c>
      <c r="B66">
        <v>595.04</v>
      </c>
      <c r="C66">
        <v>3600</v>
      </c>
      <c r="D66">
        <v>0.67117353385844114</v>
      </c>
      <c r="E66">
        <v>3.3782674372920654</v>
      </c>
      <c r="F66">
        <v>2.0568618510199588E-2</v>
      </c>
      <c r="G66" s="14">
        <f t="shared" si="13"/>
        <v>1.9176386681669749E-2</v>
      </c>
      <c r="H66" s="14">
        <f t="shared" si="20"/>
        <v>1.9764061496246876E-2</v>
      </c>
      <c r="J66">
        <f t="shared" si="21"/>
        <v>1.1989957188631334E-9</v>
      </c>
      <c r="K66" s="14">
        <f t="shared" si="22"/>
        <v>1.2167190762065404E-9</v>
      </c>
      <c r="L66" s="14">
        <f t="shared" si="23"/>
        <v>3.8316684068354947E-8</v>
      </c>
      <c r="M66" s="14">
        <f t="shared" si="24"/>
        <v>1.1989957188631334E-9</v>
      </c>
      <c r="N66">
        <f t="shared" si="25"/>
        <v>11.520206442099443</v>
      </c>
      <c r="O66">
        <f t="shared" si="14"/>
        <v>-20.541781531496955</v>
      </c>
      <c r="Q66">
        <f t="shared" si="26"/>
        <v>5.3005114616827751E-10</v>
      </c>
      <c r="R66">
        <f t="shared" si="27"/>
        <v>5.3804632933016879E-10</v>
      </c>
      <c r="S66">
        <f t="shared" si="28"/>
        <v>1.6605798227918932E-8</v>
      </c>
      <c r="T66">
        <f t="shared" si="29"/>
        <v>5.3005114616827751E-10</v>
      </c>
      <c r="U66">
        <f t="shared" si="15"/>
        <v>-21.35804761183412</v>
      </c>
      <c r="V66">
        <f t="shared" si="16"/>
        <v>0.81626608033716508</v>
      </c>
      <c r="X66" s="14">
        <f t="shared" si="30"/>
        <v>1.7537273058671942E-9</v>
      </c>
      <c r="Y66" s="14">
        <f t="shared" si="31"/>
        <v>1.7800809811737014E-9</v>
      </c>
      <c r="Z66" s="14">
        <f t="shared" si="32"/>
        <v>5.5185090610468877E-8</v>
      </c>
      <c r="AA66" s="14">
        <f t="shared" si="17"/>
        <v>1.7537273058671942E-9</v>
      </c>
      <c r="AB66">
        <f t="shared" si="18"/>
        <v>-20.161522424942181</v>
      </c>
      <c r="AC66">
        <f t="shared" si="19"/>
        <v>0.38025910655477446</v>
      </c>
    </row>
    <row r="67" spans="1:29" x14ac:dyDescent="0.3">
      <c r="A67">
        <v>63</v>
      </c>
      <c r="B67">
        <v>590.05999999999995</v>
      </c>
      <c r="C67">
        <v>3600</v>
      </c>
      <c r="D67">
        <v>0.70301407439898167</v>
      </c>
      <c r="E67">
        <v>3.3036441657804807</v>
      </c>
      <c r="F67">
        <v>1.4577689958028023E-2</v>
      </c>
      <c r="G67" s="14">
        <f t="shared" si="13"/>
        <v>2.0086116411399475E-2</v>
      </c>
      <c r="H67" s="14">
        <f t="shared" si="20"/>
        <v>2.0502621838771704E-2</v>
      </c>
      <c r="J67">
        <f t="shared" si="21"/>
        <v>8.6583520905116102E-10</v>
      </c>
      <c r="K67" s="14">
        <f t="shared" si="22"/>
        <v>8.7942036745672541E-10</v>
      </c>
      <c r="L67" s="14">
        <f t="shared" si="23"/>
        <v>2.6116845141301558E-8</v>
      </c>
      <c r="M67" s="14">
        <f t="shared" si="24"/>
        <v>8.6583520905116102E-10</v>
      </c>
      <c r="N67">
        <f t="shared" si="25"/>
        <v>11.586679952726346</v>
      </c>
      <c r="O67">
        <f t="shared" si="14"/>
        <v>-20.86732651525277</v>
      </c>
      <c r="Q67">
        <f t="shared" si="26"/>
        <v>3.1110362204710016E-10</v>
      </c>
      <c r="R67">
        <f t="shared" si="27"/>
        <v>3.1605846248960112E-10</v>
      </c>
      <c r="S67">
        <f t="shared" si="28"/>
        <v>9.2484385991945663E-9</v>
      </c>
      <c r="T67">
        <f t="shared" si="29"/>
        <v>3.1110362204710016E-10</v>
      </c>
      <c r="U67">
        <f t="shared" si="15"/>
        <v>-21.890895069382672</v>
      </c>
      <c r="V67">
        <f t="shared" si="16"/>
        <v>1.023568554129902</v>
      </c>
      <c r="X67" s="14">
        <f t="shared" si="30"/>
        <v>1.2756343909614072E-9</v>
      </c>
      <c r="Y67" s="14">
        <f t="shared" si="31"/>
        <v>1.295869519542447E-9</v>
      </c>
      <c r="Z67" s="14">
        <f t="shared" si="32"/>
        <v>3.8082123905910703E-8</v>
      </c>
      <c r="AA67" s="14">
        <f t="shared" si="17"/>
        <v>1.2756343909614072E-9</v>
      </c>
      <c r="AB67">
        <f t="shared" si="18"/>
        <v>-20.47982222054036</v>
      </c>
      <c r="AC67">
        <f t="shared" si="19"/>
        <v>0.38750429471241077</v>
      </c>
    </row>
    <row r="68" spans="1:29" x14ac:dyDescent="0.3">
      <c r="A68">
        <v>64</v>
      </c>
      <c r="B68">
        <v>585.09</v>
      </c>
      <c r="C68">
        <v>3600</v>
      </c>
      <c r="D68">
        <v>0.72896105135465883</v>
      </c>
      <c r="E68">
        <v>3.230086997334622</v>
      </c>
      <c r="F68">
        <v>1.2211568556481579E-2</v>
      </c>
      <c r="G68" s="14">
        <f t="shared" si="13"/>
        <v>2.0827458610133111E-2</v>
      </c>
      <c r="H68" s="14">
        <f t="shared" ref="H68:H80" si="33">(D68+F68)/$D$81</f>
        <v>2.1176360568889725E-2</v>
      </c>
      <c r="J68">
        <f t="shared" ref="J68:J80" si="34">((G68^2-G67^2)*PI())/(36*C68)</f>
        <v>7.3524321032695603E-10</v>
      </c>
      <c r="K68" s="14">
        <f t="shared" ref="K68:K80" si="35">(1/(PI()*PI()*C68))*(-(G68-G67)*PI()*PI()/3-2*PI()*(SQRT(1-PI()/3*G68)-SQRT(1-PI()/3*G67)))</f>
        <v>7.47272438728786E-10</v>
      </c>
      <c r="L68" s="14">
        <f t="shared" ref="L68:L80" si="36">(1/(PI()^2*C68))*LN((1-G67)/(1-G68))</f>
        <v>2.130065197944682E-8</v>
      </c>
      <c r="M68" s="14">
        <f t="shared" ref="M68:M99" si="37">(G68&lt;0.05)*J68+((G68&gt;=0.05)*(G68&lt;0.9))*K68+(G68&gt;=0.9)*L68</f>
        <v>7.3524321032695603E-10</v>
      </c>
      <c r="N68">
        <f t="shared" ref="N68:N80" si="38">10000/(273+B68)</f>
        <v>11.653789229567993</v>
      </c>
      <c r="O68">
        <f t="shared" si="14"/>
        <v>-21.030819773046492</v>
      </c>
      <c r="Q68">
        <f t="shared" ref="Q68:Q80" si="39">((G68^2-H67^2)*PI())/(36*C68)</f>
        <v>3.2544402841671006E-10</v>
      </c>
      <c r="R68">
        <f t="shared" ref="R68:R80" si="40">(1/(PI()*PI()*C68))*(-(G68-H67)*PI()*PI()/3-2*PI()*(SQRT(1-PI()/3*G68)-SQRT(1-PI()/3*H67)))</f>
        <v>3.3082328664307657E-10</v>
      </c>
      <c r="S68">
        <f t="shared" ref="S68:S80" si="41">(1/(PI()^2*C68))*LN((1-H67)/(1-G68))</f>
        <v>9.3353732148406661E-9</v>
      </c>
      <c r="T68">
        <f t="shared" ref="T68:T99" si="42">(G68&lt;0.05)*Q68+((G68&gt;=0.05)*(G68&lt;0.9))*R68+(G68&gt;=0.9)*S68</f>
        <v>3.2544402841671006E-10</v>
      </c>
      <c r="U68">
        <f t="shared" si="15"/>
        <v>-21.845830624775033</v>
      </c>
      <c r="V68">
        <f t="shared" si="16"/>
        <v>0.81501085172854104</v>
      </c>
      <c r="X68" s="14">
        <f t="shared" ref="X68:X80" si="43">((H68^2-G67^2)*PI())/(36*C68)</f>
        <v>1.0904956417394042E-9</v>
      </c>
      <c r="Y68" s="14">
        <f t="shared" ref="Y68:Y80" si="44">(1/(PI()*PI()*C68))*(-(H68-G67)*PI()*PI()/3-2*PI()*(SQRT(1-PI()/3*H68)-SQRT(1-PI()/3*G67)))</f>
        <v>1.108494357601694E-9</v>
      </c>
      <c r="Z68" s="14">
        <f t="shared" ref="Z68:Z80" si="45">(1/(PI()^2*C68))*LN((1-G67)/(1-H68))</f>
        <v>3.1331076665887595E-8</v>
      </c>
      <c r="AA68" s="14">
        <f t="shared" si="17"/>
        <v>1.0904956417394042E-9</v>
      </c>
      <c r="AB68">
        <f t="shared" si="18"/>
        <v>-20.636633526865779</v>
      </c>
      <c r="AC68">
        <f t="shared" si="19"/>
        <v>0.39418624618071263</v>
      </c>
    </row>
    <row r="69" spans="1:29" x14ac:dyDescent="0.3">
      <c r="A69">
        <v>65</v>
      </c>
      <c r="B69">
        <v>580.15</v>
      </c>
      <c r="C69">
        <v>3600</v>
      </c>
      <c r="D69">
        <v>0.74549536080117729</v>
      </c>
      <c r="E69">
        <v>3.1578814301425124</v>
      </c>
      <c r="F69">
        <v>8.181471820862667E-3</v>
      </c>
      <c r="G69" s="14">
        <f t="shared" ref="G69:G80" si="46">D69/$D$81</f>
        <v>2.1299867451462208E-2</v>
      </c>
      <c r="H69" s="14">
        <f t="shared" si="33"/>
        <v>2.1533623789201144E-2</v>
      </c>
      <c r="J69">
        <f t="shared" si="34"/>
        <v>4.8242164175138976E-10</v>
      </c>
      <c r="K69" s="14">
        <f t="shared" si="35"/>
        <v>4.9055246080962952E-10</v>
      </c>
      <c r="L69" s="14">
        <f t="shared" si="36"/>
        <v>1.3581925063815017E-8</v>
      </c>
      <c r="M69" s="14">
        <f t="shared" si="37"/>
        <v>4.8242164175138976E-10</v>
      </c>
      <c r="N69">
        <f t="shared" si="38"/>
        <v>11.721268241223701</v>
      </c>
      <c r="O69">
        <f t="shared" ref="O69:O80" si="47">LN(M69)</f>
        <v>-21.452202608853153</v>
      </c>
      <c r="Q69">
        <f t="shared" si="39"/>
        <v>1.2716921033894158E-10</v>
      </c>
      <c r="R69">
        <f t="shared" si="40"/>
        <v>1.2933054193673836E-10</v>
      </c>
      <c r="S69">
        <f t="shared" si="41"/>
        <v>3.5515003773733149E-9</v>
      </c>
      <c r="T69">
        <f t="shared" si="42"/>
        <v>1.2716921033894158E-10</v>
      </c>
      <c r="U69">
        <f t="shared" ref="U69:U80" si="48">LN(T69)</f>
        <v>-22.785502551406864</v>
      </c>
      <c r="V69">
        <f t="shared" ref="V69:V80" si="49">IFERROR(O69-U69,5)</f>
        <v>1.3332999425537118</v>
      </c>
      <c r="X69" s="14">
        <f t="shared" si="43"/>
        <v>7.2513391601585144E-10</v>
      </c>
      <c r="Y69" s="14">
        <f t="shared" si="44"/>
        <v>7.3742519192188134E-10</v>
      </c>
      <c r="Z69" s="14">
        <f t="shared" si="45"/>
        <v>2.0304929079571648E-8</v>
      </c>
      <c r="AA69" s="14">
        <f t="shared" ref="AA69:AA80" si="50">(H69&lt;0.05)*X69+((H69&gt;=0.05)*(H69&lt;0.9))*Y69+(H69&gt;=0.9)*Z69</f>
        <v>7.2513391601585144E-10</v>
      </c>
      <c r="AB69">
        <f t="shared" ref="AB69:AB80" si="51">LN(AA69)</f>
        <v>-21.044664766384987</v>
      </c>
      <c r="AC69">
        <f t="shared" ref="AC69:AC80" si="52">AB69-O69</f>
        <v>0.40753784246816593</v>
      </c>
    </row>
    <row r="70" spans="1:29" x14ac:dyDescent="0.3">
      <c r="A70">
        <v>66</v>
      </c>
      <c r="B70">
        <v>575.13</v>
      </c>
      <c r="C70">
        <v>3600</v>
      </c>
      <c r="D70">
        <v>0.75686973153889014</v>
      </c>
      <c r="E70">
        <v>3.0854339416706278</v>
      </c>
      <c r="F70">
        <v>5.8281751937954507E-3</v>
      </c>
      <c r="G70" s="14">
        <f t="shared" si="46"/>
        <v>2.1624849472539717E-2</v>
      </c>
      <c r="H70" s="14">
        <f t="shared" si="33"/>
        <v>2.1791368763791015E-2</v>
      </c>
      <c r="J70">
        <f t="shared" si="34"/>
        <v>3.3815175535643536E-10</v>
      </c>
      <c r="K70" s="14">
        <f t="shared" si="35"/>
        <v>3.4396082635331967E-10</v>
      </c>
      <c r="L70" s="14">
        <f t="shared" si="36"/>
        <v>9.3471574154725935E-9</v>
      </c>
      <c r="M70" s="14">
        <f t="shared" si="37"/>
        <v>3.3815175535643536E-10</v>
      </c>
      <c r="N70">
        <f t="shared" si="38"/>
        <v>11.79064530201738</v>
      </c>
      <c r="O70">
        <f t="shared" si="47"/>
        <v>-21.807526340862562</v>
      </c>
      <c r="Q70">
        <f t="shared" si="39"/>
        <v>9.5439481091973786E-11</v>
      </c>
      <c r="R70">
        <f t="shared" si="40"/>
        <v>9.7088095241075408E-11</v>
      </c>
      <c r="S70">
        <f t="shared" si="41"/>
        <v>2.6241533997068204E-9</v>
      </c>
      <c r="T70">
        <f t="shared" si="42"/>
        <v>9.5439481091973786E-11</v>
      </c>
      <c r="U70">
        <f t="shared" si="48"/>
        <v>-23.072528775161487</v>
      </c>
      <c r="V70">
        <f t="shared" si="49"/>
        <v>1.2650024342989248</v>
      </c>
      <c r="X70" s="14">
        <f t="shared" si="43"/>
        <v>5.134031232719264E-10</v>
      </c>
      <c r="Y70" s="14">
        <f t="shared" si="44"/>
        <v>5.2225791242512172E-10</v>
      </c>
      <c r="Z70" s="14">
        <f t="shared" si="45"/>
        <v>1.413780093030199E-8</v>
      </c>
      <c r="AA70" s="14">
        <f t="shared" si="50"/>
        <v>5.134031232719264E-10</v>
      </c>
      <c r="AB70">
        <f t="shared" si="51"/>
        <v>-21.389959764004118</v>
      </c>
      <c r="AC70">
        <f t="shared" si="52"/>
        <v>0.41756657685844445</v>
      </c>
    </row>
    <row r="71" spans="1:29" x14ac:dyDescent="0.3">
      <c r="A71">
        <v>67</v>
      </c>
      <c r="B71">
        <v>570.15</v>
      </c>
      <c r="C71">
        <v>3600</v>
      </c>
      <c r="D71">
        <v>0.76694524103118333</v>
      </c>
      <c r="E71">
        <v>3.0144877921283162</v>
      </c>
      <c r="F71">
        <v>5.2875183972029881E-3</v>
      </c>
      <c r="G71" s="14">
        <f t="shared" si="46"/>
        <v>2.1912721172319523E-2</v>
      </c>
      <c r="H71" s="14">
        <f t="shared" si="33"/>
        <v>2.2063793126525323E-2</v>
      </c>
      <c r="J71">
        <f t="shared" si="34"/>
        <v>3.0381417687913096E-10</v>
      </c>
      <c r="K71" s="14">
        <f t="shared" si="35"/>
        <v>3.0910930388499547E-10</v>
      </c>
      <c r="L71" s="14">
        <f t="shared" si="36"/>
        <v>8.2823811463892549E-9</v>
      </c>
      <c r="M71" s="14">
        <f t="shared" si="37"/>
        <v>3.0381417687913096E-10</v>
      </c>
      <c r="N71">
        <f t="shared" si="38"/>
        <v>11.860285832888573</v>
      </c>
      <c r="O71">
        <f t="shared" si="47"/>
        <v>-21.914604861684065</v>
      </c>
      <c r="Q71">
        <f t="shared" si="39"/>
        <v>1.2856280896363999E-10</v>
      </c>
      <c r="R71">
        <f t="shared" si="40"/>
        <v>1.3081221781320412E-10</v>
      </c>
      <c r="S71">
        <f t="shared" si="41"/>
        <v>3.4917376315516405E-9</v>
      </c>
      <c r="T71">
        <f t="shared" si="42"/>
        <v>1.2856280896363999E-10</v>
      </c>
      <c r="U71">
        <f t="shared" si="48"/>
        <v>-22.774603545300838</v>
      </c>
      <c r="V71">
        <f t="shared" si="49"/>
        <v>0.85999868361677301</v>
      </c>
      <c r="X71" s="14">
        <f t="shared" si="43"/>
        <v>4.6486002069426626E-10</v>
      </c>
      <c r="Y71" s="14">
        <f t="shared" si="44"/>
        <v>4.7299081084423328E-10</v>
      </c>
      <c r="Z71" s="14">
        <f t="shared" si="45"/>
        <v>1.2629860542898677E-8</v>
      </c>
      <c r="AA71" s="14">
        <f t="shared" si="50"/>
        <v>4.6486002069426626E-10</v>
      </c>
      <c r="AB71">
        <f t="shared" si="51"/>
        <v>-21.489284786425067</v>
      </c>
      <c r="AC71">
        <f t="shared" si="52"/>
        <v>0.42532007525899829</v>
      </c>
    </row>
    <row r="72" spans="1:29" x14ac:dyDescent="0.3">
      <c r="A72">
        <v>68</v>
      </c>
      <c r="B72">
        <v>565.16</v>
      </c>
      <c r="C72">
        <v>3600</v>
      </c>
      <c r="D72">
        <v>0.77441117167008022</v>
      </c>
      <c r="E72">
        <v>2.9443225984588737</v>
      </c>
      <c r="F72">
        <v>4.1181849226870886E-3</v>
      </c>
      <c r="G72" s="14">
        <f t="shared" si="46"/>
        <v>2.2126033476288005E-2</v>
      </c>
      <c r="H72" s="14">
        <f t="shared" si="33"/>
        <v>2.2243695902650497E-2</v>
      </c>
      <c r="J72">
        <f t="shared" si="34"/>
        <v>2.2771718522702185E-10</v>
      </c>
      <c r="K72" s="14">
        <f t="shared" si="35"/>
        <v>2.3173258654090267E-10</v>
      </c>
      <c r="L72" s="14">
        <f t="shared" si="36"/>
        <v>6.138798978028197E-9</v>
      </c>
      <c r="M72" s="14">
        <f t="shared" si="37"/>
        <v>2.2771718522702185E-10</v>
      </c>
      <c r="N72">
        <f t="shared" si="38"/>
        <v>11.930896248926219</v>
      </c>
      <c r="O72">
        <f t="shared" si="47"/>
        <v>-22.202916672597357</v>
      </c>
      <c r="Q72">
        <f t="shared" si="39"/>
        <v>6.6671341411886617E-11</v>
      </c>
      <c r="R72">
        <f t="shared" si="40"/>
        <v>6.7851079581666324E-11</v>
      </c>
      <c r="S72">
        <f t="shared" si="41"/>
        <v>1.7913195815182455E-9</v>
      </c>
      <c r="T72">
        <f t="shared" si="42"/>
        <v>6.6671341411886617E-11</v>
      </c>
      <c r="U72">
        <f t="shared" si="48"/>
        <v>-23.431245919328695</v>
      </c>
      <c r="V72">
        <f t="shared" si="49"/>
        <v>1.228329246731338</v>
      </c>
      <c r="X72" s="14">
        <f t="shared" si="43"/>
        <v>3.5426931282359739E-10</v>
      </c>
      <c r="Y72" s="14">
        <f t="shared" si="44"/>
        <v>3.6053333356046328E-10</v>
      </c>
      <c r="Z72" s="14">
        <f t="shared" si="45"/>
        <v>9.5255151297215603E-9</v>
      </c>
      <c r="AA72" s="14">
        <f t="shared" si="50"/>
        <v>3.5426931282359739E-10</v>
      </c>
      <c r="AB72">
        <f t="shared" si="51"/>
        <v>-21.760963721345977</v>
      </c>
      <c r="AC72">
        <f t="shared" si="52"/>
        <v>0.44195295125138045</v>
      </c>
    </row>
    <row r="73" spans="1:29" x14ac:dyDescent="0.3">
      <c r="A73">
        <v>69</v>
      </c>
      <c r="B73">
        <v>560.15</v>
      </c>
      <c r="C73">
        <v>3600</v>
      </c>
      <c r="D73">
        <v>0.78023043476433174</v>
      </c>
      <c r="E73">
        <v>2.874806269012006</v>
      </c>
      <c r="F73">
        <v>3.3363048007097667E-3</v>
      </c>
      <c r="G73" s="14">
        <f t="shared" si="46"/>
        <v>2.2292298136123764E-2</v>
      </c>
      <c r="H73" s="14">
        <f t="shared" si="33"/>
        <v>2.2387621130429757E-2</v>
      </c>
      <c r="J73">
        <f t="shared" si="34"/>
        <v>1.7902227070095502E-10</v>
      </c>
      <c r="K73" s="14">
        <f t="shared" si="35"/>
        <v>1.822067577857996E-10</v>
      </c>
      <c r="L73" s="14">
        <f t="shared" si="36"/>
        <v>4.785769098596726E-9</v>
      </c>
      <c r="M73" s="14">
        <f t="shared" si="37"/>
        <v>1.7902227070095502E-10</v>
      </c>
      <c r="N73">
        <f t="shared" si="38"/>
        <v>12.002640580927805</v>
      </c>
      <c r="O73">
        <f t="shared" si="47"/>
        <v>-22.443510900503217</v>
      </c>
      <c r="Q73">
        <f t="shared" si="39"/>
        <v>5.2470143104379497E-11</v>
      </c>
      <c r="R73">
        <f t="shared" si="40"/>
        <v>5.3406010766238239E-11</v>
      </c>
      <c r="S73">
        <f t="shared" si="41"/>
        <v>1.3990529469037829E-9</v>
      </c>
      <c r="T73">
        <f t="shared" si="42"/>
        <v>5.2470143104379497E-11</v>
      </c>
      <c r="U73">
        <f t="shared" si="48"/>
        <v>-23.670776810877452</v>
      </c>
      <c r="V73">
        <f t="shared" si="49"/>
        <v>1.2272659103742356</v>
      </c>
      <c r="X73" s="14">
        <f t="shared" si="43"/>
        <v>2.8226391835110675E-10</v>
      </c>
      <c r="Y73" s="14">
        <f t="shared" si="44"/>
        <v>2.8729591513190877E-10</v>
      </c>
      <c r="Z73" s="14">
        <f t="shared" si="45"/>
        <v>7.5299173199462085E-9</v>
      </c>
      <c r="AA73" s="14">
        <f t="shared" si="50"/>
        <v>2.8226391835110675E-10</v>
      </c>
      <c r="AB73">
        <f t="shared" si="51"/>
        <v>-21.988178601976028</v>
      </c>
      <c r="AC73">
        <f t="shared" si="52"/>
        <v>0.45533229852718904</v>
      </c>
    </row>
    <row r="74" spans="1:29" x14ac:dyDescent="0.3">
      <c r="A74">
        <v>70</v>
      </c>
      <c r="B74">
        <v>555.16</v>
      </c>
      <c r="C74">
        <v>3600</v>
      </c>
      <c r="D74">
        <v>0.78531235915415287</v>
      </c>
      <c r="E74">
        <v>2.8064939052835247</v>
      </c>
      <c r="F74">
        <v>3.0147099665657081E-3</v>
      </c>
      <c r="G74" s="14">
        <f t="shared" si="46"/>
        <v>2.2437495975832941E-2</v>
      </c>
      <c r="H74" s="14">
        <f t="shared" si="33"/>
        <v>2.2523630546306246E-2</v>
      </c>
      <c r="J74">
        <f t="shared" si="34"/>
        <v>1.5743523080500718E-10</v>
      </c>
      <c r="K74" s="14">
        <f t="shared" si="35"/>
        <v>1.6025574832813795E-10</v>
      </c>
      <c r="L74" s="14">
        <f t="shared" si="36"/>
        <v>4.1800465919090437E-9</v>
      </c>
      <c r="M74" s="14">
        <f t="shared" si="37"/>
        <v>1.5743523080500718E-10</v>
      </c>
      <c r="N74">
        <f t="shared" si="38"/>
        <v>12.074961360123648</v>
      </c>
      <c r="O74">
        <f t="shared" si="47"/>
        <v>-22.572006975226415</v>
      </c>
      <c r="Q74">
        <f t="shared" si="39"/>
        <v>5.4193583154855458E-11</v>
      </c>
      <c r="R74">
        <f t="shared" si="40"/>
        <v>5.5166590982028815E-11</v>
      </c>
      <c r="S74">
        <f t="shared" si="41"/>
        <v>1.4358983705624141E-9</v>
      </c>
      <c r="T74">
        <f t="shared" si="42"/>
        <v>5.4193583154855458E-11</v>
      </c>
      <c r="U74">
        <f t="shared" si="48"/>
        <v>-23.638458606468667</v>
      </c>
      <c r="V74">
        <f t="shared" si="49"/>
        <v>1.0664516312422521</v>
      </c>
      <c r="X74" s="14">
        <f t="shared" si="43"/>
        <v>2.5131230541222661E-10</v>
      </c>
      <c r="Y74" s="14">
        <f t="shared" si="44"/>
        <v>2.558235382131065E-10</v>
      </c>
      <c r="Z74" s="14">
        <f t="shared" si="45"/>
        <v>6.6600361082601186E-9</v>
      </c>
      <c r="AA74" s="14">
        <f t="shared" si="50"/>
        <v>2.5131230541222661E-10</v>
      </c>
      <c r="AB74">
        <f t="shared" si="51"/>
        <v>-22.104324705557445</v>
      </c>
      <c r="AC74">
        <f t="shared" si="52"/>
        <v>0.46768226966896975</v>
      </c>
    </row>
    <row r="75" spans="1:29" x14ac:dyDescent="0.3">
      <c r="A75">
        <v>71</v>
      </c>
      <c r="B75">
        <v>600.1</v>
      </c>
      <c r="C75">
        <v>3600</v>
      </c>
      <c r="D75">
        <v>0.81902924544239808</v>
      </c>
      <c r="E75">
        <v>3.4550301226721372</v>
      </c>
      <c r="F75">
        <v>1.3829021081650551E-2</v>
      </c>
      <c r="G75" s="14">
        <f t="shared" si="46"/>
        <v>2.3400835584068518E-2</v>
      </c>
      <c r="H75" s="14">
        <f t="shared" si="33"/>
        <v>2.3795950472115673E-2</v>
      </c>
      <c r="J75">
        <f t="shared" si="34"/>
        <v>1.0704172265381221E-9</v>
      </c>
      <c r="K75" s="14">
        <f t="shared" si="35"/>
        <v>1.0900821198697515E-9</v>
      </c>
      <c r="L75" s="14">
        <f t="shared" si="36"/>
        <v>2.7748960032626392E-8</v>
      </c>
      <c r="M75" s="14">
        <f t="shared" si="37"/>
        <v>1.0704172265381221E-9</v>
      </c>
      <c r="N75">
        <f t="shared" si="38"/>
        <v>11.453441759248653</v>
      </c>
      <c r="O75">
        <f t="shared" si="47"/>
        <v>-20.655217333132025</v>
      </c>
      <c r="Q75">
        <f t="shared" si="39"/>
        <v>9.7654015193090287E-10</v>
      </c>
      <c r="R75">
        <f t="shared" si="40"/>
        <v>9.945143299848059E-10</v>
      </c>
      <c r="S75">
        <f t="shared" si="41"/>
        <v>2.5268970516267286E-8</v>
      </c>
      <c r="T75">
        <f t="shared" si="42"/>
        <v>9.7654015193090287E-10</v>
      </c>
      <c r="U75">
        <f t="shared" si="48"/>
        <v>-20.747005248248335</v>
      </c>
      <c r="V75">
        <f t="shared" si="49"/>
        <v>9.1787915116309904E-2</v>
      </c>
      <c r="X75" s="14">
        <f t="shared" si="43"/>
        <v>1.5224612077211035E-9</v>
      </c>
      <c r="Y75" s="14">
        <f t="shared" si="44"/>
        <v>1.550680906306391E-9</v>
      </c>
      <c r="Z75" s="14">
        <f t="shared" si="45"/>
        <v>3.9138145586809516E-8</v>
      </c>
      <c r="AA75" s="14">
        <f t="shared" si="50"/>
        <v>1.5224612077211035E-9</v>
      </c>
      <c r="AB75">
        <f t="shared" si="51"/>
        <v>-20.302937595998426</v>
      </c>
      <c r="AC75">
        <f t="shared" si="52"/>
        <v>0.35227973713359972</v>
      </c>
    </row>
    <row r="76" spans="1:29" s="35" customFormat="1" x14ac:dyDescent="0.3">
      <c r="A76" s="35">
        <v>72</v>
      </c>
      <c r="B76" s="35">
        <v>551.66999999999996</v>
      </c>
      <c r="C76" s="35">
        <v>4765</v>
      </c>
      <c r="D76" s="35">
        <v>0.83049667671177174</v>
      </c>
      <c r="E76" s="35">
        <v>3.6521948527883534</v>
      </c>
      <c r="F76" s="35">
        <v>4.6823952561165982E-3</v>
      </c>
      <c r="G76" s="36">
        <f t="shared" si="46"/>
        <v>2.3728476477479193E-2</v>
      </c>
      <c r="H76" s="36">
        <f t="shared" si="33"/>
        <v>2.3862259199082525E-2</v>
      </c>
      <c r="J76" s="35">
        <f t="shared" si="34"/>
        <v>2.8279626478208646E-10</v>
      </c>
      <c r="K76" s="36">
        <f t="shared" si="35"/>
        <v>2.8814025203912535E-10</v>
      </c>
      <c r="L76" s="36">
        <f t="shared" si="36"/>
        <v>7.1349669219988039E-9</v>
      </c>
      <c r="M76" s="36">
        <f t="shared" si="37"/>
        <v>2.8279626478208646E-10</v>
      </c>
      <c r="N76" s="35">
        <f t="shared" si="38"/>
        <v>12.126062546230614</v>
      </c>
      <c r="O76" s="35">
        <f t="shared" si="47"/>
        <v>-21.986294389977491</v>
      </c>
      <c r="Q76" s="35">
        <f t="shared" si="39"/>
        <v>-5.8726994873471369E-11</v>
      </c>
      <c r="R76" s="35">
        <f t="shared" si="40"/>
        <v>-5.9846239287609948E-11</v>
      </c>
      <c r="S76" s="35">
        <f t="shared" si="41"/>
        <v>-1.4696643466433499E-9</v>
      </c>
      <c r="T76" s="35">
        <f t="shared" si="42"/>
        <v>-5.8726994873471369E-11</v>
      </c>
      <c r="U76" s="35" t="e">
        <f t="shared" si="48"/>
        <v>#NUM!</v>
      </c>
      <c r="V76" s="35">
        <f t="shared" si="49"/>
        <v>5</v>
      </c>
      <c r="X76" s="36">
        <f t="shared" si="43"/>
        <v>3.9939850974759242E-10</v>
      </c>
      <c r="Y76" s="36">
        <f t="shared" si="44"/>
        <v>4.0696792397158728E-10</v>
      </c>
      <c r="Z76" s="36">
        <f t="shared" si="45"/>
        <v>1.0049013659402238E-8</v>
      </c>
      <c r="AA76" s="36">
        <f t="shared" si="50"/>
        <v>3.9939850974759242E-10</v>
      </c>
      <c r="AB76" s="35">
        <f t="shared" si="51"/>
        <v>-21.641061426181654</v>
      </c>
      <c r="AC76" s="35">
        <f t="shared" si="52"/>
        <v>0.34523296379583712</v>
      </c>
    </row>
    <row r="77" spans="1:29" s="35" customFormat="1" x14ac:dyDescent="0.3">
      <c r="A77" s="35">
        <v>73</v>
      </c>
      <c r="B77" s="35">
        <v>550.16</v>
      </c>
      <c r="C77" s="35">
        <v>3600</v>
      </c>
      <c r="D77" s="35">
        <v>0.83487279363424349</v>
      </c>
      <c r="E77" s="35">
        <v>2.738972008025863</v>
      </c>
      <c r="F77" s="35">
        <v>2.8191513245114349E-3</v>
      </c>
      <c r="G77" s="36">
        <f t="shared" si="46"/>
        <v>2.3853508389549815E-2</v>
      </c>
      <c r="H77" s="36">
        <f t="shared" si="33"/>
        <v>2.3934055570250138E-2</v>
      </c>
      <c r="J77" s="35">
        <f t="shared" si="34"/>
        <v>1.4421429075285556E-10</v>
      </c>
      <c r="K77" s="36">
        <f t="shared" si="35"/>
        <v>1.4696619311975738E-10</v>
      </c>
      <c r="L77" s="36">
        <f t="shared" si="36"/>
        <v>3.6047555285547219E-9</v>
      </c>
      <c r="M77" s="36">
        <f t="shared" si="37"/>
        <v>1.4421429075285556E-10</v>
      </c>
      <c r="N77" s="35">
        <f t="shared" si="38"/>
        <v>12.148306526070266</v>
      </c>
      <c r="O77" s="35">
        <f t="shared" si="47"/>
        <v>-22.659720792292894</v>
      </c>
      <c r="Q77" s="35">
        <f t="shared" si="39"/>
        <v>-1.0121736263987746E-11</v>
      </c>
      <c r="R77" s="35">
        <f t="shared" si="40"/>
        <v>-1.0315433757513513E-11</v>
      </c>
      <c r="S77" s="35">
        <f t="shared" si="41"/>
        <v>-2.5230911137010769E-10</v>
      </c>
      <c r="T77" s="35">
        <f t="shared" si="42"/>
        <v>-1.0121736263987746E-11</v>
      </c>
      <c r="U77" s="35" t="e">
        <f>LN(T77)</f>
        <v>#NUM!</v>
      </c>
      <c r="V77" s="35">
        <f t="shared" si="49"/>
        <v>5</v>
      </c>
      <c r="X77" s="36">
        <f t="shared" si="43"/>
        <v>2.3752040582725849E-10</v>
      </c>
      <c r="Y77" s="36">
        <f t="shared" si="44"/>
        <v>2.4206063311050728E-10</v>
      </c>
      <c r="Z77" s="36">
        <f t="shared" si="45"/>
        <v>5.9272303728719589E-9</v>
      </c>
      <c r="AA77" s="36">
        <f t="shared" si="50"/>
        <v>2.3752040582725849E-10</v>
      </c>
      <c r="AB77" s="35">
        <f t="shared" si="51"/>
        <v>-22.160767576872033</v>
      </c>
      <c r="AC77" s="35">
        <f t="shared" si="52"/>
        <v>0.4989532154208618</v>
      </c>
    </row>
    <row r="78" spans="1:29" x14ac:dyDescent="0.3">
      <c r="A78">
        <v>74</v>
      </c>
      <c r="B78">
        <v>550.16</v>
      </c>
      <c r="C78">
        <v>3600</v>
      </c>
      <c r="D78">
        <v>0.83884743571628029</v>
      </c>
      <c r="E78">
        <v>2.738972008025863</v>
      </c>
      <c r="F78">
        <v>2.4678482115228573E-3</v>
      </c>
      <c r="G78" s="14">
        <f t="shared" si="46"/>
        <v>2.3967069591893722E-2</v>
      </c>
      <c r="H78" s="14">
        <f t="shared" si="33"/>
        <v>2.4037579540794378E-2</v>
      </c>
      <c r="J78">
        <f t="shared" si="34"/>
        <v>1.3164054574214879E-10</v>
      </c>
      <c r="K78" s="14">
        <f t="shared" si="35"/>
        <v>1.3416537925931349E-10</v>
      </c>
      <c r="L78" s="14">
        <f t="shared" si="36"/>
        <v>3.2744472723178813E-9</v>
      </c>
      <c r="M78" s="14">
        <f t="shared" si="37"/>
        <v>1.3164054574214879E-10</v>
      </c>
      <c r="N78">
        <f t="shared" si="38"/>
        <v>12.148306526070266</v>
      </c>
      <c r="O78">
        <f t="shared" si="47"/>
        <v>-22.750946046145284</v>
      </c>
      <c r="Q78">
        <f t="shared" si="39"/>
        <v>3.8334430667745869E-11</v>
      </c>
      <c r="R78">
        <f t="shared" si="40"/>
        <v>3.9070939268560516E-11</v>
      </c>
      <c r="S78">
        <f t="shared" si="41"/>
        <v>9.519724279997123E-10</v>
      </c>
      <c r="T78">
        <f t="shared" si="42"/>
        <v>3.8334430667745869E-11</v>
      </c>
      <c r="U78">
        <f t="shared" si="48"/>
        <v>-23.984672650528019</v>
      </c>
      <c r="V78">
        <f t="shared" si="49"/>
        <v>1.2337266043827348</v>
      </c>
      <c r="X78" s="14">
        <f t="shared" si="43"/>
        <v>2.1369054299870776E-10</v>
      </c>
      <c r="Y78" s="14">
        <f t="shared" si="44"/>
        <v>2.1779526087594246E-10</v>
      </c>
      <c r="Z78" s="14">
        <f t="shared" si="45"/>
        <v>5.3077374874090969E-9</v>
      </c>
      <c r="AA78" s="14">
        <f t="shared" si="50"/>
        <v>2.1369054299870776E-10</v>
      </c>
      <c r="AB78">
        <f t="shared" si="51"/>
        <v>-22.266492208215293</v>
      </c>
      <c r="AC78">
        <f t="shared" si="52"/>
        <v>0.48445383792999053</v>
      </c>
    </row>
    <row r="79" spans="1:29" x14ac:dyDescent="0.3">
      <c r="A79">
        <v>75</v>
      </c>
      <c r="B79">
        <v>500.04999999999899</v>
      </c>
      <c r="C79">
        <v>25200</v>
      </c>
      <c r="D79">
        <v>0.84532800896468796</v>
      </c>
      <c r="E79">
        <v>14.794200451760021</v>
      </c>
      <c r="F79">
        <v>4.6980419568868703E-4</v>
      </c>
      <c r="G79" s="14">
        <f t="shared" si="46"/>
        <v>2.4152228827562513E-2</v>
      </c>
      <c r="H79" s="14">
        <f t="shared" si="33"/>
        <v>2.4165651804582189E-2</v>
      </c>
      <c r="J79">
        <f t="shared" si="34"/>
        <v>3.0854001563655324E-11</v>
      </c>
      <c r="K79" s="14">
        <f t="shared" si="35"/>
        <v>3.1449551745846138E-11</v>
      </c>
      <c r="L79" s="14">
        <f t="shared" si="36"/>
        <v>7.6281955895652454E-10</v>
      </c>
      <c r="M79" s="14">
        <f t="shared" si="37"/>
        <v>3.0854001563655324E-11</v>
      </c>
      <c r="N79">
        <f t="shared" si="38"/>
        <v>12.935773882672548</v>
      </c>
      <c r="O79">
        <f t="shared" si="47"/>
        <v>-24.201754663659624</v>
      </c>
      <c r="Q79">
        <f t="shared" si="39"/>
        <v>1.9132573384146901E-11</v>
      </c>
      <c r="R79">
        <f t="shared" si="40"/>
        <v>1.9502425800612994E-11</v>
      </c>
      <c r="S79">
        <f t="shared" si="41"/>
        <v>4.7234952823002364E-10</v>
      </c>
      <c r="T79">
        <f t="shared" si="42"/>
        <v>1.9132573384146901E-11</v>
      </c>
      <c r="U79">
        <f t="shared" si="48"/>
        <v>-24.679628820658536</v>
      </c>
      <c r="V79">
        <f t="shared" si="49"/>
        <v>0.47787415699891156</v>
      </c>
      <c r="X79" s="14">
        <f t="shared" si="43"/>
        <v>3.3099969512627609E-11</v>
      </c>
      <c r="Y79" s="14">
        <f t="shared" si="44"/>
        <v>3.3739054369948355E-11</v>
      </c>
      <c r="Z79" s="14">
        <f t="shared" si="45"/>
        <v>8.1812520538993262E-10</v>
      </c>
      <c r="AA79" s="14">
        <f t="shared" si="50"/>
        <v>3.3099969512627609E-11</v>
      </c>
      <c r="AB79">
        <f t="shared" si="51"/>
        <v>-24.131488754614608</v>
      </c>
      <c r="AC79">
        <f t="shared" si="52"/>
        <v>7.0265909045016173E-2</v>
      </c>
    </row>
    <row r="80" spans="1:29" x14ac:dyDescent="0.3">
      <c r="A80">
        <v>76</v>
      </c>
      <c r="B80">
        <v>500.05999999999898</v>
      </c>
      <c r="C80">
        <v>10800</v>
      </c>
      <c r="D80">
        <v>0.84761326374175805</v>
      </c>
      <c r="E80">
        <v>6.3407183249982548</v>
      </c>
      <c r="F80">
        <v>4.2789277359442217E-4</v>
      </c>
      <c r="G80" s="14">
        <f t="shared" si="46"/>
        <v>2.4217521821193088E-2</v>
      </c>
      <c r="H80" s="14">
        <f t="shared" si="33"/>
        <v>2.4229747329010072E-2</v>
      </c>
      <c r="J80">
        <f t="shared" si="34"/>
        <v>2.5519023163185326E-11</v>
      </c>
      <c r="K80" s="14">
        <f t="shared" si="35"/>
        <v>2.6014213426909906E-11</v>
      </c>
      <c r="L80" s="14">
        <f t="shared" si="36"/>
        <v>6.2773383117336528E-10</v>
      </c>
      <c r="M80" s="14">
        <f t="shared" si="37"/>
        <v>2.5519023163185326E-11</v>
      </c>
      <c r="N80">
        <f t="shared" si="38"/>
        <v>12.935606550591173</v>
      </c>
      <c r="O80">
        <f t="shared" si="47"/>
        <v>-24.391596935489204</v>
      </c>
      <c r="Q80">
        <f t="shared" si="39"/>
        <v>2.0278431282249989E-11</v>
      </c>
      <c r="R80">
        <f t="shared" si="40"/>
        <v>2.0672040637336791E-11</v>
      </c>
      <c r="S80">
        <f t="shared" si="41"/>
        <v>4.9868732282904736E-10</v>
      </c>
      <c r="T80">
        <f t="shared" si="42"/>
        <v>2.0278431282249989E-11</v>
      </c>
      <c r="U80">
        <f t="shared" si="48"/>
        <v>-24.621463293143712</v>
      </c>
      <c r="V80">
        <f t="shared" si="49"/>
        <v>0.22986635765450814</v>
      </c>
      <c r="X80" s="14">
        <f t="shared" si="43"/>
        <v>3.0304881355895584E-11</v>
      </c>
      <c r="Y80" s="14">
        <f t="shared" si="44"/>
        <v>3.0893092004008877E-11</v>
      </c>
      <c r="Z80" s="14">
        <f t="shared" si="45"/>
        <v>7.4527584092480252E-10</v>
      </c>
      <c r="AA80" s="14">
        <f t="shared" si="50"/>
        <v>3.0304881355895584E-11</v>
      </c>
      <c r="AB80">
        <f t="shared" si="51"/>
        <v>-24.219712315533933</v>
      </c>
      <c r="AC80">
        <f t="shared" si="52"/>
        <v>0.17188461995527149</v>
      </c>
    </row>
    <row r="81" spans="1:6" x14ac:dyDescent="0.3">
      <c r="A81" s="21" t="s">
        <v>185</v>
      </c>
      <c r="D81">
        <v>35</v>
      </c>
      <c r="E81">
        <f>(54.93*2.34)</f>
        <v>128.53619999999998</v>
      </c>
      <c r="F81">
        <v>2.34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Reduced112123LVCOPyIrrOG</vt:lpstr>
      <vt:lpstr>Diffusivities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Thyer, Benjamin J.</cp:lastModifiedBy>
  <dcterms:created xsi:type="dcterms:W3CDTF">2025-02-27T01:26:25Z</dcterms:created>
  <dcterms:modified xsi:type="dcterms:W3CDTF">2026-08-01T18:23:54Z</dcterms:modified>
</cp:coreProperties>
</file>