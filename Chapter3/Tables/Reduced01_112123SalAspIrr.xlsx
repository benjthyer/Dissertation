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\Chapter3\Tables\"/>
    </mc:Choice>
  </mc:AlternateContent>
  <xr:revisionPtr revIDLastSave="0" documentId="13_ncr:1_{2C4C69F3-5472-4E08-ABEE-556D15DAC94F}" xr6:coauthVersionLast="47" xr6:coauthVersionMax="47" xr10:uidLastSave="{00000000-0000-0000-0000-000000000000}"/>
  <bookViews>
    <workbookView xWindow="43095" yWindow="-2925" windowWidth="14610" windowHeight="15585" xr2:uid="{CCC1AB7D-2C6E-402E-ADA8-CFA773985701}"/>
  </bookViews>
  <sheets>
    <sheet name="Reduced112123SalAspIrr" sheetId="1" r:id="rId1"/>
    <sheet name="Diffusiviti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W4" i="1"/>
  <c r="AA4" i="1" s="1"/>
  <c r="X4" i="1"/>
  <c r="AB4" i="1" s="1"/>
  <c r="Z4" i="1"/>
  <c r="V5" i="1"/>
  <c r="Z5" i="1" s="1"/>
  <c r="W5" i="1"/>
  <c r="AA5" i="1" s="1"/>
  <c r="X5" i="1"/>
  <c r="AB5" i="1"/>
  <c r="V6" i="1"/>
  <c r="W6" i="1"/>
  <c r="AA6" i="1" s="1"/>
  <c r="X6" i="1"/>
  <c r="AB6" i="1" s="1"/>
  <c r="Z6" i="1"/>
  <c r="V7" i="1"/>
  <c r="Z7" i="1" s="1"/>
  <c r="W7" i="1"/>
  <c r="X7" i="1"/>
  <c r="AA7" i="1"/>
  <c r="AB7" i="1"/>
  <c r="V8" i="1"/>
  <c r="W8" i="1"/>
  <c r="X8" i="1"/>
  <c r="AB8" i="1" s="1"/>
  <c r="Z8" i="1"/>
  <c r="AA8" i="1"/>
  <c r="V9" i="1"/>
  <c r="Z9" i="1" s="1"/>
  <c r="W9" i="1"/>
  <c r="AA9" i="1" s="1"/>
  <c r="X9" i="1"/>
  <c r="AB9" i="1"/>
  <c r="V10" i="1"/>
  <c r="W10" i="1"/>
  <c r="AA10" i="1" s="1"/>
  <c r="X10" i="1"/>
  <c r="AB10" i="1" s="1"/>
  <c r="Z10" i="1"/>
  <c r="V11" i="1"/>
  <c r="Z11" i="1" s="1"/>
  <c r="W11" i="1"/>
  <c r="X11" i="1"/>
  <c r="AA11" i="1"/>
  <c r="AB11" i="1"/>
  <c r="V12" i="1"/>
  <c r="W12" i="1"/>
  <c r="X12" i="1"/>
  <c r="AB12" i="1" s="1"/>
  <c r="Z12" i="1"/>
  <c r="AA12" i="1"/>
  <c r="V13" i="1"/>
  <c r="Z13" i="1" s="1"/>
  <c r="W13" i="1"/>
  <c r="AA13" i="1" s="1"/>
  <c r="X13" i="1"/>
  <c r="AB13" i="1"/>
  <c r="V14" i="1"/>
  <c r="W14" i="1"/>
  <c r="AA14" i="1" s="1"/>
  <c r="X14" i="1"/>
  <c r="AB14" i="1" s="1"/>
  <c r="Z14" i="1"/>
  <c r="V15" i="1"/>
  <c r="Z15" i="1" s="1"/>
  <c r="W15" i="1"/>
  <c r="X15" i="1"/>
  <c r="AA15" i="1"/>
  <c r="AB15" i="1"/>
  <c r="V16" i="1"/>
  <c r="W16" i="1"/>
  <c r="X16" i="1"/>
  <c r="AB16" i="1" s="1"/>
  <c r="Z16" i="1"/>
  <c r="AA16" i="1"/>
  <c r="V17" i="1"/>
  <c r="Z17" i="1" s="1"/>
  <c r="W17" i="1"/>
  <c r="AA17" i="1" s="1"/>
  <c r="X17" i="1"/>
  <c r="AB17" i="1"/>
  <c r="V18" i="1"/>
  <c r="W18" i="1"/>
  <c r="X18" i="1"/>
  <c r="AB18" i="1" s="1"/>
  <c r="Z18" i="1"/>
  <c r="AA18" i="1"/>
  <c r="V19" i="1"/>
  <c r="Z19" i="1" s="1"/>
  <c r="W19" i="1"/>
  <c r="X19" i="1"/>
  <c r="AA19" i="1"/>
  <c r="AB19" i="1"/>
  <c r="V20" i="1"/>
  <c r="W20" i="1"/>
  <c r="X20" i="1"/>
  <c r="AB20" i="1" s="1"/>
  <c r="Z20" i="1"/>
  <c r="AA20" i="1"/>
  <c r="V21" i="1"/>
  <c r="Z21" i="1" s="1"/>
  <c r="W21" i="1"/>
  <c r="AA21" i="1" s="1"/>
  <c r="X21" i="1"/>
  <c r="AB21" i="1"/>
  <c r="V22" i="1"/>
  <c r="W22" i="1"/>
  <c r="X22" i="1"/>
  <c r="AB22" i="1" s="1"/>
  <c r="Z22" i="1"/>
  <c r="AA22" i="1"/>
  <c r="V23" i="1"/>
  <c r="Z23" i="1" s="1"/>
  <c r="W23" i="1"/>
  <c r="X23" i="1"/>
  <c r="AA23" i="1"/>
  <c r="AB23" i="1"/>
  <c r="V24" i="1"/>
  <c r="W24" i="1"/>
  <c r="X24" i="1"/>
  <c r="AB24" i="1" s="1"/>
  <c r="Z24" i="1"/>
  <c r="AA24" i="1"/>
  <c r="V25" i="1"/>
  <c r="Z25" i="1" s="1"/>
  <c r="W25" i="1"/>
  <c r="AA25" i="1" s="1"/>
  <c r="X25" i="1"/>
  <c r="AB25" i="1"/>
  <c r="V26" i="1"/>
  <c r="W26" i="1"/>
  <c r="X26" i="1"/>
  <c r="AB26" i="1" s="1"/>
  <c r="Z26" i="1"/>
  <c r="AA26" i="1"/>
  <c r="V27" i="1"/>
  <c r="Z27" i="1" s="1"/>
  <c r="W27" i="1"/>
  <c r="X27" i="1"/>
  <c r="AA27" i="1"/>
  <c r="AB27" i="1"/>
  <c r="V28" i="1"/>
  <c r="W28" i="1"/>
  <c r="X28" i="1"/>
  <c r="AB28" i="1" s="1"/>
  <c r="Z28" i="1"/>
  <c r="AA28" i="1"/>
  <c r="V29" i="1"/>
  <c r="Z29" i="1" s="1"/>
  <c r="W29" i="1"/>
  <c r="AA29" i="1" s="1"/>
  <c r="X29" i="1"/>
  <c r="AB29" i="1"/>
  <c r="V30" i="1"/>
  <c r="W30" i="1"/>
  <c r="X30" i="1"/>
  <c r="AB30" i="1" s="1"/>
  <c r="Z30" i="1"/>
  <c r="AA30" i="1"/>
  <c r="V31" i="1"/>
  <c r="Z31" i="1" s="1"/>
  <c r="W31" i="1"/>
  <c r="X31" i="1"/>
  <c r="AA31" i="1"/>
  <c r="AB31" i="1"/>
  <c r="V32" i="1"/>
  <c r="W32" i="1"/>
  <c r="X32" i="1"/>
  <c r="AB32" i="1" s="1"/>
  <c r="Z32" i="1"/>
  <c r="AA32" i="1"/>
  <c r="V33" i="1"/>
  <c r="Z33" i="1" s="1"/>
  <c r="W33" i="1"/>
  <c r="AA33" i="1" s="1"/>
  <c r="X33" i="1"/>
  <c r="AB33" i="1"/>
  <c r="V34" i="1"/>
  <c r="W34" i="1"/>
  <c r="X34" i="1"/>
  <c r="AB34" i="1" s="1"/>
  <c r="Z34" i="1"/>
  <c r="AA34" i="1"/>
  <c r="V35" i="1"/>
  <c r="Z35" i="1" s="1"/>
  <c r="W35" i="1"/>
  <c r="X35" i="1"/>
  <c r="AA35" i="1"/>
  <c r="AB35" i="1"/>
  <c r="V36" i="1"/>
  <c r="W36" i="1"/>
  <c r="X36" i="1"/>
  <c r="AB36" i="1" s="1"/>
  <c r="Z36" i="1"/>
  <c r="AA36" i="1"/>
  <c r="V37" i="1"/>
  <c r="Z37" i="1" s="1"/>
  <c r="W37" i="1"/>
  <c r="AA37" i="1" s="1"/>
  <c r="X37" i="1"/>
  <c r="AB37" i="1"/>
  <c r="V38" i="1"/>
  <c r="W38" i="1"/>
  <c r="X38" i="1"/>
  <c r="AB38" i="1" s="1"/>
  <c r="Z38" i="1"/>
  <c r="AA38" i="1"/>
  <c r="V39" i="1"/>
  <c r="Z39" i="1" s="1"/>
  <c r="W39" i="1"/>
  <c r="X39" i="1"/>
  <c r="AA39" i="1"/>
  <c r="AB39" i="1"/>
  <c r="V40" i="1"/>
  <c r="W40" i="1"/>
  <c r="X40" i="1"/>
  <c r="AB40" i="1" s="1"/>
  <c r="Z40" i="1"/>
  <c r="AA40" i="1"/>
  <c r="V41" i="1"/>
  <c r="Z41" i="1" s="1"/>
  <c r="W41" i="1"/>
  <c r="AA41" i="1" s="1"/>
  <c r="X41" i="1"/>
  <c r="AB41" i="1"/>
  <c r="V42" i="1"/>
  <c r="W42" i="1"/>
  <c r="X42" i="1"/>
  <c r="AB42" i="1" s="1"/>
  <c r="Z42" i="1"/>
  <c r="AA42" i="1"/>
  <c r="V43" i="1"/>
  <c r="Z43" i="1" s="1"/>
  <c r="W43" i="1"/>
  <c r="X43" i="1"/>
  <c r="AA43" i="1"/>
  <c r="AB43" i="1"/>
  <c r="V44" i="1"/>
  <c r="W44" i="1"/>
  <c r="X44" i="1"/>
  <c r="AB44" i="1" s="1"/>
  <c r="Z44" i="1"/>
  <c r="AA44" i="1"/>
  <c r="V45" i="1"/>
  <c r="Z45" i="1" s="1"/>
  <c r="W45" i="1"/>
  <c r="AA45" i="1" s="1"/>
  <c r="X45" i="1"/>
  <c r="AB45" i="1"/>
  <c r="V46" i="1"/>
  <c r="W46" i="1"/>
  <c r="X46" i="1"/>
  <c r="AB46" i="1" s="1"/>
  <c r="Z46" i="1"/>
  <c r="AA46" i="1"/>
  <c r="V47" i="1"/>
  <c r="Z47" i="1" s="1"/>
  <c r="W47" i="1"/>
  <c r="X47" i="1"/>
  <c r="AA47" i="1"/>
  <c r="AB47" i="1"/>
  <c r="V48" i="1"/>
  <c r="W48" i="1"/>
  <c r="X48" i="1"/>
  <c r="AB48" i="1" s="1"/>
  <c r="Z48" i="1"/>
  <c r="AA48" i="1"/>
  <c r="V49" i="1"/>
  <c r="Z49" i="1" s="1"/>
  <c r="W49" i="1"/>
  <c r="AA49" i="1" s="1"/>
  <c r="X49" i="1"/>
  <c r="AB49" i="1"/>
  <c r="V50" i="1"/>
  <c r="W50" i="1"/>
  <c r="X50" i="1"/>
  <c r="AB50" i="1" s="1"/>
  <c r="Z50" i="1"/>
  <c r="AA50" i="1"/>
  <c r="V51" i="1"/>
  <c r="Z51" i="1" s="1"/>
  <c r="W51" i="1"/>
  <c r="X51" i="1"/>
  <c r="AA51" i="1"/>
  <c r="AB51" i="1"/>
  <c r="V52" i="1"/>
  <c r="W52" i="1"/>
  <c r="X52" i="1"/>
  <c r="AB52" i="1" s="1"/>
  <c r="Z52" i="1"/>
  <c r="AA52" i="1"/>
  <c r="V53" i="1"/>
  <c r="Z53" i="1" s="1"/>
  <c r="W53" i="1"/>
  <c r="AA53" i="1" s="1"/>
  <c r="X53" i="1"/>
  <c r="AB53" i="1"/>
  <c r="V54" i="1"/>
  <c r="W54" i="1"/>
  <c r="X54" i="1"/>
  <c r="AB54" i="1" s="1"/>
  <c r="Z54" i="1"/>
  <c r="AA54" i="1"/>
  <c r="V55" i="1"/>
  <c r="Z55" i="1" s="1"/>
  <c r="W55" i="1"/>
  <c r="X55" i="1"/>
  <c r="AA55" i="1"/>
  <c r="AB55" i="1"/>
  <c r="V56" i="1"/>
  <c r="W56" i="1"/>
  <c r="X56" i="1"/>
  <c r="AB56" i="1" s="1"/>
  <c r="Z56" i="1"/>
  <c r="AA56" i="1"/>
  <c r="V57" i="1"/>
  <c r="Z57" i="1" s="1"/>
  <c r="W57" i="1"/>
  <c r="AA57" i="1" s="1"/>
  <c r="X57" i="1"/>
  <c r="AB57" i="1"/>
  <c r="V58" i="1"/>
  <c r="W58" i="1"/>
  <c r="X58" i="1"/>
  <c r="AB58" i="1" s="1"/>
  <c r="Z58" i="1"/>
  <c r="AA58" i="1"/>
  <c r="V59" i="1"/>
  <c r="Z59" i="1" s="1"/>
  <c r="W59" i="1"/>
  <c r="X59" i="1"/>
  <c r="AA59" i="1"/>
  <c r="AB59" i="1"/>
  <c r="V60" i="1"/>
  <c r="W60" i="1"/>
  <c r="X60" i="1"/>
  <c r="AB60" i="1" s="1"/>
  <c r="Z60" i="1"/>
  <c r="AA60" i="1"/>
  <c r="V61" i="1"/>
  <c r="Z61" i="1" s="1"/>
  <c r="W61" i="1"/>
  <c r="AA61" i="1" s="1"/>
  <c r="X61" i="1"/>
  <c r="AB61" i="1"/>
  <c r="V62" i="1"/>
  <c r="W62" i="1"/>
  <c r="X62" i="1"/>
  <c r="AB62" i="1" s="1"/>
  <c r="Z62" i="1"/>
  <c r="AA62" i="1"/>
  <c r="V63" i="1"/>
  <c r="Z63" i="1" s="1"/>
  <c r="W63" i="1"/>
  <c r="X63" i="1"/>
  <c r="AA63" i="1"/>
  <c r="AB63" i="1"/>
  <c r="V64" i="1"/>
  <c r="W64" i="1"/>
  <c r="X64" i="1"/>
  <c r="AB64" i="1" s="1"/>
  <c r="Z64" i="1"/>
  <c r="AA64" i="1"/>
  <c r="V65" i="1"/>
  <c r="Z65" i="1" s="1"/>
  <c r="W65" i="1"/>
  <c r="AA65" i="1" s="1"/>
  <c r="X65" i="1"/>
  <c r="AB65" i="1"/>
  <c r="V66" i="1"/>
  <c r="W66" i="1"/>
  <c r="X66" i="1"/>
  <c r="AB66" i="1" s="1"/>
  <c r="Z66" i="1"/>
  <c r="AA66" i="1"/>
  <c r="V67" i="1"/>
  <c r="Z67" i="1" s="1"/>
  <c r="W67" i="1"/>
  <c r="X67" i="1"/>
  <c r="AA67" i="1"/>
  <c r="AB67" i="1"/>
  <c r="V68" i="1"/>
  <c r="W68" i="1"/>
  <c r="X68" i="1"/>
  <c r="AB68" i="1" s="1"/>
  <c r="Z68" i="1"/>
  <c r="AA68" i="1"/>
  <c r="V69" i="1"/>
  <c r="Z69" i="1" s="1"/>
  <c r="W69" i="1"/>
  <c r="AA69" i="1" s="1"/>
  <c r="X69" i="1"/>
  <c r="AB69" i="1"/>
  <c r="V70" i="1"/>
  <c r="W70" i="1"/>
  <c r="X70" i="1"/>
  <c r="AB70" i="1" s="1"/>
  <c r="Z70" i="1"/>
  <c r="AA70" i="1"/>
  <c r="V71" i="1"/>
  <c r="Z71" i="1" s="1"/>
  <c r="W71" i="1"/>
  <c r="X71" i="1"/>
  <c r="AA71" i="1"/>
  <c r="AB71" i="1"/>
  <c r="V72" i="1"/>
  <c r="W72" i="1"/>
  <c r="X72" i="1"/>
  <c r="AB72" i="1" s="1"/>
  <c r="Z72" i="1"/>
  <c r="AA72" i="1"/>
  <c r="V73" i="1"/>
  <c r="Z73" i="1" s="1"/>
  <c r="W73" i="1"/>
  <c r="AA73" i="1" s="1"/>
  <c r="X73" i="1"/>
  <c r="AB73" i="1"/>
  <c r="V74" i="1"/>
  <c r="W74" i="1"/>
  <c r="X74" i="1"/>
  <c r="AB74" i="1" s="1"/>
  <c r="Z74" i="1"/>
  <c r="AA74" i="1"/>
  <c r="V75" i="1"/>
  <c r="Z75" i="1" s="1"/>
  <c r="W75" i="1"/>
  <c r="X75" i="1"/>
  <c r="AA75" i="1"/>
  <c r="AB75" i="1"/>
  <c r="V76" i="1"/>
  <c r="W76" i="1"/>
  <c r="X76" i="1"/>
  <c r="AB76" i="1" s="1"/>
  <c r="Z76" i="1"/>
  <c r="AA76" i="1"/>
  <c r="V77" i="1"/>
  <c r="Z77" i="1" s="1"/>
  <c r="W77" i="1"/>
  <c r="AA77" i="1" s="1"/>
  <c r="X77" i="1"/>
  <c r="AB77" i="1"/>
  <c r="V78" i="1"/>
  <c r="W78" i="1"/>
  <c r="X78" i="1"/>
  <c r="AB78" i="1" s="1"/>
  <c r="Z78" i="1"/>
  <c r="AA78" i="1"/>
  <c r="V79" i="1"/>
  <c r="Z79" i="1" s="1"/>
  <c r="W79" i="1"/>
  <c r="X79" i="1"/>
  <c r="AA79" i="1"/>
  <c r="AB79" i="1"/>
  <c r="V80" i="1"/>
  <c r="W80" i="1"/>
  <c r="X80" i="1"/>
  <c r="AB80" i="1" s="1"/>
  <c r="Z80" i="1"/>
  <c r="AA80" i="1"/>
  <c r="V81" i="1"/>
  <c r="Z81" i="1" s="1"/>
  <c r="W81" i="1"/>
  <c r="AA81" i="1" s="1"/>
  <c r="X81" i="1"/>
  <c r="AB81" i="1"/>
  <c r="V82" i="1"/>
  <c r="W82" i="1"/>
  <c r="X82" i="1"/>
  <c r="AB82" i="1" s="1"/>
  <c r="Z82" i="1"/>
  <c r="AA82" i="1"/>
  <c r="V83" i="1"/>
  <c r="Z83" i="1" s="1"/>
  <c r="W83" i="1"/>
  <c r="X83" i="1"/>
  <c r="AA83" i="1"/>
  <c r="AB83" i="1"/>
  <c r="V84" i="1"/>
  <c r="W84" i="1"/>
  <c r="X84" i="1"/>
  <c r="AB84" i="1" s="1"/>
  <c r="Z84" i="1"/>
  <c r="AA84" i="1"/>
  <c r="V85" i="1"/>
  <c r="Z85" i="1" s="1"/>
  <c r="W85" i="1"/>
  <c r="AA85" i="1" s="1"/>
  <c r="X85" i="1"/>
  <c r="AB85" i="1"/>
  <c r="V86" i="1"/>
  <c r="W86" i="1"/>
  <c r="X86" i="1"/>
  <c r="AB86" i="1" s="1"/>
  <c r="Z86" i="1"/>
  <c r="AA86" i="1"/>
  <c r="V87" i="1"/>
  <c r="Z87" i="1" s="1"/>
  <c r="W87" i="1"/>
  <c r="X87" i="1"/>
  <c r="AA87" i="1"/>
  <c r="AB87" i="1"/>
  <c r="V88" i="1"/>
  <c r="W88" i="1"/>
  <c r="X88" i="1"/>
  <c r="AB88" i="1" s="1"/>
  <c r="Z88" i="1"/>
  <c r="AA88" i="1"/>
  <c r="V89" i="1"/>
  <c r="Z89" i="1" s="1"/>
  <c r="W89" i="1"/>
  <c r="AA89" i="1" s="1"/>
  <c r="X89" i="1"/>
  <c r="AB89" i="1"/>
  <c r="V90" i="1"/>
  <c r="W90" i="1"/>
  <c r="X90" i="1"/>
  <c r="AB90" i="1" s="1"/>
  <c r="Z90" i="1"/>
  <c r="AA90" i="1"/>
  <c r="V91" i="1"/>
  <c r="Z91" i="1" s="1"/>
  <c r="W91" i="1"/>
  <c r="X91" i="1"/>
  <c r="AA91" i="1"/>
  <c r="AB91" i="1"/>
  <c r="V92" i="1"/>
  <c r="W92" i="1"/>
  <c r="X92" i="1"/>
  <c r="AB92" i="1" s="1"/>
  <c r="Z92" i="1"/>
  <c r="AA92" i="1"/>
  <c r="V93" i="1"/>
  <c r="Z93" i="1" s="1"/>
  <c r="W93" i="1"/>
  <c r="AA93" i="1" s="1"/>
  <c r="X93" i="1"/>
  <c r="AB93" i="1"/>
  <c r="V94" i="1"/>
  <c r="W94" i="1"/>
  <c r="X94" i="1"/>
  <c r="AB94" i="1" s="1"/>
  <c r="Z94" i="1"/>
  <c r="AA94" i="1"/>
  <c r="V95" i="1"/>
  <c r="Z95" i="1" s="1"/>
  <c r="W95" i="1"/>
  <c r="X95" i="1"/>
  <c r="AA95" i="1"/>
  <c r="AB95" i="1"/>
  <c r="V96" i="1"/>
  <c r="W96" i="1"/>
  <c r="X96" i="1"/>
  <c r="AB96" i="1" s="1"/>
  <c r="Z96" i="1"/>
  <c r="AA96" i="1"/>
  <c r="V97" i="1"/>
  <c r="Z97" i="1" s="1"/>
  <c r="W97" i="1"/>
  <c r="AA97" i="1" s="1"/>
  <c r="X97" i="1"/>
  <c r="AB97" i="1"/>
  <c r="V98" i="1"/>
  <c r="W98" i="1"/>
  <c r="X98" i="1"/>
  <c r="AB98" i="1" s="1"/>
  <c r="Z98" i="1"/>
  <c r="AA98" i="1"/>
  <c r="V99" i="1"/>
  <c r="Z99" i="1" s="1"/>
  <c r="W99" i="1"/>
  <c r="X99" i="1"/>
  <c r="AA99" i="1"/>
  <c r="AB99" i="1"/>
  <c r="V100" i="1"/>
  <c r="W100" i="1"/>
  <c r="X100" i="1"/>
  <c r="AB100" i="1" s="1"/>
  <c r="Z100" i="1"/>
  <c r="AA100" i="1"/>
  <c r="V101" i="1"/>
  <c r="Z101" i="1" s="1"/>
  <c r="W101" i="1"/>
  <c r="AA101" i="1" s="1"/>
  <c r="X101" i="1"/>
  <c r="AB101" i="1"/>
  <c r="V102" i="1"/>
  <c r="W102" i="1"/>
  <c r="X102" i="1"/>
  <c r="AB102" i="1" s="1"/>
  <c r="Z102" i="1"/>
  <c r="AA102" i="1"/>
  <c r="V103" i="1"/>
  <c r="Z103" i="1" s="1"/>
  <c r="W103" i="1"/>
  <c r="X103" i="1"/>
  <c r="AA103" i="1"/>
  <c r="AB103" i="1"/>
  <c r="V104" i="1"/>
  <c r="W104" i="1"/>
  <c r="X104" i="1"/>
  <c r="AB104" i="1" s="1"/>
  <c r="Z104" i="1"/>
  <c r="AA104" i="1"/>
  <c r="V105" i="1"/>
  <c r="Z105" i="1" s="1"/>
  <c r="W105" i="1"/>
  <c r="AA105" i="1" s="1"/>
  <c r="X105" i="1"/>
  <c r="AB105" i="1"/>
  <c r="V106" i="1"/>
  <c r="W106" i="1"/>
  <c r="X106" i="1"/>
  <c r="AB106" i="1" s="1"/>
  <c r="Z106" i="1"/>
  <c r="AA106" i="1"/>
  <c r="V107" i="1"/>
  <c r="Z107" i="1" s="1"/>
  <c r="W107" i="1"/>
  <c r="X107" i="1"/>
  <c r="AA107" i="1"/>
  <c r="AB107" i="1"/>
  <c r="V108" i="1"/>
  <c r="W108" i="1"/>
  <c r="X108" i="1"/>
  <c r="AB108" i="1" s="1"/>
  <c r="Z108" i="1"/>
  <c r="AA108" i="1"/>
  <c r="V109" i="1"/>
  <c r="Z109" i="1" s="1"/>
  <c r="W109" i="1"/>
  <c r="AA109" i="1" s="1"/>
  <c r="X109" i="1"/>
  <c r="AB109" i="1"/>
  <c r="V110" i="1"/>
  <c r="W110" i="1"/>
  <c r="X110" i="1"/>
  <c r="AB110" i="1" s="1"/>
  <c r="Z110" i="1"/>
  <c r="AA110" i="1"/>
  <c r="V111" i="1"/>
  <c r="Z111" i="1" s="1"/>
  <c r="W111" i="1"/>
  <c r="X111" i="1"/>
  <c r="AA111" i="1"/>
  <c r="AB111" i="1"/>
  <c r="V112" i="1"/>
  <c r="W112" i="1"/>
  <c r="X112" i="1"/>
  <c r="AB112" i="1" s="1"/>
  <c r="Z112" i="1"/>
  <c r="AA112" i="1"/>
  <c r="V113" i="1"/>
  <c r="Z113" i="1" s="1"/>
  <c r="W113" i="1"/>
  <c r="AA113" i="1" s="1"/>
  <c r="X113" i="1"/>
  <c r="AB113" i="1"/>
  <c r="V114" i="1"/>
  <c r="W114" i="1"/>
  <c r="X114" i="1"/>
  <c r="AB114" i="1" s="1"/>
  <c r="Z114" i="1"/>
  <c r="AA114" i="1"/>
  <c r="V115" i="1"/>
  <c r="Z115" i="1" s="1"/>
  <c r="W115" i="1"/>
  <c r="X115" i="1"/>
  <c r="AA115" i="1"/>
  <c r="AB115" i="1"/>
  <c r="V116" i="1"/>
  <c r="W116" i="1"/>
  <c r="X116" i="1"/>
  <c r="AB116" i="1" s="1"/>
  <c r="Z116" i="1"/>
  <c r="AA116" i="1"/>
  <c r="V117" i="1"/>
  <c r="Z117" i="1" s="1"/>
  <c r="W117" i="1"/>
  <c r="AA117" i="1" s="1"/>
  <c r="X117" i="1"/>
  <c r="AB117" i="1"/>
  <c r="V118" i="1"/>
  <c r="W118" i="1"/>
  <c r="X118" i="1"/>
  <c r="AB118" i="1" s="1"/>
  <c r="Z118" i="1"/>
  <c r="AA118" i="1"/>
  <c r="V119" i="1"/>
  <c r="Z119" i="1" s="1"/>
  <c r="W119" i="1"/>
  <c r="X119" i="1"/>
  <c r="AA119" i="1"/>
  <c r="AB119" i="1"/>
  <c r="V120" i="1"/>
  <c r="W120" i="1"/>
  <c r="X120" i="1"/>
  <c r="AB120" i="1" s="1"/>
  <c r="Z120" i="1"/>
  <c r="AA120" i="1"/>
  <c r="V121" i="1"/>
  <c r="Z121" i="1" s="1"/>
  <c r="W121" i="1"/>
  <c r="AA121" i="1" s="1"/>
  <c r="X121" i="1"/>
  <c r="AB121" i="1"/>
  <c r="V122" i="1"/>
  <c r="W122" i="1"/>
  <c r="X122" i="1"/>
  <c r="AB122" i="1" s="1"/>
  <c r="Z122" i="1"/>
  <c r="AA122" i="1"/>
  <c r="V123" i="1"/>
  <c r="Z123" i="1" s="1"/>
  <c r="W123" i="1"/>
  <c r="X123" i="1"/>
  <c r="AA123" i="1"/>
  <c r="AB123" i="1"/>
  <c r="V124" i="1"/>
  <c r="W124" i="1"/>
  <c r="X124" i="1"/>
  <c r="AB124" i="1" s="1"/>
  <c r="Z124" i="1"/>
  <c r="AA124" i="1"/>
  <c r="V125" i="1"/>
  <c r="Z125" i="1" s="1"/>
  <c r="W125" i="1"/>
  <c r="AA125" i="1" s="1"/>
  <c r="X125" i="1"/>
  <c r="AB125" i="1"/>
  <c r="V126" i="1"/>
  <c r="W126" i="1"/>
  <c r="X126" i="1"/>
  <c r="AB126" i="1" s="1"/>
  <c r="Z126" i="1"/>
  <c r="AA126" i="1"/>
  <c r="V127" i="1"/>
  <c r="Z127" i="1" s="1"/>
  <c r="W127" i="1"/>
  <c r="X127" i="1"/>
  <c r="AA127" i="1"/>
  <c r="AB127" i="1"/>
  <c r="V128" i="1"/>
  <c r="W128" i="1"/>
  <c r="X128" i="1"/>
  <c r="AB128" i="1" s="1"/>
  <c r="Z128" i="1"/>
  <c r="AA128" i="1"/>
  <c r="V129" i="1"/>
  <c r="Z129" i="1" s="1"/>
  <c r="W129" i="1"/>
  <c r="AA129" i="1" s="1"/>
  <c r="X129" i="1"/>
  <c r="AB129" i="1"/>
  <c r="V130" i="1"/>
  <c r="W130" i="1"/>
  <c r="X130" i="1"/>
  <c r="AB130" i="1" s="1"/>
  <c r="Z130" i="1"/>
  <c r="AA130" i="1"/>
  <c r="V131" i="1"/>
  <c r="Z131" i="1" s="1"/>
  <c r="W131" i="1"/>
  <c r="X131" i="1"/>
  <c r="AA131" i="1"/>
  <c r="AB131" i="1"/>
  <c r="V132" i="1"/>
  <c r="W132" i="1"/>
  <c r="X132" i="1"/>
  <c r="AB132" i="1" s="1"/>
  <c r="Z132" i="1"/>
  <c r="AA132" i="1"/>
  <c r="V133" i="1"/>
  <c r="Z133" i="1" s="1"/>
  <c r="W133" i="1"/>
  <c r="AA133" i="1" s="1"/>
  <c r="X133" i="1"/>
  <c r="AB133" i="1" s="1"/>
  <c r="V134" i="1"/>
  <c r="W134" i="1"/>
  <c r="X134" i="1"/>
  <c r="AB134" i="1" s="1"/>
  <c r="Z134" i="1"/>
  <c r="AA134" i="1"/>
  <c r="V135" i="1"/>
  <c r="Z135" i="1" s="1"/>
  <c r="W135" i="1"/>
  <c r="X135" i="1"/>
  <c r="AA135" i="1"/>
  <c r="AB135" i="1"/>
  <c r="V136" i="1"/>
  <c r="W136" i="1"/>
  <c r="X136" i="1"/>
  <c r="AB136" i="1" s="1"/>
  <c r="Z136" i="1"/>
  <c r="AA136" i="1"/>
  <c r="V137" i="1"/>
  <c r="Z137" i="1" s="1"/>
  <c r="W137" i="1"/>
  <c r="AA137" i="1" s="1"/>
  <c r="X137" i="1"/>
  <c r="AB137" i="1"/>
  <c r="V138" i="1"/>
  <c r="W138" i="1"/>
  <c r="X138" i="1"/>
  <c r="AB138" i="1" s="1"/>
  <c r="Z138" i="1"/>
  <c r="AA138" i="1"/>
  <c r="X3" i="1"/>
  <c r="AB3" i="1" s="1"/>
  <c r="W3" i="1"/>
  <c r="AA3" i="1" s="1"/>
  <c r="V3" i="1"/>
  <c r="Z3" i="1"/>
  <c r="G139" i="1"/>
  <c r="I141" i="3"/>
  <c r="I140" i="1"/>
  <c r="J80" i="1" l="1"/>
  <c r="C4" i="3" s="1" a="1"/>
  <c r="D141" i="3"/>
  <c r="B4" i="3" a="1"/>
  <c r="N49" i="3" s="1"/>
  <c r="N138" i="1"/>
  <c r="N137" i="1"/>
  <c r="N136" i="1"/>
  <c r="N135" i="1"/>
  <c r="N134" i="1"/>
  <c r="N133" i="1"/>
  <c r="N132" i="1"/>
  <c r="N131" i="1"/>
  <c r="O131" i="1" s="1"/>
  <c r="Q131" i="1" s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O115" i="1" s="1"/>
  <c r="N114" i="1"/>
  <c r="N113" i="1"/>
  <c r="N112" i="1"/>
  <c r="N111" i="1"/>
  <c r="N110" i="1"/>
  <c r="N109" i="1"/>
  <c r="N108" i="1"/>
  <c r="N107" i="1"/>
  <c r="O107" i="1" s="1"/>
  <c r="Q107" i="1" s="1"/>
  <c r="N106" i="1"/>
  <c r="N105" i="1"/>
  <c r="N104" i="1"/>
  <c r="N103" i="1"/>
  <c r="O103" i="1" s="1"/>
  <c r="Q103" i="1" s="1"/>
  <c r="N102" i="1"/>
  <c r="N101" i="1"/>
  <c r="N100" i="1"/>
  <c r="N99" i="1"/>
  <c r="O99" i="1" s="1"/>
  <c r="N98" i="1"/>
  <c r="N97" i="1"/>
  <c r="N96" i="1"/>
  <c r="N95" i="1"/>
  <c r="N94" i="1"/>
  <c r="N93" i="1"/>
  <c r="N92" i="1"/>
  <c r="N91" i="1"/>
  <c r="O91" i="1" s="1"/>
  <c r="N90" i="1"/>
  <c r="N89" i="1"/>
  <c r="N88" i="1"/>
  <c r="N87" i="1"/>
  <c r="N86" i="1"/>
  <c r="O86" i="1" s="1"/>
  <c r="P86" i="1" s="1"/>
  <c r="N85" i="1"/>
  <c r="N84" i="1"/>
  <c r="N83" i="1"/>
  <c r="O83" i="1" s="1"/>
  <c r="N82" i="1"/>
  <c r="N81" i="1"/>
  <c r="N80" i="1"/>
  <c r="N79" i="1"/>
  <c r="N78" i="1"/>
  <c r="N77" i="1"/>
  <c r="N76" i="1"/>
  <c r="N75" i="1"/>
  <c r="O75" i="1" s="1"/>
  <c r="N74" i="1"/>
  <c r="N73" i="1"/>
  <c r="N72" i="1"/>
  <c r="N71" i="1"/>
  <c r="N70" i="1"/>
  <c r="O70" i="1" s="1"/>
  <c r="P70" i="1" s="1"/>
  <c r="N69" i="1"/>
  <c r="N68" i="1"/>
  <c r="N67" i="1"/>
  <c r="N66" i="1"/>
  <c r="N65" i="1"/>
  <c r="N64" i="1"/>
  <c r="N63" i="1"/>
  <c r="N62" i="1"/>
  <c r="N61" i="1"/>
  <c r="N60" i="1"/>
  <c r="O60" i="1" s="1"/>
  <c r="N59" i="1"/>
  <c r="N58" i="1"/>
  <c r="N57" i="1"/>
  <c r="N56" i="1"/>
  <c r="N55" i="1"/>
  <c r="N54" i="1"/>
  <c r="N53" i="1"/>
  <c r="N52" i="1"/>
  <c r="N51" i="1"/>
  <c r="O51" i="1" s="1"/>
  <c r="N50" i="1"/>
  <c r="N49" i="1"/>
  <c r="N48" i="1"/>
  <c r="N47" i="1"/>
  <c r="N46" i="1"/>
  <c r="N45" i="1"/>
  <c r="N44" i="1"/>
  <c r="N43" i="1"/>
  <c r="O43" i="1" s="1"/>
  <c r="N42" i="1"/>
  <c r="N41" i="1"/>
  <c r="N40" i="1"/>
  <c r="N39" i="1"/>
  <c r="N38" i="1"/>
  <c r="N37" i="1"/>
  <c r="N36" i="1"/>
  <c r="N35" i="1"/>
  <c r="O35" i="1" s="1"/>
  <c r="Q35" i="1" s="1"/>
  <c r="N34" i="1"/>
  <c r="N33" i="1"/>
  <c r="N32" i="1"/>
  <c r="N31" i="1"/>
  <c r="N30" i="1"/>
  <c r="N29" i="1"/>
  <c r="N28" i="1"/>
  <c r="N27" i="1"/>
  <c r="O27" i="1" s="1"/>
  <c r="Q27" i="1" s="1"/>
  <c r="N26" i="1"/>
  <c r="N25" i="1"/>
  <c r="N24" i="1"/>
  <c r="N23" i="1"/>
  <c r="N22" i="1"/>
  <c r="N21" i="1"/>
  <c r="N20" i="1"/>
  <c r="N19" i="1"/>
  <c r="O19" i="1" s="1"/>
  <c r="Q19" i="1" s="1"/>
  <c r="N18" i="1"/>
  <c r="N17" i="1"/>
  <c r="N16" i="1"/>
  <c r="N15" i="1"/>
  <c r="N14" i="1"/>
  <c r="N13" i="1"/>
  <c r="N12" i="1"/>
  <c r="N11" i="1"/>
  <c r="O11" i="1" s="1"/>
  <c r="N10" i="1"/>
  <c r="N9" i="1"/>
  <c r="N8" i="1"/>
  <c r="N7" i="1"/>
  <c r="O7" i="1" s="1"/>
  <c r="Q7" i="1" s="1"/>
  <c r="N6" i="1"/>
  <c r="N5" i="1"/>
  <c r="N4" i="1"/>
  <c r="N3" i="1"/>
  <c r="N2" i="1"/>
  <c r="C143" i="1"/>
  <c r="C4" i="3" l="1"/>
  <c r="N71" i="3"/>
  <c r="N91" i="3"/>
  <c r="N111" i="3"/>
  <c r="N7" i="3"/>
  <c r="N132" i="3"/>
  <c r="N23" i="3"/>
  <c r="N133" i="3"/>
  <c r="N26" i="3"/>
  <c r="N52" i="3"/>
  <c r="B4" i="3"/>
  <c r="N4" i="3" s="1"/>
  <c r="N129" i="3"/>
  <c r="N108" i="3"/>
  <c r="N90" i="3"/>
  <c r="N68" i="3"/>
  <c r="N46" i="3"/>
  <c r="N22" i="3"/>
  <c r="N126" i="3"/>
  <c r="N103" i="3"/>
  <c r="N88" i="3"/>
  <c r="N65" i="3"/>
  <c r="N43" i="3"/>
  <c r="N20" i="3"/>
  <c r="N123" i="3"/>
  <c r="N100" i="3"/>
  <c r="N87" i="3"/>
  <c r="N62" i="3"/>
  <c r="N41" i="3"/>
  <c r="N17" i="3"/>
  <c r="N93" i="3"/>
  <c r="N8" i="3"/>
  <c r="N29" i="3"/>
  <c r="N54" i="3"/>
  <c r="N77" i="3"/>
  <c r="N94" i="3"/>
  <c r="N114" i="3"/>
  <c r="N135" i="3"/>
  <c r="N112" i="3"/>
  <c r="O121" i="1"/>
  <c r="Q121" i="1" s="1"/>
  <c r="O137" i="1"/>
  <c r="N11" i="3"/>
  <c r="N34" i="3"/>
  <c r="N58" i="3"/>
  <c r="N81" i="3"/>
  <c r="N96" i="3"/>
  <c r="N117" i="3"/>
  <c r="N138" i="3"/>
  <c r="N74" i="3"/>
  <c r="O138" i="1"/>
  <c r="P138" i="1" s="1"/>
  <c r="N14" i="3"/>
  <c r="N38" i="3"/>
  <c r="N60" i="3"/>
  <c r="N84" i="3"/>
  <c r="N97" i="3"/>
  <c r="N120" i="3"/>
  <c r="N139" i="3"/>
  <c r="O5" i="1"/>
  <c r="Q5" i="1" s="1"/>
  <c r="O13" i="1"/>
  <c r="O45" i="1"/>
  <c r="O53" i="1"/>
  <c r="O61" i="1"/>
  <c r="O85" i="1"/>
  <c r="O109" i="1"/>
  <c r="Q109" i="1" s="1"/>
  <c r="O79" i="1"/>
  <c r="O9" i="1"/>
  <c r="Q9" i="1" s="1"/>
  <c r="N5" i="3"/>
  <c r="N18" i="3"/>
  <c r="N32" i="3"/>
  <c r="N35" i="3"/>
  <c r="N44" i="3"/>
  <c r="N47" i="3"/>
  <c r="N55" i="3"/>
  <c r="N63" i="3"/>
  <c r="N66" i="3"/>
  <c r="N72" i="3"/>
  <c r="N78" i="3"/>
  <c r="N85" i="3"/>
  <c r="N106" i="3"/>
  <c r="N109" i="3"/>
  <c r="N115" i="3"/>
  <c r="N121" i="3"/>
  <c r="N124" i="3"/>
  <c r="N130" i="3"/>
  <c r="N12" i="3"/>
  <c r="N15" i="3"/>
  <c r="N21" i="3"/>
  <c r="N24" i="3"/>
  <c r="N27" i="3"/>
  <c r="N30" i="3"/>
  <c r="N39" i="3"/>
  <c r="N50" i="3"/>
  <c r="N69" i="3"/>
  <c r="N75" i="3"/>
  <c r="N82" i="3"/>
  <c r="N101" i="3"/>
  <c r="N104" i="3"/>
  <c r="N118" i="3"/>
  <c r="N136" i="3"/>
  <c r="O23" i="1"/>
  <c r="Q23" i="1" s="1"/>
  <c r="O39" i="1"/>
  <c r="O110" i="1"/>
  <c r="O64" i="1"/>
  <c r="P64" i="1" s="1"/>
  <c r="O80" i="1"/>
  <c r="O111" i="1"/>
  <c r="O126" i="1"/>
  <c r="P126" i="1" s="1"/>
  <c r="N9" i="3"/>
  <c r="N36" i="3"/>
  <c r="N42" i="3"/>
  <c r="N56" i="3"/>
  <c r="N59" i="3"/>
  <c r="N61" i="3"/>
  <c r="N64" i="3"/>
  <c r="N73" i="3"/>
  <c r="N79" i="3"/>
  <c r="N89" i="3"/>
  <c r="N95" i="3"/>
  <c r="N98" i="3"/>
  <c r="N107" i="3"/>
  <c r="N110" i="3"/>
  <c r="N113" i="3"/>
  <c r="N122" i="3"/>
  <c r="N125" i="3"/>
  <c r="N127" i="3"/>
  <c r="N131" i="3"/>
  <c r="N140" i="3"/>
  <c r="O31" i="1"/>
  <c r="O55" i="1"/>
  <c r="Q55" i="1" s="1"/>
  <c r="O95" i="1"/>
  <c r="O3" i="1"/>
  <c r="Q3" i="1" s="1"/>
  <c r="O17" i="1"/>
  <c r="Q17" i="1" s="1"/>
  <c r="O33" i="1"/>
  <c r="O41" i="1"/>
  <c r="Q41" i="1" s="1"/>
  <c r="O49" i="1"/>
  <c r="Q49" i="1" s="1"/>
  <c r="O65" i="1"/>
  <c r="O119" i="1"/>
  <c r="O127" i="1"/>
  <c r="N6" i="3"/>
  <c r="N16" i="3"/>
  <c r="N19" i="3"/>
  <c r="N28" i="3"/>
  <c r="N33" i="3"/>
  <c r="N45" i="3"/>
  <c r="N53" i="3"/>
  <c r="N76" i="3"/>
  <c r="N83" i="3"/>
  <c r="N86" i="3"/>
  <c r="N92" i="3"/>
  <c r="N102" i="3"/>
  <c r="N116" i="3"/>
  <c r="N134" i="3"/>
  <c r="N137" i="3"/>
  <c r="O15" i="1"/>
  <c r="Q15" i="1" s="1"/>
  <c r="O47" i="1"/>
  <c r="Q47" i="1" s="1"/>
  <c r="O71" i="1"/>
  <c r="O90" i="1"/>
  <c r="P90" i="1" s="1"/>
  <c r="O120" i="1"/>
  <c r="Q120" i="1" s="1"/>
  <c r="O135" i="1"/>
  <c r="N10" i="3"/>
  <c r="N13" i="3"/>
  <c r="N25" i="3"/>
  <c r="N31" i="3"/>
  <c r="N37" i="3"/>
  <c r="N40" i="3"/>
  <c r="N48" i="3"/>
  <c r="N51" i="3"/>
  <c r="N57" i="3"/>
  <c r="N67" i="3"/>
  <c r="N70" i="3"/>
  <c r="N80" i="3"/>
  <c r="N99" i="3"/>
  <c r="N105" i="3"/>
  <c r="N119" i="3"/>
  <c r="N128" i="3"/>
  <c r="P127" i="1"/>
  <c r="Q11" i="1"/>
  <c r="P11" i="1"/>
  <c r="Q51" i="1"/>
  <c r="P51" i="1"/>
  <c r="Q99" i="1"/>
  <c r="P99" i="1"/>
  <c r="Q13" i="1"/>
  <c r="P13" i="1"/>
  <c r="Q45" i="1"/>
  <c r="P45" i="1"/>
  <c r="Q53" i="1"/>
  <c r="P53" i="1"/>
  <c r="Q61" i="1"/>
  <c r="P61" i="1"/>
  <c r="P91" i="1"/>
  <c r="Q119" i="1"/>
  <c r="P119" i="1"/>
  <c r="Q43" i="1"/>
  <c r="P43" i="1"/>
  <c r="Q83" i="1"/>
  <c r="P83" i="1"/>
  <c r="Q39" i="1"/>
  <c r="P39" i="1"/>
  <c r="Q79" i="1"/>
  <c r="P79" i="1"/>
  <c r="Q31" i="1"/>
  <c r="P31" i="1"/>
  <c r="Q71" i="1"/>
  <c r="Q72" i="1" s="1"/>
  <c r="P71" i="1"/>
  <c r="Q95" i="1"/>
  <c r="P95" i="1"/>
  <c r="O24" i="1"/>
  <c r="P24" i="1" s="1"/>
  <c r="O36" i="1"/>
  <c r="Q36" i="1" s="1"/>
  <c r="O66" i="1"/>
  <c r="P66" i="1" s="1"/>
  <c r="Q86" i="1"/>
  <c r="Q87" i="1" s="1"/>
  <c r="O116" i="1"/>
  <c r="Q116" i="1" s="1"/>
  <c r="O122" i="1"/>
  <c r="P122" i="1" s="1"/>
  <c r="O132" i="1"/>
  <c r="Q132" i="1" s="1"/>
  <c r="P103" i="1"/>
  <c r="P115" i="1"/>
  <c r="O4" i="1"/>
  <c r="Q4" i="1" s="1"/>
  <c r="O8" i="1"/>
  <c r="O20" i="1"/>
  <c r="Q20" i="1" s="1"/>
  <c r="O28" i="1"/>
  <c r="P28" i="1" s="1"/>
  <c r="O56" i="1"/>
  <c r="O81" i="1"/>
  <c r="O104" i="1"/>
  <c r="O12" i="1"/>
  <c r="Q12" i="1" s="1"/>
  <c r="O16" i="1"/>
  <c r="P16" i="1" s="1"/>
  <c r="O32" i="1"/>
  <c r="O40" i="1"/>
  <c r="O44" i="1"/>
  <c r="Q44" i="1" s="1"/>
  <c r="O48" i="1"/>
  <c r="P48" i="1" s="1"/>
  <c r="O52" i="1"/>
  <c r="O57" i="1"/>
  <c r="O76" i="1"/>
  <c r="P76" i="1" s="1"/>
  <c r="O82" i="1"/>
  <c r="P82" i="1" s="1"/>
  <c r="O100" i="1"/>
  <c r="O105" i="1"/>
  <c r="Q105" i="1" s="1"/>
  <c r="O117" i="1"/>
  <c r="Q117" i="1" s="1"/>
  <c r="O133" i="1"/>
  <c r="P55" i="1"/>
  <c r="P131" i="1"/>
  <c r="O77" i="1"/>
  <c r="P77" i="1" s="1"/>
  <c r="O87" i="1"/>
  <c r="O106" i="1"/>
  <c r="O128" i="1"/>
  <c r="P5" i="1"/>
  <c r="O58" i="1"/>
  <c r="P58" i="1" s="1"/>
  <c r="O62" i="1"/>
  <c r="P62" i="1" s="1"/>
  <c r="O72" i="1"/>
  <c r="P72" i="1" s="1"/>
  <c r="O78" i="1"/>
  <c r="P78" i="1" s="1"/>
  <c r="O92" i="1"/>
  <c r="Q92" i="1" s="1"/>
  <c r="O97" i="1"/>
  <c r="O102" i="1"/>
  <c r="O113" i="1"/>
  <c r="P113" i="1" s="1"/>
  <c r="O129" i="1"/>
  <c r="Q129" i="1" s="1"/>
  <c r="O25" i="1"/>
  <c r="O37" i="1"/>
  <c r="O101" i="1"/>
  <c r="Q101" i="1" s="1"/>
  <c r="O123" i="1"/>
  <c r="O6" i="1"/>
  <c r="O10" i="1"/>
  <c r="O22" i="1"/>
  <c r="O26" i="1"/>
  <c r="O30" i="1"/>
  <c r="O38" i="1"/>
  <c r="O68" i="1"/>
  <c r="P68" i="1" s="1"/>
  <c r="O73" i="1"/>
  <c r="Q73" i="1" s="1"/>
  <c r="Q74" i="1" s="1"/>
  <c r="O88" i="1"/>
  <c r="P88" i="1" s="1"/>
  <c r="O93" i="1"/>
  <c r="O98" i="1"/>
  <c r="O114" i="1"/>
  <c r="O124" i="1"/>
  <c r="O130" i="1"/>
  <c r="P130" i="1" s="1"/>
  <c r="Q90" i="1"/>
  <c r="Q91" i="1" s="1"/>
  <c r="O21" i="1"/>
  <c r="O29" i="1"/>
  <c r="O67" i="1"/>
  <c r="O96" i="1"/>
  <c r="Q96" i="1" s="1"/>
  <c r="O112" i="1"/>
  <c r="O118" i="1"/>
  <c r="P118" i="1" s="1"/>
  <c r="O134" i="1"/>
  <c r="P134" i="1" s="1"/>
  <c r="O2" i="1"/>
  <c r="P2" i="1" s="1"/>
  <c r="O14" i="1"/>
  <c r="O18" i="1"/>
  <c r="P18" i="1" s="1"/>
  <c r="O34" i="1"/>
  <c r="P34" i="1" s="1"/>
  <c r="O42" i="1"/>
  <c r="P42" i="1" s="1"/>
  <c r="O46" i="1"/>
  <c r="O50" i="1"/>
  <c r="P50" i="1" s="1"/>
  <c r="O54" i="1"/>
  <c r="O59" i="1"/>
  <c r="O63" i="1"/>
  <c r="Q63" i="1" s="1"/>
  <c r="O69" i="1"/>
  <c r="Q69" i="1" s="1"/>
  <c r="Q70" i="1" s="1"/>
  <c r="O74" i="1"/>
  <c r="O84" i="1"/>
  <c r="P84" i="1" s="1"/>
  <c r="O89" i="1"/>
  <c r="O94" i="1"/>
  <c r="O108" i="1"/>
  <c r="Q108" i="1" s="1"/>
  <c r="O125" i="1"/>
  <c r="O136" i="1"/>
  <c r="P114" i="1"/>
  <c r="Q114" i="1"/>
  <c r="Q115" i="1" s="1"/>
  <c r="P23" i="1"/>
  <c r="P3" i="1"/>
  <c r="P19" i="1"/>
  <c r="Q84" i="1"/>
  <c r="Q85" i="1" s="1"/>
  <c r="Q60" i="1"/>
  <c r="P60" i="1"/>
  <c r="P47" i="1"/>
  <c r="P73" i="1"/>
  <c r="Q88" i="1"/>
  <c r="Q89" i="1" s="1"/>
  <c r="Q75" i="1"/>
  <c r="Q76" i="1" s="1"/>
  <c r="P75" i="1"/>
  <c r="P27" i="1"/>
  <c r="Q118" i="1"/>
  <c r="P7" i="1"/>
  <c r="Q42" i="1"/>
  <c r="Q8" i="1"/>
  <c r="P8" i="1"/>
  <c r="Q52" i="1"/>
  <c r="P52" i="1"/>
  <c r="P15" i="1"/>
  <c r="Q48" i="1"/>
  <c r="P92" i="1"/>
  <c r="Q135" i="1"/>
  <c r="P135" i="1"/>
  <c r="Q133" i="1"/>
  <c r="P133" i="1"/>
  <c r="P35" i="1"/>
  <c r="Q28" i="1"/>
  <c r="P110" i="1"/>
  <c r="Q110" i="1"/>
  <c r="Q137" i="1"/>
  <c r="P137" i="1"/>
  <c r="Q124" i="1"/>
  <c r="P124" i="1"/>
  <c r="Q104" i="1"/>
  <c r="P104" i="1"/>
  <c r="P85" i="1"/>
  <c r="P89" i="1"/>
  <c r="Q93" i="1"/>
  <c r="P93" i="1"/>
  <c r="P132" i="1"/>
  <c r="P109" i="1"/>
  <c r="Q138" i="1"/>
  <c r="P107" i="1"/>
  <c r="P112" i="1"/>
  <c r="Q65" i="1"/>
  <c r="Q66" i="1" s="1"/>
  <c r="P65" i="1"/>
  <c r="P49" i="1" l="1"/>
  <c r="P36" i="1"/>
  <c r="P108" i="1"/>
  <c r="Q18" i="1"/>
  <c r="P9" i="1"/>
  <c r="P41" i="1"/>
  <c r="Q64" i="1"/>
  <c r="P4" i="1"/>
  <c r="P80" i="1"/>
  <c r="P121" i="1"/>
  <c r="P12" i="1"/>
  <c r="Q24" i="1"/>
  <c r="P101" i="1"/>
  <c r="Q2" i="1"/>
  <c r="Q77" i="1"/>
  <c r="Q78" i="1" s="1"/>
  <c r="P111" i="1"/>
  <c r="Q111" i="1" s="1"/>
  <c r="Q112" i="1" s="1"/>
  <c r="P81" i="1"/>
  <c r="Q81" i="1"/>
  <c r="Q82" i="1" s="1"/>
  <c r="Q125" i="1"/>
  <c r="P125" i="1"/>
  <c r="Q97" i="1"/>
  <c r="P97" i="1"/>
  <c r="P56" i="1"/>
  <c r="Q56" i="1"/>
  <c r="P54" i="1"/>
  <c r="Q54" i="1"/>
  <c r="P100" i="1"/>
  <c r="Q100" i="1"/>
  <c r="Q128" i="1"/>
  <c r="P128" i="1"/>
  <c r="Q40" i="1"/>
  <c r="P40" i="1"/>
  <c r="P106" i="1"/>
  <c r="Q106" i="1"/>
  <c r="Q32" i="1"/>
  <c r="P32" i="1"/>
  <c r="Q126" i="1"/>
  <c r="Q127" i="1" s="1"/>
  <c r="Q136" i="1"/>
  <c r="P136" i="1"/>
  <c r="Q33" i="1"/>
  <c r="P33" i="1"/>
  <c r="P17" i="1"/>
  <c r="P120" i="1"/>
  <c r="P20" i="1"/>
  <c r="Q50" i="1"/>
  <c r="Q134" i="1"/>
  <c r="Q16" i="1"/>
  <c r="P74" i="1"/>
  <c r="P87" i="1"/>
  <c r="P96" i="1"/>
  <c r="Q67" i="1"/>
  <c r="Q68" i="1" s="1"/>
  <c r="P67" i="1"/>
  <c r="Q29" i="1"/>
  <c r="P29" i="1"/>
  <c r="P38" i="1"/>
  <c r="Q38" i="1"/>
  <c r="P105" i="1"/>
  <c r="P116" i="1"/>
  <c r="Q62" i="1"/>
  <c r="Q59" i="1"/>
  <c r="P59" i="1"/>
  <c r="Q21" i="1"/>
  <c r="P21" i="1"/>
  <c r="P30" i="1"/>
  <c r="Q30" i="1"/>
  <c r="P102" i="1"/>
  <c r="Q102" i="1"/>
  <c r="Q130" i="1"/>
  <c r="P69" i="1"/>
  <c r="P44" i="1"/>
  <c r="P26" i="1"/>
  <c r="Q26" i="1"/>
  <c r="Q37" i="1"/>
  <c r="P37" i="1"/>
  <c r="Q34" i="1"/>
  <c r="P14" i="1"/>
  <c r="Q14" i="1"/>
  <c r="Q123" i="1"/>
  <c r="P123" i="1"/>
  <c r="P63" i="1"/>
  <c r="Q122" i="1"/>
  <c r="P94" i="1"/>
  <c r="Q94" i="1"/>
  <c r="P98" i="1"/>
  <c r="Q98" i="1"/>
  <c r="P22" i="1"/>
  <c r="Q22" i="1"/>
  <c r="Q25" i="1"/>
  <c r="P25" i="1"/>
  <c r="Q57" i="1"/>
  <c r="P57" i="1"/>
  <c r="P46" i="1"/>
  <c r="Q46" i="1"/>
  <c r="P10" i="1"/>
  <c r="Q10" i="1"/>
  <c r="P129" i="1"/>
  <c r="Q58" i="1"/>
  <c r="P117" i="1"/>
  <c r="P6" i="1"/>
  <c r="Q6" i="1"/>
  <c r="Q113" i="1" l="1"/>
  <c r="E4" i="3" a="1"/>
  <c r="E4" i="3" l="1"/>
  <c r="T2" i="1" l="1"/>
  <c r="S3" i="1"/>
  <c r="T3" i="1" l="1"/>
  <c r="S4" i="1"/>
  <c r="S5" i="1" l="1"/>
  <c r="T4" i="1"/>
  <c r="T5" i="1" l="1"/>
  <c r="S6" i="1"/>
  <c r="T6" i="1" l="1"/>
  <c r="S7" i="1"/>
  <c r="T7" i="1" l="1"/>
  <c r="S8" i="1"/>
  <c r="S9" i="1" l="1"/>
  <c r="T8" i="1"/>
  <c r="T9" i="1" l="1"/>
  <c r="S10" i="1"/>
  <c r="T10" i="1" l="1"/>
  <c r="S11" i="1"/>
  <c r="T11" i="1" l="1"/>
  <c r="S12" i="1"/>
  <c r="S13" i="1" l="1"/>
  <c r="T12" i="1"/>
  <c r="T13" i="1" l="1"/>
  <c r="S14" i="1"/>
  <c r="T14" i="1" l="1"/>
  <c r="S15" i="1"/>
  <c r="T15" i="1" l="1"/>
  <c r="S16" i="1"/>
  <c r="S17" i="1" l="1"/>
  <c r="T16" i="1"/>
  <c r="T17" i="1" l="1"/>
  <c r="S18" i="1"/>
  <c r="T18" i="1" l="1"/>
  <c r="S19" i="1"/>
  <c r="T19" i="1" l="1"/>
  <c r="S20" i="1"/>
  <c r="S21" i="1" l="1"/>
  <c r="T20" i="1"/>
  <c r="T21" i="1" l="1"/>
  <c r="S22" i="1"/>
  <c r="T22" i="1" l="1"/>
  <c r="S23" i="1"/>
  <c r="T23" i="1" l="1"/>
  <c r="S24" i="1"/>
  <c r="S25" i="1" l="1"/>
  <c r="T24" i="1"/>
  <c r="T25" i="1" l="1"/>
  <c r="S26" i="1"/>
  <c r="T26" i="1" l="1"/>
  <c r="S27" i="1"/>
  <c r="T27" i="1" l="1"/>
  <c r="S28" i="1"/>
  <c r="S29" i="1" l="1"/>
  <c r="T28" i="1"/>
  <c r="T29" i="1" l="1"/>
  <c r="S30" i="1"/>
  <c r="T30" i="1" l="1"/>
  <c r="S31" i="1"/>
  <c r="T31" i="1" l="1"/>
  <c r="S32" i="1"/>
  <c r="S33" i="1" l="1"/>
  <c r="T32" i="1"/>
  <c r="T33" i="1" l="1"/>
  <c r="S34" i="1"/>
  <c r="T34" i="1" l="1"/>
  <c r="S35" i="1"/>
  <c r="T35" i="1" l="1"/>
  <c r="S36" i="1"/>
  <c r="S37" i="1" l="1"/>
  <c r="T36" i="1"/>
  <c r="T37" i="1" l="1"/>
  <c r="S38" i="1"/>
  <c r="T38" i="1" l="1"/>
  <c r="S39" i="1"/>
  <c r="T39" i="1" l="1"/>
  <c r="S40" i="1"/>
  <c r="S41" i="1" l="1"/>
  <c r="T40" i="1"/>
  <c r="T41" i="1" l="1"/>
  <c r="S42" i="1"/>
  <c r="T42" i="1" l="1"/>
  <c r="S43" i="1"/>
  <c r="T43" i="1" l="1"/>
  <c r="S44" i="1"/>
  <c r="S45" i="1" l="1"/>
  <c r="T44" i="1"/>
  <c r="T45" i="1" l="1"/>
  <c r="S46" i="1"/>
  <c r="T46" i="1" l="1"/>
  <c r="S47" i="1"/>
  <c r="T47" i="1" l="1"/>
  <c r="S48" i="1"/>
  <c r="S49" i="1" l="1"/>
  <c r="T48" i="1"/>
  <c r="T49" i="1" l="1"/>
  <c r="S50" i="1"/>
  <c r="T50" i="1" l="1"/>
  <c r="S51" i="1"/>
  <c r="T51" i="1" l="1"/>
  <c r="S52" i="1"/>
  <c r="S53" i="1" l="1"/>
  <c r="T52" i="1"/>
  <c r="T53" i="1" l="1"/>
  <c r="S54" i="1"/>
  <c r="S55" i="1" l="1"/>
  <c r="T54" i="1"/>
  <c r="S56" i="1" l="1"/>
  <c r="T55" i="1"/>
  <c r="S57" i="1" l="1"/>
  <c r="T56" i="1"/>
  <c r="T57" i="1" l="1"/>
  <c r="S58" i="1"/>
  <c r="T58" i="1" l="1"/>
  <c r="S59" i="1"/>
  <c r="T59" i="1" l="1"/>
  <c r="S60" i="1"/>
  <c r="S61" i="1" l="1"/>
  <c r="T60" i="1"/>
  <c r="T61" i="1" l="1"/>
  <c r="S62" i="1"/>
  <c r="T62" i="1" l="1"/>
  <c r="S63" i="1"/>
  <c r="T63" i="1" l="1"/>
  <c r="S64" i="1"/>
  <c r="S65" i="1" l="1"/>
  <c r="T64" i="1"/>
  <c r="T65" i="1" l="1"/>
  <c r="S66" i="1"/>
  <c r="T66" i="1" l="1"/>
  <c r="S67" i="1"/>
  <c r="T67" i="1" l="1"/>
  <c r="S68" i="1"/>
  <c r="S69" i="1" l="1"/>
  <c r="T68" i="1"/>
  <c r="T69" i="1" l="1"/>
  <c r="S70" i="1"/>
  <c r="T70" i="1" l="1"/>
  <c r="S71" i="1"/>
  <c r="T71" i="1" l="1"/>
  <c r="S72" i="1"/>
  <c r="S73" i="1" l="1"/>
  <c r="T72" i="1"/>
  <c r="T73" i="1" l="1"/>
  <c r="S74" i="1"/>
  <c r="T74" i="1" l="1"/>
  <c r="S75" i="1"/>
  <c r="T75" i="1" l="1"/>
  <c r="S76" i="1"/>
  <c r="S77" i="1" l="1"/>
  <c r="T76" i="1"/>
  <c r="T77" i="1" l="1"/>
  <c r="S78" i="1"/>
  <c r="T78" i="1" l="1"/>
  <c r="S79" i="1"/>
  <c r="T79" i="1" l="1"/>
  <c r="S80" i="1"/>
  <c r="S81" i="1" l="1"/>
  <c r="T80" i="1"/>
  <c r="T81" i="1" l="1"/>
  <c r="S82" i="1"/>
  <c r="T82" i="1" l="1"/>
  <c r="S83" i="1"/>
  <c r="T83" i="1" l="1"/>
  <c r="S84" i="1"/>
  <c r="S85" i="1" l="1"/>
  <c r="T84" i="1"/>
  <c r="T85" i="1" l="1"/>
  <c r="S86" i="1"/>
  <c r="T86" i="1" l="1"/>
  <c r="S87" i="1"/>
  <c r="T87" i="1" l="1"/>
  <c r="S88" i="1"/>
  <c r="S89" i="1" l="1"/>
  <c r="T88" i="1"/>
  <c r="T89" i="1" l="1"/>
  <c r="S90" i="1"/>
  <c r="T90" i="1" l="1"/>
  <c r="S91" i="1"/>
  <c r="T91" i="1" l="1"/>
  <c r="S92" i="1"/>
  <c r="S93" i="1" l="1"/>
  <c r="T92" i="1"/>
  <c r="T93" i="1" l="1"/>
  <c r="S94" i="1"/>
  <c r="T94" i="1" l="1"/>
  <c r="S95" i="1"/>
  <c r="T95" i="1" l="1"/>
  <c r="S96" i="1"/>
  <c r="S97" i="1" l="1"/>
  <c r="T96" i="1"/>
  <c r="T97" i="1" l="1"/>
  <c r="S98" i="1"/>
  <c r="T98" i="1" l="1"/>
  <c r="S99" i="1"/>
  <c r="T99" i="1" l="1"/>
  <c r="S100" i="1"/>
  <c r="S101" i="1" l="1"/>
  <c r="T100" i="1"/>
  <c r="T101" i="1" l="1"/>
  <c r="S102" i="1"/>
  <c r="T102" i="1" l="1"/>
  <c r="S103" i="1"/>
  <c r="T103" i="1" l="1"/>
  <c r="S104" i="1"/>
  <c r="S105" i="1" l="1"/>
  <c r="T104" i="1"/>
  <c r="T105" i="1" l="1"/>
  <c r="S106" i="1"/>
  <c r="T106" i="1" l="1"/>
  <c r="S107" i="1"/>
  <c r="T107" i="1" l="1"/>
  <c r="S108" i="1"/>
  <c r="S109" i="1" l="1"/>
  <c r="T108" i="1"/>
  <c r="T109" i="1" l="1"/>
  <c r="S110" i="1"/>
  <c r="T110" i="1" l="1"/>
  <c r="S111" i="1"/>
  <c r="T111" i="1" l="1"/>
  <c r="S112" i="1"/>
  <c r="S113" i="1" l="1"/>
  <c r="T112" i="1"/>
  <c r="T113" i="1" l="1"/>
  <c r="S114" i="1"/>
  <c r="T114" i="1" l="1"/>
  <c r="S115" i="1"/>
  <c r="T115" i="1" l="1"/>
  <c r="S116" i="1"/>
  <c r="S117" i="1" l="1"/>
  <c r="T116" i="1"/>
  <c r="T117" i="1" l="1"/>
  <c r="S118" i="1"/>
  <c r="T118" i="1" l="1"/>
  <c r="S119" i="1"/>
  <c r="T119" i="1" l="1"/>
  <c r="S120" i="1"/>
  <c r="S121" i="1" l="1"/>
  <c r="T120" i="1"/>
  <c r="T121" i="1" l="1"/>
  <c r="S122" i="1"/>
  <c r="T122" i="1" l="1"/>
  <c r="S123" i="1"/>
  <c r="T123" i="1" l="1"/>
  <c r="S124" i="1"/>
  <c r="S125" i="1" l="1"/>
  <c r="T124" i="1"/>
  <c r="T125" i="1" l="1"/>
  <c r="S126" i="1"/>
  <c r="T126" i="1" l="1"/>
  <c r="S127" i="1"/>
  <c r="T127" i="1" l="1"/>
  <c r="S128" i="1"/>
  <c r="S129" i="1" l="1"/>
  <c r="T128" i="1"/>
  <c r="T129" i="1" l="1"/>
  <c r="S130" i="1"/>
  <c r="T130" i="1" l="1"/>
  <c r="S131" i="1"/>
  <c r="T131" i="1" l="1"/>
  <c r="S132" i="1"/>
  <c r="S133" i="1" l="1"/>
  <c r="T132" i="1"/>
  <c r="T133" i="1" l="1"/>
  <c r="S134" i="1"/>
  <c r="T134" i="1" l="1"/>
  <c r="S135" i="1"/>
  <c r="T135" i="1" l="1"/>
  <c r="S136" i="1"/>
  <c r="S137" i="1" l="1"/>
  <c r="T136" i="1"/>
  <c r="T137" i="1" l="1"/>
  <c r="S138" i="1"/>
  <c r="T138" i="1" s="1"/>
  <c r="D4" i="3" s="1" a="1"/>
  <c r="D4" i="3" l="1"/>
  <c r="G138" i="3"/>
  <c r="G135" i="3"/>
  <c r="G117" i="3"/>
  <c r="G103" i="3"/>
  <c r="G93" i="3"/>
  <c r="G87" i="3"/>
  <c r="G84" i="3"/>
  <c r="G77" i="3"/>
  <c r="G54" i="3"/>
  <c r="G46" i="3"/>
  <c r="G34" i="3"/>
  <c r="G29" i="3"/>
  <c r="G20" i="3"/>
  <c r="G17" i="3"/>
  <c r="G7" i="3"/>
  <c r="G132" i="3"/>
  <c r="G128" i="3"/>
  <c r="G126" i="3"/>
  <c r="G123" i="3"/>
  <c r="G114" i="3"/>
  <c r="G111" i="3"/>
  <c r="G108" i="3"/>
  <c r="G99" i="3"/>
  <c r="G96" i="3"/>
  <c r="G90" i="3"/>
  <c r="G80" i="3"/>
  <c r="G74" i="3"/>
  <c r="G65" i="3"/>
  <c r="G62" i="3"/>
  <c r="G60" i="3"/>
  <c r="G57" i="3"/>
  <c r="G43" i="3"/>
  <c r="G37" i="3"/>
  <c r="G10" i="3"/>
  <c r="G137" i="3"/>
  <c r="G119" i="3"/>
  <c r="G105" i="3"/>
  <c r="G102" i="3"/>
  <c r="G83" i="3"/>
  <c r="G76" i="3"/>
  <c r="G70" i="3"/>
  <c r="G51" i="3"/>
  <c r="G40" i="3"/>
  <c r="G31" i="3"/>
  <c r="G28" i="3"/>
  <c r="G25" i="3"/>
  <c r="G22" i="3"/>
  <c r="G16" i="3"/>
  <c r="G13" i="3"/>
  <c r="G131" i="3"/>
  <c r="G125" i="3"/>
  <c r="G122" i="3"/>
  <c r="G116" i="3"/>
  <c r="G110" i="3"/>
  <c r="G107" i="3"/>
  <c r="G86" i="3"/>
  <c r="G79" i="3"/>
  <c r="G73" i="3"/>
  <c r="G67" i="3"/>
  <c r="G64" i="3"/>
  <c r="G56" i="3"/>
  <c r="G48" i="3"/>
  <c r="G45" i="3"/>
  <c r="G36" i="3"/>
  <c r="G33" i="3"/>
  <c r="G19" i="3"/>
  <c r="G6" i="3"/>
  <c r="G140" i="3"/>
  <c r="G136" i="3"/>
  <c r="G134" i="3"/>
  <c r="G113" i="3"/>
  <c r="G98" i="3"/>
  <c r="G95" i="3"/>
  <c r="G92" i="3"/>
  <c r="G89" i="3"/>
  <c r="G69" i="3"/>
  <c r="G53" i="3"/>
  <c r="G42" i="3"/>
  <c r="G30" i="3"/>
  <c r="G24" i="3"/>
  <c r="G15" i="3"/>
  <c r="G12" i="3"/>
  <c r="G9" i="3"/>
  <c r="G129" i="3"/>
  <c r="G106" i="3"/>
  <c r="G97" i="3"/>
  <c r="G81" i="3"/>
  <c r="G58" i="3"/>
  <c r="G18" i="3"/>
  <c r="G11" i="3"/>
  <c r="G85" i="3"/>
  <c r="G68" i="3"/>
  <c r="G75" i="3"/>
  <c r="G38" i="3"/>
  <c r="G14" i="3"/>
  <c r="G66" i="3"/>
  <c r="G127" i="3"/>
  <c r="G120" i="3"/>
  <c r="G112" i="3"/>
  <c r="G104" i="3"/>
  <c r="G88" i="3"/>
  <c r="G71" i="3"/>
  <c r="G63" i="3"/>
  <c r="G49" i="3"/>
  <c r="G26" i="3"/>
  <c r="G32" i="3"/>
  <c r="G61" i="3"/>
  <c r="G124" i="3"/>
  <c r="G139" i="3"/>
  <c r="G115" i="3"/>
  <c r="G91" i="3"/>
  <c r="G52" i="3"/>
  <c r="G121" i="3"/>
  <c r="G50" i="3"/>
  <c r="G35" i="3"/>
  <c r="G78" i="3"/>
  <c r="G55" i="3"/>
  <c r="G41" i="3"/>
  <c r="G8" i="3"/>
  <c r="G118" i="3"/>
  <c r="G109" i="3"/>
  <c r="G94" i="3"/>
  <c r="G47" i="3"/>
  <c r="G39" i="3"/>
  <c r="G23" i="3"/>
  <c r="G133" i="3"/>
  <c r="G101" i="3"/>
  <c r="G5" i="3"/>
  <c r="G130" i="3"/>
  <c r="G100" i="3"/>
  <c r="G82" i="3"/>
  <c r="G59" i="3"/>
  <c r="G44" i="3"/>
  <c r="G21" i="3"/>
  <c r="G72" i="3"/>
  <c r="G27" i="3"/>
  <c r="H120" i="3"/>
  <c r="S121" i="3" s="1"/>
  <c r="H92" i="3"/>
  <c r="H80" i="3"/>
  <c r="H111" i="3"/>
  <c r="S112" i="3" s="1"/>
  <c r="H19" i="3"/>
  <c r="S20" i="3" s="1"/>
  <c r="H138" i="3"/>
  <c r="H112" i="3"/>
  <c r="S113" i="3" s="1"/>
  <c r="H44" i="3"/>
  <c r="S45" i="3" s="1"/>
  <c r="H131" i="3"/>
  <c r="S132" i="3" s="1"/>
  <c r="H10" i="3"/>
  <c r="S11" i="3" s="1"/>
  <c r="H136" i="3"/>
  <c r="S137" i="3" s="1"/>
  <c r="H70" i="3"/>
  <c r="S71" i="3" s="1"/>
  <c r="H40" i="3"/>
  <c r="S41" i="3" s="1"/>
  <c r="H17" i="3"/>
  <c r="S18" i="3" s="1"/>
  <c r="H54" i="3"/>
  <c r="H115" i="3"/>
  <c r="H12" i="3"/>
  <c r="S13" i="3" s="1"/>
  <c r="H67" i="3"/>
  <c r="S68" i="3" s="1"/>
  <c r="H36" i="3"/>
  <c r="S37" i="3" s="1"/>
  <c r="H6" i="3"/>
  <c r="S7" i="3" s="1"/>
  <c r="H102" i="3"/>
  <c r="S103" i="3" s="1"/>
  <c r="H63" i="3"/>
  <c r="S64" i="3" s="1"/>
  <c r="H41" i="3"/>
  <c r="S42" i="3" s="1"/>
  <c r="H34" i="3"/>
  <c r="S35" i="3" s="1"/>
  <c r="H42" i="3"/>
  <c r="S43" i="3" s="1"/>
  <c r="H24" i="3"/>
  <c r="S25" i="3" s="1"/>
  <c r="H85" i="3"/>
  <c r="S86" i="3" s="1"/>
  <c r="H78" i="3"/>
  <c r="S79" i="3" s="1"/>
  <c r="H119" i="3"/>
  <c r="S120" i="3" s="1"/>
  <c r="H49" i="3"/>
  <c r="S50" i="3" s="1"/>
  <c r="H107" i="3"/>
  <c r="S108" i="3" s="1"/>
  <c r="H77" i="3"/>
  <c r="S78" i="3" s="1"/>
  <c r="H48" i="3"/>
  <c r="S49" i="3" s="1"/>
  <c r="H16" i="3"/>
  <c r="S17" i="3" s="1"/>
  <c r="H43" i="3"/>
  <c r="H9" i="3"/>
  <c r="S10" i="3" s="1"/>
  <c r="H108" i="3"/>
  <c r="S109" i="3" s="1"/>
  <c r="H69" i="3"/>
  <c r="S70" i="3" s="1"/>
  <c r="H64" i="3"/>
  <c r="S65" i="3" s="1"/>
  <c r="H135" i="3"/>
  <c r="H103" i="3"/>
  <c r="S104" i="3" s="1"/>
  <c r="H14" i="3"/>
  <c r="S15" i="3" s="1"/>
  <c r="H29" i="3"/>
  <c r="S30" i="3" s="1"/>
  <c r="H30" i="3"/>
  <c r="S31" i="3" s="1"/>
  <c r="H65" i="3"/>
  <c r="S66" i="3" s="1"/>
  <c r="H114" i="3"/>
  <c r="S115" i="3" s="1"/>
  <c r="H39" i="3"/>
  <c r="S40" i="3" s="1"/>
  <c r="H90" i="3"/>
  <c r="S91" i="3" s="1"/>
  <c r="H57" i="3"/>
  <c r="S58" i="3" s="1"/>
  <c r="H74" i="3"/>
  <c r="H125" i="3"/>
  <c r="S126" i="3" s="1"/>
  <c r="H82" i="3"/>
  <c r="S83" i="3" s="1"/>
  <c r="H25" i="3"/>
  <c r="S26" i="3" s="1"/>
  <c r="H132" i="3"/>
  <c r="S133" i="3" s="1"/>
  <c r="H117" i="3"/>
  <c r="S118" i="3" s="1"/>
  <c r="H134" i="3"/>
  <c r="S135" i="3" s="1"/>
  <c r="H110" i="3"/>
  <c r="H11" i="3"/>
  <c r="S12" i="3" s="1"/>
  <c r="H84" i="3"/>
  <c r="S85" i="3" s="1"/>
  <c r="H47" i="3"/>
  <c r="S48" i="3" s="1"/>
  <c r="H5" i="3"/>
  <c r="S6" i="3" s="1"/>
  <c r="H106" i="3"/>
  <c r="S107" i="3" s="1"/>
  <c r="H72" i="3"/>
  <c r="S73" i="3" s="1"/>
  <c r="H79" i="3"/>
  <c r="S80" i="3" s="1"/>
  <c r="H71" i="3"/>
  <c r="S72" i="3" s="1"/>
  <c r="H100" i="3"/>
  <c r="S101" i="3" s="1"/>
  <c r="H55" i="3"/>
  <c r="H123" i="3"/>
  <c r="S124" i="3" s="1"/>
  <c r="H99" i="3"/>
  <c r="S100" i="3" s="1"/>
  <c r="H20" i="3"/>
  <c r="S21" i="3" s="1"/>
  <c r="H15" i="3"/>
  <c r="S16" i="3" s="1"/>
  <c r="H137" i="3"/>
  <c r="S138" i="3" s="1"/>
  <c r="H87" i="3"/>
  <c r="H73" i="3"/>
  <c r="S74" i="3" s="1"/>
  <c r="H140" i="3"/>
  <c r="H68" i="3"/>
  <c r="S69" i="3" s="1"/>
  <c r="H133" i="3"/>
  <c r="S134" i="3" s="1"/>
  <c r="H128" i="3"/>
  <c r="S129" i="3" s="1"/>
  <c r="H101" i="3"/>
  <c r="S102" i="3" s="1"/>
  <c r="H62" i="3"/>
  <c r="S63" i="3" s="1"/>
  <c r="H121" i="3"/>
  <c r="S122" i="3" s="1"/>
  <c r="H37" i="3"/>
  <c r="S38" i="3" s="1"/>
  <c r="H33" i="3"/>
  <c r="S34" i="3" s="1"/>
  <c r="H22" i="3"/>
  <c r="H104" i="3"/>
  <c r="S105" i="3" s="1"/>
  <c r="H60" i="3"/>
  <c r="S61" i="3" s="1"/>
  <c r="H56" i="3"/>
  <c r="S57" i="3" s="1"/>
  <c r="H91" i="3"/>
  <c r="S92" i="3" s="1"/>
  <c r="H8" i="3"/>
  <c r="S9" i="3" s="1"/>
  <c r="H18" i="3"/>
  <c r="S19" i="3" s="1"/>
  <c r="H95" i="3"/>
  <c r="S96" i="3" s="1"/>
  <c r="H93" i="3"/>
  <c r="S94" i="3" s="1"/>
  <c r="H27" i="3"/>
  <c r="S28" i="3" s="1"/>
  <c r="H81" i="3"/>
  <c r="S82" i="3" s="1"/>
  <c r="H89" i="3"/>
  <c r="S90" i="3" s="1"/>
  <c r="H118" i="3"/>
  <c r="S119" i="3" s="1"/>
  <c r="H83" i="3"/>
  <c r="S84" i="3" s="1"/>
  <c r="H122" i="3"/>
  <c r="S123" i="3" s="1"/>
  <c r="H116" i="3"/>
  <c r="S117" i="3" s="1"/>
  <c r="H46" i="3"/>
  <c r="S47" i="3" s="1"/>
  <c r="H38" i="3"/>
  <c r="S39" i="3" s="1"/>
  <c r="H97" i="3"/>
  <c r="S98" i="3" s="1"/>
  <c r="H66" i="3"/>
  <c r="S67" i="3" s="1"/>
  <c r="H129" i="3"/>
  <c r="S130" i="3" s="1"/>
  <c r="H130" i="3"/>
  <c r="S131" i="3" s="1"/>
  <c r="H94" i="3"/>
  <c r="S95" i="3" s="1"/>
  <c r="H127" i="3"/>
  <c r="S128" i="3" s="1"/>
  <c r="H98" i="3"/>
  <c r="S99" i="3" s="1"/>
  <c r="H13" i="3"/>
  <c r="S14" i="3" s="1"/>
  <c r="H86" i="3"/>
  <c r="S87" i="3" s="1"/>
  <c r="H61" i="3"/>
  <c r="H32" i="3"/>
  <c r="S33" i="3" s="1"/>
  <c r="H124" i="3"/>
  <c r="S125" i="3" s="1"/>
  <c r="H26" i="3"/>
  <c r="S27" i="3" s="1"/>
  <c r="H76" i="3"/>
  <c r="S77" i="3" s="1"/>
  <c r="H105" i="3"/>
  <c r="H88" i="3"/>
  <c r="S89" i="3" s="1"/>
  <c r="H21" i="3"/>
  <c r="S22" i="3" s="1"/>
  <c r="H35" i="3"/>
  <c r="S36" i="3" s="1"/>
  <c r="H31" i="3"/>
  <c r="S32" i="3" s="1"/>
  <c r="H113" i="3"/>
  <c r="S114" i="3" s="1"/>
  <c r="H126" i="3"/>
  <c r="S127" i="3" s="1"/>
  <c r="H59" i="3"/>
  <c r="S60" i="3" s="1"/>
  <c r="H28" i="3"/>
  <c r="S29" i="3" s="1"/>
  <c r="H53" i="3"/>
  <c r="S54" i="3" s="1"/>
  <c r="H75" i="3"/>
  <c r="S76" i="3" s="1"/>
  <c r="H51" i="3"/>
  <c r="S52" i="3" s="1"/>
  <c r="H7" i="3"/>
  <c r="S8" i="3" s="1"/>
  <c r="H109" i="3"/>
  <c r="S110" i="3" s="1"/>
  <c r="H52" i="3"/>
  <c r="H58" i="3"/>
  <c r="S59" i="3" s="1"/>
  <c r="H96" i="3"/>
  <c r="S97" i="3" s="1"/>
  <c r="H50" i="3"/>
  <c r="S51" i="3" s="1"/>
  <c r="H45" i="3"/>
  <c r="S46" i="3" s="1"/>
  <c r="H139" i="3"/>
  <c r="S140" i="3" s="1"/>
  <c r="H23" i="3"/>
  <c r="S24" i="3" s="1"/>
  <c r="Q88" i="3" l="1"/>
  <c r="T88" i="3" s="1"/>
  <c r="R88" i="3"/>
  <c r="Q136" i="3"/>
  <c r="T136" i="3" s="1"/>
  <c r="R136" i="3"/>
  <c r="Q116" i="3"/>
  <c r="T116" i="3"/>
  <c r="U116" i="3" s="1"/>
  <c r="R116" i="3"/>
  <c r="Q93" i="3"/>
  <c r="R93" i="3"/>
  <c r="S62" i="3"/>
  <c r="S55" i="3"/>
  <c r="Q72" i="3"/>
  <c r="R72" i="3"/>
  <c r="T72" i="3" s="1"/>
  <c r="Q101" i="3"/>
  <c r="R101" i="3"/>
  <c r="Q8" i="3"/>
  <c r="T8" i="3" s="1"/>
  <c r="R8" i="3"/>
  <c r="Q91" i="3"/>
  <c r="R91" i="3"/>
  <c r="Q63" i="3"/>
  <c r="T63" i="3" s="1"/>
  <c r="R63" i="3"/>
  <c r="Q14" i="3"/>
  <c r="T14" i="3" s="1"/>
  <c r="R14" i="3"/>
  <c r="Q81" i="3"/>
  <c r="R81" i="3"/>
  <c r="Q30" i="3"/>
  <c r="T30" i="3" s="1"/>
  <c r="R30" i="3"/>
  <c r="Q113" i="3"/>
  <c r="R113" i="3"/>
  <c r="Q45" i="3"/>
  <c r="R45" i="3"/>
  <c r="Q107" i="3"/>
  <c r="R107" i="3"/>
  <c r="Q22" i="3"/>
  <c r="T22" i="3" s="1"/>
  <c r="R22" i="3"/>
  <c r="Q83" i="3"/>
  <c r="R83" i="3"/>
  <c r="Q57" i="3"/>
  <c r="R57" i="3"/>
  <c r="Q99" i="3"/>
  <c r="R99" i="3"/>
  <c r="Q7" i="3"/>
  <c r="R7" i="3"/>
  <c r="Q84" i="3"/>
  <c r="T84" i="3" s="1"/>
  <c r="R84" i="3"/>
  <c r="Q75" i="3"/>
  <c r="R75" i="3"/>
  <c r="T62" i="3"/>
  <c r="Q62" i="3"/>
  <c r="R62" i="3"/>
  <c r="S106" i="3"/>
  <c r="S23" i="3"/>
  <c r="S139" i="3"/>
  <c r="Q21" i="3"/>
  <c r="R21" i="3"/>
  <c r="Q133" i="3"/>
  <c r="T133" i="3" s="1"/>
  <c r="R133" i="3"/>
  <c r="Q41" i="3"/>
  <c r="R41" i="3"/>
  <c r="Q115" i="3"/>
  <c r="R115" i="3"/>
  <c r="Q71" i="3"/>
  <c r="R71" i="3"/>
  <c r="Q38" i="3"/>
  <c r="T38" i="3" s="1"/>
  <c r="R38" i="3"/>
  <c r="Q97" i="3"/>
  <c r="R97" i="3"/>
  <c r="Q42" i="3"/>
  <c r="R42" i="3"/>
  <c r="T42" i="3" s="1"/>
  <c r="Q134" i="3"/>
  <c r="T134" i="3" s="1"/>
  <c r="R134" i="3"/>
  <c r="Q48" i="3"/>
  <c r="T48" i="3" s="1"/>
  <c r="R48" i="3"/>
  <c r="Q110" i="3"/>
  <c r="T110" i="3" s="1"/>
  <c r="R110" i="3"/>
  <c r="Q25" i="3"/>
  <c r="R25" i="3"/>
  <c r="Q102" i="3"/>
  <c r="R102" i="3"/>
  <c r="T102" i="3" s="1"/>
  <c r="Q60" i="3"/>
  <c r="R60" i="3"/>
  <c r="T60" i="3" s="1"/>
  <c r="Q108" i="3"/>
  <c r="T108" i="3"/>
  <c r="R108" i="3"/>
  <c r="Q17" i="3"/>
  <c r="R17" i="3"/>
  <c r="Q87" i="3"/>
  <c r="R87" i="3"/>
  <c r="Q59" i="3"/>
  <c r="T59" i="3" s="1"/>
  <c r="R59" i="3"/>
  <c r="Q39" i="3"/>
  <c r="T39" i="3" s="1"/>
  <c r="R39" i="3"/>
  <c r="Q78" i="3"/>
  <c r="T78" i="3" s="1"/>
  <c r="R78" i="3"/>
  <c r="Q124" i="3"/>
  <c r="T124" i="3"/>
  <c r="R124" i="3"/>
  <c r="Q104" i="3"/>
  <c r="T104" i="3" s="1"/>
  <c r="R104" i="3"/>
  <c r="Q68" i="3"/>
  <c r="R68" i="3"/>
  <c r="T68" i="3" s="1"/>
  <c r="Q129" i="3"/>
  <c r="T129" i="3" s="1"/>
  <c r="R129" i="3"/>
  <c r="Q69" i="3"/>
  <c r="T69" i="3" s="1"/>
  <c r="R69" i="3"/>
  <c r="Q140" i="3"/>
  <c r="R140" i="3"/>
  <c r="T140" i="3" s="1"/>
  <c r="Q64" i="3"/>
  <c r="T64" i="3" s="1"/>
  <c r="R64" i="3"/>
  <c r="Q122" i="3"/>
  <c r="T122" i="3" s="1"/>
  <c r="R122" i="3"/>
  <c r="Q31" i="3"/>
  <c r="R31" i="3"/>
  <c r="Q119" i="3"/>
  <c r="R119" i="3"/>
  <c r="Q65" i="3"/>
  <c r="R65" i="3"/>
  <c r="Q114" i="3"/>
  <c r="T114" i="3" s="1"/>
  <c r="R114" i="3"/>
  <c r="Q29" i="3"/>
  <c r="R29" i="3"/>
  <c r="Q103" i="3"/>
  <c r="T103" i="3" s="1"/>
  <c r="R103" i="3"/>
  <c r="Q44" i="3"/>
  <c r="T44" i="3" s="1"/>
  <c r="R44" i="3"/>
  <c r="Q55" i="3"/>
  <c r="R55" i="3"/>
  <c r="Q111" i="3"/>
  <c r="R111" i="3"/>
  <c r="S56" i="3"/>
  <c r="S44" i="3"/>
  <c r="S81" i="3"/>
  <c r="Q82" i="3"/>
  <c r="T82" i="3" s="1"/>
  <c r="R82" i="3"/>
  <c r="Q47" i="3"/>
  <c r="R47" i="3"/>
  <c r="Q35" i="3"/>
  <c r="R35" i="3"/>
  <c r="Q61" i="3"/>
  <c r="R61" i="3"/>
  <c r="Q112" i="3"/>
  <c r="T112" i="3" s="1"/>
  <c r="R112" i="3"/>
  <c r="Q85" i="3"/>
  <c r="T85" i="3" s="1"/>
  <c r="U85" i="3" s="1"/>
  <c r="R85" i="3"/>
  <c r="Q9" i="3"/>
  <c r="T9" i="3" s="1"/>
  <c r="R9" i="3"/>
  <c r="Q89" i="3"/>
  <c r="R89" i="3"/>
  <c r="Q6" i="3"/>
  <c r="R6" i="3"/>
  <c r="T6" i="3" s="1"/>
  <c r="Q67" i="3"/>
  <c r="R67" i="3"/>
  <c r="Q125" i="3"/>
  <c r="R125" i="3"/>
  <c r="Q40" i="3"/>
  <c r="R40" i="3"/>
  <c r="T40" i="3" s="1"/>
  <c r="Q137" i="3"/>
  <c r="T137" i="3" s="1"/>
  <c r="R137" i="3"/>
  <c r="Q74" i="3"/>
  <c r="T74" i="3" s="1"/>
  <c r="R74" i="3"/>
  <c r="Q123" i="3"/>
  <c r="R123" i="3"/>
  <c r="Q34" i="3"/>
  <c r="T34" i="3" s="1"/>
  <c r="R34" i="3"/>
  <c r="Q117" i="3"/>
  <c r="T117" i="3" s="1"/>
  <c r="R117" i="3"/>
  <c r="Q139" i="3"/>
  <c r="R139" i="3"/>
  <c r="Q106" i="3"/>
  <c r="R106" i="3"/>
  <c r="T106" i="3" s="1"/>
  <c r="Q53" i="3"/>
  <c r="R53" i="3"/>
  <c r="Q56" i="3"/>
  <c r="R56" i="3"/>
  <c r="T56" i="3" s="1"/>
  <c r="Q28" i="3"/>
  <c r="R28" i="3"/>
  <c r="T28" i="3" s="1"/>
  <c r="S53" i="3"/>
  <c r="S75" i="3"/>
  <c r="S93" i="3"/>
  <c r="Q100" i="3"/>
  <c r="R100" i="3"/>
  <c r="T100" i="3" s="1"/>
  <c r="U100" i="3" s="1"/>
  <c r="Q94" i="3"/>
  <c r="T94" i="3" s="1"/>
  <c r="R94" i="3"/>
  <c r="T50" i="3"/>
  <c r="Q50" i="3"/>
  <c r="R50" i="3"/>
  <c r="Q32" i="3"/>
  <c r="T32" i="3" s="1"/>
  <c r="R32" i="3"/>
  <c r="Q120" i="3"/>
  <c r="T120" i="3" s="1"/>
  <c r="R120" i="3"/>
  <c r="Q11" i="3"/>
  <c r="R11" i="3"/>
  <c r="Q12" i="3"/>
  <c r="R12" i="3"/>
  <c r="T12" i="3" s="1"/>
  <c r="Q92" i="3"/>
  <c r="T92" i="3" s="1"/>
  <c r="R92" i="3"/>
  <c r="Q19" i="3"/>
  <c r="R19" i="3"/>
  <c r="Q73" i="3"/>
  <c r="R73" i="3"/>
  <c r="Q131" i="3"/>
  <c r="R131" i="3"/>
  <c r="Q51" i="3"/>
  <c r="R51" i="3"/>
  <c r="Q10" i="3"/>
  <c r="T10" i="3"/>
  <c r="R10" i="3"/>
  <c r="Q80" i="3"/>
  <c r="T80" i="3" s="1"/>
  <c r="R80" i="3"/>
  <c r="Q126" i="3"/>
  <c r="T126" i="3" s="1"/>
  <c r="R126" i="3"/>
  <c r="Q46" i="3"/>
  <c r="R46" i="3"/>
  <c r="T46" i="3" s="1"/>
  <c r="Q135" i="3"/>
  <c r="R135" i="3"/>
  <c r="Q105" i="3"/>
  <c r="R105" i="3"/>
  <c r="S88" i="3"/>
  <c r="S111" i="3"/>
  <c r="Q130" i="3"/>
  <c r="T130" i="3" s="1"/>
  <c r="R130" i="3"/>
  <c r="Q109" i="3"/>
  <c r="T109" i="3" s="1"/>
  <c r="R109" i="3"/>
  <c r="Q121" i="3"/>
  <c r="T121" i="3" s="1"/>
  <c r="R121" i="3"/>
  <c r="Q26" i="3"/>
  <c r="T26" i="3" s="1"/>
  <c r="R26" i="3"/>
  <c r="Q127" i="3"/>
  <c r="R127" i="3"/>
  <c r="Q18" i="3"/>
  <c r="T18" i="3" s="1"/>
  <c r="R18" i="3"/>
  <c r="Q15" i="3"/>
  <c r="T15" i="3" s="1"/>
  <c r="R15" i="3"/>
  <c r="Q95" i="3"/>
  <c r="R95" i="3"/>
  <c r="Q33" i="3"/>
  <c r="T33" i="3" s="1"/>
  <c r="R33" i="3"/>
  <c r="Q79" i="3"/>
  <c r="T79" i="3" s="1"/>
  <c r="R79" i="3"/>
  <c r="Q13" i="3"/>
  <c r="T13" i="3" s="1"/>
  <c r="R13" i="3"/>
  <c r="Q70" i="3"/>
  <c r="R70" i="3"/>
  <c r="T70" i="3" s="1"/>
  <c r="Q37" i="3"/>
  <c r="R37" i="3"/>
  <c r="Q90" i="3"/>
  <c r="R90" i="3"/>
  <c r="T90" i="3" s="1"/>
  <c r="Q128" i="3"/>
  <c r="T128" i="3" s="1"/>
  <c r="R128" i="3"/>
  <c r="Q54" i="3"/>
  <c r="T54" i="3"/>
  <c r="R54" i="3"/>
  <c r="Q138" i="3"/>
  <c r="T138" i="3" s="1"/>
  <c r="R138" i="3"/>
  <c r="Q23" i="3"/>
  <c r="R23" i="3"/>
  <c r="Q20" i="3"/>
  <c r="T20" i="3"/>
  <c r="R20" i="3"/>
  <c r="S136" i="3"/>
  <c r="S116" i="3"/>
  <c r="Q27" i="3"/>
  <c r="R27" i="3"/>
  <c r="Q5" i="3"/>
  <c r="Q118" i="3"/>
  <c r="T118" i="3" s="1"/>
  <c r="R118" i="3"/>
  <c r="Q52" i="3"/>
  <c r="R52" i="3"/>
  <c r="T52" i="3" s="1"/>
  <c r="Q49" i="3"/>
  <c r="T49" i="3" s="1"/>
  <c r="R49" i="3"/>
  <c r="T66" i="3"/>
  <c r="Q66" i="3"/>
  <c r="R66" i="3"/>
  <c r="Q58" i="3"/>
  <c r="R58" i="3"/>
  <c r="T58" i="3" s="1"/>
  <c r="Q24" i="3"/>
  <c r="T24" i="3" s="1"/>
  <c r="R24" i="3"/>
  <c r="Q98" i="3"/>
  <c r="T98" i="3" s="1"/>
  <c r="R98" i="3"/>
  <c r="Q36" i="3"/>
  <c r="R36" i="3"/>
  <c r="T36" i="3" s="1"/>
  <c r="Q86" i="3"/>
  <c r="T86" i="3"/>
  <c r="R86" i="3"/>
  <c r="Q16" i="3"/>
  <c r="R16" i="3"/>
  <c r="T16" i="3" s="1"/>
  <c r="Q76" i="3"/>
  <c r="T76" i="3"/>
  <c r="R76" i="3"/>
  <c r="Q43" i="3"/>
  <c r="T43" i="3" s="1"/>
  <c r="R43" i="3"/>
  <c r="Q96" i="3"/>
  <c r="R96" i="3"/>
  <c r="T96" i="3" s="1"/>
  <c r="Q132" i="3"/>
  <c r="T132" i="3"/>
  <c r="R132" i="3"/>
  <c r="Q77" i="3"/>
  <c r="T77" i="3" s="1"/>
  <c r="R77" i="3"/>
  <c r="Y105" i="3"/>
  <c r="X105" i="3"/>
  <c r="X133" i="3"/>
  <c r="Y133" i="3"/>
  <c r="X123" i="3"/>
  <c r="Y123" i="3"/>
  <c r="Y57" i="3"/>
  <c r="X57" i="3"/>
  <c r="Y34" i="3"/>
  <c r="X34" i="3"/>
  <c r="X131" i="3"/>
  <c r="Y131" i="3"/>
  <c r="K133" i="3"/>
  <c r="L134" i="3"/>
  <c r="J133" i="3"/>
  <c r="Z134" i="3"/>
  <c r="K114" i="3"/>
  <c r="J114" i="3"/>
  <c r="L115" i="3"/>
  <c r="Z115" i="3"/>
  <c r="Y32" i="3"/>
  <c r="X32" i="3"/>
  <c r="Y95" i="3"/>
  <c r="X95" i="3"/>
  <c r="X22" i="3"/>
  <c r="Y22" i="3"/>
  <c r="X110" i="3"/>
  <c r="Y110" i="3"/>
  <c r="J71" i="3"/>
  <c r="L72" i="3"/>
  <c r="K71" i="3"/>
  <c r="Z72" i="3"/>
  <c r="K20" i="3"/>
  <c r="J20" i="3"/>
  <c r="L21" i="3"/>
  <c r="Z21" i="3"/>
  <c r="Y26" i="3"/>
  <c r="X26" i="3"/>
  <c r="X65" i="3"/>
  <c r="Y65" i="3"/>
  <c r="X78" i="3"/>
  <c r="Y78" i="3"/>
  <c r="L83" i="3"/>
  <c r="J82" i="3"/>
  <c r="K82" i="3"/>
  <c r="Z83" i="3"/>
  <c r="J88" i="3"/>
  <c r="K88" i="3"/>
  <c r="L89" i="3"/>
  <c r="Z89" i="3"/>
  <c r="J113" i="3"/>
  <c r="L114" i="3"/>
  <c r="K113" i="3"/>
  <c r="Z114" i="3"/>
  <c r="J70" i="3"/>
  <c r="K70" i="3"/>
  <c r="L71" i="3"/>
  <c r="Z71" i="3"/>
  <c r="L81" i="3"/>
  <c r="K80" i="3"/>
  <c r="J80" i="3"/>
  <c r="Z81" i="3"/>
  <c r="Y53" i="3"/>
  <c r="X53" i="3"/>
  <c r="X68" i="3"/>
  <c r="Y68" i="3"/>
  <c r="X135" i="3"/>
  <c r="Y135" i="3"/>
  <c r="Y6" i="3"/>
  <c r="X6" i="3"/>
  <c r="Y136" i="3"/>
  <c r="X136" i="3"/>
  <c r="Y19" i="3"/>
  <c r="X19" i="3"/>
  <c r="Y120" i="3"/>
  <c r="X120" i="3"/>
  <c r="J100" i="3"/>
  <c r="L101" i="3"/>
  <c r="K100" i="3"/>
  <c r="Z101" i="3"/>
  <c r="K35" i="3"/>
  <c r="J35" i="3"/>
  <c r="L36" i="3"/>
  <c r="Z36" i="3"/>
  <c r="J61" i="3"/>
  <c r="K61" i="3"/>
  <c r="L62" i="3"/>
  <c r="Z62" i="3"/>
  <c r="K38" i="3"/>
  <c r="L39" i="3"/>
  <c r="J38" i="3"/>
  <c r="Z39" i="3"/>
  <c r="L98" i="3"/>
  <c r="J97" i="3"/>
  <c r="K97" i="3"/>
  <c r="Z98" i="3"/>
  <c r="J42" i="3"/>
  <c r="L43" i="3"/>
  <c r="K42" i="3"/>
  <c r="Z43" i="3"/>
  <c r="L49" i="3"/>
  <c r="J48" i="3"/>
  <c r="K48" i="3"/>
  <c r="Z49" i="3"/>
  <c r="L111" i="3"/>
  <c r="K110" i="3"/>
  <c r="J110" i="3"/>
  <c r="Z111" i="3"/>
  <c r="L17" i="3"/>
  <c r="J16" i="3"/>
  <c r="K16" i="3"/>
  <c r="Z17" i="3"/>
  <c r="K90" i="3"/>
  <c r="J90" i="3"/>
  <c r="L91" i="3"/>
  <c r="Z91" i="3"/>
  <c r="K128" i="3"/>
  <c r="J128" i="3"/>
  <c r="L129" i="3"/>
  <c r="Z129" i="3"/>
  <c r="L35" i="3"/>
  <c r="K34" i="3"/>
  <c r="J34" i="3"/>
  <c r="Z35" i="3"/>
  <c r="K117" i="3"/>
  <c r="J117" i="3"/>
  <c r="L118" i="3"/>
  <c r="Z118" i="3"/>
  <c r="Y109" i="3"/>
  <c r="X109" i="3"/>
  <c r="Y28" i="3"/>
  <c r="X28" i="3"/>
  <c r="Y126" i="3"/>
  <c r="X126" i="3"/>
  <c r="Y8" i="3"/>
  <c r="X8" i="3"/>
  <c r="X60" i="3"/>
  <c r="Y60" i="3"/>
  <c r="X73" i="3"/>
  <c r="Y73" i="3"/>
  <c r="X20" i="3"/>
  <c r="Y20" i="3"/>
  <c r="X71" i="3"/>
  <c r="Y71" i="3"/>
  <c r="X47" i="3"/>
  <c r="Y47" i="3"/>
  <c r="X69" i="3"/>
  <c r="Y69" i="3"/>
  <c r="X16" i="3"/>
  <c r="Y16" i="3"/>
  <c r="Y63" i="3"/>
  <c r="X63" i="3"/>
  <c r="Y36" i="3"/>
  <c r="X36" i="3"/>
  <c r="Y10" i="3"/>
  <c r="X10" i="3"/>
  <c r="X112" i="3"/>
  <c r="Y112" i="3"/>
  <c r="L28" i="3"/>
  <c r="K27" i="3"/>
  <c r="J27" i="3"/>
  <c r="Z28" i="3"/>
  <c r="K130" i="3"/>
  <c r="J130" i="3"/>
  <c r="L131" i="3"/>
  <c r="Z131" i="3"/>
  <c r="L95" i="3"/>
  <c r="J94" i="3"/>
  <c r="K94" i="3"/>
  <c r="Z95" i="3"/>
  <c r="J50" i="3"/>
  <c r="L51" i="3"/>
  <c r="K50" i="3"/>
  <c r="Z51" i="3"/>
  <c r="K112" i="3"/>
  <c r="J112" i="3"/>
  <c r="L113" i="3"/>
  <c r="Z113" i="3"/>
  <c r="K75" i="3"/>
  <c r="L76" i="3"/>
  <c r="J75" i="3"/>
  <c r="Z76" i="3"/>
  <c r="K106" i="3"/>
  <c r="J106" i="3"/>
  <c r="L107" i="3"/>
  <c r="Z107" i="3"/>
  <c r="L54" i="3"/>
  <c r="J53" i="3"/>
  <c r="K53" i="3"/>
  <c r="Z54" i="3"/>
  <c r="J136" i="3"/>
  <c r="L137" i="3"/>
  <c r="K136" i="3"/>
  <c r="Z137" i="3"/>
  <c r="K56" i="3"/>
  <c r="J56" i="3"/>
  <c r="L57" i="3"/>
  <c r="Z57" i="3"/>
  <c r="L117" i="3"/>
  <c r="J116" i="3"/>
  <c r="Z117" i="3"/>
  <c r="K22" i="3"/>
  <c r="J22" i="3"/>
  <c r="L23" i="3"/>
  <c r="Z23" i="3"/>
  <c r="K83" i="3"/>
  <c r="L84" i="3"/>
  <c r="J83" i="3"/>
  <c r="Z84" i="3"/>
  <c r="K43" i="3"/>
  <c r="J43" i="3"/>
  <c r="L44" i="3"/>
  <c r="Z44" i="3"/>
  <c r="L97" i="3"/>
  <c r="K96" i="3"/>
  <c r="J96" i="3"/>
  <c r="Z97" i="3"/>
  <c r="L133" i="3"/>
  <c r="J132" i="3"/>
  <c r="K132" i="3"/>
  <c r="Z133" i="3"/>
  <c r="K46" i="3"/>
  <c r="L47" i="3"/>
  <c r="J46" i="3"/>
  <c r="Z47" i="3"/>
  <c r="J135" i="3"/>
  <c r="K135" i="3"/>
  <c r="L136" i="3"/>
  <c r="Z136" i="3"/>
  <c r="X58" i="3"/>
  <c r="Y58" i="3"/>
  <c r="Y104" i="3"/>
  <c r="X104" i="3"/>
  <c r="Y25" i="3"/>
  <c r="X25" i="3"/>
  <c r="Y43" i="3"/>
  <c r="X43" i="3"/>
  <c r="J41" i="3"/>
  <c r="K41" i="3"/>
  <c r="L42" i="3"/>
  <c r="Z42" i="3"/>
  <c r="L19" i="3"/>
  <c r="K18" i="3"/>
  <c r="J18" i="3"/>
  <c r="Z19" i="3"/>
  <c r="L41" i="3"/>
  <c r="J40" i="3"/>
  <c r="K40" i="3"/>
  <c r="Z41" i="3"/>
  <c r="J87" i="3"/>
  <c r="L88" i="3"/>
  <c r="K87" i="3"/>
  <c r="Z88" i="3"/>
  <c r="Y76" i="3"/>
  <c r="X76" i="3"/>
  <c r="Y83" i="3"/>
  <c r="X83" i="3"/>
  <c r="Y55" i="3"/>
  <c r="X55" i="3"/>
  <c r="X102" i="3"/>
  <c r="Y102" i="3"/>
  <c r="X70" i="3"/>
  <c r="Y70" i="3"/>
  <c r="J59" i="3"/>
  <c r="L60" i="3"/>
  <c r="K59" i="3"/>
  <c r="Z60" i="3"/>
  <c r="J139" i="3"/>
  <c r="L140" i="3"/>
  <c r="K139" i="3"/>
  <c r="Z140" i="3"/>
  <c r="L25" i="3"/>
  <c r="J24" i="3"/>
  <c r="K24" i="3"/>
  <c r="Z25" i="3"/>
  <c r="J86" i="3"/>
  <c r="L87" i="3"/>
  <c r="K86" i="3"/>
  <c r="Z87" i="3"/>
  <c r="L75" i="3"/>
  <c r="J74" i="3"/>
  <c r="K74" i="3"/>
  <c r="Z75" i="3"/>
  <c r="Y66" i="3"/>
  <c r="X66" i="3"/>
  <c r="X118" i="3"/>
  <c r="Y118" i="3"/>
  <c r="X37" i="3"/>
  <c r="Y37" i="3"/>
  <c r="X44" i="3"/>
  <c r="Y44" i="3"/>
  <c r="L125" i="3"/>
  <c r="K124" i="3"/>
  <c r="Z125" i="3"/>
  <c r="L14" i="3"/>
  <c r="J13" i="3"/>
  <c r="K13" i="3"/>
  <c r="Z14" i="3"/>
  <c r="L127" i="3"/>
  <c r="K126" i="3"/>
  <c r="J126" i="3"/>
  <c r="Z127" i="3"/>
  <c r="X45" i="3"/>
  <c r="Y45" i="3"/>
  <c r="X86" i="3"/>
  <c r="Y86" i="3"/>
  <c r="Y46" i="3"/>
  <c r="X46" i="3"/>
  <c r="X18" i="3"/>
  <c r="Y18" i="3"/>
  <c r="X128" i="3"/>
  <c r="Y128" i="3"/>
  <c r="X100" i="3"/>
  <c r="Y100" i="3"/>
  <c r="X30" i="3"/>
  <c r="Y30" i="3"/>
  <c r="Y85" i="3"/>
  <c r="X85" i="3"/>
  <c r="L135" i="3"/>
  <c r="K134" i="3"/>
  <c r="J134" i="3"/>
  <c r="Z135" i="3"/>
  <c r="Y7" i="3"/>
  <c r="X7" i="3"/>
  <c r="X113" i="3"/>
  <c r="Y113" i="3"/>
  <c r="Y89" i="3"/>
  <c r="X89" i="3"/>
  <c r="X91" i="3"/>
  <c r="Y91" i="3"/>
  <c r="Y33" i="3"/>
  <c r="X33" i="3"/>
  <c r="X121" i="3"/>
  <c r="Y121" i="3"/>
  <c r="X99" i="3"/>
  <c r="Y99" i="3"/>
  <c r="Y79" i="3"/>
  <c r="X79" i="3"/>
  <c r="X84" i="3"/>
  <c r="Y84" i="3"/>
  <c r="Y74" i="3"/>
  <c r="X74" i="3"/>
  <c r="X90" i="3"/>
  <c r="Y90" i="3"/>
  <c r="X108" i="3"/>
  <c r="Y108" i="3"/>
  <c r="Y48" i="3"/>
  <c r="X48" i="3"/>
  <c r="Y24" i="3"/>
  <c r="X24" i="3"/>
  <c r="Y67" i="3"/>
  <c r="X67" i="3"/>
  <c r="Y115" i="3"/>
  <c r="X115" i="3"/>
  <c r="X138" i="3"/>
  <c r="Y138" i="3"/>
  <c r="J72" i="3"/>
  <c r="K72" i="3"/>
  <c r="L73" i="3"/>
  <c r="Z73" i="3"/>
  <c r="L6" i="3"/>
  <c r="Z6" i="3"/>
  <c r="K109" i="3"/>
  <c r="L110" i="3"/>
  <c r="J109" i="3"/>
  <c r="Z110" i="3"/>
  <c r="J121" i="3"/>
  <c r="L122" i="3"/>
  <c r="K121" i="3"/>
  <c r="Z122" i="3"/>
  <c r="K32" i="3"/>
  <c r="J32" i="3"/>
  <c r="L33" i="3"/>
  <c r="Z33" i="3"/>
  <c r="J120" i="3"/>
  <c r="K120" i="3"/>
  <c r="L121" i="3"/>
  <c r="Z121" i="3"/>
  <c r="J69" i="3"/>
  <c r="K68" i="3"/>
  <c r="J68" i="3"/>
  <c r="L69" i="3"/>
  <c r="Z69" i="3"/>
  <c r="K129" i="3"/>
  <c r="L130" i="3"/>
  <c r="J129" i="3"/>
  <c r="Z130" i="3"/>
  <c r="K69" i="3"/>
  <c r="L70" i="3"/>
  <c r="Z70" i="3"/>
  <c r="K140" i="3"/>
  <c r="J140" i="3"/>
  <c r="L65" i="3"/>
  <c r="K64" i="3"/>
  <c r="J64" i="3"/>
  <c r="Z65" i="3"/>
  <c r="J122" i="3"/>
  <c r="K122" i="3"/>
  <c r="L123" i="3"/>
  <c r="Z123" i="3"/>
  <c r="K25" i="3"/>
  <c r="L26" i="3"/>
  <c r="J25" i="3"/>
  <c r="Z26" i="3"/>
  <c r="K102" i="3"/>
  <c r="L103" i="3"/>
  <c r="Z103" i="3"/>
  <c r="J58" i="3"/>
  <c r="J57" i="3"/>
  <c r="K57" i="3"/>
  <c r="L58" i="3"/>
  <c r="Z58" i="3"/>
  <c r="L100" i="3"/>
  <c r="K99" i="3"/>
  <c r="J99" i="3"/>
  <c r="Z100" i="3"/>
  <c r="K54" i="3"/>
  <c r="L55" i="3"/>
  <c r="J54" i="3"/>
  <c r="Z55" i="3"/>
  <c r="K138" i="3"/>
  <c r="L139" i="3"/>
  <c r="J138" i="3"/>
  <c r="Z139" i="3"/>
  <c r="X129" i="3"/>
  <c r="Y129" i="3"/>
  <c r="X56" i="3"/>
  <c r="Y56" i="3"/>
  <c r="Y72" i="3"/>
  <c r="X72" i="3"/>
  <c r="Y40" i="3"/>
  <c r="X40" i="3"/>
  <c r="J45" i="3"/>
  <c r="K44" i="3"/>
  <c r="L45" i="3"/>
  <c r="J44" i="3"/>
  <c r="Z45" i="3"/>
  <c r="J63" i="3"/>
  <c r="K63" i="3"/>
  <c r="L64" i="3"/>
  <c r="Z64" i="3"/>
  <c r="K15" i="3"/>
  <c r="J15" i="3"/>
  <c r="L16" i="3"/>
  <c r="Z16" i="3"/>
  <c r="J33" i="3"/>
  <c r="K33" i="3"/>
  <c r="L34" i="3"/>
  <c r="Z34" i="3"/>
  <c r="K137" i="3"/>
  <c r="J137" i="3"/>
  <c r="L138" i="3"/>
  <c r="Z138" i="3"/>
  <c r="K65" i="3"/>
  <c r="J65" i="3"/>
  <c r="L66" i="3"/>
  <c r="Z66" i="3"/>
  <c r="Y98" i="3"/>
  <c r="X98" i="3"/>
  <c r="X106" i="3"/>
  <c r="Y106" i="3"/>
  <c r="Y114" i="3"/>
  <c r="X114" i="3"/>
  <c r="K23" i="3"/>
  <c r="L24" i="3"/>
  <c r="J23" i="3"/>
  <c r="Z24" i="3"/>
  <c r="K66" i="3"/>
  <c r="J66" i="3"/>
  <c r="L67" i="3"/>
  <c r="Z67" i="3"/>
  <c r="J98" i="3"/>
  <c r="K98" i="3"/>
  <c r="L99" i="3"/>
  <c r="Z99" i="3"/>
  <c r="J124" i="3"/>
  <c r="J123" i="3"/>
  <c r="K123" i="3"/>
  <c r="L124" i="3"/>
  <c r="Z124" i="3"/>
  <c r="X75" i="3"/>
  <c r="Y75" i="3"/>
  <c r="X61" i="3"/>
  <c r="Y61" i="3"/>
  <c r="X140" i="3"/>
  <c r="Y140" i="3"/>
  <c r="L40" i="3"/>
  <c r="K39" i="3"/>
  <c r="J39" i="3"/>
  <c r="Z40" i="3"/>
  <c r="L15" i="3"/>
  <c r="M15" i="3" s="1"/>
  <c r="O15" i="3" s="1"/>
  <c r="J14" i="3"/>
  <c r="K14" i="3"/>
  <c r="Z15" i="3"/>
  <c r="K30" i="3"/>
  <c r="J30" i="3"/>
  <c r="L31" i="3"/>
  <c r="Z31" i="3"/>
  <c r="L46" i="3"/>
  <c r="K45" i="3"/>
  <c r="Z46" i="3"/>
  <c r="L11" i="3"/>
  <c r="J10" i="3"/>
  <c r="K10" i="3"/>
  <c r="Z11" i="3"/>
  <c r="K29" i="3"/>
  <c r="J29" i="3"/>
  <c r="L30" i="3"/>
  <c r="Z30" i="3"/>
  <c r="Y59" i="3"/>
  <c r="X59" i="3"/>
  <c r="Y97" i="3"/>
  <c r="X97" i="3"/>
  <c r="X125" i="3"/>
  <c r="Y125" i="3"/>
  <c r="Y41" i="3"/>
  <c r="X41" i="3"/>
  <c r="L38" i="3"/>
  <c r="K37" i="3"/>
  <c r="J37" i="3"/>
  <c r="Z38" i="3"/>
  <c r="X23" i="3"/>
  <c r="Y23" i="3"/>
  <c r="Y50" i="3"/>
  <c r="X50" i="3"/>
  <c r="Y31" i="3"/>
  <c r="X31" i="3"/>
  <c r="Y38" i="3"/>
  <c r="X38" i="3"/>
  <c r="X81" i="3"/>
  <c r="Y81" i="3"/>
  <c r="X29" i="3"/>
  <c r="Y29" i="3"/>
  <c r="Y64" i="3"/>
  <c r="X64" i="3"/>
  <c r="Y77" i="3"/>
  <c r="X77" i="3"/>
  <c r="Y119" i="3"/>
  <c r="X119" i="3"/>
  <c r="X54" i="3"/>
  <c r="Y54" i="3"/>
  <c r="Y111" i="3"/>
  <c r="X111" i="3"/>
  <c r="K118" i="3"/>
  <c r="J118" i="3"/>
  <c r="L119" i="3"/>
  <c r="Z119" i="3"/>
  <c r="K52" i="3"/>
  <c r="L53" i="3"/>
  <c r="J52" i="3"/>
  <c r="Z53" i="3"/>
  <c r="J26" i="3"/>
  <c r="K26" i="3"/>
  <c r="L27" i="3"/>
  <c r="Z27" i="3"/>
  <c r="J127" i="3"/>
  <c r="K127" i="3"/>
  <c r="L128" i="3"/>
  <c r="Z128" i="3"/>
  <c r="K85" i="3"/>
  <c r="J85" i="3"/>
  <c r="L86" i="3"/>
  <c r="Z86" i="3"/>
  <c r="K9" i="3"/>
  <c r="J9" i="3"/>
  <c r="L10" i="3"/>
  <c r="Z10" i="3"/>
  <c r="L90" i="3"/>
  <c r="K89" i="3"/>
  <c r="J89" i="3"/>
  <c r="Z90" i="3"/>
  <c r="L7" i="3"/>
  <c r="J6" i="3"/>
  <c r="K6" i="3"/>
  <c r="Z7" i="3"/>
  <c r="J67" i="3"/>
  <c r="K67" i="3"/>
  <c r="L68" i="3"/>
  <c r="Z68" i="3"/>
  <c r="K125" i="3"/>
  <c r="L126" i="3"/>
  <c r="J125" i="3"/>
  <c r="Z126" i="3"/>
  <c r="K28" i="3"/>
  <c r="L29" i="3"/>
  <c r="J28" i="3"/>
  <c r="Z29" i="3"/>
  <c r="L106" i="3"/>
  <c r="K105" i="3"/>
  <c r="J105" i="3"/>
  <c r="Z106" i="3"/>
  <c r="K60" i="3"/>
  <c r="J60" i="3"/>
  <c r="L61" i="3"/>
  <c r="Z61" i="3"/>
  <c r="J108" i="3"/>
  <c r="L109" i="3"/>
  <c r="K108" i="3"/>
  <c r="Z109" i="3"/>
  <c r="L78" i="3"/>
  <c r="K77" i="3"/>
  <c r="J77" i="3"/>
  <c r="Z78" i="3"/>
  <c r="X139" i="3"/>
  <c r="Y139" i="3"/>
  <c r="X93" i="3"/>
  <c r="Y93" i="3"/>
  <c r="X11" i="3"/>
  <c r="Y11" i="3"/>
  <c r="Y12" i="3"/>
  <c r="X12" i="3"/>
  <c r="K116" i="3"/>
  <c r="J115" i="3"/>
  <c r="K115" i="3"/>
  <c r="L116" i="3"/>
  <c r="Z116" i="3"/>
  <c r="J95" i="3"/>
  <c r="K95" i="3"/>
  <c r="L96" i="3"/>
  <c r="Z96" i="3"/>
  <c r="J79" i="3"/>
  <c r="K79" i="3"/>
  <c r="L80" i="3"/>
  <c r="Z80" i="3"/>
  <c r="K17" i="3"/>
  <c r="L18" i="3"/>
  <c r="J17" i="3"/>
  <c r="Z18" i="3"/>
  <c r="Y62" i="3"/>
  <c r="X62" i="3"/>
  <c r="Y137" i="3"/>
  <c r="X137" i="3"/>
  <c r="X82" i="3"/>
  <c r="Y82" i="3"/>
  <c r="K55" i="3"/>
  <c r="J55" i="3"/>
  <c r="L56" i="3"/>
  <c r="Z56" i="3"/>
  <c r="K58" i="3"/>
  <c r="L59" i="3"/>
  <c r="Z59" i="3"/>
  <c r="L37" i="3"/>
  <c r="K36" i="3"/>
  <c r="J36" i="3"/>
  <c r="Z37" i="3"/>
  <c r="K51" i="3"/>
  <c r="J51" i="3"/>
  <c r="L52" i="3"/>
  <c r="Z52" i="3"/>
  <c r="J93" i="3"/>
  <c r="L94" i="3"/>
  <c r="K93" i="3"/>
  <c r="Z94" i="3"/>
  <c r="Y52" i="3"/>
  <c r="X52" i="3"/>
  <c r="X35" i="3"/>
  <c r="Y35" i="3"/>
  <c r="X127" i="3"/>
  <c r="Y127" i="3"/>
  <c r="Y101" i="3"/>
  <c r="X101" i="3"/>
  <c r="X15" i="3"/>
  <c r="Y15" i="3"/>
  <c r="Y134" i="3"/>
  <c r="X134" i="3"/>
  <c r="Y103" i="3"/>
  <c r="X103" i="3"/>
  <c r="X49" i="3"/>
  <c r="Y49" i="3"/>
  <c r="X92" i="3"/>
  <c r="Y92" i="3"/>
  <c r="J78" i="3"/>
  <c r="L79" i="3"/>
  <c r="K78" i="3"/>
  <c r="Z79" i="3"/>
  <c r="L82" i="3"/>
  <c r="M82" i="3" s="1"/>
  <c r="O82" i="3" s="1"/>
  <c r="K81" i="3"/>
  <c r="J81" i="3"/>
  <c r="Z82" i="3"/>
  <c r="L108" i="3"/>
  <c r="J107" i="3"/>
  <c r="K107" i="3"/>
  <c r="Z108" i="3"/>
  <c r="J103" i="3"/>
  <c r="K103" i="3"/>
  <c r="L104" i="3"/>
  <c r="Z104" i="3"/>
  <c r="Y117" i="3"/>
  <c r="X117" i="3"/>
  <c r="J47" i="3"/>
  <c r="K47" i="3"/>
  <c r="L48" i="3"/>
  <c r="Z48" i="3"/>
  <c r="J104" i="3"/>
  <c r="K104" i="3"/>
  <c r="L105" i="3"/>
  <c r="Z105" i="3"/>
  <c r="AA105" i="3" s="1"/>
  <c r="AB105" i="3" s="1"/>
  <c r="K76" i="3"/>
  <c r="L77" i="3"/>
  <c r="J76" i="3"/>
  <c r="Z77" i="3"/>
  <c r="X51" i="3"/>
  <c r="Y51" i="3"/>
  <c r="X21" i="3"/>
  <c r="Y21" i="3"/>
  <c r="Y94" i="3"/>
  <c r="X94" i="3"/>
  <c r="X116" i="3"/>
  <c r="Y116" i="3"/>
  <c r="X96" i="3"/>
  <c r="Y96" i="3"/>
  <c r="Y88" i="3"/>
  <c r="X88" i="3"/>
  <c r="X124" i="3"/>
  <c r="Y124" i="3"/>
  <c r="X13" i="3"/>
  <c r="Y13" i="3"/>
  <c r="X130" i="3"/>
  <c r="Y130" i="3"/>
  <c r="Y122" i="3"/>
  <c r="X122" i="3"/>
  <c r="Y27" i="3"/>
  <c r="X27" i="3"/>
  <c r="Y87" i="3"/>
  <c r="X87" i="3"/>
  <c r="Y132" i="3"/>
  <c r="X132" i="3"/>
  <c r="X39" i="3"/>
  <c r="Y39" i="3"/>
  <c r="X14" i="3"/>
  <c r="Y14" i="3"/>
  <c r="X9" i="3"/>
  <c r="Y9" i="3"/>
  <c r="X107" i="3"/>
  <c r="Y107" i="3"/>
  <c r="Y42" i="3"/>
  <c r="X42" i="3"/>
  <c r="X17" i="3"/>
  <c r="Y17" i="3"/>
  <c r="Y80" i="3"/>
  <c r="X80" i="3"/>
  <c r="K21" i="3"/>
  <c r="L22" i="3"/>
  <c r="J21" i="3"/>
  <c r="Z22" i="3"/>
  <c r="J102" i="3"/>
  <c r="K101" i="3"/>
  <c r="J101" i="3"/>
  <c r="L102" i="3"/>
  <c r="Z102" i="3"/>
  <c r="L9" i="3"/>
  <c r="J8" i="3"/>
  <c r="K8" i="3"/>
  <c r="Z9" i="3"/>
  <c r="L92" i="3"/>
  <c r="K91" i="3"/>
  <c r="J91" i="3"/>
  <c r="Z92" i="3"/>
  <c r="K49" i="3"/>
  <c r="L50" i="3"/>
  <c r="J49" i="3"/>
  <c r="Z50" i="3"/>
  <c r="L12" i="3"/>
  <c r="K11" i="3"/>
  <c r="J11" i="3"/>
  <c r="Z12" i="3"/>
  <c r="K12" i="3"/>
  <c r="L13" i="3"/>
  <c r="J12" i="3"/>
  <c r="Z13" i="3"/>
  <c r="J92" i="3"/>
  <c r="K92" i="3"/>
  <c r="L93" i="3"/>
  <c r="Z93" i="3"/>
  <c r="L20" i="3"/>
  <c r="K19" i="3"/>
  <c r="J19" i="3"/>
  <c r="Z20" i="3"/>
  <c r="K73" i="3"/>
  <c r="L74" i="3"/>
  <c r="M74" i="3" s="1"/>
  <c r="O74" i="3" s="1"/>
  <c r="J73" i="3"/>
  <c r="Z74" i="3"/>
  <c r="L132" i="3"/>
  <c r="J131" i="3"/>
  <c r="K131" i="3"/>
  <c r="Z132" i="3"/>
  <c r="L32" i="3"/>
  <c r="J31" i="3"/>
  <c r="K31" i="3"/>
  <c r="Z32" i="3"/>
  <c r="J119" i="3"/>
  <c r="L120" i="3"/>
  <c r="K119" i="3"/>
  <c r="Z120" i="3"/>
  <c r="K62" i="3"/>
  <c r="L63" i="3"/>
  <c r="J62" i="3"/>
  <c r="Z63" i="3"/>
  <c r="L112" i="3"/>
  <c r="M112" i="3" s="1"/>
  <c r="O112" i="3" s="1"/>
  <c r="K111" i="3"/>
  <c r="J111" i="3"/>
  <c r="Z112" i="3"/>
  <c r="L8" i="3"/>
  <c r="J7" i="3"/>
  <c r="K7" i="3"/>
  <c r="Z8" i="3"/>
  <c r="J84" i="3"/>
  <c r="K84" i="3"/>
  <c r="L85" i="3"/>
  <c r="M85" i="3" s="1"/>
  <c r="O85" i="3" s="1"/>
  <c r="Z85" i="3"/>
  <c r="G4" i="3"/>
  <c r="H4" i="3"/>
  <c r="S5" i="3" s="1"/>
  <c r="T23" i="3" l="1"/>
  <c r="T127" i="3"/>
  <c r="T135" i="3"/>
  <c r="T131" i="3"/>
  <c r="T47" i="3"/>
  <c r="T111" i="3"/>
  <c r="U111" i="3" s="1"/>
  <c r="T119" i="3"/>
  <c r="T99" i="3"/>
  <c r="T27" i="3"/>
  <c r="T95" i="3"/>
  <c r="T29" i="3"/>
  <c r="T87" i="3"/>
  <c r="T71" i="3"/>
  <c r="T21" i="3"/>
  <c r="T75" i="3"/>
  <c r="T107" i="3"/>
  <c r="T91" i="3"/>
  <c r="X5" i="3"/>
  <c r="Q4" i="3"/>
  <c r="T4" i="3" s="1"/>
  <c r="R4" i="3"/>
  <c r="S4" i="3"/>
  <c r="T73" i="3"/>
  <c r="T123" i="3"/>
  <c r="T55" i="3"/>
  <c r="T31" i="3"/>
  <c r="T57" i="3"/>
  <c r="T81" i="3"/>
  <c r="T139" i="3"/>
  <c r="U139" i="3" s="1"/>
  <c r="T89" i="3"/>
  <c r="T17" i="3"/>
  <c r="T115" i="3"/>
  <c r="T45" i="3"/>
  <c r="T19" i="3"/>
  <c r="T11" i="3"/>
  <c r="T125" i="3"/>
  <c r="T61" i="3"/>
  <c r="T97" i="3"/>
  <c r="T83" i="3"/>
  <c r="T41" i="3"/>
  <c r="T113" i="3"/>
  <c r="T93" i="3"/>
  <c r="R5" i="3"/>
  <c r="T5" i="3" s="1"/>
  <c r="T37" i="3"/>
  <c r="T105" i="3"/>
  <c r="T51" i="3"/>
  <c r="U51" i="3" s="1"/>
  <c r="T53" i="3"/>
  <c r="T67" i="3"/>
  <c r="T35" i="3"/>
  <c r="T65" i="3"/>
  <c r="T25" i="3"/>
  <c r="T7" i="3"/>
  <c r="T101" i="3"/>
  <c r="U101" i="3" s="1"/>
  <c r="U89" i="3"/>
  <c r="M62" i="3"/>
  <c r="O62" i="3" s="1"/>
  <c r="AA102" i="3"/>
  <c r="AB102" i="3" s="1"/>
  <c r="U8" i="3"/>
  <c r="M13" i="3"/>
  <c r="O13" i="3" s="1"/>
  <c r="M118" i="3"/>
  <c r="O118" i="3" s="1"/>
  <c r="M10" i="3"/>
  <c r="O10" i="3" s="1"/>
  <c r="M102" i="3"/>
  <c r="O102" i="3" s="1"/>
  <c r="AC102" i="3" s="1"/>
  <c r="M89" i="3"/>
  <c r="O89" i="3" s="1"/>
  <c r="V89" i="3" s="1"/>
  <c r="M52" i="3"/>
  <c r="O52" i="3" s="1"/>
  <c r="M30" i="3"/>
  <c r="O30" i="3" s="1"/>
  <c r="M134" i="3"/>
  <c r="O134" i="3" s="1"/>
  <c r="M56" i="3"/>
  <c r="O56" i="3" s="1"/>
  <c r="M130" i="3"/>
  <c r="O130" i="3" s="1"/>
  <c r="U48" i="3"/>
  <c r="U55" i="3"/>
  <c r="V55" i="3" s="1"/>
  <c r="AA114" i="3"/>
  <c r="AB114" i="3" s="1"/>
  <c r="U39" i="3"/>
  <c r="U136" i="3"/>
  <c r="AA51" i="3"/>
  <c r="AB51" i="3" s="1"/>
  <c r="U14" i="3"/>
  <c r="AA45" i="3"/>
  <c r="AB45" i="3" s="1"/>
  <c r="U61" i="3"/>
  <c r="U107" i="3"/>
  <c r="U23" i="3"/>
  <c r="U82" i="3"/>
  <c r="V82" i="3" s="1"/>
  <c r="U72" i="3"/>
  <c r="M67" i="3"/>
  <c r="O67" i="3" s="1"/>
  <c r="M72" i="3"/>
  <c r="O72" i="3" s="1"/>
  <c r="M113" i="3"/>
  <c r="O113" i="3" s="1"/>
  <c r="U91" i="3"/>
  <c r="M60" i="3"/>
  <c r="O60" i="3" s="1"/>
  <c r="M98" i="3"/>
  <c r="O98" i="3" s="1"/>
  <c r="K5" i="3"/>
  <c r="M53" i="3"/>
  <c r="O53" i="3" s="1"/>
  <c r="M84" i="3"/>
  <c r="O84" i="3" s="1"/>
  <c r="M23" i="3"/>
  <c r="O23" i="3" s="1"/>
  <c r="M55" i="3"/>
  <c r="O55" i="3" s="1"/>
  <c r="M25" i="3"/>
  <c r="O25" i="3" s="1"/>
  <c r="M41" i="3"/>
  <c r="O41" i="3" s="1"/>
  <c r="M61" i="3"/>
  <c r="O61" i="3" s="1"/>
  <c r="M66" i="3"/>
  <c r="O66" i="3" s="1"/>
  <c r="M93" i="3"/>
  <c r="O93" i="3" s="1"/>
  <c r="M59" i="3"/>
  <c r="O59" i="3" s="1"/>
  <c r="M106" i="3"/>
  <c r="O106" i="3" s="1"/>
  <c r="U16" i="3"/>
  <c r="U76" i="3"/>
  <c r="U118" i="3"/>
  <c r="V118" i="3" s="1"/>
  <c r="AA11" i="3"/>
  <c r="AB11" i="3" s="1"/>
  <c r="M68" i="3"/>
  <c r="O68" i="3" s="1"/>
  <c r="U128" i="3"/>
  <c r="M39" i="3"/>
  <c r="O39" i="3" s="1"/>
  <c r="U133" i="3"/>
  <c r="U99" i="3"/>
  <c r="U75" i="3"/>
  <c r="AA49" i="3"/>
  <c r="AB49" i="3" s="1"/>
  <c r="U73" i="3"/>
  <c r="U115" i="3"/>
  <c r="AA70" i="3"/>
  <c r="AB70" i="3" s="1"/>
  <c r="AA103" i="3"/>
  <c r="AB103" i="3" s="1"/>
  <c r="AA52" i="3"/>
  <c r="AB52" i="3" s="1"/>
  <c r="U102" i="3"/>
  <c r="AA42" i="3"/>
  <c r="AB42" i="3" s="1"/>
  <c r="U134" i="3"/>
  <c r="U106" i="3"/>
  <c r="V106" i="3" s="1"/>
  <c r="U123" i="3"/>
  <c r="AA75" i="3"/>
  <c r="AB75" i="3" s="1"/>
  <c r="AA100" i="3"/>
  <c r="AB100" i="3" s="1"/>
  <c r="AA138" i="3"/>
  <c r="AB138" i="3" s="1"/>
  <c r="AA73" i="3"/>
  <c r="AB73" i="3" s="1"/>
  <c r="AA90" i="3"/>
  <c r="AB90" i="3" s="1"/>
  <c r="AA23" i="3"/>
  <c r="AB23" i="3" s="1"/>
  <c r="AC23" i="3" s="1"/>
  <c r="AA14" i="3"/>
  <c r="AB14" i="3" s="1"/>
  <c r="AA117" i="3"/>
  <c r="AB117" i="3" s="1"/>
  <c r="U15" i="3"/>
  <c r="AA137" i="3"/>
  <c r="AB137" i="3" s="1"/>
  <c r="AA97" i="3"/>
  <c r="AB97" i="3" s="1"/>
  <c r="U67" i="3"/>
  <c r="V67" i="3" s="1"/>
  <c r="U65" i="3"/>
  <c r="AA66" i="3"/>
  <c r="AB66" i="3" s="1"/>
  <c r="AA43" i="3"/>
  <c r="AB43" i="3" s="1"/>
  <c r="U103" i="3"/>
  <c r="AA118" i="3"/>
  <c r="AB118" i="3" s="1"/>
  <c r="AC118" i="3" s="1"/>
  <c r="AA88" i="3"/>
  <c r="AB88" i="3" s="1"/>
  <c r="AA48" i="3"/>
  <c r="AB48" i="3" s="1"/>
  <c r="U122" i="3"/>
  <c r="AA25" i="3"/>
  <c r="AB25" i="3" s="1"/>
  <c r="U117" i="3"/>
  <c r="AA27" i="3"/>
  <c r="AB27" i="3" s="1"/>
  <c r="AA72" i="3"/>
  <c r="AB72" i="3" s="1"/>
  <c r="AC72" i="3" s="1"/>
  <c r="AA63" i="3"/>
  <c r="AB63" i="3" s="1"/>
  <c r="AA93" i="3"/>
  <c r="AB93" i="3" s="1"/>
  <c r="U22" i="3"/>
  <c r="AA116" i="3"/>
  <c r="AB116" i="3" s="1"/>
  <c r="U88" i="3"/>
  <c r="AA127" i="3"/>
  <c r="AB127" i="3" s="1"/>
  <c r="U31" i="3"/>
  <c r="U130" i="3"/>
  <c r="V130" i="3" s="1"/>
  <c r="AA34" i="3"/>
  <c r="AB34" i="3" s="1"/>
  <c r="AA56" i="3"/>
  <c r="AB56" i="3" s="1"/>
  <c r="AC56" i="3" s="1"/>
  <c r="U57" i="3"/>
  <c r="U137" i="3"/>
  <c r="AA6" i="3"/>
  <c r="AB6" i="3" s="1"/>
  <c r="U81" i="3"/>
  <c r="U84" i="3"/>
  <c r="V84" i="3" s="1"/>
  <c r="AA113" i="3"/>
  <c r="AB113" i="3" s="1"/>
  <c r="AC113" i="3" s="1"/>
  <c r="AA94" i="3"/>
  <c r="AB94" i="3" s="1"/>
  <c r="U129" i="3"/>
  <c r="AA17" i="3"/>
  <c r="AB17" i="3" s="1"/>
  <c r="AA87" i="3"/>
  <c r="AB87" i="3" s="1"/>
  <c r="U86" i="3"/>
  <c r="U124" i="3"/>
  <c r="U62" i="3"/>
  <c r="V62" i="3" s="1"/>
  <c r="AA101" i="3"/>
  <c r="AB101" i="3" s="1"/>
  <c r="AA81" i="3"/>
  <c r="AB81" i="3" s="1"/>
  <c r="AA50" i="3"/>
  <c r="AB50" i="3" s="1"/>
  <c r="AA89" i="3"/>
  <c r="AB89" i="3" s="1"/>
  <c r="AA46" i="3"/>
  <c r="AB46" i="3" s="1"/>
  <c r="AA37" i="3"/>
  <c r="AB37" i="3" s="1"/>
  <c r="U119" i="3"/>
  <c r="U90" i="3"/>
  <c r="AA53" i="3"/>
  <c r="AB53" i="3" s="1"/>
  <c r="AC53" i="3" s="1"/>
  <c r="U114" i="3"/>
  <c r="AA108" i="3"/>
  <c r="AB108" i="3" s="1"/>
  <c r="AA140" i="3"/>
  <c r="AB140" i="3" s="1"/>
  <c r="AA136" i="3"/>
  <c r="AB136" i="3" s="1"/>
  <c r="AA22" i="3"/>
  <c r="AB22" i="3" s="1"/>
  <c r="AA61" i="3"/>
  <c r="AB61" i="3" s="1"/>
  <c r="AA24" i="3"/>
  <c r="AB24" i="3" s="1"/>
  <c r="U6" i="3"/>
  <c r="AA33" i="3"/>
  <c r="AB33" i="3" s="1"/>
  <c r="U132" i="3"/>
  <c r="AA35" i="3"/>
  <c r="AB35" i="3" s="1"/>
  <c r="U108" i="3"/>
  <c r="U105" i="3"/>
  <c r="U42" i="3"/>
  <c r="AA21" i="3"/>
  <c r="AB21" i="3" s="1"/>
  <c r="U11" i="3"/>
  <c r="AA82" i="3"/>
  <c r="AB82" i="3" s="1"/>
  <c r="AC82" i="3" s="1"/>
  <c r="U35" i="3"/>
  <c r="U33" i="3"/>
  <c r="U26" i="3"/>
  <c r="U24" i="3"/>
  <c r="AA64" i="3"/>
  <c r="AB64" i="3" s="1"/>
  <c r="AA86" i="3"/>
  <c r="AB86" i="3" s="1"/>
  <c r="U49" i="3"/>
  <c r="U125" i="3"/>
  <c r="AA39" i="3"/>
  <c r="AB39" i="3" s="1"/>
  <c r="AC39" i="3" s="1"/>
  <c r="U98" i="3"/>
  <c r="U112" i="3"/>
  <c r="V112" i="3" s="1"/>
  <c r="U59" i="3"/>
  <c r="V59" i="3" s="1"/>
  <c r="U110" i="3"/>
  <c r="U47" i="3"/>
  <c r="AA115" i="3"/>
  <c r="AB115" i="3" s="1"/>
  <c r="U140" i="3"/>
  <c r="AA55" i="3"/>
  <c r="AB55" i="3" s="1"/>
  <c r="AC55" i="3" s="1"/>
  <c r="U113" i="3"/>
  <c r="V113" i="3" s="1"/>
  <c r="AA112" i="3"/>
  <c r="AB112" i="3" s="1"/>
  <c r="AC112" i="3" s="1"/>
  <c r="AA8" i="3"/>
  <c r="AB8" i="3" s="1"/>
  <c r="U93" i="3"/>
  <c r="V93" i="3" s="1"/>
  <c r="U58" i="3"/>
  <c r="AA57" i="3"/>
  <c r="AB57" i="3" s="1"/>
  <c r="AA9" i="3"/>
  <c r="AB9" i="3" s="1"/>
  <c r="AA84" i="3"/>
  <c r="AB84" i="3" s="1"/>
  <c r="AC84" i="3" s="1"/>
  <c r="AA18" i="3"/>
  <c r="AB18" i="3" s="1"/>
  <c r="U28" i="3"/>
  <c r="AA120" i="3"/>
  <c r="AB120" i="3" s="1"/>
  <c r="U38" i="3"/>
  <c r="AA31" i="3"/>
  <c r="AB31" i="3" s="1"/>
  <c r="V15" i="3"/>
  <c r="AA40" i="3"/>
  <c r="AB40" i="3" s="1"/>
  <c r="AA30" i="3"/>
  <c r="AB30" i="3" s="1"/>
  <c r="AC30" i="3" s="1"/>
  <c r="U56" i="3"/>
  <c r="V56" i="3" s="1"/>
  <c r="U54" i="3"/>
  <c r="AA10" i="3"/>
  <c r="AB10" i="3" s="1"/>
  <c r="AC10" i="3" s="1"/>
  <c r="U138" i="3"/>
  <c r="AA131" i="3"/>
  <c r="AB131" i="3" s="1"/>
  <c r="AA123" i="3"/>
  <c r="AB123" i="3" s="1"/>
  <c r="U70" i="3"/>
  <c r="AA139" i="3"/>
  <c r="AB139" i="3" s="1"/>
  <c r="U60" i="3"/>
  <c r="U21" i="3"/>
  <c r="U19" i="3"/>
  <c r="U7" i="3"/>
  <c r="AA71" i="3"/>
  <c r="AB71" i="3" s="1"/>
  <c r="AA78" i="3"/>
  <c r="AB78" i="3" s="1"/>
  <c r="AA110" i="3"/>
  <c r="AB110" i="3" s="1"/>
  <c r="U94" i="3"/>
  <c r="M87" i="3"/>
  <c r="O87" i="3" s="1"/>
  <c r="AA36" i="3"/>
  <c r="AB36" i="3" s="1"/>
  <c r="U77" i="3"/>
  <c r="AA126" i="3"/>
  <c r="AB126" i="3" s="1"/>
  <c r="U83" i="3"/>
  <c r="AA128" i="3"/>
  <c r="AB128" i="3" s="1"/>
  <c r="AA68" i="3"/>
  <c r="AB68" i="3" s="1"/>
  <c r="M119" i="3"/>
  <c r="O119" i="3" s="1"/>
  <c r="U20" i="3"/>
  <c r="M92" i="3"/>
  <c r="O92" i="3" s="1"/>
  <c r="M91" i="3"/>
  <c r="O91" i="3" s="1"/>
  <c r="AA107" i="3"/>
  <c r="AB107" i="3" s="1"/>
  <c r="U135" i="3"/>
  <c r="M105" i="3"/>
  <c r="O105" i="3" s="1"/>
  <c r="AC105" i="3" s="1"/>
  <c r="U79" i="3"/>
  <c r="M37" i="3"/>
  <c r="O37" i="3" s="1"/>
  <c r="AA12" i="3"/>
  <c r="AB12" i="3" s="1"/>
  <c r="M28" i="3"/>
  <c r="O28" i="3" s="1"/>
  <c r="M86" i="3"/>
  <c r="O86" i="3" s="1"/>
  <c r="AA54" i="3"/>
  <c r="AB54" i="3" s="1"/>
  <c r="U46" i="3"/>
  <c r="U87" i="3"/>
  <c r="M64" i="3"/>
  <c r="O64" i="3" s="1"/>
  <c r="M120" i="3"/>
  <c r="O120" i="3" s="1"/>
  <c r="AA121" i="3"/>
  <c r="AB121" i="3" s="1"/>
  <c r="AA7" i="3"/>
  <c r="AB7" i="3" s="1"/>
  <c r="U120" i="3"/>
  <c r="U41" i="3"/>
  <c r="M132" i="3"/>
  <c r="O132" i="3" s="1"/>
  <c r="M27" i="3"/>
  <c r="O27" i="3" s="1"/>
  <c r="AA69" i="3"/>
  <c r="AB69" i="3" s="1"/>
  <c r="AA47" i="3"/>
  <c r="AB47" i="3" s="1"/>
  <c r="AA28" i="3"/>
  <c r="AB28" i="3" s="1"/>
  <c r="AC28" i="3" s="1"/>
  <c r="M90" i="3"/>
  <c r="O90" i="3" s="1"/>
  <c r="U68" i="3"/>
  <c r="M31" i="3"/>
  <c r="O31" i="3" s="1"/>
  <c r="V31" i="3" s="1"/>
  <c r="U18" i="3"/>
  <c r="M26" i="3"/>
  <c r="O26" i="3" s="1"/>
  <c r="M32" i="3"/>
  <c r="O32" i="3" s="1"/>
  <c r="U63" i="3"/>
  <c r="U44" i="3"/>
  <c r="U25" i="3"/>
  <c r="M135" i="3"/>
  <c r="O135" i="3" s="1"/>
  <c r="U92" i="3"/>
  <c r="U78" i="3"/>
  <c r="M77" i="3"/>
  <c r="O77" i="3" s="1"/>
  <c r="M127" i="3"/>
  <c r="O127" i="3" s="1"/>
  <c r="U69" i="3"/>
  <c r="AA91" i="3"/>
  <c r="AB91" i="3" s="1"/>
  <c r="AA44" i="3"/>
  <c r="AB44" i="3" s="1"/>
  <c r="AA98" i="3"/>
  <c r="AB98" i="3" s="1"/>
  <c r="M100" i="3"/>
  <c r="O100" i="3" s="1"/>
  <c r="V100" i="3" s="1"/>
  <c r="M131" i="3"/>
  <c r="O131" i="3" s="1"/>
  <c r="U96" i="3"/>
  <c r="U104" i="3"/>
  <c r="AA15" i="3"/>
  <c r="AB15" i="3" s="1"/>
  <c r="AC15" i="3" s="1"/>
  <c r="AA59" i="3"/>
  <c r="AB59" i="3" s="1"/>
  <c r="AC59" i="3" s="1"/>
  <c r="M78" i="3"/>
  <c r="O78" i="3" s="1"/>
  <c r="M108" i="3"/>
  <c r="O108" i="3" s="1"/>
  <c r="M124" i="3"/>
  <c r="O124" i="3" s="1"/>
  <c r="AA106" i="3"/>
  <c r="AB106" i="3" s="1"/>
  <c r="AC106" i="3" s="1"/>
  <c r="U30" i="3"/>
  <c r="AA16" i="3"/>
  <c r="AB16" i="3" s="1"/>
  <c r="M63" i="3"/>
  <c r="O63" i="3" s="1"/>
  <c r="M69" i="3"/>
  <c r="O69" i="3" s="1"/>
  <c r="U45" i="3"/>
  <c r="U127" i="3"/>
  <c r="M136" i="3"/>
  <c r="O136" i="3" s="1"/>
  <c r="V136" i="3" s="1"/>
  <c r="U10" i="3"/>
  <c r="V10" i="3" s="1"/>
  <c r="M117" i="3"/>
  <c r="O117" i="3" s="1"/>
  <c r="AA129" i="3"/>
  <c r="AB129" i="3" s="1"/>
  <c r="AA62" i="3"/>
  <c r="AB62" i="3" s="1"/>
  <c r="AC62" i="3" s="1"/>
  <c r="M35" i="3"/>
  <c r="O35" i="3" s="1"/>
  <c r="M80" i="3"/>
  <c r="O80" i="3" s="1"/>
  <c r="U121" i="3"/>
  <c r="AA124" i="3"/>
  <c r="AB124" i="3" s="1"/>
  <c r="M96" i="3"/>
  <c r="O96" i="3" s="1"/>
  <c r="M99" i="3"/>
  <c r="O99" i="3" s="1"/>
  <c r="U71" i="3"/>
  <c r="U131" i="3"/>
  <c r="U29" i="3"/>
  <c r="AA133" i="3"/>
  <c r="AB133" i="3" s="1"/>
  <c r="U12" i="3"/>
  <c r="M47" i="3"/>
  <c r="O47" i="3" s="1"/>
  <c r="U95" i="3"/>
  <c r="U37" i="3"/>
  <c r="AA85" i="3"/>
  <c r="AB85" i="3" s="1"/>
  <c r="AC85" i="3" s="1"/>
  <c r="M48" i="3"/>
  <c r="O48" i="3" s="1"/>
  <c r="V48" i="3" s="1"/>
  <c r="AA65" i="3"/>
  <c r="AB65" i="3" s="1"/>
  <c r="AA96" i="3"/>
  <c r="AB96" i="3" s="1"/>
  <c r="AC96" i="3" s="1"/>
  <c r="M79" i="3"/>
  <c r="O79" i="3" s="1"/>
  <c r="M116" i="3"/>
  <c r="O116" i="3" s="1"/>
  <c r="AA111" i="3"/>
  <c r="AB111" i="3" s="1"/>
  <c r="AA77" i="3"/>
  <c r="AB77" i="3" s="1"/>
  <c r="AA125" i="3"/>
  <c r="AB125" i="3" s="1"/>
  <c r="M123" i="3"/>
  <c r="O123" i="3" s="1"/>
  <c r="AA99" i="3"/>
  <c r="AB99" i="3" s="1"/>
  <c r="M137" i="3"/>
  <c r="O137" i="3" s="1"/>
  <c r="AA26" i="3"/>
  <c r="AB26" i="3" s="1"/>
  <c r="AA135" i="3"/>
  <c r="AB135" i="3" s="1"/>
  <c r="AC135" i="3" s="1"/>
  <c r="M126" i="3"/>
  <c r="O126" i="3" s="1"/>
  <c r="AA104" i="3"/>
  <c r="AB104" i="3" s="1"/>
  <c r="AA58" i="3"/>
  <c r="AB58" i="3" s="1"/>
  <c r="M46" i="3"/>
  <c r="O46" i="3" s="1"/>
  <c r="U97" i="3"/>
  <c r="M43" i="3"/>
  <c r="O43" i="3" s="1"/>
  <c r="AA60" i="3"/>
  <c r="AB60" i="3" s="1"/>
  <c r="U32" i="3"/>
  <c r="AA109" i="3"/>
  <c r="AB109" i="3" s="1"/>
  <c r="M129" i="3"/>
  <c r="O129" i="3" s="1"/>
  <c r="U17" i="3"/>
  <c r="U43" i="3"/>
  <c r="U109" i="3"/>
  <c r="AA32" i="3"/>
  <c r="AB32" i="3" s="1"/>
  <c r="AA134" i="3"/>
  <c r="AB134" i="3" s="1"/>
  <c r="U52" i="3"/>
  <c r="M8" i="3"/>
  <c r="O8" i="3" s="1"/>
  <c r="AA92" i="3"/>
  <c r="AB92" i="3" s="1"/>
  <c r="AA76" i="3"/>
  <c r="AB76" i="3" s="1"/>
  <c r="AA95" i="3"/>
  <c r="AB95" i="3" s="1"/>
  <c r="AA132" i="3"/>
  <c r="AB132" i="3" s="1"/>
  <c r="AC132" i="3" s="1"/>
  <c r="AA41" i="3"/>
  <c r="AB41" i="3" s="1"/>
  <c r="U27" i="3"/>
  <c r="M20" i="3"/>
  <c r="O20" i="3" s="1"/>
  <c r="M111" i="3"/>
  <c r="O111" i="3" s="1"/>
  <c r="M101" i="3"/>
  <c r="O101" i="3" s="1"/>
  <c r="AA80" i="3"/>
  <c r="AB80" i="3" s="1"/>
  <c r="AA122" i="3"/>
  <c r="AB122" i="3" s="1"/>
  <c r="M76" i="3"/>
  <c r="O76" i="3" s="1"/>
  <c r="U80" i="3"/>
  <c r="M17" i="3"/>
  <c r="O17" i="3" s="1"/>
  <c r="U126" i="3"/>
  <c r="U53" i="3"/>
  <c r="V53" i="3" s="1"/>
  <c r="AA29" i="3"/>
  <c r="AB29" i="3" s="1"/>
  <c r="AA38" i="3"/>
  <c r="AB38" i="3" s="1"/>
  <c r="M14" i="3"/>
  <c r="O14" i="3" s="1"/>
  <c r="U40" i="3"/>
  <c r="U66" i="3"/>
  <c r="U36" i="3"/>
  <c r="U9" i="3"/>
  <c r="M54" i="3"/>
  <c r="O54" i="3" s="1"/>
  <c r="M57" i="3"/>
  <c r="O57" i="3" s="1"/>
  <c r="M140" i="3"/>
  <c r="O140" i="3" s="1"/>
  <c r="M121" i="3"/>
  <c r="O121" i="3" s="1"/>
  <c r="J5" i="3"/>
  <c r="AA79" i="3"/>
  <c r="AB79" i="3" s="1"/>
  <c r="U50" i="3"/>
  <c r="U74" i="3"/>
  <c r="V74" i="3" s="1"/>
  <c r="U13" i="3"/>
  <c r="V13" i="3" s="1"/>
  <c r="AA20" i="3"/>
  <c r="AB20" i="3" s="1"/>
  <c r="AA19" i="3"/>
  <c r="AB19" i="3" s="1"/>
  <c r="U34" i="3"/>
  <c r="AA83" i="3"/>
  <c r="AB83" i="3" s="1"/>
  <c r="U64" i="3"/>
  <c r="AC93" i="3"/>
  <c r="M18" i="3"/>
  <c r="O18" i="3" s="1"/>
  <c r="M97" i="3"/>
  <c r="O97" i="3" s="1"/>
  <c r="Z4" i="3"/>
  <c r="Y4" i="3"/>
  <c r="X4" i="3"/>
  <c r="M40" i="3"/>
  <c r="O40" i="3" s="1"/>
  <c r="M94" i="3"/>
  <c r="O94" i="3" s="1"/>
  <c r="M34" i="3"/>
  <c r="O34" i="3" s="1"/>
  <c r="M42" i="3"/>
  <c r="O42" i="3" s="1"/>
  <c r="M70" i="3"/>
  <c r="O70" i="3" s="1"/>
  <c r="M115" i="3"/>
  <c r="O115" i="3" s="1"/>
  <c r="M133" i="3"/>
  <c r="O133" i="3" s="1"/>
  <c r="M109" i="3"/>
  <c r="O109" i="3" s="1"/>
  <c r="M21" i="3"/>
  <c r="O21" i="3" s="1"/>
  <c r="L5" i="3"/>
  <c r="Z5" i="3"/>
  <c r="L4" i="3"/>
  <c r="J4" i="3"/>
  <c r="K4" i="3"/>
  <c r="M49" i="3"/>
  <c r="O49" i="3" s="1"/>
  <c r="M81" i="3"/>
  <c r="O81" i="3" s="1"/>
  <c r="M125" i="3"/>
  <c r="O125" i="3" s="1"/>
  <c r="M44" i="3"/>
  <c r="O44" i="3" s="1"/>
  <c r="M24" i="3"/>
  <c r="O24" i="3" s="1"/>
  <c r="M22" i="3"/>
  <c r="O22" i="3" s="1"/>
  <c r="M16" i="3"/>
  <c r="O16" i="3" s="1"/>
  <c r="Y5" i="3"/>
  <c r="M71" i="3"/>
  <c r="O71" i="3" s="1"/>
  <c r="M114" i="3"/>
  <c r="O114" i="3" s="1"/>
  <c r="M107" i="3"/>
  <c r="O107" i="3" s="1"/>
  <c r="M122" i="3"/>
  <c r="O122" i="3" s="1"/>
  <c r="M19" i="3"/>
  <c r="O19" i="3" s="1"/>
  <c r="M9" i="3"/>
  <c r="O9" i="3" s="1"/>
  <c r="M12" i="3"/>
  <c r="O12" i="3" s="1"/>
  <c r="AA13" i="3"/>
  <c r="AB13" i="3" s="1"/>
  <c r="AC13" i="3" s="1"/>
  <c r="M33" i="3"/>
  <c r="O33" i="3" s="1"/>
  <c r="M45" i="3"/>
  <c r="O45" i="3" s="1"/>
  <c r="M103" i="3"/>
  <c r="O103" i="3" s="1"/>
  <c r="AA67" i="3"/>
  <c r="AB67" i="3" s="1"/>
  <c r="AC67" i="3" s="1"/>
  <c r="M75" i="3"/>
  <c r="O75" i="3" s="1"/>
  <c r="M95" i="3"/>
  <c r="O95" i="3" s="1"/>
  <c r="M38" i="3"/>
  <c r="O38" i="3" s="1"/>
  <c r="M6" i="3"/>
  <c r="O6" i="3" s="1"/>
  <c r="M29" i="3"/>
  <c r="O29" i="3" s="1"/>
  <c r="M11" i="3"/>
  <c r="O11" i="3" s="1"/>
  <c r="M51" i="3"/>
  <c r="O51" i="3" s="1"/>
  <c r="M138" i="3"/>
  <c r="O138" i="3" s="1"/>
  <c r="M139" i="3"/>
  <c r="O139" i="3" s="1"/>
  <c r="M128" i="3"/>
  <c r="O128" i="3" s="1"/>
  <c r="AA130" i="3"/>
  <c r="AB130" i="3" s="1"/>
  <c r="AC130" i="3" s="1"/>
  <c r="M104" i="3"/>
  <c r="O104" i="3" s="1"/>
  <c r="M110" i="3"/>
  <c r="O110" i="3" s="1"/>
  <c r="M7" i="3"/>
  <c r="O7" i="3" s="1"/>
  <c r="M73" i="3"/>
  <c r="O73" i="3" s="1"/>
  <c r="M36" i="3"/>
  <c r="O36" i="3" s="1"/>
  <c r="AA119" i="3"/>
  <c r="AB119" i="3" s="1"/>
  <c r="M58" i="3"/>
  <c r="O58" i="3" s="1"/>
  <c r="M65" i="3"/>
  <c r="O65" i="3" s="1"/>
  <c r="AA74" i="3"/>
  <c r="AB74" i="3" s="1"/>
  <c r="AC74" i="3" s="1"/>
  <c r="M83" i="3"/>
  <c r="O83" i="3" s="1"/>
  <c r="M50" i="3"/>
  <c r="O50" i="3" s="1"/>
  <c r="M88" i="3"/>
  <c r="O88" i="3" s="1"/>
  <c r="V8" i="3" l="1"/>
  <c r="V132" i="3"/>
  <c r="V91" i="3"/>
  <c r="V102" i="3"/>
  <c r="AC89" i="3"/>
  <c r="V43" i="3"/>
  <c r="AC76" i="3"/>
  <c r="V23" i="3"/>
  <c r="AC52" i="3"/>
  <c r="V52" i="3"/>
  <c r="AC77" i="3"/>
  <c r="AC60" i="3"/>
  <c r="V30" i="3"/>
  <c r="AC78" i="3"/>
  <c r="AC8" i="3"/>
  <c r="AC86" i="3"/>
  <c r="AC81" i="3"/>
  <c r="AC48" i="3"/>
  <c r="AC71" i="3"/>
  <c r="AC24" i="3"/>
  <c r="AC101" i="3"/>
  <c r="AC90" i="3"/>
  <c r="V39" i="3"/>
  <c r="AC18" i="3"/>
  <c r="AC63" i="3"/>
  <c r="V99" i="3"/>
  <c r="V76" i="3"/>
  <c r="AC65" i="3"/>
  <c r="AC31" i="3"/>
  <c r="AC37" i="3"/>
  <c r="AC45" i="3"/>
  <c r="AC134" i="3"/>
  <c r="AC129" i="3"/>
  <c r="AC46" i="3"/>
  <c r="V134" i="3"/>
  <c r="AC19" i="3"/>
  <c r="V46" i="3"/>
  <c r="AC120" i="3"/>
  <c r="AC116" i="3"/>
  <c r="V72" i="3"/>
  <c r="AC51" i="3"/>
  <c r="V47" i="3"/>
  <c r="V54" i="3"/>
  <c r="V111" i="3"/>
  <c r="V49" i="3"/>
  <c r="V117" i="3"/>
  <c r="AC140" i="3"/>
  <c r="V114" i="3"/>
  <c r="V110" i="3"/>
  <c r="V135" i="3"/>
  <c r="V128" i="3"/>
  <c r="AC17" i="3"/>
  <c r="V115" i="3"/>
  <c r="V58" i="3"/>
  <c r="V51" i="3"/>
  <c r="V125" i="3"/>
  <c r="V14" i="3"/>
  <c r="AC43" i="3"/>
  <c r="V138" i="3"/>
  <c r="V96" i="3"/>
  <c r="V104" i="3"/>
  <c r="V44" i="3"/>
  <c r="V41" i="3"/>
  <c r="V107" i="3"/>
  <c r="V97" i="3"/>
  <c r="V103" i="3"/>
  <c r="AC123" i="3"/>
  <c r="V16" i="3"/>
  <c r="V133" i="3"/>
  <c r="V86" i="3"/>
  <c r="V61" i="3"/>
  <c r="V98" i="3"/>
  <c r="V139" i="3"/>
  <c r="AC25" i="3"/>
  <c r="V70" i="3"/>
  <c r="V57" i="3"/>
  <c r="V42" i="3"/>
  <c r="V87" i="3"/>
  <c r="V131" i="3"/>
  <c r="V40" i="3"/>
  <c r="AC66" i="3"/>
  <c r="V105" i="3"/>
  <c r="AC34" i="3"/>
  <c r="AC97" i="3"/>
  <c r="V123" i="3"/>
  <c r="AC61" i="3"/>
  <c r="AC68" i="3"/>
  <c r="V119" i="3"/>
  <c r="AC119" i="3"/>
  <c r="U4" i="3"/>
  <c r="AC115" i="3"/>
  <c r="V20" i="3"/>
  <c r="AC92" i="3"/>
  <c r="AC131" i="3"/>
  <c r="V140" i="3"/>
  <c r="AC136" i="3"/>
  <c r="V124" i="3"/>
  <c r="AC138" i="3"/>
  <c r="AC98" i="3"/>
  <c r="V6" i="3"/>
  <c r="V9" i="3"/>
  <c r="V18" i="3"/>
  <c r="V66" i="3"/>
  <c r="V27" i="3"/>
  <c r="AC26" i="3"/>
  <c r="V116" i="3"/>
  <c r="V101" i="3"/>
  <c r="AC100" i="3"/>
  <c r="V65" i="3"/>
  <c r="V11" i="3"/>
  <c r="V122" i="3"/>
  <c r="V22" i="3"/>
  <c r="M4" i="3"/>
  <c r="O4" i="3" s="1"/>
  <c r="V109" i="3"/>
  <c r="AC41" i="3"/>
  <c r="V137" i="3"/>
  <c r="V25" i="3"/>
  <c r="AC121" i="3"/>
  <c r="V28" i="3"/>
  <c r="AC126" i="3"/>
  <c r="V60" i="3"/>
  <c r="AC87" i="3"/>
  <c r="V68" i="3"/>
  <c r="V7" i="3"/>
  <c r="V24" i="3"/>
  <c r="V129" i="3"/>
  <c r="AC104" i="3"/>
  <c r="AC99" i="3"/>
  <c r="AC124" i="3"/>
  <c r="AC47" i="3"/>
  <c r="AC12" i="3"/>
  <c r="V108" i="3"/>
  <c r="V38" i="3"/>
  <c r="AA5" i="3"/>
  <c r="AB5" i="3" s="1"/>
  <c r="V121" i="3"/>
  <c r="V35" i="3"/>
  <c r="AC27" i="3"/>
  <c r="V29" i="3"/>
  <c r="V63" i="3"/>
  <c r="V26" i="3"/>
  <c r="V19" i="3"/>
  <c r="V33" i="3"/>
  <c r="V21" i="3"/>
  <c r="V126" i="3"/>
  <c r="V80" i="3"/>
  <c r="V78" i="3"/>
  <c r="V120" i="3"/>
  <c r="V32" i="3"/>
  <c r="V37" i="3"/>
  <c r="V127" i="3"/>
  <c r="AC79" i="3"/>
  <c r="V36" i="3"/>
  <c r="AC32" i="3"/>
  <c r="V50" i="3"/>
  <c r="V95" i="3"/>
  <c r="AC14" i="3"/>
  <c r="U5" i="3"/>
  <c r="AC20" i="3"/>
  <c r="AC111" i="3"/>
  <c r="V45" i="3"/>
  <c r="V64" i="3"/>
  <c r="AC64" i="3"/>
  <c r="AC108" i="3"/>
  <c r="V83" i="3"/>
  <c r="AC117" i="3"/>
  <c r="V17" i="3"/>
  <c r="AC127" i="3"/>
  <c r="V34" i="3"/>
  <c r="AC80" i="3"/>
  <c r="AC91" i="3"/>
  <c r="AC35" i="3"/>
  <c r="AC139" i="3"/>
  <c r="AC69" i="3"/>
  <c r="V12" i="3"/>
  <c r="M5" i="3"/>
  <c r="O5" i="3" s="1"/>
  <c r="AC73" i="3"/>
  <c r="AC42" i="3"/>
  <c r="AC137" i="3"/>
  <c r="AC54" i="3"/>
  <c r="AC57" i="3"/>
  <c r="AC11" i="3"/>
  <c r="AC33" i="3"/>
  <c r="AC38" i="3"/>
  <c r="AC95" i="3"/>
  <c r="AC7" i="3"/>
  <c r="AC40" i="3"/>
  <c r="AC114" i="3"/>
  <c r="AA4" i="3"/>
  <c r="AB4" i="3" s="1"/>
  <c r="AC9" i="3"/>
  <c r="AC29" i="3"/>
  <c r="AC110" i="3"/>
  <c r="AC44" i="3"/>
  <c r="AC49" i="3"/>
  <c r="AC122" i="3"/>
  <c r="AC109" i="3"/>
  <c r="AC125" i="3"/>
  <c r="AC107" i="3"/>
  <c r="AC128" i="3"/>
  <c r="AC75" i="3"/>
  <c r="AC88" i="3"/>
  <c r="AC36" i="3"/>
  <c r="AC94" i="3"/>
  <c r="AC16" i="3"/>
  <c r="AC6" i="3"/>
  <c r="AC21" i="3"/>
  <c r="AC22" i="3"/>
  <c r="AC70" i="3"/>
  <c r="AC83" i="3"/>
  <c r="AC58" i="3"/>
  <c r="AC50" i="3"/>
  <c r="AC103" i="3"/>
  <c r="AC133" i="3"/>
  <c r="V4" i="3" l="1"/>
  <c r="AC4" i="3"/>
  <c r="AC5" i="3"/>
  <c r="V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<sst xmlns="http://schemas.openxmlformats.org/spreadsheetml/2006/main" count="333" uniqueCount="321">
  <si>
    <t>Reference File</t>
  </si>
  <si>
    <t>Metadata</t>
  </si>
  <si>
    <t>Timestamp</t>
  </si>
  <si>
    <t>3He (cps)</t>
  </si>
  <si>
    <t>3He (pccSTP)</t>
  </si>
  <si>
    <t>(3) +/-</t>
  </si>
  <si>
    <t>Sensitivity 3He (pccSTP/cps)</t>
  </si>
  <si>
    <t>Heated Time (s)</t>
  </si>
  <si>
    <t>Target Temp (C)</t>
  </si>
  <si>
    <t>Recorded Av Temp (C)</t>
  </si>
  <si>
    <t>He29137.txt</t>
  </si>
  <si>
    <t>112123SalAspIrr: 1015_60.0_24.0 23.00</t>
  </si>
  <si>
    <t>He29164.txt</t>
  </si>
  <si>
    <t>112123SalAspIrr: 1045_120.0_100.0 100.40</t>
  </si>
  <si>
    <t>He29168.txt</t>
  </si>
  <si>
    <t>112123SalAspIrr: 1085_60.0_24.0 23.97</t>
  </si>
  <si>
    <t>He29170.txt</t>
  </si>
  <si>
    <t>112123SalAspIrr: 1105_60.0_24.0 23.98</t>
  </si>
  <si>
    <t>He29177.txt</t>
  </si>
  <si>
    <t>112123SalAspIrr: 1125_240.0_100.0 100.00</t>
  </si>
  <si>
    <t>He29179.txt</t>
  </si>
  <si>
    <t>112123SalAspIrr: 1145_60.0_24.0 24.00</t>
  </si>
  <si>
    <t>He29182.txt</t>
  </si>
  <si>
    <t>112123SalAspIrr: 1165_60.0_24.0 24.00</t>
  </si>
  <si>
    <t>He29184.txt</t>
  </si>
  <si>
    <t>112123SalAspIrr: 1185_60.0_24.0 24.00</t>
  </si>
  <si>
    <t>He29186.txt</t>
  </si>
  <si>
    <t>112123SalAspIrr: 1205_120.0_200.0 200.06</t>
  </si>
  <si>
    <t>He29189.txt</t>
  </si>
  <si>
    <t>112123SalAspIrr: 1225_60.0_24.0 26.25</t>
  </si>
  <si>
    <t>He29192.txt</t>
  </si>
  <si>
    <t>112123SalAspIrr: 1255_60.0_24.0 24.00</t>
  </si>
  <si>
    <t>He29195.txt</t>
  </si>
  <si>
    <t>112123SalAspIrr: 1275_240.0_200.0 200.02</t>
  </si>
  <si>
    <t>He29198.txt</t>
  </si>
  <si>
    <t>112123SalAspIrr: 1295_60.0_24.0 26.18</t>
  </si>
  <si>
    <t>He29200.txt</t>
  </si>
  <si>
    <t>112123SalAspIrr: 1315_60.0_24.0 24.00</t>
  </si>
  <si>
    <t>He29206.txt</t>
  </si>
  <si>
    <t>112123SalAspIrr: 1335_120.0_250.0 250.03</t>
  </si>
  <si>
    <t>He29208.txt</t>
  </si>
  <si>
    <t>112123SalAspIrr: 1345_5.0_24.0 36.00</t>
  </si>
  <si>
    <t>He29211.txt</t>
  </si>
  <si>
    <t>112123SalAspIrr: 1365_5.0_24.0 24.00</t>
  </si>
  <si>
    <t>He29215.txt</t>
  </si>
  <si>
    <t>112123SalAspIrr: 1385_120.0_260.0 260.03</t>
  </si>
  <si>
    <t>He29216.txt</t>
  </si>
  <si>
    <t>112123SalAspIrr: 1405_5.0_24.0 36.98</t>
  </si>
  <si>
    <t>He29220.txt</t>
  </si>
  <si>
    <t>112123SalAspIrr: 1415_5.0_24.0 25.02</t>
  </si>
  <si>
    <t>He29226.txt</t>
  </si>
  <si>
    <t>112123SalAspIrr: 1435_120.0_270.0 270.03</t>
  </si>
  <si>
    <t>He29227.txt</t>
  </si>
  <si>
    <t>112123SalAspIrr: 1465_5.0_24.0 32.45</t>
  </si>
  <si>
    <t>He29230.txt</t>
  </si>
  <si>
    <t>112123SalAspIrr: 1485_5.0_24.0 25.00</t>
  </si>
  <si>
    <t>He29240.txt</t>
  </si>
  <si>
    <t>112123SalAspIrr: 1505_120.0_280.0 280.03</t>
  </si>
  <si>
    <t>He29241.txt</t>
  </si>
  <si>
    <t>112123SalAspIrr: 1555_5.0_24.0 24.96</t>
  </si>
  <si>
    <t>He29243.txt</t>
  </si>
  <si>
    <t>112123SalAspIrr: 1565_5.0_24.0 25.00</t>
  </si>
  <si>
    <t>He29250.txt</t>
  </si>
  <si>
    <t>112123SalAspIrr: 1575_120.0_290.0 290.03</t>
  </si>
  <si>
    <t>He29251.txt</t>
  </si>
  <si>
    <t>112123SalAspIrr: 1625_5.0_24.0 24.51</t>
  </si>
  <si>
    <t>He29258.txt</t>
  </si>
  <si>
    <t>112123SalAspIrr: 1635_5.0_24.0 25.00</t>
  </si>
  <si>
    <t>He29263.txt</t>
  </si>
  <si>
    <t>112123SalAspIrr: 1665_120.0_300.0 300.02</t>
  </si>
  <si>
    <t>He29264.txt</t>
  </si>
  <si>
    <t>112123SalAspIrr: 1705_5.0_24.0 34.06</t>
  </si>
  <si>
    <t>He29265.txt</t>
  </si>
  <si>
    <t>112123SalAspIrr: 1715_5.0_24.0 26.00</t>
  </si>
  <si>
    <t>He29270.txt</t>
  </si>
  <si>
    <t>112123SalAspIrr: 1725_120.0_290.0 290.03</t>
  </si>
  <si>
    <t>He29272.txt</t>
  </si>
  <si>
    <t>112123SalAspIrr: 1765_5.0_24.0 24.88</t>
  </si>
  <si>
    <t>He29274.txt</t>
  </si>
  <si>
    <t>112123SalAspIrr: 1785_5.0_24.0 24.06</t>
  </si>
  <si>
    <t>He29280.txt</t>
  </si>
  <si>
    <t>112123SalAspIrr: 1805_140.0_280.0 280.02</t>
  </si>
  <si>
    <t>He29281.txt</t>
  </si>
  <si>
    <t>112123SalAspIrr: 1845_5.0_24.0 24.00</t>
  </si>
  <si>
    <t>He29283.txt</t>
  </si>
  <si>
    <t>112123SalAspIrr: 1855_5.0_24.0 24.00</t>
  </si>
  <si>
    <t>He29287.txt</t>
  </si>
  <si>
    <t>112123SalAspIrr: 1875_160.0_270.0 270.02</t>
  </si>
  <si>
    <t>He29288.txt</t>
  </si>
  <si>
    <t>112123SalAspIrr: 1905_5.0_24.0 38.18</t>
  </si>
  <si>
    <t>He29289.txt</t>
  </si>
  <si>
    <t>112123SalAspIrr: 1915_5.0_24.0 25.57</t>
  </si>
  <si>
    <t>He29292.txt</t>
  </si>
  <si>
    <t>112123SalAspIrr: 1925_180.0_260.0 260.01</t>
  </si>
  <si>
    <t>He29293.txt</t>
  </si>
  <si>
    <t>112123SalAspIrr: 1955_5.0_24.0 29.51</t>
  </si>
  <si>
    <t>He29295.txt</t>
  </si>
  <si>
    <t>112123SalAspIrr: 1965_5.0_24.0 25.00</t>
  </si>
  <si>
    <t>He29297.txt</t>
  </si>
  <si>
    <t>112123SalAspIrr: 1975_200.0_250.0 250.02</t>
  </si>
  <si>
    <t>He29298.txt</t>
  </si>
  <si>
    <t>112123SalAspIrr: 1985_5.0_24.0 37.33</t>
  </si>
  <si>
    <t>He29299.txt</t>
  </si>
  <si>
    <t>112123SalAspIrr: 1995_5.0_24.0 25.00</t>
  </si>
  <si>
    <t>He29304.txt</t>
  </si>
  <si>
    <t>112123SalAspIrr: 2015_120.0_310.0 310.04</t>
  </si>
  <si>
    <t>He29306.txt</t>
  </si>
  <si>
    <t>112123SalAspIrr: 2045_120.0_200.0 200.04</t>
  </si>
  <si>
    <t>He29313.txt</t>
  </si>
  <si>
    <t>112123SalAspIrr: 2065_120.0_320.0 320.04</t>
  </si>
  <si>
    <t>He29315.txt</t>
  </si>
  <si>
    <t>112123SalAspIrr: 2115_120.0_200.0 200.06</t>
  </si>
  <si>
    <t>He29317.txt</t>
  </si>
  <si>
    <t>112123SalAspIrr: 2135_120.0_330.0 330.02</t>
  </si>
  <si>
    <t>He29320.txt</t>
  </si>
  <si>
    <t>112123SalAspIrr: 2155_120.0_200.0 200.05</t>
  </si>
  <si>
    <t>He29322.txt</t>
  </si>
  <si>
    <t>112123SalAspIrr: 2175_120.0_340.0 340.02</t>
  </si>
  <si>
    <t>He29350.txt</t>
  </si>
  <si>
    <t>112123SalAspIrr: 2195_120.0_200.0 200.05</t>
  </si>
  <si>
    <t>He29352.txt</t>
  </si>
  <si>
    <t>112123SalAspIrr: 2215_120.0_350.0 350.03</t>
  </si>
  <si>
    <t>He29353.txt</t>
  </si>
  <si>
    <t>112123SalAspIrr: 2225_120.0_200.0 200.04</t>
  </si>
  <si>
    <t>He29354.txt</t>
  </si>
  <si>
    <t>112123SalAspIrr: 2235_120.0_345.0 345.02</t>
  </si>
  <si>
    <t>He29356.txt</t>
  </si>
  <si>
    <t>112123SalAspIrr: 2245_120.0_200.0 200.04</t>
  </si>
  <si>
    <t>He29357.txt</t>
  </si>
  <si>
    <t>112123SalAspIrr: 2255_120.0_340.0 340.02</t>
  </si>
  <si>
    <t>He29367.txt</t>
  </si>
  <si>
    <t>112123SalAspIrr: 2305_120.0_200.0 199.99</t>
  </si>
  <si>
    <t>He29371.txt</t>
  </si>
  <si>
    <t>112123SalAspIrr: 2325_120.0_335.0 334.99</t>
  </si>
  <si>
    <t>He29374.txt</t>
  </si>
  <si>
    <t>112123SalAspIrr: 2345_120.0_200.0 199.99</t>
  </si>
  <si>
    <t>He29380.txt</t>
  </si>
  <si>
    <t>112123SalAspIrr: 2365_120.0_330.0 330.00</t>
  </si>
  <si>
    <t>He29382.txt</t>
  </si>
  <si>
    <t>112123SalAspIrr: 2385_60.0_200.0 199.98</t>
  </si>
  <si>
    <t>He29386.txt</t>
  </si>
  <si>
    <t>112123SalAspIrr: 2395_120.0_360.0 359.99</t>
  </si>
  <si>
    <t>He29389.txt</t>
  </si>
  <si>
    <t>112123SalAspIrr: 2415_60.0_200.0 199.99</t>
  </si>
  <si>
    <t>He29395.txt</t>
  </si>
  <si>
    <t>112123SalAspIrr: 2435_120.0_370.0 370.00</t>
  </si>
  <si>
    <t>He29399.txt</t>
  </si>
  <si>
    <t>112123SalAspIrr: 2465_60.0_200.0 199.98</t>
  </si>
  <si>
    <t>He29404.txt</t>
  </si>
  <si>
    <t>112123SalAspIrr: 2485_120.0_380.0 380.01</t>
  </si>
  <si>
    <t>He29407.txt</t>
  </si>
  <si>
    <t>112123SalAspIrr: 2505_60.0_200.0 199.90</t>
  </si>
  <si>
    <t>He29411.txt</t>
  </si>
  <si>
    <t>112123SalAspIrr: 2525_120.0_390.0 390.00</t>
  </si>
  <si>
    <t>He29412.txt</t>
  </si>
  <si>
    <t>112123SalAspIrr: 2535_60.0_200.0 199.89</t>
  </si>
  <si>
    <t>He29414.txt</t>
  </si>
  <si>
    <t>112123SalAspIrr: 2545_120.0_400.0 400.00</t>
  </si>
  <si>
    <t>He29415.txt</t>
  </si>
  <si>
    <t>112123SalAspIrr: 2555_60.0_200.0 199.97</t>
  </si>
  <si>
    <t>He29417.txt</t>
  </si>
  <si>
    <t>112123SalAspIrr: 2565_120.0_395.0 395.00</t>
  </si>
  <si>
    <t>He29418.txt</t>
  </si>
  <si>
    <t>112123SalAspIrr: 2585_60.0_200.0 199.98</t>
  </si>
  <si>
    <t>He29422.txt</t>
  </si>
  <si>
    <t>112123SalAspIrr: 2595_120.0_390.0 390.00</t>
  </si>
  <si>
    <t>He29495.txt</t>
  </si>
  <si>
    <t>112123SalAspIrr: 3005_60.0_200.0 199.99</t>
  </si>
  <si>
    <t>He29500.txt</t>
  </si>
  <si>
    <t>112123SalAspIrr: 3035_130.0_385.0 384.99</t>
  </si>
  <si>
    <t>He29503.txt</t>
  </si>
  <si>
    <t>112123SalAspIrr: 3055_60.0_200.0 199.92</t>
  </si>
  <si>
    <t>He29508.txt</t>
  </si>
  <si>
    <t>112123SalAspIrr: 3065_140.0_380.0 380.00</t>
  </si>
  <si>
    <t>He29512.txt</t>
  </si>
  <si>
    <t>112123SalAspIrr: 3095_120.0_410.0 410.01</t>
  </si>
  <si>
    <t>He29518.txt</t>
  </si>
  <si>
    <t>112123SalAspIrr: 3115_60.0_200.0 199.11</t>
  </si>
  <si>
    <t>He29520.txt</t>
  </si>
  <si>
    <t>112123SalAspIrr: 3165_120.0_420.0 420.01</t>
  </si>
  <si>
    <t>He29525.txt</t>
  </si>
  <si>
    <t>112123SalAspIrr: 3195_60.0_200.0 199.91</t>
  </si>
  <si>
    <t>He29532.txt</t>
  </si>
  <si>
    <t>112123SalAspIrr: 3225_120.0_430.0 430.00</t>
  </si>
  <si>
    <t>He29534.txt</t>
  </si>
  <si>
    <t>112123SalAspIrr: 3255_60.0_200.0 199.90</t>
  </si>
  <si>
    <t>He29540.txt</t>
  </si>
  <si>
    <t>112123SalAspIrr: 3265_120.0_440.0 440.01</t>
  </si>
  <si>
    <t>He29541.txt</t>
  </si>
  <si>
    <t>112123SalAspIrr: 3305_60.0_200.0 199.89</t>
  </si>
  <si>
    <t>He29546.txt</t>
  </si>
  <si>
    <t>112123SalAspIrr: 3315_120.0_450.0 450.01</t>
  </si>
  <si>
    <t>He29548.txt</t>
  </si>
  <si>
    <t>112123SalAspIrr: 3355_120.0_445.0 445.00</t>
  </si>
  <si>
    <t>He29551.txt</t>
  </si>
  <si>
    <t>112123SalAspIrr: 3375_120.0_440.0 440.00</t>
  </si>
  <si>
    <t>He29553.txt</t>
  </si>
  <si>
    <t>112123SalAspIrr: 3395_130.0_435.0 435.00</t>
  </si>
  <si>
    <t>He29558.txt</t>
  </si>
  <si>
    <t>112123SalAspIrr: 3415_140.0_430.0 430.00</t>
  </si>
  <si>
    <t>He29567.txt</t>
  </si>
  <si>
    <t>112123SalAspIrr: 3455_150.0_425.0 425.00</t>
  </si>
  <si>
    <t>He29576.txt</t>
  </si>
  <si>
    <t>112123SalAspIrr: 3505_160.0_420.0 420.00</t>
  </si>
  <si>
    <t>He29583.txt</t>
  </si>
  <si>
    <t>112123SalAspIrr: 3545_170.0_415.0 415.01</t>
  </si>
  <si>
    <t>He29590.txt</t>
  </si>
  <si>
    <t>112123SalAspIrr: 3585_180.0_410.0 410.00</t>
  </si>
  <si>
    <t>He29595.txt</t>
  </si>
  <si>
    <t>112123SalAspIrr: 3625_190.0_405.0 405.01</t>
  </si>
  <si>
    <t>He29598.txt</t>
  </si>
  <si>
    <t>112123SalAspIrr: 3665_206.0_400.0 399.98</t>
  </si>
  <si>
    <t>He29600.txt</t>
  </si>
  <si>
    <t>112123SalAspIrr: 3685_120.0_460.0 460.01</t>
  </si>
  <si>
    <t>He29604.txt</t>
  </si>
  <si>
    <t>112123SalAspIrr: 3705_100.0_470.0 469.99</t>
  </si>
  <si>
    <t>He29606.txt</t>
  </si>
  <si>
    <t>112123SalAspIrr: 3735_80.0_480.0 480.00</t>
  </si>
  <si>
    <t>He29609.txt</t>
  </si>
  <si>
    <t>112123SalAspIrr: 3755_60.0_500.0 500.01</t>
  </si>
  <si>
    <t>He29611.txt</t>
  </si>
  <si>
    <t>112123SalAspIrr: 3785_60.0_495.0 495.00</t>
  </si>
  <si>
    <t>He29614.txt</t>
  </si>
  <si>
    <t>112123SalAspIrr: 3795_60.0_485.0 484.99</t>
  </si>
  <si>
    <t>He29615.txt</t>
  </si>
  <si>
    <t>112123SalAspIrr: 3815_60.0_475.0 475.01</t>
  </si>
  <si>
    <t>He29617.txt</t>
  </si>
  <si>
    <t>112123SalAspIrr: 3825_60.0_465.0 465.00</t>
  </si>
  <si>
    <t>He29619.txt</t>
  </si>
  <si>
    <t>112123SalAspIrr: 3845_60.0_455.0 455.02</t>
  </si>
  <si>
    <t>He29621.txt</t>
  </si>
  <si>
    <t>112123SalAspIrr: 3855_60.0_445.0 445.01</t>
  </si>
  <si>
    <t>He29623.txt</t>
  </si>
  <si>
    <t>112123SalAspIrr: 3875_60.0_435.0 435.01</t>
  </si>
  <si>
    <t>He29625.txt</t>
  </si>
  <si>
    <t>112123SalAspIrr: 3895_80.0_425.0 425.02</t>
  </si>
  <si>
    <t>He29629.txt</t>
  </si>
  <si>
    <t>112123SalAspIrr: 3915_100.0_415.0 415.01</t>
  </si>
  <si>
    <t>He29630.txt</t>
  </si>
  <si>
    <t>112123SalAspIrr: 3945_120.0_405.0 405.01</t>
  </si>
  <si>
    <t>He29633.txt</t>
  </si>
  <si>
    <t>112123SalAspIrr: 3955_150.0_395.0 395.01</t>
  </si>
  <si>
    <t>He29636.txt</t>
  </si>
  <si>
    <t>112123SalAspIrr: 3975_150.0_395.0 395.01</t>
  </si>
  <si>
    <t>He29639.txt</t>
  </si>
  <si>
    <t>112123SalAspIrr: 4005_150.0_395.0 395.01</t>
  </si>
  <si>
    <t>He29643.txt</t>
  </si>
  <si>
    <t>112123SalAspIrr: 4035_150.0_395.0 395.02</t>
  </si>
  <si>
    <t>He29646.txt</t>
  </si>
  <si>
    <t>112123SalAspIrr: 4065_150.0_400.0 400.01</t>
  </si>
  <si>
    <t>He29652.txt</t>
  </si>
  <si>
    <t>112123SalAspIrr: 4095_415.0_410.0 410.02</t>
  </si>
  <si>
    <t>He29655.txt</t>
  </si>
  <si>
    <t>112123SalAspIrr: 4145_130.0_420.0 420.01</t>
  </si>
  <si>
    <t>He29657.txt</t>
  </si>
  <si>
    <t>112123SalAspIrr: 4165_120.0_430.0 430.01</t>
  </si>
  <si>
    <t>He29661.txt</t>
  </si>
  <si>
    <t>112123SalAspIrr: 4185_593.0_440.0 440.02</t>
  </si>
  <si>
    <t>He29662.txt</t>
  </si>
  <si>
    <t>112123SalAspIrr: 4205_80.0_450.0 435.05</t>
  </si>
  <si>
    <t>He29663.txt</t>
  </si>
  <si>
    <t>112123SalAspIrr: 4215_60.0_460.0 453.60</t>
  </si>
  <si>
    <t>He29666.txt</t>
  </si>
  <si>
    <t>112123SalAspIrr: 4225_345.0_470.0 470.00</t>
  </si>
  <si>
    <t>He29667.txt</t>
  </si>
  <si>
    <t>112123SalAspIrr: 4245_60.0_480.0 480.06</t>
  </si>
  <si>
    <t>He29669.txt</t>
  </si>
  <si>
    <t>112123SalAspIrr: 4255_60.0_490.0 490.00</t>
  </si>
  <si>
    <t>He29670.txt</t>
  </si>
  <si>
    <t>112123SalAspIrr: 4265_60.0_500.0 497.47</t>
  </si>
  <si>
    <t>He29710.txt</t>
  </si>
  <si>
    <t>112123SalAspIrr: 4515_1.0_21.0 24.00</t>
  </si>
  <si>
    <t>He29713.txt</t>
  </si>
  <si>
    <t>112123SalAspIrr: 4535_344.0_400.0 400.00</t>
  </si>
  <si>
    <t>He29715.txt</t>
  </si>
  <si>
    <t>112123SalAspIrr: 4555_180.0_400.0 400.00</t>
  </si>
  <si>
    <t>He29718.txt</t>
  </si>
  <si>
    <t>112123SalAspIrr: 4575_180.0_400.0 399.97</t>
  </si>
  <si>
    <t>He29722.txt</t>
  </si>
  <si>
    <t>112123SalAspIrr: 4595_376.0_400.0 400.12</t>
  </si>
  <si>
    <t>He29724.txt</t>
  </si>
  <si>
    <t>112123SalAspIrr: 4625_180.0_400.0 400.01</t>
  </si>
  <si>
    <t>He29726.txt</t>
  </si>
  <si>
    <t>112123SalAspIrr: 4635_180.0_400.0 400.01</t>
  </si>
  <si>
    <t>K (atoms/(s*atm*cm))</t>
  </si>
  <si>
    <t>λ = KGRT</t>
  </si>
  <si>
    <t xml:space="preserve">λt </t>
  </si>
  <si>
    <t>nt UB</t>
  </si>
  <si>
    <t>Prev. Cum Yield</t>
  </si>
  <si>
    <t>Cum Yield</t>
  </si>
  <si>
    <t>CONSTANTS</t>
  </si>
  <si>
    <t>ID (cm)</t>
  </si>
  <si>
    <t>OD (cm)</t>
  </si>
  <si>
    <t>G (cm^-1)</t>
  </si>
  <si>
    <t>R (cm^3 * atm  * atoms^-1 * K^1)</t>
  </si>
  <si>
    <t>Cum 3He</t>
  </si>
  <si>
    <t>D&lt;10%</t>
  </si>
  <si>
    <t>D&lt;90%</t>
  </si>
  <si>
    <t>D&gt;90%</t>
  </si>
  <si>
    <t>D/a^2</t>
  </si>
  <si>
    <t>10000/TK</t>
  </si>
  <si>
    <t>ln(d/a^2)</t>
  </si>
  <si>
    <t>Step</t>
  </si>
  <si>
    <t>Temp ©</t>
  </si>
  <si>
    <t>Seconds</t>
  </si>
  <si>
    <t>TOTAL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</si>
  <si>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vertAlign val="superscript"/>
        <sz val="11"/>
        <color theme="1"/>
        <rFont val="Aptos Narrow"/>
        <family val="2"/>
        <scheme val="minor"/>
      </rPr>
      <t>UB</t>
    </r>
  </si>
  <si>
    <t>Fim</t>
  </si>
  <si>
    <t>FiUP</t>
  </si>
  <si>
    <t>Δln(d/a^2)</t>
  </si>
  <si>
    <t>m</t>
  </si>
  <si>
    <t>LB</t>
  </si>
  <si>
    <t>UB</t>
  </si>
  <si>
    <t>-</t>
  </si>
  <si>
    <t>Total</t>
  </si>
  <si>
    <r>
      <t>F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</si>
  <si>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</si>
  <si>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UB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</si>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</sst>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18" fillId="0" borderId="0" xfId="0" applyFont="1"/>
    <xf numFmtId="2" fontId="0" fillId="0" borderId="0" xfId="0" applyNumberFormat="1"/>
    <xf numFmtId="0" fontId="0" fillId="33" borderId="0" xfId="0" applyFill="1"/>
    <xf numFmtId="11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11" fontId="0" fillId="0" borderId="16" xfId="0" applyNumberFormat="1" applyBorder="1"/>
    <xf numFmtId="0" fontId="0" fillId="0" borderId="16" xfId="0" applyBorder="1"/>
    <xf numFmtId="0" fontId="0" fillId="0" borderId="17" xfId="0" applyBorder="1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34" borderId="0" xfId="0" applyFill="1"/>
    <xf numFmtId="22" fontId="0" fillId="34" borderId="0" xfId="0" applyNumberFormat="1" applyFill="1"/>
    <xf numFmtId="11" fontId="0" fillId="34" borderId="0" xfId="0" applyNumberFormat="1" applyFill="1"/>
    <xf numFmtId="2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22" fontId="0" fillId="33" borderId="0" xfId="0" applyNumberFormat="1" applyFill="1"/>
    <xf numFmtId="22" fontId="0" fillId="35" borderId="0" xfId="0" applyNumberFormat="1" applyFill="1"/>
    <xf numFmtId="2" fontId="0" fillId="35" borderId="0" xfId="0" applyNumberFormat="1" applyFill="1"/>
    <xf numFmtId="164" fontId="0" fillId="35" borderId="0" xfId="0" applyNumberFormat="1" applyFill="1"/>
    <xf numFmtId="0" fontId="0" fillId="36" borderId="0" xfId="0" applyFill="1"/>
    <xf numFmtId="11" fontId="0" fillId="36" borderId="0" xfId="0" applyNumberFormat="1" applyFill="1"/>
    <xf numFmtId="0" fontId="19" fillId="0" borderId="0" xfId="0" applyFont="1"/>
    <xf numFmtId="0" fontId="0" fillId="37" borderId="0" xfId="0" applyFill="1"/>
    <xf numFmtId="22" fontId="0" fillId="37" borderId="0" xfId="0" applyNumberFormat="1" applyFill="1"/>
    <xf numFmtId="11" fontId="0" fillId="37" borderId="0" xfId="0" applyNumberFormat="1" applyFill="1"/>
    <xf numFmtId="2" fontId="0" fillId="37" borderId="0" xfId="0" applyNumberFormat="1" applyFill="1"/>
    <xf numFmtId="164" fontId="0" fillId="37" borderId="0" xfId="0" applyNumberFormat="1" applyFill="1"/>
    <xf numFmtId="165" fontId="18" fillId="0" borderId="0" xfId="0" applyNumberFormat="1" applyFont="1"/>
    <xf numFmtId="165" fontId="0" fillId="33" borderId="0" xfId="0" applyNumberFormat="1" applyFill="1"/>
    <xf numFmtId="165" fontId="0" fillId="37" borderId="0" xfId="0" applyNumberFormat="1" applyFill="1"/>
    <xf numFmtId="165" fontId="0" fillId="0" borderId="0" xfId="0" applyNumberFormat="1"/>
    <xf numFmtId="165" fontId="0" fillId="35" borderId="0" xfId="0" applyNumberFormat="1" applyFill="1"/>
    <xf numFmtId="165" fontId="0" fillId="34" borderId="0" xfId="0" applyNumberFormat="1" applyFill="1"/>
    <xf numFmtId="0" fontId="0" fillId="38" borderId="0" xfId="0" applyFill="1"/>
    <xf numFmtId="22" fontId="0" fillId="38" borderId="0" xfId="0" applyNumberFormat="1" applyFill="1"/>
    <xf numFmtId="11" fontId="0" fillId="38" borderId="0" xfId="0" applyNumberFormat="1" applyFill="1"/>
    <xf numFmtId="2" fontId="0" fillId="38" borderId="0" xfId="0" applyNumberFormat="1" applyFill="1"/>
    <xf numFmtId="165" fontId="0" fillId="38" borderId="0" xfId="0" applyNumberFormat="1" applyFill="1"/>
    <xf numFmtId="164" fontId="0" fillId="38" borderId="0" xfId="0" applyNumberFormat="1" applyFill="1"/>
    <xf numFmtId="0" fontId="0" fillId="39" borderId="0" xfId="0" applyFill="1"/>
    <xf numFmtId="11" fontId="0" fillId="39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Apparent Helium</a:t>
            </a:r>
            <a:r>
              <a:rPr lang="en-US" baseline="0"/>
              <a:t> Diffusivities Arsenopyrite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(Diffusivities!$AC$95:$AC$116,Diffusivities!$AC$118:$AC$133)</c:f>
                <c:numCache>
                  <c:formatCode>General</c:formatCode>
                  <c:ptCount val="38"/>
                  <c:pt idx="0">
                    <c:v>0.15519650884248648</c:v>
                  </c:pt>
                  <c:pt idx="1">
                    <c:v>0.15708198526288086</c:v>
                  </c:pt>
                  <c:pt idx="2">
                    <c:v>0.1472182231154342</c:v>
                  </c:pt>
                  <c:pt idx="3">
                    <c:v>0.13975651496875585</c:v>
                  </c:pt>
                  <c:pt idx="4">
                    <c:v>0.13410125598169031</c:v>
                  </c:pt>
                  <c:pt idx="5">
                    <c:v>0.12924043572482802</c:v>
                  </c:pt>
                  <c:pt idx="6">
                    <c:v>0.12533701862777136</c:v>
                  </c:pt>
                  <c:pt idx="7">
                    <c:v>0.12218218768168043</c:v>
                  </c:pt>
                  <c:pt idx="8">
                    <c:v>0.11954517655659203</c:v>
                  </c:pt>
                  <c:pt idx="9">
                    <c:v>0.11397809221580602</c:v>
                  </c:pt>
                  <c:pt idx="10">
                    <c:v>0.13752324663254711</c:v>
                  </c:pt>
                  <c:pt idx="11">
                    <c:v>0.15793511185869136</c:v>
                  </c:pt>
                  <c:pt idx="12">
                    <c:v>0.18856160897883356</c:v>
                  </c:pt>
                  <c:pt idx="13">
                    <c:v>0.23515363412962742</c:v>
                  </c:pt>
                  <c:pt idx="14">
                    <c:v>0.23489431669644745</c:v>
                  </c:pt>
                  <c:pt idx="15">
                    <c:v>0.24631601446882812</c:v>
                  </c:pt>
                  <c:pt idx="16">
                    <c:v>0.26082886646635117</c:v>
                  </c:pt>
                  <c:pt idx="17">
                    <c:v>0.27842636620356132</c:v>
                  </c:pt>
                  <c:pt idx="18">
                    <c:v>0.30276752480111924</c:v>
                  </c:pt>
                  <c:pt idx="19">
                    <c:v>0.33673927048362984</c:v>
                  </c:pt>
                  <c:pt idx="20">
                    <c:v>0.358933754913906</c:v>
                  </c:pt>
                  <c:pt idx="21">
                    <c:v>0.26597720721507301</c:v>
                  </c:pt>
                  <c:pt idx="22">
                    <c:v>0.19624208523352138</c:v>
                  </c:pt>
                  <c:pt idx="23">
                    <c:v>0.16592869341724992</c:v>
                  </c:pt>
                  <c:pt idx="24">
                    <c:v>0.16587526632077143</c:v>
                  </c:pt>
                  <c:pt idx="25">
                    <c:v>0.16595195145357522</c:v>
                  </c:pt>
                  <c:pt idx="26">
                    <c:v>0.16590929662864795</c:v>
                  </c:pt>
                  <c:pt idx="27">
                    <c:v>0.15970212892649016</c:v>
                  </c:pt>
                  <c:pt idx="28">
                    <c:v>5.1111444398554085E-2</c:v>
                  </c:pt>
                  <c:pt idx="29">
                    <c:v>0.16084457838456956</c:v>
                  </c:pt>
                  <c:pt idx="30">
                    <c:v>0.16346744306814642</c:v>
                  </c:pt>
                  <c:pt idx="31">
                    <c:v>2.9123501805102592E-2</c:v>
                  </c:pt>
                  <c:pt idx="32">
                    <c:v>0.24717102333672969</c:v>
                  </c:pt>
                  <c:pt idx="33">
                    <c:v>0.30479142704745144</c:v>
                  </c:pt>
                  <c:pt idx="34">
                    <c:v>4.2166832636350904E-2</c:v>
                  </c:pt>
                  <c:pt idx="35">
                    <c:v>0.25230492449117037</c:v>
                  </c:pt>
                  <c:pt idx="36">
                    <c:v>0.23756630322719019</c:v>
                  </c:pt>
                  <c:pt idx="37">
                    <c:v>0.22913023087742346</c:v>
                  </c:pt>
                </c:numCache>
              </c:numRef>
            </c:plus>
            <c:minus>
              <c:numRef>
                <c:f>(Diffusivities!$V$95:$V$116,Diffusivities!$V$118:$V$133)</c:f>
                <c:numCache>
                  <c:formatCode>General</c:formatCode>
                  <c:ptCount val="38"/>
                  <c:pt idx="0">
                    <c:v>0.30005908707765627</c:v>
                  </c:pt>
                  <c:pt idx="1">
                    <c:v>0.28997999167013333</c:v>
                  </c:pt>
                  <c:pt idx="2">
                    <c:v>0.31706250279481907</c:v>
                  </c:pt>
                  <c:pt idx="3">
                    <c:v>0.29008427679871929</c:v>
                  </c:pt>
                  <c:pt idx="4">
                    <c:v>0.20541310081553732</c:v>
                  </c:pt>
                  <c:pt idx="5">
                    <c:v>0.26412129503360759</c:v>
                  </c:pt>
                  <c:pt idx="6">
                    <c:v>0.22397333765210803</c:v>
                  </c:pt>
                  <c:pt idx="7">
                    <c:v>0.18698313181299397</c:v>
                  </c:pt>
                  <c:pt idx="8">
                    <c:v>0.19792680509208083</c:v>
                  </c:pt>
                  <c:pt idx="9">
                    <c:v>8.4631568387141698E-2</c:v>
                  </c:pt>
                  <c:pt idx="10">
                    <c:v>1.0848106895881671E-2</c:v>
                  </c:pt>
                  <c:pt idx="11">
                    <c:v>0.11498292673572053</c:v>
                  </c:pt>
                  <c:pt idx="12">
                    <c:v>0.17946795597246279</c:v>
                  </c:pt>
                  <c:pt idx="13">
                    <c:v>0.10288192562151721</c:v>
                  </c:pt>
                  <c:pt idx="14">
                    <c:v>0.70039028467649445</c:v>
                  </c:pt>
                  <c:pt idx="15">
                    <c:v>0.89330544337418871</c:v>
                  </c:pt>
                  <c:pt idx="16">
                    <c:v>1.7516793027471849</c:v>
                  </c:pt>
                  <c:pt idx="17">
                    <c:v>1.0204707070494692</c:v>
                  </c:pt>
                  <c:pt idx="18">
                    <c:v>0.32167459774527529</c:v>
                  </c:pt>
                  <c:pt idx="19">
                    <c:v>2.0107793387163859</c:v>
                  </c:pt>
                  <c:pt idx="20">
                    <c:v>0.90388001051195133</c:v>
                  </c:pt>
                  <c:pt idx="21">
                    <c:v>5</c:v>
                  </c:pt>
                  <c:pt idx="22">
                    <c:v>8.6463482109376599E-2</c:v>
                  </c:pt>
                  <c:pt idx="23">
                    <c:v>0.19451029877652815</c:v>
                  </c:pt>
                  <c:pt idx="24">
                    <c:v>0.42786169057414369</c:v>
                  </c:pt>
                  <c:pt idx="25">
                    <c:v>8.0131283519150998E-2</c:v>
                  </c:pt>
                  <c:pt idx="26">
                    <c:v>0.26354350725048903</c:v>
                  </c:pt>
                  <c:pt idx="27">
                    <c:v>0.19122749781163506</c:v>
                  </c:pt>
                  <c:pt idx="28">
                    <c:v>7.8169042168955372E-2</c:v>
                  </c:pt>
                  <c:pt idx="29">
                    <c:v>0.24493576132798367</c:v>
                  </c:pt>
                  <c:pt idx="30">
                    <c:v>8.3185946397435373E-2</c:v>
                  </c:pt>
                  <c:pt idx="31">
                    <c:v>3.7842489815282931E-2</c:v>
                  </c:pt>
                  <c:pt idx="32">
                    <c:v>0.153333639628773</c:v>
                  </c:pt>
                  <c:pt idx="33">
                    <c:v>0.25449023379925606</c:v>
                  </c:pt>
                  <c:pt idx="34">
                    <c:v>4.0303078300624406E-2</c:v>
                  </c:pt>
                  <c:pt idx="35">
                    <c:v>0.10271217979965286</c:v>
                  </c:pt>
                  <c:pt idx="36">
                    <c:v>0.15604352383187958</c:v>
                  </c:pt>
                  <c:pt idx="37">
                    <c:v>0.11014205936297827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(Diffusivities!$N$95:$N$116,Diffusivities!$N$118:$N$133)</c:f>
              <c:numCache>
                <c:formatCode>General</c:formatCode>
                <c:ptCount val="38"/>
                <c:pt idx="0">
                  <c:v>13.927576601671309</c:v>
                </c:pt>
                <c:pt idx="1">
                  <c:v>14.025245441795231</c:v>
                </c:pt>
                <c:pt idx="2">
                  <c:v>14.124293785310735</c:v>
                </c:pt>
                <c:pt idx="3">
                  <c:v>14.22475106685633</c:v>
                </c:pt>
                <c:pt idx="4">
                  <c:v>14.326647564469914</c:v>
                </c:pt>
                <c:pt idx="5">
                  <c:v>14.430014430014429</c:v>
                </c:pt>
                <c:pt idx="6">
                  <c:v>14.534672461156088</c:v>
                </c:pt>
                <c:pt idx="7">
                  <c:v>14.641288433382138</c:v>
                </c:pt>
                <c:pt idx="8">
                  <c:v>14.749044999336293</c:v>
                </c:pt>
                <c:pt idx="9">
                  <c:v>14.859282593836369</c:v>
                </c:pt>
                <c:pt idx="10">
                  <c:v>13.642378685147543</c:v>
                </c:pt>
                <c:pt idx="11">
                  <c:v>13.459131347662822</c:v>
                </c:pt>
                <c:pt idx="12">
                  <c:v>13.280212483399735</c:v>
                </c:pt>
                <c:pt idx="13">
                  <c:v>12.936443254291666</c:v>
                </c:pt>
                <c:pt idx="14">
                  <c:v>13.020833333333334</c:v>
                </c:pt>
                <c:pt idx="15">
                  <c:v>13.192786184514308</c:v>
                </c:pt>
                <c:pt idx="16">
                  <c:v>13.368805229876607</c:v>
                </c:pt>
                <c:pt idx="17">
                  <c:v>13.550135501355014</c:v>
                </c:pt>
                <c:pt idx="18">
                  <c:v>13.735886376747892</c:v>
                </c:pt>
                <c:pt idx="19">
                  <c:v>13.927382626982912</c:v>
                </c:pt>
                <c:pt idx="20">
                  <c:v>14.124094292453497</c:v>
                </c:pt>
                <c:pt idx="21">
                  <c:v>14.326237070571045</c:v>
                </c:pt>
                <c:pt idx="22">
                  <c:v>14.749044999336293</c:v>
                </c:pt>
                <c:pt idx="23">
                  <c:v>14.969835780901484</c:v>
                </c:pt>
                <c:pt idx="24">
                  <c:v>14.969835780901484</c:v>
                </c:pt>
                <c:pt idx="25">
                  <c:v>14.969835780901484</c:v>
                </c:pt>
                <c:pt idx="26">
                  <c:v>14.969611688272806</c:v>
                </c:pt>
                <c:pt idx="27">
                  <c:v>14.858620228525579</c:v>
                </c:pt>
                <c:pt idx="28">
                  <c:v>14.640859711282246</c:v>
                </c:pt>
                <c:pt idx="29">
                  <c:v>14.429806207702631</c:v>
                </c:pt>
                <c:pt idx="30">
                  <c:v>14.224548726191662</c:v>
                </c:pt>
                <c:pt idx="31">
                  <c:v>14.024852037811002</c:v>
                </c:pt>
                <c:pt idx="32">
                  <c:v>14.123296377374498</c:v>
                </c:pt>
                <c:pt idx="33">
                  <c:v>13.762730525736306</c:v>
                </c:pt>
                <c:pt idx="34">
                  <c:v>13.458950201884253</c:v>
                </c:pt>
                <c:pt idx="35">
                  <c:v>13.279154383448878</c:v>
                </c:pt>
                <c:pt idx="36">
                  <c:v>13.106159895150721</c:v>
                </c:pt>
                <c:pt idx="37">
                  <c:v>12.979090684906614</c:v>
                </c:pt>
              </c:numCache>
            </c:numRef>
          </c:xVal>
          <c:yVal>
            <c:numRef>
              <c:f>(Diffusivities!$O$95:$O$116,Diffusivities!$O$118:$O$133)</c:f>
              <c:numCache>
                <c:formatCode>General</c:formatCode>
                <c:ptCount val="38"/>
                <c:pt idx="0">
                  <c:v>-20.871414973915488</c:v>
                </c:pt>
                <c:pt idx="1">
                  <c:v>-21.276444388198797</c:v>
                </c:pt>
                <c:pt idx="2">
                  <c:v>-21.824903194046627</c:v>
                </c:pt>
                <c:pt idx="3">
                  <c:v>-22.361216270749264</c:v>
                </c:pt>
                <c:pt idx="4">
                  <c:v>-22.643689474168376</c:v>
                </c:pt>
                <c:pt idx="5">
                  <c:v>-23.18908580776138</c:v>
                </c:pt>
                <c:pt idx="6">
                  <c:v>-23.624349477618253</c:v>
                </c:pt>
                <c:pt idx="7">
                  <c:v>-23.926161849848818</c:v>
                </c:pt>
                <c:pt idx="8">
                  <c:v>-24.303568410403805</c:v>
                </c:pt>
                <c:pt idx="9">
                  <c:v>-23.936648164227318</c:v>
                </c:pt>
                <c:pt idx="10">
                  <c:v>-20.98129863748272</c:v>
                </c:pt>
                <c:pt idx="11">
                  <c:v>-20.493477593676005</c:v>
                </c:pt>
                <c:pt idx="12">
                  <c:v>-20.229747492520399</c:v>
                </c:pt>
                <c:pt idx="13">
                  <c:v>-19.189460788911312</c:v>
                </c:pt>
                <c:pt idx="14">
                  <c:v>-19.831141035555373</c:v>
                </c:pt>
                <c:pt idx="15">
                  <c:v>-20.633567532165852</c:v>
                </c:pt>
                <c:pt idx="16">
                  <c:v>-21.718488745016099</c:v>
                </c:pt>
                <c:pt idx="17">
                  <c:v>-22.482180264170118</c:v>
                </c:pt>
                <c:pt idx="18">
                  <c:v>-22.327596380800468</c:v>
                </c:pt>
                <c:pt idx="19">
                  <c:v>-23.22344926922818</c:v>
                </c:pt>
                <c:pt idx="20">
                  <c:v>-23.619619851874297</c:v>
                </c:pt>
                <c:pt idx="21">
                  <c:v>-25.195240301701329</c:v>
                </c:pt>
                <c:pt idx="22">
                  <c:v>-24.298162152030354</c:v>
                </c:pt>
                <c:pt idx="23">
                  <c:v>-24.317037419277035</c:v>
                </c:pt>
                <c:pt idx="24">
                  <c:v>-24.973853293708586</c:v>
                </c:pt>
                <c:pt idx="25">
                  <c:v>-24.122401603421004</c:v>
                </c:pt>
                <c:pt idx="26">
                  <c:v>-24.371919097767289</c:v>
                </c:pt>
                <c:pt idx="27">
                  <c:v>-24.335749826134862</c:v>
                </c:pt>
                <c:pt idx="28">
                  <c:v>-24.519212883808102</c:v>
                </c:pt>
                <c:pt idx="29">
                  <c:v>-24.779822390676962</c:v>
                </c:pt>
                <c:pt idx="30">
                  <c:v>-23.917614881077423</c:v>
                </c:pt>
                <c:pt idx="31">
                  <c:v>-23.950427781654774</c:v>
                </c:pt>
                <c:pt idx="32">
                  <c:v>-23.518046275774914</c:v>
                </c:pt>
                <c:pt idx="33">
                  <c:v>-23.00886836669903</c:v>
                </c:pt>
                <c:pt idx="34">
                  <c:v>-22.55852105227542</c:v>
                </c:pt>
                <c:pt idx="35">
                  <c:v>-21.627543893572792</c:v>
                </c:pt>
                <c:pt idx="36">
                  <c:v>-20.94122962126206</c:v>
                </c:pt>
                <c:pt idx="37">
                  <c:v>-19.996854616080913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7-43DA-BD51-62C559B2A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464224"/>
        <c:axId val="159741471"/>
      </c:scatterChart>
      <c:valAx>
        <c:axId val="92346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41471"/>
        <c:crosses val="autoZero"/>
        <c:crossBetween val="midCat"/>
      </c:valAx>
      <c:valAx>
        <c:axId val="159741471"/>
        <c:scaling>
          <c:orientation val="minMax"/>
          <c:max val="-18"/>
          <c:min val="-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46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</xdr:colOff>
      <xdr:row>6</xdr:row>
      <xdr:rowOff>11430</xdr:rowOff>
    </xdr:from>
    <xdr:to>
      <xdr:col>18</xdr:col>
      <xdr:colOff>365760</xdr:colOff>
      <xdr:row>21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2E45EF-AD99-961E-AFF1-2093041A8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FF16-F885-49C7-81E5-94152F45D051}">
  <dimension ref="A1:AB144"/>
  <sheetViews>
    <sheetView tabSelected="1" topLeftCell="Q38" workbookViewId="0">
      <selection activeCell="X52" sqref="X52"/>
    </sheetView>
  </sheetViews>
  <sheetFormatPr defaultRowHeight="14.4" x14ac:dyDescent="0.3"/>
  <cols>
    <col min="9" max="9" width="12" bestFit="1" customWidth="1"/>
    <col min="17" max="17" width="21.109375" style="41" customWidth="1"/>
    <col min="24" max="24" width="12.6640625" bestFit="1" customWidth="1"/>
  </cols>
  <sheetData>
    <row r="1" spans="1:28" ht="15.6" x14ac:dyDescent="0.35">
      <c r="B1" t="s">
        <v>0</v>
      </c>
      <c r="C1" t="s">
        <v>1</v>
      </c>
      <c r="D1" t="s">
        <v>2</v>
      </c>
      <c r="E1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s="1" t="s">
        <v>284</v>
      </c>
      <c r="O1" s="1" t="s">
        <v>285</v>
      </c>
      <c r="P1" s="2" t="s">
        <v>286</v>
      </c>
      <c r="Q1" s="38" t="s">
        <v>287</v>
      </c>
      <c r="S1" t="s">
        <v>288</v>
      </c>
      <c r="T1" t="s">
        <v>289</v>
      </c>
      <c r="V1" t="s">
        <v>315</v>
      </c>
      <c r="W1" t="s">
        <v>316</v>
      </c>
      <c r="X1" t="s">
        <v>317</v>
      </c>
      <c r="Z1" t="s">
        <v>318</v>
      </c>
      <c r="AA1" t="s">
        <v>319</v>
      </c>
      <c r="AB1" t="s">
        <v>320</v>
      </c>
    </row>
    <row r="2" spans="1:28" s="3" customFormat="1" x14ac:dyDescent="0.3">
      <c r="A2" s="3">
        <v>11</v>
      </c>
      <c r="B2" s="3" t="s">
        <v>10</v>
      </c>
      <c r="C2" s="3" t="s">
        <v>11</v>
      </c>
      <c r="D2" s="26">
        <v>45251.78125</v>
      </c>
      <c r="E2" s="3">
        <v>0</v>
      </c>
      <c r="F2" s="3">
        <v>0.63300000000000001</v>
      </c>
      <c r="G2" s="3">
        <v>3.2484311611553299E-3</v>
      </c>
      <c r="H2" s="4">
        <v>6.6111971069175094E-5</v>
      </c>
      <c r="I2" s="3">
        <v>5.1318027822359197E-3</v>
      </c>
      <c r="J2" s="3">
        <v>3600</v>
      </c>
      <c r="K2" s="3">
        <v>24</v>
      </c>
      <c r="L2" s="3">
        <v>23</v>
      </c>
      <c r="N2" s="3">
        <f t="shared" ref="N2:N57" si="0">(0.000304*EXP(-5580/(1.987*(L2+273))))*(199000000000000000*EXP(680/(1.987*(L2+273))))*1.17*EXP(-57/(1.987*(273+L2)))</f>
        <v>15475263670.584486</v>
      </c>
      <c r="O2" s="4">
        <f t="shared" ref="O2:O33" si="1">N2*$C$143*$C$144*(L2+273)</f>
        <v>2.9496021873322284E-6</v>
      </c>
      <c r="P2" s="5">
        <f t="shared" ref="P2:P57" si="2">O2*J2</f>
        <v>1.0618567874396023E-2</v>
      </c>
      <c r="Q2" s="39">
        <f t="shared" ref="Q2:Q57" si="3">G2/((O2*J2)-1)</f>
        <v>-3.2832950525222056E-3</v>
      </c>
      <c r="S2" s="6">
        <v>0</v>
      </c>
      <c r="T2" s="6">
        <f t="shared" ref="T2:T57" si="4">S2+G2</f>
        <v>3.2484311611553299E-3</v>
      </c>
    </row>
    <row r="3" spans="1:28" s="3" customFormat="1" x14ac:dyDescent="0.3">
      <c r="A3" s="3">
        <v>12</v>
      </c>
      <c r="B3" s="3" t="s">
        <v>12</v>
      </c>
      <c r="C3" s="3" t="s">
        <v>13</v>
      </c>
      <c r="D3" s="26">
        <v>45252.667361111111</v>
      </c>
      <c r="E3" s="3">
        <v>0</v>
      </c>
      <c r="F3" s="3">
        <v>3.01</v>
      </c>
      <c r="G3" s="3">
        <v>1.6024242552543401E-2</v>
      </c>
      <c r="H3" s="3">
        <v>3.4023851299141002E-4</v>
      </c>
      <c r="I3" s="3">
        <v>5.3236686221074603E-3</v>
      </c>
      <c r="J3" s="3">
        <v>7200</v>
      </c>
      <c r="K3" s="3">
        <v>100</v>
      </c>
      <c r="L3" s="3">
        <v>100.399999999999</v>
      </c>
      <c r="N3" s="3">
        <f t="shared" si="0"/>
        <v>88788333154.490906</v>
      </c>
      <c r="O3" s="4">
        <f t="shared" si="1"/>
        <v>2.1348329378213499E-5</v>
      </c>
      <c r="P3" s="5">
        <f t="shared" si="2"/>
        <v>0.1537079715231372</v>
      </c>
      <c r="Q3" s="39">
        <f t="shared" si="3"/>
        <v>-1.8934649049434472E-2</v>
      </c>
      <c r="S3" s="6">
        <f t="shared" ref="S3:S57" si="5">G2+S2</f>
        <v>3.2484311611553299E-3</v>
      </c>
      <c r="T3" s="6">
        <f t="shared" si="4"/>
        <v>1.9272673713698729E-2</v>
      </c>
      <c r="V3" s="3">
        <f>(G3-Q2)/($G$139-(S3+Q2))</f>
        <v>4.3936651845619514E-4</v>
      </c>
      <c r="W3" s="3">
        <f>(G3)/($G$139-(S3))</f>
        <v>3.6467839034203502E-4</v>
      </c>
      <c r="X3" s="3">
        <f>(G3+Q3)/($G$139-(S3))</f>
        <v>-6.6234791007876688E-5</v>
      </c>
      <c r="Z3" s="3">
        <f>-LN(1-V3)/J3</f>
        <v>6.1036537250904163E-8</v>
      </c>
      <c r="AA3" s="3">
        <f>-LN(1-W3)/J3</f>
        <v>5.0659014121790376E-8</v>
      </c>
      <c r="AB3" s="3">
        <f>-LN(1-X3)/J3</f>
        <v>-9.1989718862433771E-9</v>
      </c>
    </row>
    <row r="4" spans="1:28" s="3" customFormat="1" x14ac:dyDescent="0.3">
      <c r="A4" s="3">
        <v>13</v>
      </c>
      <c r="B4" s="3" t="s">
        <v>14</v>
      </c>
      <c r="C4" s="3" t="s">
        <v>15</v>
      </c>
      <c r="D4" s="26">
        <v>45252.727083333331</v>
      </c>
      <c r="E4" s="3">
        <v>0</v>
      </c>
      <c r="F4" s="3">
        <v>0.26100000000000001</v>
      </c>
      <c r="G4" s="3">
        <v>1.3796250140307299E-3</v>
      </c>
      <c r="H4" s="4">
        <v>2.9759010716616201E-5</v>
      </c>
      <c r="I4" s="3">
        <v>5.2859195939874998E-3</v>
      </c>
      <c r="J4" s="3">
        <v>3600</v>
      </c>
      <c r="K4" s="3">
        <v>24</v>
      </c>
      <c r="L4" s="3">
        <v>23.97</v>
      </c>
      <c r="N4" s="3">
        <f t="shared" si="0"/>
        <v>15907198362.151239</v>
      </c>
      <c r="O4" s="4">
        <f t="shared" si="1"/>
        <v>3.0418651267586886E-6</v>
      </c>
      <c r="P4" s="5">
        <f t="shared" si="2"/>
        <v>1.0950714456331279E-2</v>
      </c>
      <c r="Q4" s="39">
        <f t="shared" si="3"/>
        <v>-1.3949001674596693E-3</v>
      </c>
      <c r="S4" s="6">
        <f t="shared" si="5"/>
        <v>1.9272673713698729E-2</v>
      </c>
      <c r="T4" s="6">
        <f t="shared" si="4"/>
        <v>2.065229872772946E-2</v>
      </c>
      <c r="V4" s="3">
        <f t="shared" ref="V4:V67" si="6">(G4-Q3)/($G$139-(S4+Q3))</f>
        <v>4.6227995461249898E-4</v>
      </c>
      <c r="W4" s="3">
        <f t="shared" ref="W4:W67" si="7">(G4)/($G$139-(S4))</f>
        <v>3.1408846406318102E-5</v>
      </c>
      <c r="X4" s="3">
        <f t="shared" ref="X4:X67" si="8">(G4+Q4)/($G$139-(S4))</f>
        <v>-3.4775750149729762E-7</v>
      </c>
      <c r="Z4" s="3">
        <f t="shared" ref="Z4:Z67" si="9">-LN(1-V4)/J4</f>
        <v>1.2844078859229475E-7</v>
      </c>
      <c r="AA4" s="3">
        <f t="shared" ref="AA4:AA67" si="10">-LN(1-W4)/J4</f>
        <v>8.7248165762316415E-9</v>
      </c>
      <c r="AB4" s="3">
        <f t="shared" ref="AB4:AB67" si="11">-LN(1-X4)/J4</f>
        <v>-9.6599289165131194E-11</v>
      </c>
    </row>
    <row r="5" spans="1:28" s="3" customFormat="1" x14ac:dyDescent="0.3">
      <c r="A5" s="3">
        <v>14</v>
      </c>
      <c r="B5" s="3" t="s">
        <v>16</v>
      </c>
      <c r="C5" s="3" t="s">
        <v>17</v>
      </c>
      <c r="D5" s="26">
        <v>45252.786805555559</v>
      </c>
      <c r="E5" s="3">
        <v>0</v>
      </c>
      <c r="F5" s="3">
        <v>0.20499999999999999</v>
      </c>
      <c r="G5" s="3">
        <v>1.06818200655665E-3</v>
      </c>
      <c r="H5" s="4">
        <v>2.3672880697331499E-5</v>
      </c>
      <c r="I5" s="3">
        <v>5.2106439344226799E-3</v>
      </c>
      <c r="J5" s="3">
        <v>3600</v>
      </c>
      <c r="K5" s="3">
        <v>24</v>
      </c>
      <c r="L5" s="3">
        <v>23.98</v>
      </c>
      <c r="N5" s="3">
        <f t="shared" si="0"/>
        <v>15911698609.572811</v>
      </c>
      <c r="O5" s="4">
        <f t="shared" si="1"/>
        <v>3.0428281487436025E-6</v>
      </c>
      <c r="P5" s="5">
        <f t="shared" si="2"/>
        <v>1.0954181335476969E-2</v>
      </c>
      <c r="Q5" s="39">
        <f t="shared" si="3"/>
        <v>-1.0800126610908502E-3</v>
      </c>
      <c r="S5" s="6">
        <f t="shared" si="5"/>
        <v>2.065229872772946E-2</v>
      </c>
      <c r="T5" s="6">
        <f t="shared" si="4"/>
        <v>2.1720480734286108E-2</v>
      </c>
      <c r="V5" s="3">
        <f t="shared" si="6"/>
        <v>5.60750508287688E-5</v>
      </c>
      <c r="W5" s="3">
        <f t="shared" si="7"/>
        <v>2.4319230260440949E-5</v>
      </c>
      <c r="X5" s="3">
        <f t="shared" si="8"/>
        <v>-2.6934774222269934E-7</v>
      </c>
      <c r="Z5" s="3">
        <f t="shared" si="9"/>
        <v>1.5576839748099561E-8</v>
      </c>
      <c r="AA5" s="3">
        <f t="shared" si="10"/>
        <v>6.7554238827074661E-9</v>
      </c>
      <c r="AB5" s="3">
        <f t="shared" si="11"/>
        <v>-7.4818807238338583E-11</v>
      </c>
    </row>
    <row r="6" spans="1:28" s="3" customFormat="1" x14ac:dyDescent="0.3">
      <c r="A6" s="3">
        <v>15</v>
      </c>
      <c r="B6" s="3" t="s">
        <v>18</v>
      </c>
      <c r="C6" s="3" t="s">
        <v>19</v>
      </c>
      <c r="D6" s="26">
        <v>45252.99722222222</v>
      </c>
      <c r="E6" s="3">
        <v>0</v>
      </c>
      <c r="F6" s="3">
        <v>1.38</v>
      </c>
      <c r="G6" s="3">
        <v>7.0027044397755504E-3</v>
      </c>
      <c r="H6" s="3">
        <v>1.60985598163216E-4</v>
      </c>
      <c r="I6" s="3">
        <v>5.0744235070837298E-3</v>
      </c>
      <c r="J6" s="3">
        <v>14400</v>
      </c>
      <c r="K6" s="3">
        <v>100</v>
      </c>
      <c r="L6" s="3">
        <v>100</v>
      </c>
      <c r="N6" s="3">
        <f t="shared" si="0"/>
        <v>88154464997.476791</v>
      </c>
      <c r="O6" s="4">
        <f t="shared" si="1"/>
        <v>2.1173215810499373E-5</v>
      </c>
      <c r="P6" s="5">
        <f t="shared" si="2"/>
        <v>0.30489430767119097</v>
      </c>
      <c r="Q6" s="39">
        <f t="shared" si="3"/>
        <v>-1.0074301673914402E-2</v>
      </c>
      <c r="S6" s="6">
        <f t="shared" si="5"/>
        <v>2.1720480734286108E-2</v>
      </c>
      <c r="T6" s="6">
        <f t="shared" si="4"/>
        <v>2.8723185174061659E-2</v>
      </c>
      <c r="V6" s="3">
        <f t="shared" si="6"/>
        <v>1.8401864490787123E-4</v>
      </c>
      <c r="W6" s="3">
        <f t="shared" si="7"/>
        <v>1.5943399378222026E-4</v>
      </c>
      <c r="X6" s="3">
        <f t="shared" si="8"/>
        <v>-6.9932555135066504E-5</v>
      </c>
      <c r="Z6" s="3">
        <f t="shared" si="9"/>
        <v>1.2780248501122854E-8</v>
      </c>
      <c r="AA6" s="3">
        <f t="shared" si="10"/>
        <v>1.107268782864641E-8</v>
      </c>
      <c r="AB6" s="3">
        <f t="shared" si="11"/>
        <v>-4.8562576366563641E-9</v>
      </c>
    </row>
    <row r="7" spans="1:28" s="3" customFormat="1" x14ac:dyDescent="0.3">
      <c r="A7" s="3">
        <v>16</v>
      </c>
      <c r="B7" s="3" t="s">
        <v>20</v>
      </c>
      <c r="C7" s="3" t="s">
        <v>21</v>
      </c>
      <c r="D7" s="26">
        <v>45253.056944444441</v>
      </c>
      <c r="E7" s="3">
        <v>0</v>
      </c>
      <c r="F7" s="3">
        <v>0.14399999999999999</v>
      </c>
      <c r="G7" s="3">
        <v>7.3411943236880101E-4</v>
      </c>
      <c r="H7" s="4">
        <v>1.5560110864406001E-5</v>
      </c>
      <c r="I7" s="3">
        <v>5.0980516136722304E-3</v>
      </c>
      <c r="J7" s="3">
        <v>3600</v>
      </c>
      <c r="K7" s="3">
        <v>24</v>
      </c>
      <c r="L7" s="3">
        <v>24</v>
      </c>
      <c r="N7" s="3">
        <f t="shared" si="0"/>
        <v>15920702014.437834</v>
      </c>
      <c r="O7" s="4">
        <f t="shared" si="1"/>
        <v>3.0447549231092797E-6</v>
      </c>
      <c r="P7" s="5">
        <f t="shared" si="2"/>
        <v>1.0961117723193407E-2</v>
      </c>
      <c r="Q7" s="39">
        <f t="shared" si="3"/>
        <v>-7.4225538098040091E-4</v>
      </c>
      <c r="S7" s="6">
        <f t="shared" si="5"/>
        <v>2.8723185174061659E-2</v>
      </c>
      <c r="T7" s="6">
        <f t="shared" si="4"/>
        <v>2.9457304606430462E-2</v>
      </c>
      <c r="V7" s="3">
        <f t="shared" si="6"/>
        <v>2.4606339691211242E-4</v>
      </c>
      <c r="W7" s="3">
        <f t="shared" si="7"/>
        <v>1.6716721050496939E-5</v>
      </c>
      <c r="X7" s="3">
        <f t="shared" si="8"/>
        <v>-1.8526465507449975E-7</v>
      </c>
      <c r="Z7" s="3">
        <f t="shared" si="9"/>
        <v>6.8359354299124719E-8</v>
      </c>
      <c r="AA7" s="3">
        <f t="shared" si="10"/>
        <v>4.6435724379064758E-9</v>
      </c>
      <c r="AB7" s="3">
        <f t="shared" si="11"/>
        <v>-5.1462399447514312E-11</v>
      </c>
    </row>
    <row r="8" spans="1:28" s="3" customFormat="1" x14ac:dyDescent="0.3">
      <c r="A8" s="3">
        <v>17</v>
      </c>
      <c r="B8" s="3" t="s">
        <v>22</v>
      </c>
      <c r="C8" s="3" t="s">
        <v>23</v>
      </c>
      <c r="D8" s="26">
        <v>45253.143055555556</v>
      </c>
      <c r="E8" s="3">
        <v>0</v>
      </c>
      <c r="F8" s="3">
        <v>0.25800000000000001</v>
      </c>
      <c r="G8" s="3">
        <v>1.3176337698836899E-3</v>
      </c>
      <c r="H8" s="4">
        <v>2.4820746092016601E-5</v>
      </c>
      <c r="I8" s="3">
        <v>5.1071076352081201E-3</v>
      </c>
      <c r="J8" s="3">
        <v>3600</v>
      </c>
      <c r="K8" s="3">
        <v>24</v>
      </c>
      <c r="L8" s="3">
        <v>24</v>
      </c>
      <c r="N8" s="3">
        <f t="shared" si="0"/>
        <v>15920702014.437834</v>
      </c>
      <c r="O8" s="4">
        <f t="shared" si="1"/>
        <v>3.0447549231092797E-6</v>
      </c>
      <c r="P8" s="5">
        <f t="shared" si="2"/>
        <v>1.0961117723193407E-2</v>
      </c>
      <c r="Q8" s="39">
        <f t="shared" si="3"/>
        <v>-1.3322365717821376E-3</v>
      </c>
      <c r="S8" s="6">
        <f t="shared" si="5"/>
        <v>2.9457304606430462E-2</v>
      </c>
      <c r="T8" s="6">
        <f t="shared" si="4"/>
        <v>3.0774938376314152E-2</v>
      </c>
      <c r="V8" s="3">
        <f t="shared" si="6"/>
        <v>4.6905972559965355E-5</v>
      </c>
      <c r="W8" s="3">
        <f t="shared" si="7"/>
        <v>3.0004497121221384E-5</v>
      </c>
      <c r="X8" s="3">
        <f t="shared" si="8"/>
        <v>-3.3252770044169051E-7</v>
      </c>
      <c r="Z8" s="3">
        <f t="shared" si="9"/>
        <v>1.3029742410970963E-8</v>
      </c>
      <c r="AA8" s="3">
        <f t="shared" si="10"/>
        <v>8.3347075736481806E-9</v>
      </c>
      <c r="AB8" s="3">
        <f t="shared" si="11"/>
        <v>-9.2368790333020122E-11</v>
      </c>
    </row>
    <row r="9" spans="1:28" s="3" customFormat="1" x14ac:dyDescent="0.3">
      <c r="A9" s="3">
        <v>18</v>
      </c>
      <c r="B9" s="3" t="s">
        <v>24</v>
      </c>
      <c r="C9" s="3" t="s">
        <v>25</v>
      </c>
      <c r="D9" s="26">
        <v>45253.202777777777</v>
      </c>
      <c r="E9" s="3">
        <v>0</v>
      </c>
      <c r="F9" s="3">
        <v>0.13900000000000001</v>
      </c>
      <c r="G9" s="3">
        <v>7.0952334756450299E-4</v>
      </c>
      <c r="H9" s="4">
        <v>1.0655428780977299E-5</v>
      </c>
      <c r="I9" s="3">
        <v>5.1044845148525298E-3</v>
      </c>
      <c r="J9" s="3">
        <v>3600</v>
      </c>
      <c r="K9" s="3">
        <v>24</v>
      </c>
      <c r="L9" s="3">
        <v>24</v>
      </c>
      <c r="N9" s="3">
        <f t="shared" si="0"/>
        <v>15920702014.437834</v>
      </c>
      <c r="O9" s="4">
        <f t="shared" si="1"/>
        <v>3.0447549231092797E-6</v>
      </c>
      <c r="P9" s="5">
        <f t="shared" si="2"/>
        <v>1.0961117723193407E-2</v>
      </c>
      <c r="Q9" s="39">
        <f t="shared" si="3"/>
        <v>-7.1738670772088578E-4</v>
      </c>
      <c r="S9" s="6">
        <f t="shared" si="5"/>
        <v>3.0774938376314152E-2</v>
      </c>
      <c r="T9" s="6">
        <f t="shared" si="4"/>
        <v>3.1484461723878657E-2</v>
      </c>
      <c r="V9" s="3">
        <f t="shared" si="6"/>
        <v>4.6493920124991001E-5</v>
      </c>
      <c r="W9" s="3">
        <f t="shared" si="7"/>
        <v>1.6157395558372784E-5</v>
      </c>
      <c r="X9" s="3">
        <f t="shared" si="8"/>
        <v>-1.7906587697323728E-7</v>
      </c>
      <c r="Z9" s="3">
        <f t="shared" si="9"/>
        <v>1.2915278055783253E-8</v>
      </c>
      <c r="AA9" s="3">
        <f t="shared" si="10"/>
        <v>4.4882016918061465E-9</v>
      </c>
      <c r="AB9" s="3">
        <f t="shared" si="11"/>
        <v>-4.974051693967034E-11</v>
      </c>
    </row>
    <row r="10" spans="1:28" s="3" customFormat="1" x14ac:dyDescent="0.3">
      <c r="A10" s="3">
        <v>19</v>
      </c>
      <c r="B10" s="3" t="s">
        <v>26</v>
      </c>
      <c r="C10" s="3" t="s">
        <v>27</v>
      </c>
      <c r="D10" s="26">
        <v>45253.304166666669</v>
      </c>
      <c r="E10" s="3">
        <v>0</v>
      </c>
      <c r="F10" s="3">
        <v>8.0500000000000007</v>
      </c>
      <c r="G10" s="3">
        <v>4.1043375705239298E-2</v>
      </c>
      <c r="H10" s="3">
        <v>3.5722505279607E-4</v>
      </c>
      <c r="I10" s="3">
        <v>5.0985559882284802E-3</v>
      </c>
      <c r="J10" s="3">
        <v>7200</v>
      </c>
      <c r="K10" s="3">
        <v>200</v>
      </c>
      <c r="L10" s="3">
        <v>200.06</v>
      </c>
      <c r="N10" s="3">
        <f t="shared" si="0"/>
        <v>362768521265.04126</v>
      </c>
      <c r="O10" s="4">
        <f t="shared" si="1"/>
        <v>1.1050438208011269E-4</v>
      </c>
      <c r="P10" s="5">
        <f t="shared" si="2"/>
        <v>0.79563155097681137</v>
      </c>
      <c r="Q10" s="39">
        <f t="shared" si="3"/>
        <v>-0.20083029401755806</v>
      </c>
      <c r="S10" s="6">
        <f t="shared" si="5"/>
        <v>3.1484461723878657E-2</v>
      </c>
      <c r="T10" s="6">
        <f t="shared" si="4"/>
        <v>7.2527837429117947E-2</v>
      </c>
      <c r="V10" s="3">
        <f t="shared" si="6"/>
        <v>9.5098355623917091E-4</v>
      </c>
      <c r="W10" s="3">
        <f t="shared" si="7"/>
        <v>9.3466236680210329E-4</v>
      </c>
      <c r="X10" s="3">
        <f t="shared" si="8"/>
        <v>-3.6387557477330417E-3</v>
      </c>
      <c r="Z10" s="3">
        <f t="shared" si="9"/>
        <v>1.3214389277584968E-7</v>
      </c>
      <c r="AA10" s="3">
        <f t="shared" si="10"/>
        <v>1.2987492167148428E-7</v>
      </c>
      <c r="AB10" s="3">
        <f t="shared" si="11"/>
        <v>-5.044654850052201E-7</v>
      </c>
    </row>
    <row r="11" spans="1:28" s="3" customFormat="1" x14ac:dyDescent="0.3">
      <c r="A11" s="3">
        <v>20</v>
      </c>
      <c r="B11" s="3" t="s">
        <v>28</v>
      </c>
      <c r="C11" s="3" t="s">
        <v>29</v>
      </c>
      <c r="D11" s="26">
        <v>45253.387499999997</v>
      </c>
      <c r="E11" s="3">
        <v>0</v>
      </c>
      <c r="F11" s="3">
        <v>0.28899999999999998</v>
      </c>
      <c r="G11" s="3">
        <v>1.4720452132211299E-3</v>
      </c>
      <c r="H11" s="4">
        <v>5.73181255341307E-6</v>
      </c>
      <c r="I11" s="3">
        <v>5.0935820526682796E-3</v>
      </c>
      <c r="J11" s="3">
        <v>3600</v>
      </c>
      <c r="K11" s="3">
        <v>24</v>
      </c>
      <c r="L11" s="3">
        <v>26.25</v>
      </c>
      <c r="N11" s="3">
        <f t="shared" si="0"/>
        <v>16958616202.820349</v>
      </c>
      <c r="O11" s="4">
        <f t="shared" si="1"/>
        <v>3.2678209215480119E-6</v>
      </c>
      <c r="P11" s="5">
        <f t="shared" si="2"/>
        <v>1.1764155317572843E-2</v>
      </c>
      <c r="Q11" s="39">
        <f t="shared" si="3"/>
        <v>-1.4895687311303472E-3</v>
      </c>
      <c r="S11" s="6">
        <f t="shared" si="5"/>
        <v>7.2527837429117947E-2</v>
      </c>
      <c r="T11" s="6">
        <f t="shared" si="4"/>
        <v>7.3999882642339074E-2</v>
      </c>
      <c r="V11" s="3">
        <f t="shared" si="6"/>
        <v>4.5902375858408702E-3</v>
      </c>
      <c r="W11" s="3">
        <f t="shared" si="7"/>
        <v>3.3553585978749331E-5</v>
      </c>
      <c r="X11" s="3">
        <f t="shared" si="8"/>
        <v>-3.9942853625430609E-7</v>
      </c>
      <c r="Z11" s="3">
        <f t="shared" si="9"/>
        <v>1.2780014102736589E-6</v>
      </c>
      <c r="AA11" s="3">
        <f t="shared" si="10"/>
        <v>9.3205969202620423E-9</v>
      </c>
      <c r="AB11" s="3">
        <f t="shared" si="11"/>
        <v>-1.1095234902076334E-10</v>
      </c>
    </row>
    <row r="12" spans="1:28" s="3" customFormat="1" x14ac:dyDescent="0.3">
      <c r="A12" s="3">
        <v>21</v>
      </c>
      <c r="B12" s="3" t="s">
        <v>30</v>
      </c>
      <c r="C12" s="3" t="s">
        <v>31</v>
      </c>
      <c r="D12" s="26">
        <v>45253.472916666666</v>
      </c>
      <c r="E12" s="3">
        <v>0</v>
      </c>
      <c r="F12" s="3">
        <v>0.26700000000000002</v>
      </c>
      <c r="G12" s="3">
        <v>1.3598644240149099E-3</v>
      </c>
      <c r="H12" s="4">
        <v>4.0957733048653902E-6</v>
      </c>
      <c r="I12" s="3">
        <v>5.0931251835764496E-3</v>
      </c>
      <c r="J12" s="3">
        <v>3600</v>
      </c>
      <c r="K12" s="3">
        <v>24</v>
      </c>
      <c r="L12" s="3">
        <v>24</v>
      </c>
      <c r="N12" s="3">
        <f t="shared" si="0"/>
        <v>15920702014.437834</v>
      </c>
      <c r="O12" s="4">
        <f t="shared" si="1"/>
        <v>3.0447549231092797E-6</v>
      </c>
      <c r="P12" s="5">
        <f t="shared" si="2"/>
        <v>1.0961117723193407E-2</v>
      </c>
      <c r="Q12" s="39">
        <f t="shared" si="3"/>
        <v>-1.3749352511646946E-3</v>
      </c>
      <c r="S12" s="6">
        <f t="shared" si="5"/>
        <v>7.3999882642339074E-2</v>
      </c>
      <c r="T12" s="6">
        <f t="shared" si="4"/>
        <v>7.5359747066353983E-2</v>
      </c>
      <c r="V12" s="3">
        <f t="shared" si="6"/>
        <v>6.4949541844456298E-5</v>
      </c>
      <c r="W12" s="3">
        <f t="shared" si="7"/>
        <v>3.0997593352566782E-5</v>
      </c>
      <c r="X12" s="3">
        <f t="shared" si="8"/>
        <v>-3.435337841228261E-7</v>
      </c>
      <c r="Z12" s="3">
        <f t="shared" si="9"/>
        <v>1.8042125321462504E-8</v>
      </c>
      <c r="AA12" s="3">
        <f t="shared" si="10"/>
        <v>8.6105760521920632E-9</v>
      </c>
      <c r="AB12" s="3">
        <f t="shared" si="11"/>
        <v>-9.5426034744036242E-11</v>
      </c>
    </row>
    <row r="13" spans="1:28" s="3" customFormat="1" x14ac:dyDescent="0.3">
      <c r="A13" s="3">
        <v>22</v>
      </c>
      <c r="B13" s="3" t="s">
        <v>32</v>
      </c>
      <c r="C13" s="3" t="s">
        <v>33</v>
      </c>
      <c r="D13" s="26">
        <v>45253.657638888886</v>
      </c>
      <c r="E13" s="3">
        <v>0</v>
      </c>
      <c r="F13" s="3">
        <v>8.32</v>
      </c>
      <c r="G13" s="3">
        <v>4.2528667498709698E-2</v>
      </c>
      <c r="H13" s="3">
        <v>1.20071094013163E-4</v>
      </c>
      <c r="I13" s="3">
        <v>5.1116186897487599E-3</v>
      </c>
      <c r="J13" s="3">
        <v>14400</v>
      </c>
      <c r="K13" s="3">
        <v>200</v>
      </c>
      <c r="L13" s="3">
        <v>200.01999999999899</v>
      </c>
      <c r="N13" s="3">
        <f t="shared" si="0"/>
        <v>362606781028.60883</v>
      </c>
      <c r="O13" s="4">
        <f t="shared" si="1"/>
        <v>1.1044577410622605E-4</v>
      </c>
      <c r="P13" s="5">
        <f t="shared" si="2"/>
        <v>1.5904191471296552</v>
      </c>
      <c r="Q13" s="39">
        <f t="shared" si="3"/>
        <v>7.2031314881071201E-2</v>
      </c>
      <c r="S13" s="6">
        <f t="shared" si="5"/>
        <v>7.5359747066353983E-2</v>
      </c>
      <c r="T13" s="6">
        <f t="shared" si="4"/>
        <v>0.11788841456506369</v>
      </c>
      <c r="V13" s="3">
        <f t="shared" si="6"/>
        <v>1.0007656154561492E-3</v>
      </c>
      <c r="W13" s="3">
        <f t="shared" si="7"/>
        <v>9.6945488288449188E-4</v>
      </c>
      <c r="X13" s="3">
        <f t="shared" si="8"/>
        <v>2.6114322604772295E-3</v>
      </c>
      <c r="Z13" s="3">
        <f t="shared" si="9"/>
        <v>6.9532410813554667E-8</v>
      </c>
      <c r="AA13" s="3">
        <f t="shared" si="10"/>
        <v>6.7355910291816736E-8</v>
      </c>
      <c r="AB13" s="3">
        <f t="shared" si="11"/>
        <v>1.8158666650297309E-7</v>
      </c>
    </row>
    <row r="14" spans="1:28" s="3" customFormat="1" x14ac:dyDescent="0.3">
      <c r="A14" s="3">
        <v>23</v>
      </c>
      <c r="B14" s="3" t="s">
        <v>34</v>
      </c>
      <c r="C14" s="3" t="s">
        <v>35</v>
      </c>
      <c r="D14" s="26">
        <v>45253.738888888889</v>
      </c>
      <c r="E14" s="3">
        <v>0</v>
      </c>
      <c r="F14" s="3">
        <v>0</v>
      </c>
      <c r="G14" s="3">
        <v>0</v>
      </c>
      <c r="H14" s="3">
        <v>0</v>
      </c>
      <c r="I14" s="3">
        <v>5.1143596181380899E-3</v>
      </c>
      <c r="J14" s="3">
        <v>3600</v>
      </c>
      <c r="K14" s="3">
        <v>24</v>
      </c>
      <c r="L14" s="3">
        <v>26.18</v>
      </c>
      <c r="N14" s="3">
        <f t="shared" si="0"/>
        <v>16925570172.014418</v>
      </c>
      <c r="O14" s="4">
        <f t="shared" si="1"/>
        <v>3.2606902418701684E-6</v>
      </c>
      <c r="P14" s="5">
        <f t="shared" si="2"/>
        <v>1.1738484870732606E-2</v>
      </c>
      <c r="Q14" s="39">
        <f t="shared" si="3"/>
        <v>0</v>
      </c>
      <c r="S14" s="6">
        <f t="shared" si="5"/>
        <v>0.11788841456506369</v>
      </c>
      <c r="T14" s="6">
        <f t="shared" si="4"/>
        <v>0.11788841456506369</v>
      </c>
      <c r="V14" s="3">
        <f t="shared" si="6"/>
        <v>-1.6462765171994182E-3</v>
      </c>
      <c r="W14" s="3">
        <f t="shared" si="7"/>
        <v>0</v>
      </c>
      <c r="X14" s="3">
        <f t="shared" si="8"/>
        <v>0</v>
      </c>
      <c r="Z14" s="3">
        <f t="shared" si="9"/>
        <v>-4.5692302484461552E-7</v>
      </c>
      <c r="AA14" s="3">
        <f t="shared" si="10"/>
        <v>0</v>
      </c>
      <c r="AB14" s="3">
        <f t="shared" si="11"/>
        <v>0</v>
      </c>
    </row>
    <row r="15" spans="1:28" s="3" customFormat="1" x14ac:dyDescent="0.3">
      <c r="A15" s="3">
        <v>24</v>
      </c>
      <c r="B15" s="3" t="s">
        <v>36</v>
      </c>
      <c r="C15" s="3" t="s">
        <v>37</v>
      </c>
      <c r="D15" s="26">
        <v>45253.798611111109</v>
      </c>
      <c r="E15" s="3">
        <v>0</v>
      </c>
      <c r="F15" s="3">
        <v>5.9499999999999997E-2</v>
      </c>
      <c r="G15" s="3">
        <v>3.04184680367834E-4</v>
      </c>
      <c r="H15" s="4">
        <v>9.0521239653527495E-7</v>
      </c>
      <c r="I15" s="3">
        <v>5.1123475692072999E-3</v>
      </c>
      <c r="J15" s="3">
        <v>3600</v>
      </c>
      <c r="K15" s="3">
        <v>24</v>
      </c>
      <c r="L15" s="3">
        <v>24</v>
      </c>
      <c r="N15" s="3">
        <f t="shared" si="0"/>
        <v>15920702014.437834</v>
      </c>
      <c r="O15" s="4">
        <f t="shared" si="1"/>
        <v>3.0447549231092797E-6</v>
      </c>
      <c r="P15" s="5">
        <f t="shared" si="2"/>
        <v>1.0961117723193407E-2</v>
      </c>
      <c r="Q15" s="39">
        <f t="shared" si="3"/>
        <v>-3.0755583609371238E-4</v>
      </c>
      <c r="S15" s="6">
        <f t="shared" si="5"/>
        <v>0.11788841456506369</v>
      </c>
      <c r="T15" s="6">
        <f t="shared" si="4"/>
        <v>0.11819259924543152</v>
      </c>
      <c r="V15" s="3">
        <f t="shared" si="6"/>
        <v>6.9407179730023321E-6</v>
      </c>
      <c r="W15" s="3">
        <f t="shared" si="7"/>
        <v>6.9407179730023321E-6</v>
      </c>
      <c r="X15" s="3">
        <f t="shared" si="8"/>
        <v>-7.6921168771877545E-8</v>
      </c>
      <c r="Z15" s="3">
        <f t="shared" si="9"/>
        <v>1.9279839055332347E-9</v>
      </c>
      <c r="AA15" s="3">
        <f t="shared" si="10"/>
        <v>1.9279839055332347E-9</v>
      </c>
      <c r="AB15" s="3">
        <f t="shared" si="11"/>
        <v>-2.1366990502628658E-11</v>
      </c>
    </row>
    <row r="16" spans="1:28" s="3" customFormat="1" x14ac:dyDescent="0.3">
      <c r="A16" s="3">
        <v>25</v>
      </c>
      <c r="B16" s="3" t="s">
        <v>38</v>
      </c>
      <c r="C16" s="3" t="s">
        <v>39</v>
      </c>
      <c r="D16" s="26">
        <v>45254.015277777777</v>
      </c>
      <c r="E16" s="3">
        <v>0</v>
      </c>
      <c r="F16" s="3">
        <v>6.7</v>
      </c>
      <c r="G16" s="3">
        <v>3.4225765220556002E-2</v>
      </c>
      <c r="H16" s="3">
        <v>1.14372950683106E-4</v>
      </c>
      <c r="I16" s="3">
        <v>5.1083231672471698E-3</v>
      </c>
      <c r="J16" s="3">
        <v>7200</v>
      </c>
      <c r="K16" s="3">
        <v>250</v>
      </c>
      <c r="L16" s="3">
        <v>250.02999999999901</v>
      </c>
      <c r="N16" s="3">
        <f t="shared" si="0"/>
        <v>600401781686.36145</v>
      </c>
      <c r="O16" s="4">
        <f t="shared" si="1"/>
        <v>2.022098236674717E-4</v>
      </c>
      <c r="P16" s="5">
        <f t="shared" si="2"/>
        <v>1.4559107304057963</v>
      </c>
      <c r="Q16" s="39">
        <f t="shared" si="3"/>
        <v>7.5071199114116888E-2</v>
      </c>
      <c r="S16" s="6">
        <f t="shared" si="5"/>
        <v>0.11819259924543152</v>
      </c>
      <c r="T16" s="6">
        <f t="shared" si="4"/>
        <v>0.15241836446598753</v>
      </c>
      <c r="V16" s="3">
        <f t="shared" si="6"/>
        <v>7.8796217941870105E-4</v>
      </c>
      <c r="W16" s="3">
        <f t="shared" si="7"/>
        <v>7.8095002124174717E-4</v>
      </c>
      <c r="X16" s="3">
        <f t="shared" si="8"/>
        <v>2.4938950544648969E-3</v>
      </c>
      <c r="Z16" s="3">
        <f t="shared" si="9"/>
        <v>1.094823312209746E-7</v>
      </c>
      <c r="AA16" s="3">
        <f t="shared" si="10"/>
        <v>1.0850765577296832E-7</v>
      </c>
      <c r="AB16" s="3">
        <f t="shared" si="11"/>
        <v>3.4680694315230965E-7</v>
      </c>
    </row>
    <row r="17" spans="1:28" s="3" customFormat="1" x14ac:dyDescent="0.3">
      <c r="A17" s="3">
        <v>26</v>
      </c>
      <c r="B17" s="3" t="s">
        <v>40</v>
      </c>
      <c r="C17" s="3" t="s">
        <v>41</v>
      </c>
      <c r="D17" s="26">
        <v>45254.067361111112</v>
      </c>
      <c r="E17" s="3">
        <v>0</v>
      </c>
      <c r="F17" s="3">
        <v>0.16800000000000001</v>
      </c>
      <c r="G17" s="3">
        <v>8.5876991844936897E-4</v>
      </c>
      <c r="H17" s="4">
        <v>2.84912098348925E-6</v>
      </c>
      <c r="I17" s="3">
        <v>5.1117257050557604E-3</v>
      </c>
      <c r="J17" s="3">
        <v>300</v>
      </c>
      <c r="K17" s="3">
        <v>24</v>
      </c>
      <c r="L17" s="3">
        <v>36</v>
      </c>
      <c r="N17" s="3">
        <f t="shared" si="0"/>
        <v>22061253596.777824</v>
      </c>
      <c r="O17" s="4">
        <f t="shared" si="1"/>
        <v>4.3895736945488629E-6</v>
      </c>
      <c r="P17" s="5">
        <f t="shared" si="2"/>
        <v>1.3168721083646588E-3</v>
      </c>
      <c r="Q17" s="39">
        <f t="shared" si="3"/>
        <v>-8.5990229980389932E-4</v>
      </c>
      <c r="S17" s="6">
        <f t="shared" si="5"/>
        <v>0.15241836446598753</v>
      </c>
      <c r="T17" s="6">
        <f t="shared" si="4"/>
        <v>0.15327713438443691</v>
      </c>
      <c r="V17" s="3">
        <f t="shared" si="6"/>
        <v>-1.6975835549271495E-3</v>
      </c>
      <c r="W17" s="3">
        <f t="shared" si="7"/>
        <v>1.9610388261303015E-5</v>
      </c>
      <c r="X17" s="3">
        <f t="shared" si="8"/>
        <v>-2.5858425574916895E-8</v>
      </c>
      <c r="Z17" s="3">
        <f t="shared" si="9"/>
        <v>-5.6538142952794233E-6</v>
      </c>
      <c r="AA17" s="3">
        <f t="shared" si="10"/>
        <v>6.5368601824791559E-8</v>
      </c>
      <c r="AB17" s="3">
        <f t="shared" si="11"/>
        <v>-8.6194750962139812E-11</v>
      </c>
    </row>
    <row r="18" spans="1:28" s="3" customFormat="1" x14ac:dyDescent="0.3">
      <c r="A18" s="3">
        <v>27</v>
      </c>
      <c r="B18" s="3" t="s">
        <v>42</v>
      </c>
      <c r="C18" s="3" t="s">
        <v>43</v>
      </c>
      <c r="D18" s="26">
        <v>45254.120833333334</v>
      </c>
      <c r="E18" s="3">
        <v>0</v>
      </c>
      <c r="F18" s="3">
        <v>9.06E-2</v>
      </c>
      <c r="G18" s="3">
        <v>4.63574389228443E-4</v>
      </c>
      <c r="H18" s="4">
        <v>1.5216722302332299E-6</v>
      </c>
      <c r="I18" s="3">
        <v>5.1167151128967197E-3</v>
      </c>
      <c r="J18" s="3">
        <v>300</v>
      </c>
      <c r="K18" s="3">
        <v>24</v>
      </c>
      <c r="L18" s="3">
        <v>24</v>
      </c>
      <c r="N18" s="3">
        <f t="shared" si="0"/>
        <v>15920702014.437834</v>
      </c>
      <c r="O18" s="4">
        <f t="shared" si="1"/>
        <v>3.0447549231092797E-6</v>
      </c>
      <c r="P18" s="5">
        <f t="shared" si="2"/>
        <v>9.1342647693278391E-4</v>
      </c>
      <c r="Q18" s="39">
        <f t="shared" si="3"/>
        <v>-4.6399821748554392E-4</v>
      </c>
      <c r="S18" s="6">
        <f t="shared" si="5"/>
        <v>0.15327713438443691</v>
      </c>
      <c r="T18" s="6">
        <f t="shared" si="4"/>
        <v>0.15374070877366536</v>
      </c>
      <c r="V18" s="3">
        <f t="shared" si="6"/>
        <v>3.0222170686235378E-5</v>
      </c>
      <c r="W18" s="3">
        <f t="shared" si="7"/>
        <v>1.0586132379021338E-5</v>
      </c>
      <c r="X18" s="3">
        <f t="shared" si="8"/>
        <v>-9.6784941961692797E-9</v>
      </c>
      <c r="Z18" s="3">
        <f t="shared" si="9"/>
        <v>1.0074209128423078E-7</v>
      </c>
      <c r="AA18" s="3">
        <f t="shared" si="10"/>
        <v>3.5287294708420338E-8</v>
      </c>
      <c r="AB18" s="3">
        <f t="shared" si="11"/>
        <v>-3.2261647271485829E-11</v>
      </c>
    </row>
    <row r="19" spans="1:28" s="3" customFormat="1" x14ac:dyDescent="0.3">
      <c r="A19" s="3">
        <v>28</v>
      </c>
      <c r="B19" s="3" t="s">
        <v>44</v>
      </c>
      <c r="C19" s="3" t="s">
        <v>45</v>
      </c>
      <c r="D19" s="26">
        <v>45254.222222222219</v>
      </c>
      <c r="E19" s="3">
        <v>0</v>
      </c>
      <c r="F19" s="3">
        <v>4.59</v>
      </c>
      <c r="G19" s="3">
        <v>2.35499403253603E-2</v>
      </c>
      <c r="H19" s="4">
        <v>7.4986258113113595E-5</v>
      </c>
      <c r="I19" s="3">
        <v>5.1307059532375299E-3</v>
      </c>
      <c r="J19" s="3">
        <v>7200</v>
      </c>
      <c r="K19" s="3">
        <v>260</v>
      </c>
      <c r="L19" s="3">
        <v>260.02999999999997</v>
      </c>
      <c r="N19" s="3">
        <f t="shared" si="0"/>
        <v>656604943265.83374</v>
      </c>
      <c r="O19" s="4">
        <f t="shared" si="1"/>
        <v>2.2536656169568721E-4</v>
      </c>
      <c r="P19" s="5">
        <f t="shared" si="2"/>
        <v>1.6226392442089479</v>
      </c>
      <c r="Q19" s="39">
        <f t="shared" si="3"/>
        <v>3.7822769034226364E-2</v>
      </c>
      <c r="S19" s="6">
        <f t="shared" si="5"/>
        <v>0.15374070877366536</v>
      </c>
      <c r="T19" s="6">
        <f t="shared" si="4"/>
        <v>0.17729064909902564</v>
      </c>
      <c r="V19" s="3">
        <f t="shared" si="6"/>
        <v>5.4837958222614315E-4</v>
      </c>
      <c r="W19" s="3">
        <f t="shared" si="7"/>
        <v>5.3778946977093341E-4</v>
      </c>
      <c r="X19" s="3">
        <f t="shared" si="8"/>
        <v>1.4015150938346485E-3</v>
      </c>
      <c r="Z19" s="3">
        <f t="shared" si="9"/>
        <v>7.6184721847417696E-8</v>
      </c>
      <c r="AA19" s="3">
        <f t="shared" si="10"/>
        <v>7.4713073665939304E-8</v>
      </c>
      <c r="AB19" s="3">
        <f t="shared" si="11"/>
        <v>1.9479140759984968E-7</v>
      </c>
    </row>
    <row r="20" spans="1:28" s="3" customFormat="1" x14ac:dyDescent="0.3">
      <c r="A20" s="3">
        <v>29</v>
      </c>
      <c r="B20" s="3" t="s">
        <v>46</v>
      </c>
      <c r="C20" s="3" t="s">
        <v>47</v>
      </c>
      <c r="D20" s="26">
        <v>45254.247916666667</v>
      </c>
      <c r="E20" s="3">
        <v>0</v>
      </c>
      <c r="F20" s="3">
        <v>8.3599999999999994E-2</v>
      </c>
      <c r="G20" s="3">
        <v>4.2911357757960899E-4</v>
      </c>
      <c r="H20" s="4">
        <v>1.35964729640063E-6</v>
      </c>
      <c r="I20" s="3">
        <v>5.1329375308565703E-3</v>
      </c>
      <c r="J20" s="3">
        <v>300</v>
      </c>
      <c r="K20" s="3">
        <v>24</v>
      </c>
      <c r="L20" s="3">
        <v>36.979999999999997</v>
      </c>
      <c r="N20" s="3">
        <f t="shared" si="0"/>
        <v>22631601035.966843</v>
      </c>
      <c r="O20" s="4">
        <f t="shared" si="1"/>
        <v>4.5173384552063247E-6</v>
      </c>
      <c r="P20" s="5">
        <f t="shared" si="2"/>
        <v>1.3552015365618974E-3</v>
      </c>
      <c r="Q20" s="39">
        <f t="shared" si="3"/>
        <v>-4.2969590212642506E-4</v>
      </c>
      <c r="S20" s="6">
        <f t="shared" si="5"/>
        <v>0.17729064909902564</v>
      </c>
      <c r="T20" s="6">
        <f t="shared" si="4"/>
        <v>0.17771976267660525</v>
      </c>
      <c r="V20" s="3">
        <f t="shared" si="6"/>
        <v>-8.551248014659706E-4</v>
      </c>
      <c r="W20" s="3">
        <f t="shared" si="7"/>
        <v>9.8045657063037867E-6</v>
      </c>
      <c r="X20" s="3">
        <f t="shared" si="8"/>
        <v>-1.330519372949124E-8</v>
      </c>
      <c r="Z20" s="3">
        <f t="shared" si="9"/>
        <v>-2.8491979685087424E-6</v>
      </c>
      <c r="AA20" s="3">
        <f t="shared" si="10"/>
        <v>3.2682045904619288E-8</v>
      </c>
      <c r="AB20" s="3">
        <f t="shared" si="11"/>
        <v>-4.4350645823545398E-11</v>
      </c>
    </row>
    <row r="21" spans="1:28" s="3" customFormat="1" x14ac:dyDescent="0.3">
      <c r="A21" s="3">
        <v>30</v>
      </c>
      <c r="B21" s="3" t="s">
        <v>48</v>
      </c>
      <c r="C21" s="3" t="s">
        <v>49</v>
      </c>
      <c r="D21" s="26">
        <v>45254.3</v>
      </c>
      <c r="E21" s="3">
        <v>0</v>
      </c>
      <c r="F21" s="3">
        <v>7.0900000000000005E-2</v>
      </c>
      <c r="G21" s="3">
        <v>3.6414292416864799E-4</v>
      </c>
      <c r="H21" s="4">
        <v>1.1459632698128501E-6</v>
      </c>
      <c r="I21" s="3">
        <v>5.13600739306979E-3</v>
      </c>
      <c r="J21" s="3">
        <v>300</v>
      </c>
      <c r="K21" s="3">
        <v>24</v>
      </c>
      <c r="L21" s="3">
        <v>25.0199999999999</v>
      </c>
      <c r="N21" s="3">
        <f t="shared" si="0"/>
        <v>16385045386.483757</v>
      </c>
      <c r="O21" s="4">
        <f t="shared" si="1"/>
        <v>3.1443199943666437E-6</v>
      </c>
      <c r="P21" s="5">
        <f t="shared" si="2"/>
        <v>9.4329599830999308E-4</v>
      </c>
      <c r="Q21" s="39">
        <f t="shared" si="3"/>
        <v>-3.6448674305480862E-4</v>
      </c>
      <c r="S21" s="6">
        <f t="shared" si="5"/>
        <v>0.17771976267660525</v>
      </c>
      <c r="T21" s="6">
        <f t="shared" si="4"/>
        <v>0.17808390560077389</v>
      </c>
      <c r="V21" s="3">
        <f t="shared" si="6"/>
        <v>1.8137959821659563E-5</v>
      </c>
      <c r="W21" s="3">
        <f t="shared" si="7"/>
        <v>8.3201707386160487E-6</v>
      </c>
      <c r="X21" s="3">
        <f t="shared" si="8"/>
        <v>-7.8557941021321688E-9</v>
      </c>
      <c r="Z21" s="3">
        <f t="shared" si="9"/>
        <v>6.0460414388075166E-8</v>
      </c>
      <c r="AA21" s="3">
        <f t="shared" si="10"/>
        <v>2.7734017838028611E-8</v>
      </c>
      <c r="AB21" s="3">
        <f t="shared" si="11"/>
        <v>-2.6185979948140869E-11</v>
      </c>
    </row>
    <row r="22" spans="1:28" s="3" customFormat="1" x14ac:dyDescent="0.3">
      <c r="A22" s="3">
        <v>31</v>
      </c>
      <c r="B22" s="3" t="s">
        <v>50</v>
      </c>
      <c r="C22" s="3" t="s">
        <v>51</v>
      </c>
      <c r="D22" s="26">
        <v>45254.404861111114</v>
      </c>
      <c r="E22" s="3">
        <v>0</v>
      </c>
      <c r="F22" s="3">
        <v>3.34</v>
      </c>
      <c r="G22" s="3">
        <v>1.7156546762589899E-2</v>
      </c>
      <c r="H22" s="4">
        <v>5.5484701813490399E-5</v>
      </c>
      <c r="I22" s="3">
        <v>5.13669064748201E-3</v>
      </c>
      <c r="J22" s="3">
        <v>7200</v>
      </c>
      <c r="K22" s="3">
        <v>270</v>
      </c>
      <c r="L22" s="3">
        <v>270.02999999999997</v>
      </c>
      <c r="N22" s="3">
        <f t="shared" si="0"/>
        <v>715706588318.4873</v>
      </c>
      <c r="O22" s="4">
        <f t="shared" si="1"/>
        <v>2.5026062014033728E-4</v>
      </c>
      <c r="P22" s="5">
        <f t="shared" si="2"/>
        <v>1.8018764650104284</v>
      </c>
      <c r="Q22" s="39">
        <f t="shared" si="3"/>
        <v>2.1395498572672013E-2</v>
      </c>
      <c r="S22" s="6">
        <f t="shared" si="5"/>
        <v>0.17808390560077389</v>
      </c>
      <c r="T22" s="6">
        <f t="shared" si="4"/>
        <v>0.19524045236336379</v>
      </c>
      <c r="V22" s="3">
        <f t="shared" si="6"/>
        <v>4.0033179134701366E-4</v>
      </c>
      <c r="W22" s="3">
        <f t="shared" si="7"/>
        <v>3.9200702952463598E-4</v>
      </c>
      <c r="X22" s="3">
        <f t="shared" si="8"/>
        <v>8.8086915059903091E-4</v>
      </c>
      <c r="Z22" s="3">
        <f t="shared" si="9"/>
        <v>5.5612770209928933E-8</v>
      </c>
      <c r="AA22" s="3">
        <f t="shared" si="10"/>
        <v>5.4456095050838152E-8</v>
      </c>
      <c r="AB22" s="3">
        <f t="shared" si="11"/>
        <v>1.2239685330707915E-7</v>
      </c>
    </row>
    <row r="23" spans="1:28" s="3" customFormat="1" x14ac:dyDescent="0.3">
      <c r="A23" s="3">
        <v>32</v>
      </c>
      <c r="B23" s="3" t="s">
        <v>52</v>
      </c>
      <c r="C23" s="3" t="s">
        <v>53</v>
      </c>
      <c r="D23" s="26">
        <v>45254.432638888888</v>
      </c>
      <c r="E23" s="3">
        <v>0</v>
      </c>
      <c r="F23" s="3">
        <v>0</v>
      </c>
      <c r="G23" s="3">
        <v>0</v>
      </c>
      <c r="H23" s="3">
        <v>0</v>
      </c>
      <c r="I23" s="3">
        <v>5.13669064748201E-3</v>
      </c>
      <c r="J23" s="3">
        <v>300</v>
      </c>
      <c r="K23" s="3">
        <v>24</v>
      </c>
      <c r="L23" s="3">
        <v>32.449999999999903</v>
      </c>
      <c r="N23" s="3">
        <f t="shared" si="0"/>
        <v>20085353687.918201</v>
      </c>
      <c r="O23" s="4">
        <f t="shared" si="1"/>
        <v>3.9505111459437919E-6</v>
      </c>
      <c r="P23" s="5">
        <f t="shared" si="2"/>
        <v>1.1851533437831376E-3</v>
      </c>
      <c r="Q23" s="39">
        <f t="shared" si="3"/>
        <v>0</v>
      </c>
      <c r="S23" s="6">
        <f t="shared" si="5"/>
        <v>0.19524045236336379</v>
      </c>
      <c r="T23" s="6">
        <f t="shared" si="4"/>
        <v>0.19524045236336379</v>
      </c>
      <c r="V23" s="3">
        <f t="shared" si="6"/>
        <v>-4.8929312429318525E-4</v>
      </c>
      <c r="W23" s="3">
        <f t="shared" si="7"/>
        <v>0</v>
      </c>
      <c r="X23" s="3">
        <f t="shared" si="8"/>
        <v>0</v>
      </c>
      <c r="Z23" s="3">
        <f t="shared" si="9"/>
        <v>-1.6305781981501252E-6</v>
      </c>
      <c r="AA23" s="3">
        <f t="shared" si="10"/>
        <v>0</v>
      </c>
      <c r="AB23" s="3">
        <f t="shared" si="11"/>
        <v>0</v>
      </c>
    </row>
    <row r="24" spans="1:28" s="3" customFormat="1" x14ac:dyDescent="0.3">
      <c r="A24" s="3">
        <v>33</v>
      </c>
      <c r="B24" s="3" t="s">
        <v>54</v>
      </c>
      <c r="C24" s="3" t="s">
        <v>55</v>
      </c>
      <c r="D24" s="26">
        <v>45254.486805555556</v>
      </c>
      <c r="E24" s="3">
        <v>0</v>
      </c>
      <c r="F24" s="3">
        <v>0</v>
      </c>
      <c r="G24" s="3">
        <v>0</v>
      </c>
      <c r="H24" s="3">
        <v>0</v>
      </c>
      <c r="I24" s="3">
        <v>5.13669064748201E-3</v>
      </c>
      <c r="J24" s="3">
        <v>300</v>
      </c>
      <c r="K24" s="3">
        <v>24</v>
      </c>
      <c r="L24" s="3">
        <v>25</v>
      </c>
      <c r="N24" s="3">
        <f t="shared" si="0"/>
        <v>16375842691.414082</v>
      </c>
      <c r="O24" s="4">
        <f t="shared" si="1"/>
        <v>3.1423430849450778E-6</v>
      </c>
      <c r="P24" s="5">
        <f t="shared" si="2"/>
        <v>9.4270292548352338E-4</v>
      </c>
      <c r="Q24" s="39">
        <f t="shared" si="3"/>
        <v>0</v>
      </c>
      <c r="S24" s="6">
        <f t="shared" si="5"/>
        <v>0.19524045236336379</v>
      </c>
      <c r="T24" s="6">
        <f t="shared" si="4"/>
        <v>0.19524045236336379</v>
      </c>
      <c r="V24" s="3">
        <f t="shared" si="6"/>
        <v>0</v>
      </c>
      <c r="W24" s="3">
        <f t="shared" si="7"/>
        <v>0</v>
      </c>
      <c r="X24" s="3">
        <f t="shared" si="8"/>
        <v>0</v>
      </c>
      <c r="Z24" s="3">
        <f t="shared" si="9"/>
        <v>0</v>
      </c>
      <c r="AA24" s="3">
        <f t="shared" si="10"/>
        <v>0</v>
      </c>
      <c r="AB24" s="3">
        <f t="shared" si="11"/>
        <v>0</v>
      </c>
    </row>
    <row r="25" spans="1:28" s="3" customFormat="1" x14ac:dyDescent="0.3">
      <c r="A25" s="3">
        <v>34</v>
      </c>
      <c r="B25" s="3" t="s">
        <v>56</v>
      </c>
      <c r="C25" s="3" t="s">
        <v>57</v>
      </c>
      <c r="D25" s="26">
        <v>45254.643750000003</v>
      </c>
      <c r="E25" s="3">
        <v>0</v>
      </c>
      <c r="F25" s="3">
        <v>2.36</v>
      </c>
      <c r="G25" s="3">
        <v>1.2124583787016901E-2</v>
      </c>
      <c r="H25" s="4">
        <v>4.9287312043339997E-5</v>
      </c>
      <c r="I25" s="3">
        <v>5.1375355029732797E-3</v>
      </c>
      <c r="J25" s="3">
        <v>7200</v>
      </c>
      <c r="K25" s="3">
        <v>280</v>
      </c>
      <c r="L25" s="3">
        <v>280.02999999999997</v>
      </c>
      <c r="N25" s="3">
        <f t="shared" si="0"/>
        <v>777700211635.48816</v>
      </c>
      <c r="O25" s="4">
        <f t="shared" si="1"/>
        <v>2.769456744128563E-4</v>
      </c>
      <c r="P25" s="5">
        <f t="shared" si="2"/>
        <v>1.9940088557725655</v>
      </c>
      <c r="Q25" s="39">
        <f t="shared" si="3"/>
        <v>1.2197661737725071E-2</v>
      </c>
      <c r="S25" s="6">
        <f t="shared" si="5"/>
        <v>0.19524045236336379</v>
      </c>
      <c r="T25" s="6">
        <f t="shared" si="4"/>
        <v>0.20736503615038068</v>
      </c>
      <c r="V25" s="3">
        <f t="shared" si="6"/>
        <v>2.7714120154229344E-4</v>
      </c>
      <c r="W25" s="3">
        <f t="shared" si="7"/>
        <v>2.7714120154229344E-4</v>
      </c>
      <c r="X25" s="3">
        <f t="shared" si="8"/>
        <v>5.5595280360482566E-4</v>
      </c>
      <c r="Z25" s="3">
        <f t="shared" si="9"/>
        <v>3.8497168369732586E-8</v>
      </c>
      <c r="AA25" s="3">
        <f t="shared" si="10"/>
        <v>3.8497168369732586E-8</v>
      </c>
      <c r="AB25" s="3">
        <f t="shared" si="11"/>
        <v>7.7237139259347757E-8</v>
      </c>
    </row>
    <row r="26" spans="1:28" s="3" customFormat="1" x14ac:dyDescent="0.3">
      <c r="A26" s="3">
        <v>35</v>
      </c>
      <c r="B26" s="3" t="s">
        <v>58</v>
      </c>
      <c r="C26" s="3" t="s">
        <v>59</v>
      </c>
      <c r="D26" s="26">
        <v>45254.669444444444</v>
      </c>
      <c r="E26" s="3">
        <v>0</v>
      </c>
      <c r="F26" s="3">
        <v>0</v>
      </c>
      <c r="G26" s="3">
        <v>0</v>
      </c>
      <c r="H26" s="3">
        <v>0</v>
      </c>
      <c r="I26" s="3">
        <v>5.1384097677570897E-3</v>
      </c>
      <c r="J26" s="3">
        <v>300</v>
      </c>
      <c r="K26" s="3">
        <v>24</v>
      </c>
      <c r="L26" s="3">
        <v>24.959999999999901</v>
      </c>
      <c r="N26" s="3">
        <f t="shared" si="0"/>
        <v>16357449103.43223</v>
      </c>
      <c r="O26" s="4">
        <f t="shared" si="1"/>
        <v>3.1383922416002584E-6</v>
      </c>
      <c r="P26" s="5">
        <f t="shared" si="2"/>
        <v>9.4151767248007749E-4</v>
      </c>
      <c r="Q26" s="39">
        <f t="shared" si="3"/>
        <v>0</v>
      </c>
      <c r="S26" s="6">
        <f t="shared" si="5"/>
        <v>0.20736503615038068</v>
      </c>
      <c r="T26" s="6">
        <f t="shared" si="4"/>
        <v>0.20736503615038068</v>
      </c>
      <c r="V26" s="3">
        <f t="shared" si="6"/>
        <v>-2.7896669437838418E-4</v>
      </c>
      <c r="W26" s="3">
        <f t="shared" si="7"/>
        <v>0</v>
      </c>
      <c r="X26" s="3">
        <f t="shared" si="8"/>
        <v>0</v>
      </c>
      <c r="Z26" s="3">
        <f t="shared" si="9"/>
        <v>-9.2975930135048364E-7</v>
      </c>
      <c r="AA26" s="3">
        <f t="shared" si="10"/>
        <v>0</v>
      </c>
      <c r="AB26" s="3">
        <f t="shared" si="11"/>
        <v>0</v>
      </c>
    </row>
    <row r="27" spans="1:28" s="3" customFormat="1" x14ac:dyDescent="0.3">
      <c r="A27" s="3">
        <v>36</v>
      </c>
      <c r="B27" s="3" t="s">
        <v>60</v>
      </c>
      <c r="C27" s="3" t="s">
        <v>61</v>
      </c>
      <c r="D27" s="26">
        <v>45254.695833333331</v>
      </c>
      <c r="E27" s="3">
        <v>0</v>
      </c>
      <c r="F27" s="3">
        <v>4.1500000000000002E-2</v>
      </c>
      <c r="G27" s="3">
        <v>2.1329019899896801E-4</v>
      </c>
      <c r="H27" s="4">
        <v>9.3365831757760198E-7</v>
      </c>
      <c r="I27" s="3">
        <v>5.13952286744502E-3</v>
      </c>
      <c r="J27" s="3">
        <v>300</v>
      </c>
      <c r="K27" s="3">
        <v>24</v>
      </c>
      <c r="L27" s="3">
        <v>25</v>
      </c>
      <c r="N27" s="3">
        <f t="shared" si="0"/>
        <v>16375842691.414082</v>
      </c>
      <c r="O27" s="4">
        <f t="shared" si="1"/>
        <v>3.1423430849450778E-6</v>
      </c>
      <c r="P27" s="5">
        <f t="shared" si="2"/>
        <v>9.4270292548352338E-4</v>
      </c>
      <c r="Q27" s="39">
        <f t="shared" si="3"/>
        <v>-2.1349145802101015E-4</v>
      </c>
      <c r="S27" s="6">
        <f t="shared" si="5"/>
        <v>0.20736503615038068</v>
      </c>
      <c r="T27" s="6">
        <f t="shared" si="4"/>
        <v>0.20757832634937964</v>
      </c>
      <c r="V27" s="3">
        <f t="shared" si="6"/>
        <v>4.8766943130229921E-6</v>
      </c>
      <c r="W27" s="3">
        <f t="shared" si="7"/>
        <v>4.8766943130229921E-6</v>
      </c>
      <c r="X27" s="3">
        <f t="shared" si="8"/>
        <v>-4.6016119486214249E-9</v>
      </c>
      <c r="Z27" s="3">
        <f t="shared" si="9"/>
        <v>1.6255687347169565E-8</v>
      </c>
      <c r="AA27" s="3">
        <f t="shared" si="10"/>
        <v>1.6255687347169565E-8</v>
      </c>
      <c r="AB27" s="3">
        <f t="shared" si="11"/>
        <v>-1.5338706565869454E-11</v>
      </c>
    </row>
    <row r="28" spans="1:28" s="3" customFormat="1" x14ac:dyDescent="0.3">
      <c r="A28" s="3">
        <v>37</v>
      </c>
      <c r="B28" s="3" t="s">
        <v>62</v>
      </c>
      <c r="C28" s="3" t="s">
        <v>63</v>
      </c>
      <c r="D28" s="26">
        <v>45254.826388888891</v>
      </c>
      <c r="E28" s="3">
        <v>0</v>
      </c>
      <c r="F28" s="3">
        <v>1.66</v>
      </c>
      <c r="G28" s="3">
        <v>8.5465316260454494E-3</v>
      </c>
      <c r="H28" s="4">
        <v>4.7289253346127803E-5</v>
      </c>
      <c r="I28" s="3">
        <v>5.1485130277382201E-3</v>
      </c>
      <c r="J28" s="3">
        <v>7200</v>
      </c>
      <c r="K28" s="3">
        <v>290</v>
      </c>
      <c r="L28" s="3">
        <v>290.02999999999997</v>
      </c>
      <c r="N28" s="3">
        <f t="shared" si="0"/>
        <v>842573666567.42346</v>
      </c>
      <c r="O28" s="4">
        <f t="shared" si="1"/>
        <v>3.0547318707904584E-4</v>
      </c>
      <c r="P28" s="5">
        <f t="shared" si="2"/>
        <v>2.19940694696913</v>
      </c>
      <c r="Q28" s="39">
        <f t="shared" si="3"/>
        <v>7.1256312527139447E-3</v>
      </c>
      <c r="S28" s="6">
        <f t="shared" si="5"/>
        <v>0.20757832634937964</v>
      </c>
      <c r="T28" s="6">
        <f t="shared" si="4"/>
        <v>0.21612485797542511</v>
      </c>
      <c r="V28" s="3">
        <f t="shared" si="6"/>
        <v>2.0029028412900997E-4</v>
      </c>
      <c r="W28" s="3">
        <f t="shared" si="7"/>
        <v>1.9540994208024976E-4</v>
      </c>
      <c r="X28" s="3">
        <f t="shared" si="8"/>
        <v>3.58332078369393E-4</v>
      </c>
      <c r="Z28" s="3">
        <f t="shared" si="9"/>
        <v>2.7820881237041806E-8</v>
      </c>
      <c r="AA28" s="3">
        <f t="shared" si="10"/>
        <v>2.714292181813461E-8</v>
      </c>
      <c r="AB28" s="3">
        <f t="shared" si="11"/>
        <v>4.9777263145776849E-8</v>
      </c>
    </row>
    <row r="29" spans="1:28" s="3" customFormat="1" x14ac:dyDescent="0.3">
      <c r="A29" s="3">
        <v>38</v>
      </c>
      <c r="B29" s="3" t="s">
        <v>64</v>
      </c>
      <c r="C29" s="3" t="s">
        <v>65</v>
      </c>
      <c r="D29" s="26">
        <v>45254.853472222225</v>
      </c>
      <c r="E29" s="3">
        <v>0</v>
      </c>
      <c r="F29" s="3">
        <v>4.8099999999999997E-2</v>
      </c>
      <c r="G29" s="3">
        <v>2.4771240194317398E-4</v>
      </c>
      <c r="H29" s="4">
        <v>1.41785055097064E-6</v>
      </c>
      <c r="I29" s="3">
        <v>5.1499459863445698E-3</v>
      </c>
      <c r="J29" s="3">
        <v>300</v>
      </c>
      <c r="K29" s="3">
        <v>24</v>
      </c>
      <c r="L29" s="3">
        <v>24.509999999999899</v>
      </c>
      <c r="N29" s="3">
        <f t="shared" si="0"/>
        <v>16151603052.649292</v>
      </c>
      <c r="O29" s="4">
        <f t="shared" si="1"/>
        <v>3.0942177910889539E-6</v>
      </c>
      <c r="P29" s="5">
        <f t="shared" si="2"/>
        <v>9.2826533732668617E-4</v>
      </c>
      <c r="Q29" s="39">
        <f t="shared" si="3"/>
        <v>-2.4794255842580876E-4</v>
      </c>
      <c r="S29" s="6">
        <f t="shared" si="5"/>
        <v>0.21612485797542511</v>
      </c>
      <c r="T29" s="6">
        <f t="shared" si="4"/>
        <v>0.21637257037736829</v>
      </c>
      <c r="V29" s="3">
        <f t="shared" si="6"/>
        <v>-1.5731475163929194E-4</v>
      </c>
      <c r="W29" s="3">
        <f t="shared" si="7"/>
        <v>5.6648625422256229E-6</v>
      </c>
      <c r="X29" s="3">
        <f t="shared" si="8"/>
        <v>-5.2633813531357851E-9</v>
      </c>
      <c r="Z29" s="3">
        <f t="shared" si="9"/>
        <v>-5.2434126323808272E-7</v>
      </c>
      <c r="AA29" s="3">
        <f t="shared" si="10"/>
        <v>1.8882928625568564E-8</v>
      </c>
      <c r="AB29" s="3">
        <f t="shared" si="11"/>
        <v>-1.7544604241724496E-11</v>
      </c>
    </row>
    <row r="30" spans="1:28" s="3" customFormat="1" x14ac:dyDescent="0.3">
      <c r="A30" s="3">
        <v>39</v>
      </c>
      <c r="B30" s="3" t="s">
        <v>66</v>
      </c>
      <c r="C30" s="3" t="s">
        <v>67</v>
      </c>
      <c r="D30" s="26">
        <v>45254.957638888889</v>
      </c>
      <c r="E30" s="3">
        <v>0</v>
      </c>
      <c r="F30" s="3">
        <v>7.3200000000000001E-2</v>
      </c>
      <c r="G30" s="3">
        <v>3.7740636483463201E-4</v>
      </c>
      <c r="H30" s="4">
        <v>2.5407604810286301E-6</v>
      </c>
      <c r="I30" s="3">
        <v>5.1558246562108303E-3</v>
      </c>
      <c r="J30" s="3">
        <v>300</v>
      </c>
      <c r="K30" s="3">
        <v>24</v>
      </c>
      <c r="L30" s="3">
        <v>25</v>
      </c>
      <c r="N30" s="3">
        <f t="shared" si="0"/>
        <v>16375842691.414082</v>
      </c>
      <c r="O30" s="4">
        <f t="shared" si="1"/>
        <v>3.1423430849450778E-6</v>
      </c>
      <c r="P30" s="5">
        <f t="shared" si="2"/>
        <v>9.4270292548352338E-4</v>
      </c>
      <c r="Q30" s="39">
        <f t="shared" si="3"/>
        <v>-3.7776248263214727E-4</v>
      </c>
      <c r="S30" s="6">
        <f t="shared" si="5"/>
        <v>0.21637257037736829</v>
      </c>
      <c r="T30" s="6">
        <f t="shared" si="4"/>
        <v>0.21674997674220292</v>
      </c>
      <c r="V30" s="3">
        <f t="shared" si="6"/>
        <v>1.4300921733285885E-5</v>
      </c>
      <c r="W30" s="3">
        <f t="shared" si="7"/>
        <v>8.6308447775276199E-6</v>
      </c>
      <c r="X30" s="3">
        <f t="shared" si="8"/>
        <v>-8.1439999937889771E-9</v>
      </c>
      <c r="Z30" s="3">
        <f t="shared" si="9"/>
        <v>4.7670079974746859E-8</v>
      </c>
      <c r="AA30" s="3">
        <f t="shared" si="10"/>
        <v>2.8769606744967567E-8</v>
      </c>
      <c r="AB30" s="3">
        <f t="shared" si="11"/>
        <v>-2.7146666285745193E-11</v>
      </c>
    </row>
    <row r="31" spans="1:28" s="3" customFormat="1" x14ac:dyDescent="0.3">
      <c r="A31" s="3">
        <v>40</v>
      </c>
      <c r="B31" s="3" t="s">
        <v>68</v>
      </c>
      <c r="C31" s="3" t="s">
        <v>69</v>
      </c>
      <c r="D31" s="26">
        <v>45255.0625</v>
      </c>
      <c r="E31" s="3">
        <v>0</v>
      </c>
      <c r="F31" s="3">
        <v>1.42</v>
      </c>
      <c r="G31" s="3">
        <v>7.3276691229223999E-3</v>
      </c>
      <c r="H31" s="4">
        <v>5.5914464412242698E-5</v>
      </c>
      <c r="I31" s="3">
        <v>5.1603303682552096E-3</v>
      </c>
      <c r="J31" s="3">
        <v>7200</v>
      </c>
      <c r="K31" s="3">
        <v>300</v>
      </c>
      <c r="L31" s="3">
        <v>300.02</v>
      </c>
      <c r="N31" s="3">
        <f t="shared" si="0"/>
        <v>910240396948.87097</v>
      </c>
      <c r="O31" s="4">
        <f t="shared" si="1"/>
        <v>3.3586099045853382E-4</v>
      </c>
      <c r="P31" s="5">
        <f t="shared" si="2"/>
        <v>2.4181991313014435</v>
      </c>
      <c r="Q31" s="39">
        <f t="shared" si="3"/>
        <v>5.166883099271111E-3</v>
      </c>
      <c r="S31" s="6">
        <f t="shared" si="5"/>
        <v>0.21674997674220292</v>
      </c>
      <c r="T31" s="6">
        <f t="shared" si="4"/>
        <v>0.22407764586512532</v>
      </c>
      <c r="V31" s="3">
        <f t="shared" si="6"/>
        <v>1.7621426077147698E-4</v>
      </c>
      <c r="W31" s="3">
        <f t="shared" si="7"/>
        <v>1.6757671975770107E-4</v>
      </c>
      <c r="X31" s="3">
        <f t="shared" si="8"/>
        <v>2.857383488682198E-4</v>
      </c>
      <c r="Z31" s="3">
        <f t="shared" si="9"/>
        <v>2.4476359490071911E-8</v>
      </c>
      <c r="AA31" s="3">
        <f t="shared" si="10"/>
        <v>2.3276494764594858E-8</v>
      </c>
      <c r="AB31" s="3">
        <f t="shared" si="11"/>
        <v>3.9691552756725588E-8</v>
      </c>
    </row>
    <row r="32" spans="1:28" s="3" customFormat="1" x14ac:dyDescent="0.3">
      <c r="A32" s="3">
        <v>41</v>
      </c>
      <c r="B32" s="3" t="s">
        <v>70</v>
      </c>
      <c r="C32" s="3" t="s">
        <v>71</v>
      </c>
      <c r="D32" s="26">
        <v>45255.088194444441</v>
      </c>
      <c r="E32" s="3">
        <v>0</v>
      </c>
      <c r="F32" s="3">
        <v>6.6799999999999998E-2</v>
      </c>
      <c r="G32" s="3">
        <v>3.4478345700024899E-4</v>
      </c>
      <c r="H32" s="4">
        <v>2.6972256605591998E-6</v>
      </c>
      <c r="I32" s="3">
        <v>5.1614289970097101E-3</v>
      </c>
      <c r="J32" s="3">
        <v>300</v>
      </c>
      <c r="K32" s="3">
        <v>24</v>
      </c>
      <c r="L32" s="3">
        <v>34.06</v>
      </c>
      <c r="N32" s="3">
        <f t="shared" si="0"/>
        <v>20964164225.071983</v>
      </c>
      <c r="O32" s="4">
        <f t="shared" si="1"/>
        <v>4.1450948904720364E-6</v>
      </c>
      <c r="P32" s="5">
        <f t="shared" si="2"/>
        <v>1.243528467141611E-3</v>
      </c>
      <c r="Q32" s="39">
        <f t="shared" si="3"/>
        <v>-3.4521273886825159E-4</v>
      </c>
      <c r="S32" s="6">
        <f t="shared" si="5"/>
        <v>0.22407764586512532</v>
      </c>
      <c r="T32" s="6">
        <f t="shared" si="4"/>
        <v>0.22442242932212558</v>
      </c>
      <c r="V32" s="3">
        <f t="shared" si="6"/>
        <v>-1.1030828356036154E-4</v>
      </c>
      <c r="W32" s="3">
        <f t="shared" si="7"/>
        <v>7.8861863982162475E-6</v>
      </c>
      <c r="X32" s="3">
        <f t="shared" si="8"/>
        <v>-9.8189073742031454E-9</v>
      </c>
      <c r="Z32" s="3">
        <f t="shared" si="9"/>
        <v>-3.6767400016316365E-7</v>
      </c>
      <c r="AA32" s="3">
        <f t="shared" si="10"/>
        <v>2.628739164791373E-8</v>
      </c>
      <c r="AB32" s="3">
        <f t="shared" si="11"/>
        <v>-3.2729691388901068E-11</v>
      </c>
    </row>
    <row r="33" spans="1:28" s="3" customFormat="1" x14ac:dyDescent="0.3">
      <c r="A33" s="3">
        <v>42</v>
      </c>
      <c r="B33" s="3" t="s">
        <v>72</v>
      </c>
      <c r="C33" s="3" t="s">
        <v>73</v>
      </c>
      <c r="D33" s="26">
        <v>45255.115277777775</v>
      </c>
      <c r="E33" s="3">
        <v>0</v>
      </c>
      <c r="F33" s="3">
        <v>4.4900000000000002E-2</v>
      </c>
      <c r="G33" s="3">
        <v>2.3179681056396099E-4</v>
      </c>
      <c r="H33" s="4">
        <v>1.85224572661205E-6</v>
      </c>
      <c r="I33" s="3">
        <v>5.1625124847207498E-3</v>
      </c>
      <c r="J33" s="3">
        <v>300</v>
      </c>
      <c r="K33" s="3">
        <v>24</v>
      </c>
      <c r="L33" s="3">
        <v>26</v>
      </c>
      <c r="N33" s="3">
        <f t="shared" si="0"/>
        <v>16840819425.918863</v>
      </c>
      <c r="O33" s="4">
        <f t="shared" si="1"/>
        <v>3.2424111618373092E-6</v>
      </c>
      <c r="P33" s="5">
        <f t="shared" si="2"/>
        <v>9.7272334855119278E-4</v>
      </c>
      <c r="Q33" s="39">
        <f t="shared" si="3"/>
        <v>-2.3202250427125496E-4</v>
      </c>
      <c r="S33" s="6">
        <f t="shared" si="5"/>
        <v>0.22442242932212558</v>
      </c>
      <c r="T33" s="6">
        <f t="shared" si="4"/>
        <v>0.22465422613268954</v>
      </c>
      <c r="V33" s="3">
        <f t="shared" si="6"/>
        <v>1.3197862958053441E-5</v>
      </c>
      <c r="W33" s="3">
        <f t="shared" si="7"/>
        <v>5.3018995938200453E-6</v>
      </c>
      <c r="X33" s="3">
        <f t="shared" si="8"/>
        <v>-5.1623030192619105E-9</v>
      </c>
      <c r="Z33" s="3">
        <f t="shared" si="9"/>
        <v>4.3993166835394379E-8</v>
      </c>
      <c r="AA33" s="3">
        <f t="shared" si="10"/>
        <v>1.7673045496402607E-8</v>
      </c>
      <c r="AB33" s="3">
        <f t="shared" si="11"/>
        <v>-1.7207676720562338E-11</v>
      </c>
    </row>
    <row r="34" spans="1:28" s="3" customFormat="1" x14ac:dyDescent="0.3">
      <c r="A34" s="3">
        <v>43</v>
      </c>
      <c r="B34" s="3" t="s">
        <v>74</v>
      </c>
      <c r="C34" s="3" t="s">
        <v>75</v>
      </c>
      <c r="D34" s="26">
        <v>45255.245138888888</v>
      </c>
      <c r="E34" s="3">
        <v>0</v>
      </c>
      <c r="F34" s="3">
        <v>0.79600000000000004</v>
      </c>
      <c r="G34" s="3">
        <v>4.11419237795613E-3</v>
      </c>
      <c r="H34" s="4">
        <v>3.4145825306954897E-5</v>
      </c>
      <c r="I34" s="3">
        <v>5.1685833893921297E-3</v>
      </c>
      <c r="J34" s="3">
        <v>7200</v>
      </c>
      <c r="K34" s="3">
        <v>290</v>
      </c>
      <c r="L34" s="3">
        <v>290.02999999999997</v>
      </c>
      <c r="N34" s="3">
        <f t="shared" si="0"/>
        <v>842573666567.42346</v>
      </c>
      <c r="O34" s="4">
        <f t="shared" ref="O34:O57" si="12">N34*$C$143*$C$144*(L34+273)</f>
        <v>3.0547318707904584E-4</v>
      </c>
      <c r="P34" s="5">
        <f t="shared" si="2"/>
        <v>2.19940694696913</v>
      </c>
      <c r="Q34" s="39">
        <f t="shared" si="3"/>
        <v>3.4301888848923098E-3</v>
      </c>
      <c r="S34" s="6">
        <f t="shared" si="5"/>
        <v>0.22465422613268954</v>
      </c>
      <c r="T34" s="6">
        <f t="shared" si="4"/>
        <v>0.22876841851064567</v>
      </c>
      <c r="V34" s="3">
        <f t="shared" si="6"/>
        <v>9.9411181472756365E-5</v>
      </c>
      <c r="W34" s="3">
        <f t="shared" si="7"/>
        <v>9.4104619022349065E-5</v>
      </c>
      <c r="X34" s="3">
        <f t="shared" si="8"/>
        <v>1.7256391030805404E-4</v>
      </c>
      <c r="Z34" s="3">
        <f t="shared" si="9"/>
        <v>1.3807794873850625E-8</v>
      </c>
      <c r="AA34" s="3">
        <f t="shared" si="10"/>
        <v>1.3070700991644404E-8</v>
      </c>
      <c r="AB34" s="3">
        <f t="shared" si="11"/>
        <v>2.3969277940658967E-8</v>
      </c>
    </row>
    <row r="35" spans="1:28" s="3" customFormat="1" x14ac:dyDescent="0.3">
      <c r="A35" s="3">
        <v>44</v>
      </c>
      <c r="B35" s="3" t="s">
        <v>76</v>
      </c>
      <c r="C35" s="3" t="s">
        <v>77</v>
      </c>
      <c r="D35" s="26">
        <v>45255.297222222223</v>
      </c>
      <c r="E35" s="3">
        <v>0</v>
      </c>
      <c r="F35" s="3">
        <v>0.113</v>
      </c>
      <c r="G35" s="3">
        <v>5.8425685068557202E-4</v>
      </c>
      <c r="H35" s="4">
        <v>4.8469680370920601E-6</v>
      </c>
      <c r="I35" s="3">
        <v>5.1704146078369196E-3</v>
      </c>
      <c r="J35" s="3">
        <v>300</v>
      </c>
      <c r="K35" s="3">
        <v>24</v>
      </c>
      <c r="L35" s="3">
        <v>24.8799999999999</v>
      </c>
      <c r="N35" s="3">
        <f t="shared" si="0"/>
        <v>16320709106.101589</v>
      </c>
      <c r="O35" s="4">
        <f t="shared" si="12"/>
        <v>3.1305024468942975E-6</v>
      </c>
      <c r="P35" s="5">
        <f t="shared" si="2"/>
        <v>9.3915073406828926E-4</v>
      </c>
      <c r="Q35" s="39">
        <f t="shared" si="3"/>
        <v>-5.8480607173713153E-4</v>
      </c>
      <c r="S35" s="6">
        <f t="shared" si="5"/>
        <v>0.22876841851064567</v>
      </c>
      <c r="T35" s="6">
        <f t="shared" si="4"/>
        <v>0.22935267536133125</v>
      </c>
      <c r="V35" s="3">
        <f t="shared" si="6"/>
        <v>-6.510672046309757E-5</v>
      </c>
      <c r="W35" s="3">
        <f t="shared" si="7"/>
        <v>1.3365063607096798E-5</v>
      </c>
      <c r="X35" s="3">
        <f t="shared" si="8"/>
        <v>-1.2563608419543975E-8</v>
      </c>
      <c r="Z35" s="3">
        <f t="shared" si="9"/>
        <v>-2.1701533704193045E-7</v>
      </c>
      <c r="AA35" s="3">
        <f t="shared" si="10"/>
        <v>4.4550509734366242E-8</v>
      </c>
      <c r="AB35" s="3">
        <f t="shared" si="11"/>
        <v>-4.1878694323161814E-11</v>
      </c>
    </row>
    <row r="36" spans="1:28" s="3" customFormat="1" x14ac:dyDescent="0.3">
      <c r="A36" s="3">
        <v>45</v>
      </c>
      <c r="B36" s="3" t="s">
        <v>78</v>
      </c>
      <c r="C36" s="3" t="s">
        <v>79</v>
      </c>
      <c r="D36" s="26">
        <v>45255.349305555559</v>
      </c>
      <c r="E36" s="3">
        <v>0</v>
      </c>
      <c r="F36" s="3">
        <v>0</v>
      </c>
      <c r="G36" s="3">
        <v>0</v>
      </c>
      <c r="H36" s="3">
        <v>0</v>
      </c>
      <c r="I36" s="3">
        <v>5.1729982912320401E-3</v>
      </c>
      <c r="J36" s="3">
        <v>300</v>
      </c>
      <c r="K36" s="3">
        <v>24</v>
      </c>
      <c r="L36" s="3">
        <v>24.06</v>
      </c>
      <c r="N36" s="3">
        <f t="shared" si="0"/>
        <v>15947735518.821495</v>
      </c>
      <c r="O36" s="4">
        <f t="shared" si="12"/>
        <v>3.0505410925611706E-6</v>
      </c>
      <c r="P36" s="5">
        <f t="shared" si="2"/>
        <v>9.1516232776835116E-4</v>
      </c>
      <c r="Q36" s="39">
        <f t="shared" si="3"/>
        <v>0</v>
      </c>
      <c r="S36" s="6">
        <f t="shared" si="5"/>
        <v>0.22935267536133125</v>
      </c>
      <c r="T36" s="6">
        <f t="shared" si="4"/>
        <v>0.22935267536133125</v>
      </c>
      <c r="V36" s="3">
        <f t="shared" si="6"/>
        <v>1.3377627047445073E-5</v>
      </c>
      <c r="W36" s="3">
        <f t="shared" si="7"/>
        <v>0</v>
      </c>
      <c r="X36" s="3">
        <f t="shared" si="8"/>
        <v>0</v>
      </c>
      <c r="Z36" s="3">
        <f t="shared" si="9"/>
        <v>4.4592388429004484E-8</v>
      </c>
      <c r="AA36" s="3">
        <f t="shared" si="10"/>
        <v>0</v>
      </c>
      <c r="AB36" s="3">
        <f t="shared" si="11"/>
        <v>0</v>
      </c>
    </row>
    <row r="37" spans="1:28" s="3" customFormat="1" x14ac:dyDescent="0.3">
      <c r="A37" s="3">
        <v>46</v>
      </c>
      <c r="B37" s="3" t="s">
        <v>80</v>
      </c>
      <c r="C37" s="3" t="s">
        <v>81</v>
      </c>
      <c r="D37" s="26">
        <v>45255.506944444445</v>
      </c>
      <c r="E37" s="3">
        <v>0</v>
      </c>
      <c r="F37" s="3">
        <v>0.57899999999999996</v>
      </c>
      <c r="G37" s="3">
        <v>2.9978817220506801E-3</v>
      </c>
      <c r="H37" s="4">
        <v>2.48102477461169E-5</v>
      </c>
      <c r="I37" s="3">
        <v>5.1776886391203501E-3</v>
      </c>
      <c r="J37" s="3">
        <v>8400</v>
      </c>
      <c r="K37" s="3">
        <v>280</v>
      </c>
      <c r="L37" s="3">
        <v>280.02</v>
      </c>
      <c r="N37" s="3">
        <f t="shared" si="0"/>
        <v>777636777061.51501</v>
      </c>
      <c r="O37" s="4">
        <f t="shared" si="12"/>
        <v>2.769180774412816E-4</v>
      </c>
      <c r="P37" s="5">
        <f t="shared" si="2"/>
        <v>2.3261118505067655</v>
      </c>
      <c r="Q37" s="39">
        <f t="shared" si="3"/>
        <v>2.2606552538574011E-3</v>
      </c>
      <c r="S37" s="6">
        <f t="shared" si="5"/>
        <v>0.22935267536133125</v>
      </c>
      <c r="T37" s="6">
        <f t="shared" si="4"/>
        <v>0.23235055708338193</v>
      </c>
      <c r="V37" s="3">
        <f t="shared" si="6"/>
        <v>6.8578426351869451E-5</v>
      </c>
      <c r="W37" s="3">
        <f t="shared" si="7"/>
        <v>6.8578426351869451E-5</v>
      </c>
      <c r="X37" s="3">
        <f t="shared" si="8"/>
        <v>1.2029233444013714E-4</v>
      </c>
      <c r="Z37" s="3">
        <f t="shared" si="9"/>
        <v>8.1643783285331132E-9</v>
      </c>
      <c r="AA37" s="3">
        <f t="shared" si="10"/>
        <v>8.1643783285331132E-9</v>
      </c>
      <c r="AB37" s="3">
        <f t="shared" si="11"/>
        <v>1.4321377398005157E-8</v>
      </c>
    </row>
    <row r="38" spans="1:28" s="3" customFormat="1" x14ac:dyDescent="0.3">
      <c r="A38" s="3">
        <v>47</v>
      </c>
      <c r="B38" s="3" t="s">
        <v>82</v>
      </c>
      <c r="C38" s="3" t="s">
        <v>83</v>
      </c>
      <c r="D38" s="26">
        <v>45255.532638888886</v>
      </c>
      <c r="E38" s="3">
        <v>0</v>
      </c>
      <c r="F38" s="3">
        <v>-3.9500000000000004E-3</v>
      </c>
      <c r="G38" s="4">
        <v>-2.0454765029112401E-5</v>
      </c>
      <c r="H38" s="4">
        <v>-1.69226387897763E-7</v>
      </c>
      <c r="I38" s="3">
        <v>5.1784215263575902E-3</v>
      </c>
      <c r="J38" s="3">
        <v>300</v>
      </c>
      <c r="K38" s="3">
        <v>24</v>
      </c>
      <c r="L38" s="3">
        <v>24</v>
      </c>
      <c r="N38" s="3">
        <f t="shared" si="0"/>
        <v>15920702014.437834</v>
      </c>
      <c r="O38" s="4">
        <f t="shared" si="12"/>
        <v>3.0447549231092797E-6</v>
      </c>
      <c r="P38" s="5">
        <f t="shared" si="2"/>
        <v>9.1342647693278391E-4</v>
      </c>
      <c r="Q38" s="39">
        <f t="shared" si="3"/>
        <v>2.0473466035063413E-5</v>
      </c>
      <c r="S38" s="6">
        <f t="shared" si="5"/>
        <v>0.23235055708338193</v>
      </c>
      <c r="T38" s="6">
        <f t="shared" si="4"/>
        <v>0.23233010231835283</v>
      </c>
      <c r="V38" s="3">
        <f t="shared" si="6"/>
        <v>-5.2188101507618672E-5</v>
      </c>
      <c r="W38" s="3">
        <f t="shared" si="7"/>
        <v>-4.6794768190627158E-7</v>
      </c>
      <c r="X38" s="3">
        <f t="shared" si="8"/>
        <v>4.2782659060794432E-10</v>
      </c>
      <c r="Z38" s="3">
        <f t="shared" si="9"/>
        <v>-1.7395579918684217E-7</v>
      </c>
      <c r="AA38" s="3">
        <f t="shared" si="10"/>
        <v>-1.5598252414981253E-9</v>
      </c>
      <c r="AB38" s="3">
        <f t="shared" si="11"/>
        <v>1.4260885068485621E-12</v>
      </c>
    </row>
    <row r="39" spans="1:28" s="3" customFormat="1" x14ac:dyDescent="0.3">
      <c r="A39" s="3">
        <v>48</v>
      </c>
      <c r="B39" s="3" t="s">
        <v>84</v>
      </c>
      <c r="C39" s="3" t="s">
        <v>85</v>
      </c>
      <c r="D39" s="26">
        <v>45255.584027777775</v>
      </c>
      <c r="E39" s="3">
        <v>0</v>
      </c>
      <c r="F39" s="3">
        <v>0.105</v>
      </c>
      <c r="G39" s="3">
        <v>5.43958668720427E-4</v>
      </c>
      <c r="H39" s="4">
        <v>4.4954378300867603E-6</v>
      </c>
      <c r="I39" s="3">
        <v>5.1805587497183499E-3</v>
      </c>
      <c r="J39" s="3">
        <v>300</v>
      </c>
      <c r="K39" s="3">
        <v>24</v>
      </c>
      <c r="L39" s="3">
        <v>24</v>
      </c>
      <c r="N39" s="3">
        <f t="shared" si="0"/>
        <v>15920702014.437834</v>
      </c>
      <c r="O39" s="4">
        <f t="shared" si="12"/>
        <v>3.0447549231092797E-6</v>
      </c>
      <c r="P39" s="5">
        <f t="shared" si="2"/>
        <v>9.1342647693278391E-4</v>
      </c>
      <c r="Q39" s="39">
        <f t="shared" si="3"/>
        <v>-5.4445598923652029E-4</v>
      </c>
      <c r="S39" s="6">
        <f t="shared" si="5"/>
        <v>0.23233010231835283</v>
      </c>
      <c r="T39" s="6">
        <f t="shared" si="4"/>
        <v>0.23287406098707325</v>
      </c>
      <c r="V39" s="3">
        <f t="shared" si="6"/>
        <v>1.1975873927909031E-5</v>
      </c>
      <c r="W39" s="3">
        <f t="shared" si="7"/>
        <v>1.2444243608027363E-5</v>
      </c>
      <c r="X39" s="3">
        <f t="shared" si="8"/>
        <v>-1.1377293918475135E-8</v>
      </c>
      <c r="Z39" s="3">
        <f t="shared" si="9"/>
        <v>3.9919818797408739E-8</v>
      </c>
      <c r="AA39" s="3">
        <f t="shared" si="10"/>
        <v>4.1481070127549492E-8</v>
      </c>
      <c r="AB39" s="3">
        <f t="shared" si="11"/>
        <v>-3.7924313103617909E-11</v>
      </c>
    </row>
    <row r="40" spans="1:28" s="3" customFormat="1" x14ac:dyDescent="0.3">
      <c r="A40" s="3">
        <v>49</v>
      </c>
      <c r="B40" s="3" t="s">
        <v>86</v>
      </c>
      <c r="C40" s="3" t="s">
        <v>87</v>
      </c>
      <c r="D40" s="26">
        <v>45255.788194444445</v>
      </c>
      <c r="E40" s="3">
        <v>0</v>
      </c>
      <c r="F40" s="3">
        <v>0.60799999999999998</v>
      </c>
      <c r="G40" s="3">
        <v>3.1530901607375E-3</v>
      </c>
      <c r="H40" s="4">
        <v>2.5963756786877701E-5</v>
      </c>
      <c r="I40" s="3">
        <v>5.1860035538445802E-3</v>
      </c>
      <c r="J40" s="3">
        <v>9600</v>
      </c>
      <c r="K40" s="3">
        <v>270</v>
      </c>
      <c r="L40" s="3">
        <v>270.02</v>
      </c>
      <c r="N40" s="3">
        <f t="shared" si="0"/>
        <v>715646040563.14941</v>
      </c>
      <c r="O40" s="4">
        <f t="shared" si="12"/>
        <v>2.5023484024254693E-4</v>
      </c>
      <c r="P40" s="5">
        <f t="shared" si="2"/>
        <v>2.4022544663284506</v>
      </c>
      <c r="Q40" s="39">
        <f t="shared" si="3"/>
        <v>2.2485862847656285E-3</v>
      </c>
      <c r="S40" s="6">
        <f t="shared" si="5"/>
        <v>0.23287406098707325</v>
      </c>
      <c r="T40" s="6">
        <f t="shared" si="4"/>
        <v>0.23602715114781075</v>
      </c>
      <c r="V40" s="3">
        <f t="shared" si="6"/>
        <v>8.4589449832527672E-5</v>
      </c>
      <c r="W40" s="3">
        <f t="shared" si="7"/>
        <v>7.2134727555103143E-5</v>
      </c>
      <c r="X40" s="3">
        <f t="shared" si="8"/>
        <v>1.2357669425033135E-4</v>
      </c>
      <c r="Z40" s="3">
        <f t="shared" si="9"/>
        <v>8.8117737210159946E-9</v>
      </c>
      <c r="AA40" s="3">
        <f t="shared" si="10"/>
        <v>7.5143051447557766E-9</v>
      </c>
      <c r="AB40" s="3">
        <f t="shared" si="11"/>
        <v>1.287336775824292E-8</v>
      </c>
    </row>
    <row r="41" spans="1:28" s="3" customFormat="1" x14ac:dyDescent="0.3">
      <c r="A41" s="3">
        <v>50</v>
      </c>
      <c r="B41" s="3" t="s">
        <v>88</v>
      </c>
      <c r="C41" s="3" t="s">
        <v>89</v>
      </c>
      <c r="D41" s="26">
        <v>45255.813888888886</v>
      </c>
      <c r="E41" s="3">
        <v>0</v>
      </c>
      <c r="F41" s="3">
        <v>4.8800000000000003E-2</v>
      </c>
      <c r="G41" s="3">
        <v>2.5314293391344401E-4</v>
      </c>
      <c r="H41" s="4">
        <v>2.08217436962644E-6</v>
      </c>
      <c r="I41" s="3">
        <v>5.1873552031443402E-3</v>
      </c>
      <c r="J41" s="3">
        <v>300</v>
      </c>
      <c r="K41" s="3">
        <v>24</v>
      </c>
      <c r="L41" s="3">
        <v>38.18</v>
      </c>
      <c r="N41" s="3">
        <f t="shared" si="0"/>
        <v>23344994129.692989</v>
      </c>
      <c r="O41" s="4">
        <f t="shared" si="12"/>
        <v>4.6777727948660214E-6</v>
      </c>
      <c r="P41" s="5">
        <f t="shared" si="2"/>
        <v>1.4033318384598064E-3</v>
      </c>
      <c r="Q41" s="39">
        <f t="shared" si="3"/>
        <v>-2.5349867667743284E-4</v>
      </c>
      <c r="S41" s="6">
        <f t="shared" si="5"/>
        <v>0.23602715114781075</v>
      </c>
      <c r="T41" s="6">
        <f t="shared" si="4"/>
        <v>0.23628029408172418</v>
      </c>
      <c r="V41" s="3">
        <f t="shared" si="6"/>
        <v>-4.5656338718112001E-5</v>
      </c>
      <c r="W41" s="3">
        <f t="shared" si="7"/>
        <v>5.79168781834941E-6</v>
      </c>
      <c r="X41" s="3">
        <f t="shared" si="8"/>
        <v>-8.1390817464592564E-9</v>
      </c>
      <c r="Z41" s="3">
        <f t="shared" si="9"/>
        <v>-1.5218432166401349E-7</v>
      </c>
      <c r="AA41" s="3">
        <f t="shared" si="10"/>
        <v>1.9305681967412358E-8</v>
      </c>
      <c r="AB41" s="3">
        <f t="shared" si="11"/>
        <v>-2.7130272732697044E-11</v>
      </c>
    </row>
    <row r="42" spans="1:28" s="3" customFormat="1" x14ac:dyDescent="0.3">
      <c r="A42" s="3">
        <v>51</v>
      </c>
      <c r="B42" s="3" t="s">
        <v>90</v>
      </c>
      <c r="C42" s="3" t="s">
        <v>91</v>
      </c>
      <c r="D42" s="26">
        <v>45255.840277777781</v>
      </c>
      <c r="E42" s="3">
        <v>0</v>
      </c>
      <c r="F42" s="3">
        <v>0</v>
      </c>
      <c r="G42" s="3">
        <v>0</v>
      </c>
      <c r="H42" s="3">
        <v>0</v>
      </c>
      <c r="I42" s="3">
        <v>5.1880357228387599E-3</v>
      </c>
      <c r="J42" s="3">
        <v>300</v>
      </c>
      <c r="K42" s="3">
        <v>24</v>
      </c>
      <c r="L42" s="3">
        <v>25.569999999999901</v>
      </c>
      <c r="N42" s="3">
        <f t="shared" si="0"/>
        <v>16639665428.141668</v>
      </c>
      <c r="O42" s="4">
        <f t="shared" si="12"/>
        <v>3.199075104492251E-6</v>
      </c>
      <c r="P42" s="5">
        <f t="shared" si="2"/>
        <v>9.5972253134767526E-4</v>
      </c>
      <c r="Q42" s="39">
        <f t="shared" si="3"/>
        <v>0</v>
      </c>
      <c r="S42" s="6">
        <f t="shared" si="5"/>
        <v>0.23628029408172418</v>
      </c>
      <c r="T42" s="6">
        <f t="shared" si="4"/>
        <v>0.23628029408172418</v>
      </c>
      <c r="V42" s="3">
        <f t="shared" si="6"/>
        <v>5.7998268528906047E-6</v>
      </c>
      <c r="W42" s="3">
        <f t="shared" si="7"/>
        <v>0</v>
      </c>
      <c r="X42" s="3">
        <f t="shared" si="8"/>
        <v>0</v>
      </c>
      <c r="Z42" s="3">
        <f t="shared" si="9"/>
        <v>1.9332812239844266E-8</v>
      </c>
      <c r="AA42" s="3">
        <f t="shared" si="10"/>
        <v>0</v>
      </c>
      <c r="AB42" s="3">
        <f t="shared" si="11"/>
        <v>0</v>
      </c>
    </row>
    <row r="43" spans="1:28" s="3" customFormat="1" x14ac:dyDescent="0.3">
      <c r="A43" s="3">
        <v>52</v>
      </c>
      <c r="B43" s="3" t="s">
        <v>92</v>
      </c>
      <c r="C43" s="3" t="s">
        <v>93</v>
      </c>
      <c r="D43" s="26">
        <v>45255.991666666669</v>
      </c>
      <c r="E43" s="3">
        <v>0</v>
      </c>
      <c r="F43" s="3">
        <v>0.14099999999999999</v>
      </c>
      <c r="G43" s="3">
        <v>7.3210792156067799E-4</v>
      </c>
      <c r="H43" s="4">
        <v>5.9941495566954502E-6</v>
      </c>
      <c r="I43" s="3">
        <v>5.1922547628416903E-3</v>
      </c>
      <c r="J43" s="3">
        <v>10800</v>
      </c>
      <c r="K43" s="3">
        <v>260</v>
      </c>
      <c r="L43" s="3">
        <v>260.01</v>
      </c>
      <c r="N43" s="3">
        <f t="shared" si="0"/>
        <v>656489643068.19043</v>
      </c>
      <c r="O43" s="4">
        <f t="shared" si="12"/>
        <v>2.2531853263003661E-4</v>
      </c>
      <c r="P43" s="5">
        <f t="shared" si="2"/>
        <v>2.4334401524043954</v>
      </c>
      <c r="Q43" s="39">
        <f t="shared" si="3"/>
        <v>5.10734906045899E-4</v>
      </c>
      <c r="S43" s="6">
        <f t="shared" si="5"/>
        <v>0.23628029408172418</v>
      </c>
      <c r="T43" s="6">
        <f t="shared" si="4"/>
        <v>0.23701240200328486</v>
      </c>
      <c r="V43" s="3">
        <f t="shared" si="6"/>
        <v>1.6750082742512563E-5</v>
      </c>
      <c r="W43" s="3">
        <f t="shared" si="7"/>
        <v>1.6750082742512563E-5</v>
      </c>
      <c r="X43" s="3">
        <f t="shared" si="8"/>
        <v>2.8435316140235268E-5</v>
      </c>
      <c r="Z43" s="3">
        <f t="shared" si="9"/>
        <v>1.5509465765455374E-9</v>
      </c>
      <c r="AA43" s="3">
        <f t="shared" si="10"/>
        <v>1.5509465765455374E-9</v>
      </c>
      <c r="AB43" s="3">
        <f t="shared" si="11"/>
        <v>2.6329370769944504E-9</v>
      </c>
    </row>
    <row r="44" spans="1:28" s="3" customFormat="1" x14ac:dyDescent="0.3">
      <c r="A44" s="3">
        <v>53</v>
      </c>
      <c r="B44" s="3" t="s">
        <v>94</v>
      </c>
      <c r="C44" s="3" t="s">
        <v>95</v>
      </c>
      <c r="D44" s="26">
        <v>45256.020138888889</v>
      </c>
      <c r="E44" s="3">
        <v>0</v>
      </c>
      <c r="F44" s="3">
        <v>0</v>
      </c>
      <c r="G44" s="3">
        <v>0</v>
      </c>
      <c r="H44" s="3">
        <v>0</v>
      </c>
      <c r="I44" s="3">
        <v>5.1929909885131296E-3</v>
      </c>
      <c r="J44" s="3">
        <v>300</v>
      </c>
      <c r="K44" s="3">
        <v>24</v>
      </c>
      <c r="L44" s="3">
        <v>29.509999999999899</v>
      </c>
      <c r="N44" s="3">
        <f t="shared" si="0"/>
        <v>18552693928.921532</v>
      </c>
      <c r="O44" s="4">
        <f t="shared" si="12"/>
        <v>3.613935471391576E-6</v>
      </c>
      <c r="P44" s="5">
        <f t="shared" si="2"/>
        <v>1.0841806414174729E-3</v>
      </c>
      <c r="Q44" s="39">
        <f t="shared" si="3"/>
        <v>0</v>
      </c>
      <c r="S44" s="6">
        <f t="shared" si="5"/>
        <v>0.23701240200328486</v>
      </c>
      <c r="T44" s="6">
        <f t="shared" si="4"/>
        <v>0.23701240200328486</v>
      </c>
      <c r="V44" s="3">
        <f t="shared" si="6"/>
        <v>-1.1685565680477106E-5</v>
      </c>
      <c r="W44" s="3">
        <f t="shared" si="7"/>
        <v>0</v>
      </c>
      <c r="X44" s="3">
        <f t="shared" si="8"/>
        <v>0</v>
      </c>
      <c r="Z44" s="3">
        <f t="shared" si="9"/>
        <v>-3.8951658015798998E-8</v>
      </c>
      <c r="AA44" s="3">
        <f t="shared" si="10"/>
        <v>0</v>
      </c>
      <c r="AB44" s="3">
        <f t="shared" si="11"/>
        <v>0</v>
      </c>
    </row>
    <row r="45" spans="1:28" s="3" customFormat="1" x14ac:dyDescent="0.3">
      <c r="A45" s="3">
        <v>54</v>
      </c>
      <c r="B45" s="3" t="s">
        <v>96</v>
      </c>
      <c r="C45" s="3" t="s">
        <v>97</v>
      </c>
      <c r="D45" s="26">
        <v>45256.072222222225</v>
      </c>
      <c r="E45" s="3">
        <v>0</v>
      </c>
      <c r="F45" s="3">
        <v>8.8900000000000007E-2</v>
      </c>
      <c r="G45" s="3">
        <v>4.6186026839365401E-4</v>
      </c>
      <c r="H45" s="4">
        <v>3.7693958784849898E-6</v>
      </c>
      <c r="I45" s="3">
        <v>5.1952786096024096E-3</v>
      </c>
      <c r="J45" s="3">
        <v>300</v>
      </c>
      <c r="K45" s="3">
        <v>24</v>
      </c>
      <c r="L45" s="3">
        <v>25</v>
      </c>
      <c r="N45" s="3">
        <f t="shared" si="0"/>
        <v>16375842691.414082</v>
      </c>
      <c r="O45" s="4">
        <f t="shared" si="12"/>
        <v>3.1423430849450778E-6</v>
      </c>
      <c r="P45" s="5">
        <f t="shared" si="2"/>
        <v>9.4270292548352338E-4</v>
      </c>
      <c r="Q45" s="39">
        <f t="shared" si="3"/>
        <v>-4.6229607625718119E-4</v>
      </c>
      <c r="S45" s="6">
        <f t="shared" si="5"/>
        <v>0.23701240200328486</v>
      </c>
      <c r="T45" s="6">
        <f t="shared" si="4"/>
        <v>0.2374742622716785</v>
      </c>
      <c r="V45" s="3">
        <f t="shared" si="6"/>
        <v>1.0567195173497226E-5</v>
      </c>
      <c r="W45" s="3">
        <f t="shared" si="7"/>
        <v>1.0567195173497226E-5</v>
      </c>
      <c r="X45" s="3">
        <f t="shared" si="8"/>
        <v>-9.9711256134969463E-9</v>
      </c>
      <c r="Z45" s="3">
        <f t="shared" si="9"/>
        <v>3.5224170022166964E-8</v>
      </c>
      <c r="AA45" s="3">
        <f t="shared" si="10"/>
        <v>3.5224170022166964E-8</v>
      </c>
      <c r="AB45" s="3">
        <f t="shared" si="11"/>
        <v>-3.3237085510594582E-11</v>
      </c>
    </row>
    <row r="46" spans="1:28" s="3" customFormat="1" x14ac:dyDescent="0.3">
      <c r="A46" s="3">
        <v>55</v>
      </c>
      <c r="B46" s="3" t="s">
        <v>98</v>
      </c>
      <c r="C46" s="3" t="s">
        <v>99</v>
      </c>
      <c r="D46" s="26">
        <v>45256.229166666664</v>
      </c>
      <c r="E46" s="3">
        <v>0</v>
      </c>
      <c r="F46" s="3">
        <v>0.29599999999999999</v>
      </c>
      <c r="G46" s="3">
        <v>1.5395610848791201E-3</v>
      </c>
      <c r="H46" s="4">
        <v>1.24802319136419E-5</v>
      </c>
      <c r="I46" s="3">
        <v>5.20121988134841E-3</v>
      </c>
      <c r="J46" s="3">
        <v>12000</v>
      </c>
      <c r="K46" s="3">
        <v>250</v>
      </c>
      <c r="L46" s="3">
        <v>250.01999999999899</v>
      </c>
      <c r="N46" s="3">
        <f t="shared" si="0"/>
        <v>600347029895.99194</v>
      </c>
      <c r="O46" s="4">
        <f t="shared" si="12"/>
        <v>2.0218751799540738E-4</v>
      </c>
      <c r="P46" s="5">
        <f t="shared" si="2"/>
        <v>2.4262502159448887</v>
      </c>
      <c r="Q46" s="39">
        <f t="shared" si="3"/>
        <v>1.0794466971275184E-3</v>
      </c>
      <c r="S46" s="6">
        <f t="shared" si="5"/>
        <v>0.2374742622716785</v>
      </c>
      <c r="T46" s="6">
        <f t="shared" si="4"/>
        <v>0.23901382335655763</v>
      </c>
      <c r="V46" s="3">
        <f t="shared" si="6"/>
        <v>4.5801764230195685E-5</v>
      </c>
      <c r="W46" s="3">
        <f t="shared" si="7"/>
        <v>3.5224970616919588E-5</v>
      </c>
      <c r="X46" s="3">
        <f t="shared" si="8"/>
        <v>5.9922579930572246E-5</v>
      </c>
      <c r="Z46" s="3">
        <f t="shared" si="9"/>
        <v>3.8169010969185986E-9</v>
      </c>
      <c r="AA46" s="3">
        <f t="shared" si="10"/>
        <v>2.9354659192306195E-9</v>
      </c>
      <c r="AB46" s="3">
        <f t="shared" si="11"/>
        <v>4.9936979466759346E-9</v>
      </c>
    </row>
    <row r="47" spans="1:28" s="3" customFormat="1" x14ac:dyDescent="0.3">
      <c r="A47" s="3">
        <v>56</v>
      </c>
      <c r="B47" s="3" t="s">
        <v>100</v>
      </c>
      <c r="C47" s="3" t="s">
        <v>101</v>
      </c>
      <c r="D47" s="26">
        <v>45256.254861111112</v>
      </c>
      <c r="E47" s="3">
        <v>0</v>
      </c>
      <c r="F47" s="3">
        <v>0</v>
      </c>
      <c r="G47" s="3">
        <v>0</v>
      </c>
      <c r="H47" s="3">
        <v>0</v>
      </c>
      <c r="I47" s="3">
        <v>5.2021539454612398E-3</v>
      </c>
      <c r="J47" s="3">
        <v>300</v>
      </c>
      <c r="K47" s="3">
        <v>24</v>
      </c>
      <c r="L47" s="3">
        <v>37.329999999999899</v>
      </c>
      <c r="N47" s="3">
        <f t="shared" si="0"/>
        <v>22837958141.309124</v>
      </c>
      <c r="O47" s="4">
        <f t="shared" si="12"/>
        <v>4.5636750370068025E-6</v>
      </c>
      <c r="P47" s="5">
        <f t="shared" si="2"/>
        <v>1.3691025111020408E-3</v>
      </c>
      <c r="Q47" s="39">
        <f t="shared" si="3"/>
        <v>0</v>
      </c>
      <c r="S47" s="6">
        <f t="shared" si="5"/>
        <v>0.23901382335655763</v>
      </c>
      <c r="T47" s="6">
        <f t="shared" si="4"/>
        <v>0.23901382335655763</v>
      </c>
      <c r="V47" s="3">
        <f t="shared" si="6"/>
        <v>-2.469908934680825E-5</v>
      </c>
      <c r="W47" s="3">
        <f t="shared" si="7"/>
        <v>0</v>
      </c>
      <c r="X47" s="3">
        <f t="shared" si="8"/>
        <v>0</v>
      </c>
      <c r="Z47" s="3">
        <f t="shared" si="9"/>
        <v>-8.2329281097984277E-8</v>
      </c>
      <c r="AA47" s="3">
        <f t="shared" si="10"/>
        <v>0</v>
      </c>
      <c r="AB47" s="3">
        <f t="shared" si="11"/>
        <v>0</v>
      </c>
    </row>
    <row r="48" spans="1:28" s="3" customFormat="1" x14ac:dyDescent="0.3">
      <c r="A48" s="3">
        <v>57</v>
      </c>
      <c r="B48" s="3" t="s">
        <v>102</v>
      </c>
      <c r="C48" s="3" t="s">
        <v>103</v>
      </c>
      <c r="D48" s="26">
        <v>45256.280555555553</v>
      </c>
      <c r="E48" s="3">
        <v>0</v>
      </c>
      <c r="F48" s="3">
        <v>0</v>
      </c>
      <c r="G48" s="3">
        <v>0</v>
      </c>
      <c r="H48" s="3">
        <v>0</v>
      </c>
      <c r="I48" s="3">
        <v>5.20311267976435E-3</v>
      </c>
      <c r="J48" s="3">
        <v>300</v>
      </c>
      <c r="K48" s="3">
        <v>24</v>
      </c>
      <c r="L48" s="3">
        <v>25</v>
      </c>
      <c r="N48" s="3">
        <f t="shared" si="0"/>
        <v>16375842691.414082</v>
      </c>
      <c r="O48" s="4">
        <f t="shared" si="12"/>
        <v>3.1423430849450778E-6</v>
      </c>
      <c r="P48" s="5">
        <f t="shared" si="2"/>
        <v>9.4270292548352338E-4</v>
      </c>
      <c r="Q48" s="39">
        <f t="shared" si="3"/>
        <v>0</v>
      </c>
      <c r="S48" s="6">
        <f t="shared" si="5"/>
        <v>0.23901382335655763</v>
      </c>
      <c r="T48" s="6">
        <f t="shared" si="4"/>
        <v>0.23901382335655763</v>
      </c>
      <c r="V48" s="3">
        <f t="shared" si="6"/>
        <v>0</v>
      </c>
      <c r="W48" s="3">
        <f t="shared" si="7"/>
        <v>0</v>
      </c>
      <c r="X48" s="3">
        <f t="shared" si="8"/>
        <v>0</v>
      </c>
      <c r="Z48" s="3">
        <f t="shared" si="9"/>
        <v>0</v>
      </c>
      <c r="AA48" s="3">
        <f t="shared" si="10"/>
        <v>0</v>
      </c>
      <c r="AB48" s="3">
        <f t="shared" si="11"/>
        <v>0</v>
      </c>
    </row>
    <row r="49" spans="1:28" s="3" customFormat="1" x14ac:dyDescent="0.3">
      <c r="A49" s="3">
        <v>58</v>
      </c>
      <c r="B49" s="3" t="s">
        <v>104</v>
      </c>
      <c r="C49" s="3" t="s">
        <v>105</v>
      </c>
      <c r="D49" s="26">
        <v>45256.755555555559</v>
      </c>
      <c r="E49" s="3">
        <v>0</v>
      </c>
      <c r="F49" s="3">
        <v>1.76</v>
      </c>
      <c r="G49" s="3">
        <v>9.21703265306811E-3</v>
      </c>
      <c r="H49" s="4">
        <v>6.8367706248850707E-5</v>
      </c>
      <c r="I49" s="3">
        <v>5.2369503710614201E-3</v>
      </c>
      <c r="J49" s="3">
        <v>7200</v>
      </c>
      <c r="K49" s="3">
        <v>310</v>
      </c>
      <c r="L49" s="3">
        <v>310.039999999999</v>
      </c>
      <c r="N49" s="3">
        <f t="shared" si="0"/>
        <v>980957605745.13623</v>
      </c>
      <c r="O49" s="4">
        <f t="shared" si="12"/>
        <v>3.6828350521997708E-4</v>
      </c>
      <c r="P49" s="5">
        <f t="shared" si="2"/>
        <v>2.651641237583835</v>
      </c>
      <c r="Q49" s="39">
        <f t="shared" si="3"/>
        <v>5.5805295020071007E-3</v>
      </c>
      <c r="S49" s="6">
        <f t="shared" si="5"/>
        <v>0.23901382335655763</v>
      </c>
      <c r="T49" s="6">
        <f t="shared" si="4"/>
        <v>0.24823085600962574</v>
      </c>
      <c r="V49" s="3">
        <f t="shared" si="6"/>
        <v>2.1089201620646709E-4</v>
      </c>
      <c r="W49" s="3">
        <f t="shared" si="7"/>
        <v>2.1089201620646709E-4</v>
      </c>
      <c r="X49" s="3">
        <f t="shared" si="8"/>
        <v>3.3857835111233221E-4</v>
      </c>
      <c r="Z49" s="3">
        <f t="shared" si="9"/>
        <v>2.9293646813159491E-8</v>
      </c>
      <c r="AA49" s="3">
        <f t="shared" si="10"/>
        <v>2.9293646813159491E-8</v>
      </c>
      <c r="AB49" s="3">
        <f t="shared" si="11"/>
        <v>4.7032733569884481E-8</v>
      </c>
    </row>
    <row r="50" spans="1:28" s="3" customFormat="1" x14ac:dyDescent="0.3">
      <c r="A50" s="3">
        <v>59</v>
      </c>
      <c r="B50" s="3" t="s">
        <v>106</v>
      </c>
      <c r="C50" s="3" t="s">
        <v>107</v>
      </c>
      <c r="D50" s="26">
        <v>45256.856944444444</v>
      </c>
      <c r="E50" s="3">
        <v>0</v>
      </c>
      <c r="F50" s="3">
        <v>0</v>
      </c>
      <c r="G50" s="3">
        <v>0</v>
      </c>
      <c r="H50" s="3">
        <v>0</v>
      </c>
      <c r="I50" s="3">
        <v>5.2492771744153703E-3</v>
      </c>
      <c r="J50" s="3">
        <v>7200</v>
      </c>
      <c r="K50" s="3">
        <v>200</v>
      </c>
      <c r="L50" s="3">
        <v>200.039999999999</v>
      </c>
      <c r="N50" s="3">
        <f t="shared" si="0"/>
        <v>362687645549.99957</v>
      </c>
      <c r="O50" s="4">
        <f t="shared" si="12"/>
        <v>1.1047507534688782E-4</v>
      </c>
      <c r="P50" s="5">
        <f t="shared" si="2"/>
        <v>0.79542054249759231</v>
      </c>
      <c r="Q50" s="39">
        <f t="shared" si="3"/>
        <v>0</v>
      </c>
      <c r="S50" s="6">
        <f t="shared" si="5"/>
        <v>0.24823085600962574</v>
      </c>
      <c r="T50" s="6">
        <f t="shared" si="4"/>
        <v>0.24823085600962574</v>
      </c>
      <c r="V50" s="3">
        <f t="shared" si="6"/>
        <v>-1.2772958137691599E-4</v>
      </c>
      <c r="W50" s="3">
        <f t="shared" si="7"/>
        <v>0</v>
      </c>
      <c r="X50" s="3">
        <f t="shared" si="8"/>
        <v>0</v>
      </c>
      <c r="Z50" s="3">
        <f t="shared" si="9"/>
        <v>-1.7739086756727782E-8</v>
      </c>
      <c r="AA50" s="3">
        <f t="shared" si="10"/>
        <v>0</v>
      </c>
      <c r="AB50" s="3">
        <f t="shared" si="11"/>
        <v>0</v>
      </c>
    </row>
    <row r="51" spans="1:28" s="3" customFormat="1" x14ac:dyDescent="0.3">
      <c r="A51" s="3">
        <v>60</v>
      </c>
      <c r="B51" s="3" t="s">
        <v>108</v>
      </c>
      <c r="C51" s="3" t="s">
        <v>109</v>
      </c>
      <c r="D51" s="26">
        <v>45257.255555555559</v>
      </c>
      <c r="E51" s="3">
        <v>0</v>
      </c>
      <c r="F51" s="3">
        <v>3.22</v>
      </c>
      <c r="G51" s="3">
        <v>1.6907560620922302E-2</v>
      </c>
      <c r="H51" s="4">
        <v>4.88548973214201E-5</v>
      </c>
      <c r="I51" s="3">
        <v>5.2507952238889204E-3</v>
      </c>
      <c r="J51" s="3">
        <v>7200</v>
      </c>
      <c r="K51" s="3">
        <v>320</v>
      </c>
      <c r="L51" s="3">
        <v>320.039999999999</v>
      </c>
      <c r="N51" s="3">
        <f t="shared" si="0"/>
        <v>1054349890459.3215</v>
      </c>
      <c r="O51" s="4">
        <f t="shared" si="12"/>
        <v>4.0262656193166196E-4</v>
      </c>
      <c r="P51" s="5">
        <f t="shared" si="2"/>
        <v>2.898911245907966</v>
      </c>
      <c r="Q51" s="39">
        <f t="shared" si="3"/>
        <v>8.9038182576236923E-3</v>
      </c>
      <c r="S51" s="6">
        <f t="shared" si="5"/>
        <v>0.24823085600962574</v>
      </c>
      <c r="T51" s="6">
        <f t="shared" si="4"/>
        <v>0.26513841663054805</v>
      </c>
      <c r="V51" s="3">
        <f t="shared" si="6"/>
        <v>3.8693816248449431E-4</v>
      </c>
      <c r="W51" s="3">
        <f t="shared" si="7"/>
        <v>3.8693816248449431E-4</v>
      </c>
      <c r="X51" s="3">
        <f t="shared" si="8"/>
        <v>5.9070659206134882E-4</v>
      </c>
      <c r="Z51" s="3">
        <f t="shared" si="9"/>
        <v>5.3751811440529732E-8</v>
      </c>
      <c r="AA51" s="3">
        <f t="shared" si="10"/>
        <v>5.3751811440529732E-8</v>
      </c>
      <c r="AB51" s="3">
        <f t="shared" si="11"/>
        <v>8.2066823324545554E-8</v>
      </c>
    </row>
    <row r="52" spans="1:28" s="3" customFormat="1" x14ac:dyDescent="0.3">
      <c r="A52" s="3">
        <v>61</v>
      </c>
      <c r="B52" s="3" t="s">
        <v>110</v>
      </c>
      <c r="C52" s="3" t="s">
        <v>111</v>
      </c>
      <c r="D52" s="26">
        <v>45257.356944444444</v>
      </c>
      <c r="E52" s="3">
        <v>0</v>
      </c>
      <c r="F52" s="3">
        <v>0</v>
      </c>
      <c r="G52" s="3">
        <v>0</v>
      </c>
      <c r="H52" s="3">
        <v>0</v>
      </c>
      <c r="I52" s="3">
        <v>5.2534158232461301E-3</v>
      </c>
      <c r="J52" s="3">
        <v>7200</v>
      </c>
      <c r="K52" s="3">
        <v>200</v>
      </c>
      <c r="L52" s="3">
        <v>200.06</v>
      </c>
      <c r="N52" s="3">
        <f t="shared" si="0"/>
        <v>362768521265.04126</v>
      </c>
      <c r="O52" s="4">
        <f t="shared" si="12"/>
        <v>1.1050438208011269E-4</v>
      </c>
      <c r="P52" s="5">
        <f t="shared" si="2"/>
        <v>0.79563155097681137</v>
      </c>
      <c r="Q52" s="39">
        <f t="shared" si="3"/>
        <v>0</v>
      </c>
      <c r="S52" s="6">
        <f t="shared" si="5"/>
        <v>0.26513841663054805</v>
      </c>
      <c r="T52" s="6">
        <f t="shared" si="4"/>
        <v>0.26513841663054805</v>
      </c>
      <c r="V52" s="3">
        <f t="shared" si="6"/>
        <v>-2.0388886807527442E-4</v>
      </c>
      <c r="W52" s="3">
        <f t="shared" si="7"/>
        <v>0</v>
      </c>
      <c r="X52" s="3">
        <f t="shared" si="8"/>
        <v>0</v>
      </c>
      <c r="Z52" s="3">
        <f t="shared" si="9"/>
        <v>-2.8315011884012562E-8</v>
      </c>
      <c r="AA52" s="3">
        <f t="shared" si="10"/>
        <v>0</v>
      </c>
      <c r="AB52" s="3">
        <f t="shared" si="11"/>
        <v>0</v>
      </c>
    </row>
    <row r="53" spans="1:28" s="3" customFormat="1" x14ac:dyDescent="0.3">
      <c r="A53" s="3">
        <v>62</v>
      </c>
      <c r="B53" s="3" t="s">
        <v>112</v>
      </c>
      <c r="C53" s="3" t="s">
        <v>113</v>
      </c>
      <c r="D53" s="26">
        <v>45257.458333333336</v>
      </c>
      <c r="E53" s="3">
        <v>0</v>
      </c>
      <c r="F53" s="3">
        <v>0.76800000000000002</v>
      </c>
      <c r="G53" s="3">
        <v>4.0375826933892597E-3</v>
      </c>
      <c r="H53" s="4">
        <v>1.10822889977962E-5</v>
      </c>
      <c r="I53" s="3">
        <v>5.2572691320172601E-3</v>
      </c>
      <c r="J53" s="3">
        <v>7200</v>
      </c>
      <c r="K53" s="3">
        <v>330</v>
      </c>
      <c r="L53" s="3">
        <v>330.02</v>
      </c>
      <c r="N53" s="3">
        <f t="shared" si="0"/>
        <v>1130369600453.2068</v>
      </c>
      <c r="O53" s="4">
        <f t="shared" si="12"/>
        <v>4.3892049865512021E-4</v>
      </c>
      <c r="P53" s="5">
        <f t="shared" si="2"/>
        <v>3.1602275903168655</v>
      </c>
      <c r="Q53" s="39">
        <f t="shared" si="3"/>
        <v>1.8690543123731796E-3</v>
      </c>
      <c r="S53" s="6">
        <f t="shared" si="5"/>
        <v>0.26513841663054805</v>
      </c>
      <c r="T53" s="6">
        <f t="shared" si="4"/>
        <v>0.26917599932393732</v>
      </c>
      <c r="V53" s="3">
        <f t="shared" si="6"/>
        <v>9.2437910399353285E-5</v>
      </c>
      <c r="W53" s="3">
        <f t="shared" si="7"/>
        <v>9.2437910399353285E-5</v>
      </c>
      <c r="X53" s="3">
        <f t="shared" si="8"/>
        <v>1.3522873059519864E-4</v>
      </c>
      <c r="Z53" s="3">
        <f t="shared" si="9"/>
        <v>1.2839192089765602E-8</v>
      </c>
      <c r="AA53" s="3">
        <f t="shared" si="10"/>
        <v>1.2839192089765602E-8</v>
      </c>
      <c r="AB53" s="3">
        <f t="shared" si="11"/>
        <v>1.8783038170057183E-8</v>
      </c>
    </row>
    <row r="54" spans="1:28" s="3" customFormat="1" x14ac:dyDescent="0.3">
      <c r="A54" s="3">
        <v>63</v>
      </c>
      <c r="B54" s="3" t="s">
        <v>114</v>
      </c>
      <c r="C54" s="3" t="s">
        <v>115</v>
      </c>
      <c r="D54" s="26">
        <v>45257.574305555558</v>
      </c>
      <c r="E54" s="3">
        <v>0</v>
      </c>
      <c r="F54" s="3">
        <v>0</v>
      </c>
      <c r="G54" s="3">
        <v>0</v>
      </c>
      <c r="H54" s="3">
        <v>0</v>
      </c>
      <c r="I54" s="3">
        <v>5.2600962927603703E-3</v>
      </c>
      <c r="J54" s="3">
        <v>7200</v>
      </c>
      <c r="K54" s="3">
        <v>200</v>
      </c>
      <c r="L54" s="3">
        <v>200.05</v>
      </c>
      <c r="N54" s="3">
        <f t="shared" si="0"/>
        <v>362728082008.29681</v>
      </c>
      <c r="O54" s="4">
        <f t="shared" si="12"/>
        <v>1.1048972802689774E-4</v>
      </c>
      <c r="P54" s="5">
        <f t="shared" si="2"/>
        <v>0.79552604179366371</v>
      </c>
      <c r="Q54" s="39">
        <f t="shared" si="3"/>
        <v>0</v>
      </c>
      <c r="S54" s="6">
        <f t="shared" si="5"/>
        <v>0.26917599932393732</v>
      </c>
      <c r="T54" s="6">
        <f t="shared" si="4"/>
        <v>0.26917599932393732</v>
      </c>
      <c r="V54" s="3">
        <f t="shared" si="6"/>
        <v>-4.2796607526754986E-5</v>
      </c>
      <c r="W54" s="3">
        <f t="shared" si="7"/>
        <v>0</v>
      </c>
      <c r="X54" s="3">
        <f t="shared" si="8"/>
        <v>0</v>
      </c>
      <c r="Z54" s="3">
        <f t="shared" si="9"/>
        <v>-5.9438460802814608E-9</v>
      </c>
      <c r="AA54" s="3">
        <f t="shared" si="10"/>
        <v>0</v>
      </c>
      <c r="AB54" s="3">
        <f t="shared" si="11"/>
        <v>0</v>
      </c>
    </row>
    <row r="55" spans="1:28" s="3" customFormat="1" x14ac:dyDescent="0.3">
      <c r="A55" s="3">
        <v>64</v>
      </c>
      <c r="B55" s="3" t="s">
        <v>116</v>
      </c>
      <c r="C55" s="3" t="s">
        <v>117</v>
      </c>
      <c r="D55" s="26">
        <v>45257.675694444442</v>
      </c>
      <c r="E55" s="3">
        <v>0</v>
      </c>
      <c r="F55" s="3">
        <v>0.77600000000000002</v>
      </c>
      <c r="G55" s="3">
        <v>4.0835853644762702E-3</v>
      </c>
      <c r="H55" s="4">
        <v>1.42494922920433E-5</v>
      </c>
      <c r="I55" s="3">
        <v>5.26235227380963E-3</v>
      </c>
      <c r="J55" s="3">
        <v>7200</v>
      </c>
      <c r="K55" s="3">
        <v>340</v>
      </c>
      <c r="L55" s="3">
        <v>340.02</v>
      </c>
      <c r="N55" s="3">
        <f t="shared" si="0"/>
        <v>1209286861641.8892</v>
      </c>
      <c r="O55" s="4">
        <f t="shared" si="12"/>
        <v>4.7735080192830363E-4</v>
      </c>
      <c r="P55" s="5">
        <f t="shared" si="2"/>
        <v>3.436925773883786</v>
      </c>
      <c r="Q55" s="39">
        <f t="shared" si="3"/>
        <v>1.675711836708167E-3</v>
      </c>
      <c r="S55" s="6">
        <f t="shared" si="5"/>
        <v>0.26917599932393732</v>
      </c>
      <c r="T55" s="6">
        <f t="shared" si="4"/>
        <v>0.2732595846884136</v>
      </c>
      <c r="V55" s="3">
        <f t="shared" si="6"/>
        <v>9.3499755474986179E-5</v>
      </c>
      <c r="W55" s="3">
        <f t="shared" si="7"/>
        <v>9.3499755474986179E-5</v>
      </c>
      <c r="X55" s="3">
        <f t="shared" si="8"/>
        <v>1.3186766822678635E-4</v>
      </c>
      <c r="Z55" s="3">
        <f t="shared" si="9"/>
        <v>1.2986684284671317E-8</v>
      </c>
      <c r="AA55" s="3">
        <f t="shared" si="10"/>
        <v>1.2986684284671317E-8</v>
      </c>
      <c r="AB55" s="3">
        <f t="shared" si="11"/>
        <v>1.8316161601695123E-8</v>
      </c>
    </row>
    <row r="56" spans="1:28" s="3" customFormat="1" x14ac:dyDescent="0.3">
      <c r="A56" s="3">
        <v>65</v>
      </c>
      <c r="B56" s="3" t="s">
        <v>118</v>
      </c>
      <c r="C56" s="3" t="s">
        <v>119</v>
      </c>
      <c r="D56" s="26">
        <v>45258.888194444444</v>
      </c>
      <c r="E56" s="3">
        <v>0</v>
      </c>
      <c r="F56" s="3">
        <v>2.2799999999999998</v>
      </c>
      <c r="G56" s="3">
        <v>1.2953762111353601E-2</v>
      </c>
      <c r="H56" s="3">
        <v>4.3608879098307901E-4</v>
      </c>
      <c r="I56" s="3">
        <v>5.68147461024281E-3</v>
      </c>
      <c r="J56" s="3">
        <v>7200</v>
      </c>
      <c r="K56" s="3">
        <v>200</v>
      </c>
      <c r="L56" s="3">
        <v>200.05</v>
      </c>
      <c r="N56" s="3">
        <f t="shared" si="0"/>
        <v>362728082008.29681</v>
      </c>
      <c r="O56" s="4">
        <f t="shared" si="12"/>
        <v>1.1048972802689774E-4</v>
      </c>
      <c r="P56" s="5">
        <f t="shared" si="2"/>
        <v>0.79552604179366371</v>
      </c>
      <c r="Q56" s="39">
        <f t="shared" si="3"/>
        <v>-6.3351647441978187E-2</v>
      </c>
      <c r="S56" s="6">
        <f t="shared" si="5"/>
        <v>0.2732595846884136</v>
      </c>
      <c r="T56" s="6">
        <f t="shared" si="4"/>
        <v>0.28621334679976718</v>
      </c>
      <c r="V56" s="3">
        <f t="shared" si="6"/>
        <v>2.5826177755870289E-4</v>
      </c>
      <c r="W56" s="3">
        <f t="shared" si="7"/>
        <v>2.9662336814449393E-4</v>
      </c>
      <c r="X56" s="3">
        <f t="shared" si="8"/>
        <v>-1.1540423828709432E-3</v>
      </c>
      <c r="Z56" s="3">
        <f t="shared" si="9"/>
        <v>3.5874324010368674E-8</v>
      </c>
      <c r="AA56" s="3">
        <f t="shared" si="10"/>
        <v>4.1203801327391948E-8</v>
      </c>
      <c r="AB56" s="3">
        <f t="shared" si="11"/>
        <v>-1.6019124831115449E-7</v>
      </c>
    </row>
    <row r="57" spans="1:28" s="3" customFormat="1" x14ac:dyDescent="0.3">
      <c r="A57" s="3">
        <v>66</v>
      </c>
      <c r="B57" s="3" t="s">
        <v>120</v>
      </c>
      <c r="C57" s="3" t="s">
        <v>121</v>
      </c>
      <c r="D57" s="26">
        <v>45258.989583333336</v>
      </c>
      <c r="E57" s="3">
        <v>0</v>
      </c>
      <c r="F57" s="3">
        <v>1.1499999999999999</v>
      </c>
      <c r="G57" s="3">
        <v>6.5470418540751101E-3</v>
      </c>
      <c r="H57" s="3">
        <v>2.14913253065044E-4</v>
      </c>
      <c r="I57" s="3">
        <v>5.6930798731087903E-3</v>
      </c>
      <c r="J57" s="3">
        <v>7200</v>
      </c>
      <c r="K57" s="3">
        <v>350</v>
      </c>
      <c r="L57" s="3">
        <v>350.03</v>
      </c>
      <c r="N57" s="3">
        <f t="shared" si="0"/>
        <v>1290997043011.0896</v>
      </c>
      <c r="O57" s="4">
        <f t="shared" si="12"/>
        <v>5.1792620481900121E-4</v>
      </c>
      <c r="P57" s="5">
        <f t="shared" si="2"/>
        <v>3.7290686746968089</v>
      </c>
      <c r="Q57" s="39">
        <f t="shared" si="3"/>
        <v>2.399002236468991E-3</v>
      </c>
      <c r="S57" s="6">
        <f t="shared" si="5"/>
        <v>0.28621334679976718</v>
      </c>
      <c r="T57" s="6">
        <f t="shared" si="4"/>
        <v>0.2927603886538423</v>
      </c>
      <c r="V57" s="3">
        <f t="shared" si="6"/>
        <v>1.5987390084723973E-3</v>
      </c>
      <c r="W57" s="3">
        <f t="shared" si="7"/>
        <v>1.4996275248862608E-4</v>
      </c>
      <c r="X57" s="3">
        <f t="shared" si="8"/>
        <v>2.0491290961696819E-4</v>
      </c>
      <c r="Z57" s="3">
        <f t="shared" si="9"/>
        <v>2.2222477158667806E-7</v>
      </c>
      <c r="AA57" s="3">
        <f t="shared" si="10"/>
        <v>2.082972194811535E-8</v>
      </c>
      <c r="AB57" s="3">
        <f t="shared" si="11"/>
        <v>2.8463042657742916E-8</v>
      </c>
    </row>
    <row r="58" spans="1:28" s="3" customFormat="1" x14ac:dyDescent="0.3">
      <c r="A58" s="3">
        <v>67</v>
      </c>
      <c r="B58" s="3" t="s">
        <v>122</v>
      </c>
      <c r="C58" s="3" t="s">
        <v>123</v>
      </c>
      <c r="D58" s="26">
        <v>45259.09097222222</v>
      </c>
      <c r="E58" s="3">
        <v>0</v>
      </c>
      <c r="F58" s="3">
        <v>0.34899999999999998</v>
      </c>
      <c r="G58" s="3">
        <v>1.9856043672468E-3</v>
      </c>
      <c r="H58" s="4">
        <v>6.0911588578130698E-5</v>
      </c>
      <c r="I58" s="3">
        <v>5.6894107944034603E-3</v>
      </c>
      <c r="J58" s="3">
        <v>7200</v>
      </c>
      <c r="K58" s="3">
        <v>200</v>
      </c>
      <c r="L58" s="3">
        <v>200.039999999999</v>
      </c>
      <c r="N58" s="3">
        <f t="shared" ref="N58:N121" si="13">(0.000304*EXP(-5580/(1.987*(L58+273))))*(199000000000000000*EXP(680/(1.987*(L58+273))))*1.17*EXP(-57/(1.987*(273+L58)))</f>
        <v>362687645549.99957</v>
      </c>
      <c r="O58" s="4">
        <f t="shared" ref="O58:O121" si="14">N58*$C$143*$C$144*(L58+273)</f>
        <v>1.1047507534688782E-4</v>
      </c>
      <c r="P58" s="5">
        <f t="shared" ref="P58:P121" si="15">O58*J58</f>
        <v>0.79542054249759231</v>
      </c>
      <c r="Q58" s="39">
        <f t="shared" ref="Q58:Q121" si="16">G58/((O58*J58)-1)</f>
        <v>-9.7057856711905265E-3</v>
      </c>
      <c r="S58" s="6">
        <f t="shared" ref="S58:S121" si="17">G57+S57</f>
        <v>0.2927603886538423</v>
      </c>
      <c r="T58" s="6">
        <f t="shared" ref="T58:T121" si="18">S58+G58</f>
        <v>0.29474599302108911</v>
      </c>
      <c r="V58" s="3">
        <f t="shared" si="6"/>
        <v>-9.470993122688193E-6</v>
      </c>
      <c r="W58" s="3">
        <f t="shared" si="7"/>
        <v>4.5487926229033975E-5</v>
      </c>
      <c r="X58" s="3">
        <f t="shared" si="8"/>
        <v>-1.7686052842213072E-4</v>
      </c>
      <c r="Z58" s="3">
        <f t="shared" si="9"/>
        <v>-1.3154094823720708E-9</v>
      </c>
      <c r="AA58" s="3">
        <f t="shared" si="10"/>
        <v>6.3179112272416397E-9</v>
      </c>
      <c r="AB58" s="3">
        <f t="shared" si="11"/>
        <v>-2.4561790339246216E-8</v>
      </c>
    </row>
    <row r="59" spans="1:28" s="3" customFormat="1" x14ac:dyDescent="0.3">
      <c r="A59" s="3">
        <v>68</v>
      </c>
      <c r="B59" s="3" t="s">
        <v>124</v>
      </c>
      <c r="C59" s="3" t="s">
        <v>125</v>
      </c>
      <c r="D59" s="26">
        <v>45259.192361111112</v>
      </c>
      <c r="E59" s="3">
        <v>0</v>
      </c>
      <c r="F59" s="3">
        <v>0.80700000000000005</v>
      </c>
      <c r="G59" s="3">
        <v>4.5878324434743796E-3</v>
      </c>
      <c r="H59" s="3">
        <v>1.24175159220957E-4</v>
      </c>
      <c r="I59" s="3">
        <v>5.6850463983573402E-3</v>
      </c>
      <c r="J59" s="3">
        <v>7200</v>
      </c>
      <c r="K59" s="3">
        <v>345</v>
      </c>
      <c r="L59" s="3">
        <v>345.02</v>
      </c>
      <c r="N59" s="3">
        <f t="shared" si="13"/>
        <v>1249764224454.4211</v>
      </c>
      <c r="O59" s="4">
        <f t="shared" si="14"/>
        <v>4.9735248980705272E-4</v>
      </c>
      <c r="P59" s="5">
        <f t="shared" si="15"/>
        <v>3.5809379266107797</v>
      </c>
      <c r="Q59" s="39">
        <f t="shared" si="16"/>
        <v>1.7775834111202363E-3</v>
      </c>
      <c r="S59" s="6">
        <f t="shared" si="17"/>
        <v>0.29474599302108911</v>
      </c>
      <c r="T59" s="6">
        <f t="shared" si="18"/>
        <v>0.2993338254645635</v>
      </c>
      <c r="V59" s="3">
        <f t="shared" si="6"/>
        <v>3.2739254857536046E-4</v>
      </c>
      <c r="W59" s="3">
        <f t="shared" si="7"/>
        <v>1.0510677783269442E-4</v>
      </c>
      <c r="X59" s="3">
        <f t="shared" si="8"/>
        <v>1.4583103421599995E-4</v>
      </c>
      <c r="Z59" s="3">
        <f t="shared" si="9"/>
        <v>4.5478632391108306E-8</v>
      </c>
      <c r="AA59" s="3">
        <f t="shared" si="10"/>
        <v>1.4598930824606352E-8</v>
      </c>
      <c r="AB59" s="3">
        <f t="shared" si="11"/>
        <v>2.0255787304876812E-8</v>
      </c>
    </row>
    <row r="60" spans="1:28" s="3" customFormat="1" x14ac:dyDescent="0.3">
      <c r="A60" s="3">
        <v>69</v>
      </c>
      <c r="B60" s="3" t="s">
        <v>126</v>
      </c>
      <c r="C60" s="3" t="s">
        <v>127</v>
      </c>
      <c r="D60" s="26">
        <v>45259.293749999997</v>
      </c>
      <c r="E60" s="3">
        <v>0</v>
      </c>
      <c r="F60" s="3">
        <v>0.314</v>
      </c>
      <c r="G60" s="3">
        <v>1.7849999999999999E-3</v>
      </c>
      <c r="H60" s="4">
        <v>4.3279362320362003E-5</v>
      </c>
      <c r="I60" s="3">
        <v>5.6847133757961703E-3</v>
      </c>
      <c r="J60" s="3">
        <v>7200</v>
      </c>
      <c r="K60" s="3">
        <v>200</v>
      </c>
      <c r="L60" s="3">
        <v>200.039999999999</v>
      </c>
      <c r="N60" s="3">
        <f t="shared" si="13"/>
        <v>362687645549.99957</v>
      </c>
      <c r="O60" s="4">
        <f t="shared" si="14"/>
        <v>1.1047507534688782E-4</v>
      </c>
      <c r="P60" s="5">
        <f t="shared" si="15"/>
        <v>0.79542054249759231</v>
      </c>
      <c r="Q60" s="39">
        <f t="shared" si="16"/>
        <v>-8.7252162157043182E-3</v>
      </c>
      <c r="S60" s="6">
        <f t="shared" si="17"/>
        <v>0.2993338254645635</v>
      </c>
      <c r="T60" s="6">
        <f t="shared" si="18"/>
        <v>0.30111882546456348</v>
      </c>
      <c r="V60" s="3">
        <f t="shared" si="6"/>
        <v>1.6993808428326514E-7</v>
      </c>
      <c r="W60" s="3">
        <f t="shared" si="7"/>
        <v>4.0898468391573161E-5</v>
      </c>
      <c r="X60" s="3">
        <f t="shared" si="8"/>
        <v>-1.5901636612250227E-4</v>
      </c>
      <c r="Z60" s="3">
        <f t="shared" si="9"/>
        <v>2.3602513709821547E-11</v>
      </c>
      <c r="AA60" s="3">
        <f t="shared" si="10"/>
        <v>5.6804589939968345E-9</v>
      </c>
      <c r="AB60" s="3">
        <f t="shared" si="11"/>
        <v>-2.2083850605594037E-8</v>
      </c>
    </row>
    <row r="61" spans="1:28" s="3" customFormat="1" x14ac:dyDescent="0.3">
      <c r="A61" s="3">
        <v>70</v>
      </c>
      <c r="B61" s="3" t="s">
        <v>128</v>
      </c>
      <c r="C61" s="3" t="s">
        <v>129</v>
      </c>
      <c r="D61" s="26">
        <v>45259.395138888889</v>
      </c>
      <c r="E61" s="3">
        <v>0</v>
      </c>
      <c r="F61" s="3">
        <v>0.64400000000000002</v>
      </c>
      <c r="G61" s="3">
        <v>3.6609554140127299E-3</v>
      </c>
      <c r="H61" s="4">
        <v>7.6066713066344103E-5</v>
      </c>
      <c r="I61" s="3">
        <v>5.6847133757961703E-3</v>
      </c>
      <c r="J61" s="3">
        <v>7200</v>
      </c>
      <c r="K61" s="3">
        <v>340</v>
      </c>
      <c r="L61" s="3">
        <v>340.02</v>
      </c>
      <c r="N61" s="3">
        <f t="shared" si="13"/>
        <v>1209286861641.8892</v>
      </c>
      <c r="O61" s="4">
        <f t="shared" si="14"/>
        <v>4.7735080192830363E-4</v>
      </c>
      <c r="P61" s="5">
        <f t="shared" si="15"/>
        <v>3.436925773883786</v>
      </c>
      <c r="Q61" s="39">
        <f t="shared" si="16"/>
        <v>1.5022843343226572E-3</v>
      </c>
      <c r="S61" s="6">
        <f t="shared" si="17"/>
        <v>0.30111882546456348</v>
      </c>
      <c r="T61" s="6">
        <f t="shared" si="18"/>
        <v>0.30477978087857621</v>
      </c>
      <c r="V61" s="3">
        <f t="shared" si="6"/>
        <v>2.8375064868956158E-4</v>
      </c>
      <c r="W61" s="3">
        <f t="shared" si="7"/>
        <v>8.3884365914613549E-5</v>
      </c>
      <c r="X61" s="3">
        <f t="shared" si="8"/>
        <v>1.1830657393325379E-4</v>
      </c>
      <c r="Z61" s="3">
        <f t="shared" si="9"/>
        <v>3.9415404655812648E-8</v>
      </c>
      <c r="AA61" s="3">
        <f t="shared" si="10"/>
        <v>1.1651095056229725E-8</v>
      </c>
      <c r="AB61" s="3">
        <f t="shared" si="11"/>
        <v>1.6432440653892543E-8</v>
      </c>
    </row>
    <row r="62" spans="1:28" s="3" customFormat="1" x14ac:dyDescent="0.3">
      <c r="A62" s="3">
        <v>71</v>
      </c>
      <c r="B62" s="3" t="s">
        <v>130</v>
      </c>
      <c r="C62" s="3" t="s">
        <v>131</v>
      </c>
      <c r="D62" s="26">
        <v>45260.03402777778</v>
      </c>
      <c r="E62" s="3">
        <v>0</v>
      </c>
      <c r="F62" s="3">
        <v>1.24</v>
      </c>
      <c r="G62" s="3">
        <v>7.0466712206128197E-3</v>
      </c>
      <c r="H62" s="4">
        <v>1.0316636014567E-5</v>
      </c>
      <c r="I62" s="3">
        <v>5.6827993714619503E-3</v>
      </c>
      <c r="J62" s="3">
        <v>7200</v>
      </c>
      <c r="K62" s="3">
        <v>200</v>
      </c>
      <c r="L62" s="3">
        <v>199.99</v>
      </c>
      <c r="N62" s="3">
        <f t="shared" si="13"/>
        <v>362485505233.92773</v>
      </c>
      <c r="O62" s="4">
        <f t="shared" si="14"/>
        <v>1.1040183254263282E-4</v>
      </c>
      <c r="P62" s="5">
        <f t="shared" si="15"/>
        <v>0.79489319430695626</v>
      </c>
      <c r="Q62" s="39">
        <f t="shared" si="16"/>
        <v>-3.435610630667537E-2</v>
      </c>
      <c r="S62" s="6">
        <f t="shared" si="17"/>
        <v>0.30477978087857621</v>
      </c>
      <c r="T62" s="6">
        <f t="shared" si="18"/>
        <v>0.31182645209918902</v>
      </c>
      <c r="V62" s="3">
        <f t="shared" si="6"/>
        <v>1.2705492286685987E-4</v>
      </c>
      <c r="W62" s="3">
        <f t="shared" si="7"/>
        <v>1.6147564473494361E-4</v>
      </c>
      <c r="X62" s="3">
        <f t="shared" si="8"/>
        <v>-6.25800253738181E-4</v>
      </c>
      <c r="Z62" s="3">
        <f t="shared" si="9"/>
        <v>1.7647638198245475E-8</v>
      </c>
      <c r="AA62" s="3">
        <f t="shared" si="10"/>
        <v>2.2428983795895722E-8</v>
      </c>
      <c r="AB62" s="3">
        <f t="shared" si="11"/>
        <v>-8.6889517001994062E-8</v>
      </c>
    </row>
    <row r="63" spans="1:28" s="3" customFormat="1" x14ac:dyDescent="0.3">
      <c r="A63" s="3">
        <v>72</v>
      </c>
      <c r="B63" s="3" t="s">
        <v>132</v>
      </c>
      <c r="C63" s="3" t="s">
        <v>133</v>
      </c>
      <c r="D63" s="26">
        <v>45260.135416666664</v>
      </c>
      <c r="E63" s="3">
        <v>0</v>
      </c>
      <c r="F63" s="3">
        <v>0.60699999999999998</v>
      </c>
      <c r="G63" s="3">
        <v>3.4448208706020799E-3</v>
      </c>
      <c r="H63" s="4">
        <v>4.64568651060176E-6</v>
      </c>
      <c r="I63" s="3">
        <v>5.6751579416838196E-3</v>
      </c>
      <c r="J63" s="3">
        <v>7200</v>
      </c>
      <c r="K63" s="3">
        <v>335</v>
      </c>
      <c r="L63" s="3">
        <v>334.99</v>
      </c>
      <c r="N63" s="3">
        <f t="shared" si="13"/>
        <v>1169250290213.8831</v>
      </c>
      <c r="O63" s="4">
        <f t="shared" si="14"/>
        <v>4.5775974742732274E-4</v>
      </c>
      <c r="P63" s="5">
        <f t="shared" si="15"/>
        <v>3.2958701814767237</v>
      </c>
      <c r="Q63" s="39">
        <f t="shared" si="16"/>
        <v>1.5004423588037288E-3</v>
      </c>
      <c r="S63" s="6">
        <f t="shared" si="17"/>
        <v>0.31182645209918902</v>
      </c>
      <c r="T63" s="6">
        <f t="shared" si="18"/>
        <v>0.31527127296979113</v>
      </c>
      <c r="V63" s="3">
        <f t="shared" si="6"/>
        <v>8.6567280424207328E-4</v>
      </c>
      <c r="W63" s="3">
        <f t="shared" si="7"/>
        <v>7.8951392756545667E-5</v>
      </c>
      <c r="X63" s="3">
        <f t="shared" si="8"/>
        <v>1.1333983222212706E-4</v>
      </c>
      <c r="Z63" s="3">
        <f t="shared" si="9"/>
        <v>1.2028440490647304E-7</v>
      </c>
      <c r="AA63" s="3">
        <f t="shared" si="10"/>
        <v>1.0965904108591774E-8</v>
      </c>
      <c r="AB63" s="3">
        <f t="shared" si="11"/>
        <v>1.5742535509210213E-8</v>
      </c>
    </row>
    <row r="64" spans="1:28" s="3" customFormat="1" x14ac:dyDescent="0.3">
      <c r="A64" s="3">
        <v>73</v>
      </c>
      <c r="B64" s="3" t="s">
        <v>134</v>
      </c>
      <c r="C64" s="3" t="s">
        <v>135</v>
      </c>
      <c r="D64" s="26">
        <v>45260.236805555556</v>
      </c>
      <c r="E64" s="3">
        <v>0</v>
      </c>
      <c r="F64" s="3">
        <v>0.23400000000000001</v>
      </c>
      <c r="G64" s="3">
        <v>1.3260832607330901E-3</v>
      </c>
      <c r="H64" s="4">
        <v>1.6928742596591299E-6</v>
      </c>
      <c r="I64" s="3">
        <v>5.6670224817653696E-3</v>
      </c>
      <c r="J64" s="3">
        <v>7200</v>
      </c>
      <c r="K64" s="3">
        <v>200</v>
      </c>
      <c r="L64" s="3">
        <v>199.99</v>
      </c>
      <c r="N64" s="3">
        <f t="shared" si="13"/>
        <v>362485505233.92773</v>
      </c>
      <c r="O64" s="4">
        <f t="shared" si="14"/>
        <v>1.1040183254263282E-4</v>
      </c>
      <c r="P64" s="5">
        <f t="shared" si="15"/>
        <v>0.79489319430695626</v>
      </c>
      <c r="Q64" s="39">
        <f t="shared" si="16"/>
        <v>-6.4653303738622103E-3</v>
      </c>
      <c r="S64" s="6">
        <f t="shared" si="17"/>
        <v>0.31527127296979113</v>
      </c>
      <c r="T64" s="6">
        <f t="shared" si="18"/>
        <v>0.31659735623052421</v>
      </c>
      <c r="V64" s="3">
        <f t="shared" si="6"/>
        <v>-3.9965660191138104E-6</v>
      </c>
      <c r="W64" s="3">
        <f t="shared" si="7"/>
        <v>3.0394726122549479E-5</v>
      </c>
      <c r="X64" s="3">
        <f t="shared" si="8"/>
        <v>-1.1779502321242506E-4</v>
      </c>
      <c r="Z64" s="3">
        <f t="shared" si="9"/>
        <v>-5.5507750455095173E-10</v>
      </c>
      <c r="AA64" s="3">
        <f t="shared" si="10"/>
        <v>4.2215538960539338E-9</v>
      </c>
      <c r="AB64" s="3">
        <f t="shared" si="11"/>
        <v>-1.6359456378271161E-8</v>
      </c>
    </row>
    <row r="65" spans="1:28" s="3" customFormat="1" x14ac:dyDescent="0.3">
      <c r="A65" s="3">
        <v>74</v>
      </c>
      <c r="B65" s="3" t="s">
        <v>136</v>
      </c>
      <c r="C65" s="3" t="s">
        <v>137</v>
      </c>
      <c r="D65" s="26">
        <v>45260.338194444441</v>
      </c>
      <c r="E65" s="3">
        <v>0</v>
      </c>
      <c r="F65" s="3">
        <v>0.54900000000000004</v>
      </c>
      <c r="G65" s="3">
        <v>3.11219769420194E-3</v>
      </c>
      <c r="H65" s="4">
        <v>4.2090336745196503E-6</v>
      </c>
      <c r="I65" s="3">
        <v>5.6688482590199199E-3</v>
      </c>
      <c r="J65" s="3">
        <v>7200</v>
      </c>
      <c r="K65" s="3">
        <v>330</v>
      </c>
      <c r="L65" s="3">
        <v>330</v>
      </c>
      <c r="N65" s="3">
        <f t="shared" si="13"/>
        <v>1130214507276.074</v>
      </c>
      <c r="O65" s="4">
        <f t="shared" si="14"/>
        <v>4.3884572083758465E-4</v>
      </c>
      <c r="P65" s="5">
        <f t="shared" si="15"/>
        <v>3.1596891900306097</v>
      </c>
      <c r="Q65" s="39">
        <f t="shared" si="16"/>
        <v>1.4410396220753553E-3</v>
      </c>
      <c r="S65" s="6">
        <f t="shared" si="17"/>
        <v>0.31659735623052421</v>
      </c>
      <c r="T65" s="6">
        <f t="shared" si="18"/>
        <v>0.31970955392472616</v>
      </c>
      <c r="V65" s="3">
        <f t="shared" si="6"/>
        <v>2.1949757178849291E-4</v>
      </c>
      <c r="W65" s="3">
        <f t="shared" si="7"/>
        <v>7.1335846408596579E-5</v>
      </c>
      <c r="X65" s="3">
        <f t="shared" si="8"/>
        <v>1.0436645411728522E-4</v>
      </c>
      <c r="Z65" s="3">
        <f t="shared" si="9"/>
        <v>3.0489120125858417E-8</v>
      </c>
      <c r="AA65" s="3">
        <f t="shared" si="10"/>
        <v>9.9081098515441886E-9</v>
      </c>
      <c r="AB65" s="3">
        <f t="shared" si="11"/>
        <v>1.4496097315916747E-8</v>
      </c>
    </row>
    <row r="66" spans="1:28" s="33" customFormat="1" x14ac:dyDescent="0.3">
      <c r="A66" s="33">
        <v>75</v>
      </c>
      <c r="B66" s="33" t="s">
        <v>138</v>
      </c>
      <c r="C66" s="33" t="s">
        <v>139</v>
      </c>
      <c r="D66" s="34">
        <v>45260.397916666669</v>
      </c>
      <c r="E66" s="33">
        <v>0</v>
      </c>
      <c r="F66" s="33">
        <v>0.17299999999999999</v>
      </c>
      <c r="G66" s="33">
        <v>9.8160483321538391E-4</v>
      </c>
      <c r="H66" s="35">
        <v>1.51963141960138E-6</v>
      </c>
      <c r="I66" s="33">
        <v>5.6740163769675401E-3</v>
      </c>
      <c r="J66" s="33">
        <v>3600</v>
      </c>
      <c r="K66" s="33">
        <v>200</v>
      </c>
      <c r="L66" s="33">
        <v>199.98</v>
      </c>
      <c r="N66" s="33">
        <f t="shared" si="13"/>
        <v>362445085565.51593</v>
      </c>
      <c r="O66" s="35">
        <f t="shared" si="14"/>
        <v>1.1038718810047663E-4</v>
      </c>
      <c r="P66" s="36">
        <f t="shared" si="15"/>
        <v>0.39739387716171587</v>
      </c>
      <c r="Q66" s="40">
        <f>Q65</f>
        <v>1.4410396220753553E-3</v>
      </c>
      <c r="S66" s="37">
        <f t="shared" si="17"/>
        <v>0.31970955392472616</v>
      </c>
      <c r="T66" s="37">
        <f t="shared" si="18"/>
        <v>0.32069115875794157</v>
      </c>
      <c r="V66" s="33">
        <f t="shared" si="6"/>
        <v>-1.0531975675848595E-5</v>
      </c>
      <c r="W66" s="33">
        <f t="shared" si="7"/>
        <v>2.2501336369671439E-5</v>
      </c>
      <c r="X66" s="33">
        <f t="shared" si="8"/>
        <v>5.5534300512816611E-5</v>
      </c>
      <c r="Z66" s="33">
        <f t="shared" si="9"/>
        <v>-2.9255333930366143E-9</v>
      </c>
      <c r="AA66" s="33">
        <f t="shared" si="10"/>
        <v>6.250441535717997E-9</v>
      </c>
      <c r="AB66" s="33">
        <f t="shared" si="11"/>
        <v>1.5426622944227783E-8</v>
      </c>
    </row>
    <row r="67" spans="1:28" x14ac:dyDescent="0.3">
      <c r="A67">
        <v>76</v>
      </c>
      <c r="B67" t="s">
        <v>140</v>
      </c>
      <c r="C67" t="s">
        <v>141</v>
      </c>
      <c r="D67" s="16">
        <v>45260.499305555553</v>
      </c>
      <c r="E67">
        <v>0</v>
      </c>
      <c r="F67">
        <v>0.90800000000000003</v>
      </c>
      <c r="G67">
        <v>5.1588246383923297E-3</v>
      </c>
      <c r="H67" s="17">
        <v>9.6689676501217104E-6</v>
      </c>
      <c r="I67">
        <v>5.6815249321501404E-3</v>
      </c>
      <c r="J67">
        <v>7200</v>
      </c>
      <c r="K67">
        <v>360</v>
      </c>
      <c r="L67">
        <v>359.99</v>
      </c>
      <c r="N67">
        <f t="shared" si="13"/>
        <v>1374953288361.3176</v>
      </c>
      <c r="O67" s="17">
        <f t="shared" si="14"/>
        <v>5.6042625281133821E-4</v>
      </c>
      <c r="P67" s="2">
        <f t="shared" si="15"/>
        <v>4.0350690202416351</v>
      </c>
      <c r="Q67" s="41">
        <f t="shared" si="16"/>
        <v>1.6997388210900103E-3</v>
      </c>
      <c r="S67" s="18">
        <f t="shared" si="17"/>
        <v>0.32069115875794157</v>
      </c>
      <c r="T67" s="18">
        <f t="shared" si="18"/>
        <v>0.32584998339633392</v>
      </c>
      <c r="V67">
        <f t="shared" si="6"/>
        <v>8.5227552227346549E-5</v>
      </c>
      <c r="W67">
        <f t="shared" si="7"/>
        <v>1.1825844429102791E-4</v>
      </c>
      <c r="X67">
        <f t="shared" si="8"/>
        <v>1.5722244922875179E-4</v>
      </c>
      <c r="Z67">
        <f t="shared" si="9"/>
        <v>1.183766448633268E-8</v>
      </c>
      <c r="AA67">
        <f t="shared" si="10"/>
        <v>1.6425755190581439E-8</v>
      </c>
      <c r="AB67">
        <f t="shared" si="11"/>
        <v>2.1838168051896737E-8</v>
      </c>
    </row>
    <row r="68" spans="1:28" s="33" customFormat="1" x14ac:dyDescent="0.3">
      <c r="A68" s="33">
        <v>77</v>
      </c>
      <c r="B68" s="33" t="s">
        <v>142</v>
      </c>
      <c r="C68" s="33" t="s">
        <v>143</v>
      </c>
      <c r="D68" s="34">
        <v>45260.559027777781</v>
      </c>
      <c r="E68" s="33">
        <v>0</v>
      </c>
      <c r="F68" s="33">
        <v>0.188</v>
      </c>
      <c r="G68" s="33">
        <v>1.06870438219218E-3</v>
      </c>
      <c r="H68" s="35">
        <v>2.2234656214199099E-6</v>
      </c>
      <c r="I68" s="33">
        <v>5.68459777761798E-3</v>
      </c>
      <c r="J68" s="33">
        <v>3600</v>
      </c>
      <c r="K68" s="33">
        <v>200</v>
      </c>
      <c r="L68" s="33">
        <v>199.99</v>
      </c>
      <c r="N68" s="33">
        <f t="shared" si="13"/>
        <v>362485505233.92773</v>
      </c>
      <c r="O68" s="35">
        <f t="shared" si="14"/>
        <v>1.1040183254263282E-4</v>
      </c>
      <c r="P68" s="36">
        <f t="shared" si="15"/>
        <v>0.39744659715347813</v>
      </c>
      <c r="Q68" s="40">
        <f>Q67</f>
        <v>1.6997388210900103E-3</v>
      </c>
      <c r="S68" s="37">
        <f t="shared" si="17"/>
        <v>0.32584998339633392</v>
      </c>
      <c r="T68" s="37">
        <f t="shared" si="18"/>
        <v>0.32691868777852612</v>
      </c>
      <c r="V68" s="33">
        <f t="shared" ref="V68:V131" si="19">(G68-Q67)/($G$139-(S68+Q67))</f>
        <v>-1.4467808243883336E-5</v>
      </c>
      <c r="W68" s="33">
        <f t="shared" ref="W68:W131" si="20">(G68)/($G$139-(S68))</f>
        <v>2.4501368851851062E-5</v>
      </c>
      <c r="X68" s="33">
        <f t="shared" ref="X68:X131" si="21">(G68+Q68)/($G$139-(S68))</f>
        <v>6.3469982157160625E-5</v>
      </c>
      <c r="Z68" s="33">
        <f t="shared" ref="Z68:Z131" si="22">-LN(1-V68)/J68</f>
        <v>-4.0188065517084653E-9</v>
      </c>
      <c r="AA68" s="33">
        <f t="shared" ref="AA68:AA131" si="23">-LN(1-W68)/J68</f>
        <v>6.8060191709289808E-9</v>
      </c>
      <c r="AB68" s="33">
        <f t="shared" ref="AB68:AB131" si="24">-LN(1-X68)/J68</f>
        <v>1.7631110128240546E-8</v>
      </c>
    </row>
    <row r="69" spans="1:28" x14ac:dyDescent="0.3">
      <c r="A69">
        <v>78</v>
      </c>
      <c r="B69" t="s">
        <v>144</v>
      </c>
      <c r="C69" t="s">
        <v>145</v>
      </c>
      <c r="D69" s="16">
        <v>45260.679166666669</v>
      </c>
      <c r="E69">
        <v>0</v>
      </c>
      <c r="F69">
        <v>1.28</v>
      </c>
      <c r="G69">
        <v>7.2727597856110599E-3</v>
      </c>
      <c r="H69" s="17">
        <v>1.6957334924048101E-5</v>
      </c>
      <c r="I69">
        <v>5.6818435825086401E-3</v>
      </c>
      <c r="J69">
        <v>7200</v>
      </c>
      <c r="K69">
        <v>370</v>
      </c>
      <c r="L69">
        <v>370</v>
      </c>
      <c r="N69">
        <f t="shared" si="13"/>
        <v>1461954711286.6245</v>
      </c>
      <c r="O69" s="17">
        <f t="shared" si="14"/>
        <v>6.0531100579052342E-4</v>
      </c>
      <c r="P69" s="2">
        <f t="shared" si="15"/>
        <v>4.358239241691769</v>
      </c>
      <c r="Q69" s="41">
        <f t="shared" si="16"/>
        <v>2.1656467160890199E-3</v>
      </c>
      <c r="S69" s="18">
        <f t="shared" si="17"/>
        <v>0.32691868777852612</v>
      </c>
      <c r="T69" s="18">
        <f t="shared" si="18"/>
        <v>0.33419144756413716</v>
      </c>
      <c r="V69">
        <f t="shared" si="19"/>
        <v>1.2777650368923644E-4</v>
      </c>
      <c r="W69">
        <f t="shared" si="20"/>
        <v>1.6674109240714455E-4</v>
      </c>
      <c r="X69">
        <f t="shared" si="21"/>
        <v>2.1639243658092832E-4</v>
      </c>
      <c r="Z69">
        <f t="shared" si="22"/>
        <v>1.7747870528074276E-8</v>
      </c>
      <c r="AA69">
        <f t="shared" si="23"/>
        <v>2.3160416006739971E-8</v>
      </c>
      <c r="AB69">
        <f t="shared" si="24"/>
        <v>3.0057757333655558E-8</v>
      </c>
    </row>
    <row r="70" spans="1:28" s="33" customFormat="1" x14ac:dyDescent="0.3">
      <c r="A70" s="33">
        <v>79</v>
      </c>
      <c r="B70" s="33" t="s">
        <v>146</v>
      </c>
      <c r="C70" s="33" t="s">
        <v>147</v>
      </c>
      <c r="D70" s="34">
        <v>45260.772916666669</v>
      </c>
      <c r="E70" s="33">
        <v>0</v>
      </c>
      <c r="F70" s="33">
        <v>0.29099999999999998</v>
      </c>
      <c r="G70" s="33">
        <v>1.6521234230141601E-3</v>
      </c>
      <c r="H70" s="35">
        <v>4.1295739110229403E-6</v>
      </c>
      <c r="I70" s="33">
        <v>5.6774000790864596E-3</v>
      </c>
      <c r="J70" s="33">
        <v>3600</v>
      </c>
      <c r="K70" s="33">
        <v>200</v>
      </c>
      <c r="L70" s="33">
        <v>199.98</v>
      </c>
      <c r="N70" s="33">
        <f t="shared" si="13"/>
        <v>362445085565.51593</v>
      </c>
      <c r="O70" s="35">
        <f t="shared" si="14"/>
        <v>1.1038718810047663E-4</v>
      </c>
      <c r="P70" s="36">
        <f t="shared" si="15"/>
        <v>0.39739387716171587</v>
      </c>
      <c r="Q70" s="40">
        <f>Q69</f>
        <v>2.1656467160890199E-3</v>
      </c>
      <c r="S70" s="37">
        <f t="shared" si="17"/>
        <v>0.33419144756413716</v>
      </c>
      <c r="T70" s="37">
        <f t="shared" si="18"/>
        <v>0.33584357098715134</v>
      </c>
      <c r="V70" s="33">
        <f t="shared" si="19"/>
        <v>-1.1775992896132979E-5</v>
      </c>
      <c r="W70" s="33">
        <f t="shared" si="20"/>
        <v>3.788421636906909E-5</v>
      </c>
      <c r="X70" s="33">
        <f t="shared" si="21"/>
        <v>8.7543840842886135E-5</v>
      </c>
      <c r="Z70" s="33">
        <f t="shared" si="22"/>
        <v>-3.271089877690508E-9</v>
      </c>
      <c r="AA70" s="33">
        <f t="shared" si="23"/>
        <v>1.0523592776146333E-8</v>
      </c>
      <c r="AB70" s="33">
        <f t="shared" si="24"/>
        <v>2.4318798063487666E-8</v>
      </c>
    </row>
    <row r="71" spans="1:28" x14ac:dyDescent="0.3">
      <c r="A71">
        <v>80</v>
      </c>
      <c r="B71" t="s">
        <v>148</v>
      </c>
      <c r="C71" t="s">
        <v>149</v>
      </c>
      <c r="D71" s="16">
        <v>45260.879166666666</v>
      </c>
      <c r="E71">
        <v>0</v>
      </c>
      <c r="F71">
        <v>1.04</v>
      </c>
      <c r="G71">
        <v>5.9029951033034902E-3</v>
      </c>
      <c r="H71" s="17">
        <v>1.50418103321677E-5</v>
      </c>
      <c r="I71">
        <v>5.6759568300995102E-3</v>
      </c>
      <c r="J71">
        <v>7200</v>
      </c>
      <c r="K71">
        <v>380</v>
      </c>
      <c r="L71">
        <v>380.01</v>
      </c>
      <c r="N71">
        <f t="shared" si="13"/>
        <v>1551540016743.7615</v>
      </c>
      <c r="O71" s="17">
        <f t="shared" si="14"/>
        <v>6.5240381424670995E-4</v>
      </c>
      <c r="P71" s="2">
        <f t="shared" si="15"/>
        <v>4.6973074625763118</v>
      </c>
      <c r="Q71" s="41">
        <f t="shared" si="16"/>
        <v>1.5965659234599436E-3</v>
      </c>
      <c r="S71" s="18">
        <f t="shared" si="17"/>
        <v>0.33584357098715134</v>
      </c>
      <c r="T71" s="18">
        <f t="shared" si="18"/>
        <v>0.34174656609045484</v>
      </c>
      <c r="V71">
        <f t="shared" si="19"/>
        <v>8.5707223254557159E-5</v>
      </c>
      <c r="W71">
        <f t="shared" si="20"/>
        <v>1.3536447276583748E-4</v>
      </c>
      <c r="X71">
        <f t="shared" si="21"/>
        <v>1.7197610816158961E-4</v>
      </c>
      <c r="Z71">
        <f t="shared" si="22"/>
        <v>1.1904291156729104E-8</v>
      </c>
      <c r="AA71">
        <f t="shared" si="23"/>
        <v>1.8801893800411967E-8</v>
      </c>
      <c r="AB71">
        <f t="shared" si="24"/>
        <v>2.3887624687236656E-8</v>
      </c>
    </row>
    <row r="72" spans="1:28" s="33" customFormat="1" x14ac:dyDescent="0.3">
      <c r="A72" s="33">
        <v>81</v>
      </c>
      <c r="B72" s="33" t="s">
        <v>150</v>
      </c>
      <c r="C72" s="33" t="s">
        <v>151</v>
      </c>
      <c r="D72" s="34">
        <v>45260.938888888886</v>
      </c>
      <c r="E72" s="33">
        <v>0</v>
      </c>
      <c r="F72" s="33">
        <v>0.216</v>
      </c>
      <c r="G72" s="33">
        <v>1.2272006046568E-3</v>
      </c>
      <c r="H72" s="35">
        <v>3.0030899182568798E-6</v>
      </c>
      <c r="I72" s="33">
        <v>5.6814842808185304E-3</v>
      </c>
      <c r="J72" s="33">
        <v>3600</v>
      </c>
      <c r="K72" s="33">
        <v>200</v>
      </c>
      <c r="L72" s="33">
        <v>199.89999999999901</v>
      </c>
      <c r="N72" s="33">
        <f t="shared" si="13"/>
        <v>362121828949.263</v>
      </c>
      <c r="O72" s="35">
        <f t="shared" si="14"/>
        <v>1.1027008197647739E-4</v>
      </c>
      <c r="P72" s="36">
        <f t="shared" si="15"/>
        <v>0.39697229511531862</v>
      </c>
      <c r="Q72" s="40">
        <f>Q71</f>
        <v>1.5965659234599436E-3</v>
      </c>
      <c r="S72" s="37">
        <f t="shared" si="17"/>
        <v>0.34174656609045484</v>
      </c>
      <c r="T72" s="37">
        <f t="shared" si="18"/>
        <v>0.34297376669511165</v>
      </c>
      <c r="V72" s="33">
        <f t="shared" si="19"/>
        <v>-8.4715539933608468E-6</v>
      </c>
      <c r="W72" s="33">
        <f t="shared" si="20"/>
        <v>2.8145348187495375E-5</v>
      </c>
      <c r="X72" s="33">
        <f t="shared" si="21"/>
        <v>6.4761940168915578E-5</v>
      </c>
      <c r="Z72" s="33">
        <f t="shared" si="22"/>
        <v>-2.3531994750015885E-9</v>
      </c>
      <c r="AA72" s="33">
        <f t="shared" si="23"/>
        <v>7.8182622986828143E-9</v>
      </c>
      <c r="AB72" s="33">
        <f t="shared" si="24"/>
        <v>1.7990010364972952E-8</v>
      </c>
    </row>
    <row r="73" spans="1:28" x14ac:dyDescent="0.3">
      <c r="A73">
        <v>82</v>
      </c>
      <c r="B73" t="s">
        <v>152</v>
      </c>
      <c r="C73" t="s">
        <v>153</v>
      </c>
      <c r="D73" s="16">
        <v>45261.040277777778</v>
      </c>
      <c r="E73">
        <v>0</v>
      </c>
      <c r="F73">
        <v>1.3</v>
      </c>
      <c r="G73">
        <v>7.40207956867075E-3</v>
      </c>
      <c r="H73" s="17">
        <v>1.6379827562623501E-5</v>
      </c>
      <c r="I73">
        <v>5.6939073605159598E-3</v>
      </c>
      <c r="J73">
        <v>7200</v>
      </c>
      <c r="K73">
        <v>390</v>
      </c>
      <c r="L73">
        <v>390</v>
      </c>
      <c r="N73">
        <f t="shared" si="13"/>
        <v>1643473994039.4634</v>
      </c>
      <c r="O73" s="17">
        <f t="shared" si="14"/>
        <v>7.0163305796345056E-4</v>
      </c>
      <c r="P73" s="2">
        <f t="shared" si="15"/>
        <v>5.0517580173368444</v>
      </c>
      <c r="Q73" s="41">
        <f t="shared" si="16"/>
        <v>1.8268809580923636E-3</v>
      </c>
      <c r="S73" s="18">
        <f t="shared" si="17"/>
        <v>0.34297376669511165</v>
      </c>
      <c r="T73" s="18">
        <f t="shared" si="18"/>
        <v>0.35037584626378238</v>
      </c>
      <c r="V73">
        <f t="shared" si="19"/>
        <v>1.331557245014642E-4</v>
      </c>
      <c r="W73">
        <f t="shared" si="20"/>
        <v>1.6976847125255574E-4</v>
      </c>
      <c r="X73">
        <f t="shared" si="21"/>
        <v>2.1166842443982476E-4</v>
      </c>
      <c r="Z73">
        <f t="shared" si="22"/>
        <v>1.8495082015553789E-8</v>
      </c>
      <c r="AA73">
        <f t="shared" si="23"/>
        <v>2.358095604871043E-8</v>
      </c>
      <c r="AB73">
        <f t="shared" si="24"/>
        <v>2.9401504078123376E-8</v>
      </c>
    </row>
    <row r="74" spans="1:28" s="33" customFormat="1" x14ac:dyDescent="0.3">
      <c r="A74" s="33">
        <v>83</v>
      </c>
      <c r="B74" s="33" t="s">
        <v>154</v>
      </c>
      <c r="C74" s="33" t="s">
        <v>155</v>
      </c>
      <c r="D74" s="34">
        <v>45261.1</v>
      </c>
      <c r="E74" s="33">
        <v>0</v>
      </c>
      <c r="F74" s="33">
        <v>0.18</v>
      </c>
      <c r="G74" s="33">
        <v>1.0262339800422499E-3</v>
      </c>
      <c r="H74" s="35">
        <v>2.1139529239902501E-6</v>
      </c>
      <c r="I74" s="33">
        <v>5.7012998891236601E-3</v>
      </c>
      <c r="J74" s="33">
        <v>3600</v>
      </c>
      <c r="K74" s="33">
        <v>200</v>
      </c>
      <c r="L74" s="33">
        <v>199.89</v>
      </c>
      <c r="N74" s="33">
        <f t="shared" si="13"/>
        <v>362081434463.02692</v>
      </c>
      <c r="O74" s="35">
        <f t="shared" si="14"/>
        <v>1.1025544988664524E-4</v>
      </c>
      <c r="P74" s="36">
        <f t="shared" si="15"/>
        <v>0.39691961959192285</v>
      </c>
      <c r="Q74" s="40">
        <f>Q73</f>
        <v>1.8268809580923636E-3</v>
      </c>
      <c r="S74" s="37">
        <f t="shared" si="17"/>
        <v>0.35037584626378238</v>
      </c>
      <c r="T74" s="37">
        <f t="shared" si="18"/>
        <v>0.35140208024382463</v>
      </c>
      <c r="V74" s="33">
        <f t="shared" si="19"/>
        <v>-1.8366918276849657E-5</v>
      </c>
      <c r="W74" s="33">
        <f t="shared" si="20"/>
        <v>2.3540919112922521E-5</v>
      </c>
      <c r="X74" s="33">
        <f t="shared" si="21"/>
        <v>6.5447986799007293E-5</v>
      </c>
      <c r="Z74" s="33">
        <f t="shared" si="22"/>
        <v>-5.1018748908800448E-9</v>
      </c>
      <c r="AA74" s="33">
        <f t="shared" si="23"/>
        <v>6.5392211679794432E-9</v>
      </c>
      <c r="AB74" s="33">
        <f t="shared" si="24"/>
        <v>1.818059128108673E-8</v>
      </c>
    </row>
    <row r="75" spans="1:28" x14ac:dyDescent="0.3">
      <c r="A75">
        <v>84</v>
      </c>
      <c r="B75" t="s">
        <v>156</v>
      </c>
      <c r="C75" t="s">
        <v>157</v>
      </c>
      <c r="D75" s="16">
        <v>45261.201388888891</v>
      </c>
      <c r="E75">
        <v>0</v>
      </c>
      <c r="F75">
        <v>1.94</v>
      </c>
      <c r="G75">
        <v>1.1063578274760301E-2</v>
      </c>
      <c r="H75" s="17">
        <v>2.2013978436276201E-5</v>
      </c>
      <c r="I75">
        <v>5.7028753993610204E-3</v>
      </c>
      <c r="J75">
        <v>7200</v>
      </c>
      <c r="K75">
        <v>400</v>
      </c>
      <c r="L75">
        <v>400</v>
      </c>
      <c r="N75">
        <f t="shared" si="13"/>
        <v>1737978528157.9001</v>
      </c>
      <c r="O75" s="17">
        <f t="shared" si="14"/>
        <v>7.5317023603828641E-4</v>
      </c>
      <c r="P75" s="2">
        <f t="shared" si="15"/>
        <v>5.4228256994756618</v>
      </c>
      <c r="Q75" s="41">
        <f t="shared" si="16"/>
        <v>2.5014728199829169E-3</v>
      </c>
      <c r="S75" s="18">
        <f t="shared" si="17"/>
        <v>0.35140208024382463</v>
      </c>
      <c r="T75" s="18">
        <f t="shared" si="18"/>
        <v>0.36246565851858492</v>
      </c>
      <c r="V75">
        <f t="shared" si="19"/>
        <v>2.11895708576634E-4</v>
      </c>
      <c r="W75">
        <f t="shared" si="20"/>
        <v>2.5379488267998553E-4</v>
      </c>
      <c r="X75">
        <f t="shared" si="21"/>
        <v>3.1117785454570334E-4</v>
      </c>
      <c r="Z75">
        <f t="shared" si="22"/>
        <v>2.9433078006128076E-8</v>
      </c>
      <c r="AA75">
        <f t="shared" si="23"/>
        <v>3.5253763062689616E-8</v>
      </c>
      <c r="AB75">
        <f t="shared" si="24"/>
        <v>4.3225872280637234E-8</v>
      </c>
    </row>
    <row r="76" spans="1:28" s="33" customFormat="1" x14ac:dyDescent="0.3">
      <c r="A76" s="33">
        <v>85</v>
      </c>
      <c r="B76" s="33" t="s">
        <v>158</v>
      </c>
      <c r="C76" s="33" t="s">
        <v>159</v>
      </c>
      <c r="D76" s="34">
        <v>45261.261111111111</v>
      </c>
      <c r="E76" s="33">
        <v>0</v>
      </c>
      <c r="F76" s="33">
        <v>6.9099999999999995E-2</v>
      </c>
      <c r="G76" s="33">
        <v>3.94068690095846E-4</v>
      </c>
      <c r="H76" s="35">
        <v>7.7686622185442998E-7</v>
      </c>
      <c r="I76" s="33">
        <v>5.7028753993610204E-3</v>
      </c>
      <c r="J76" s="33">
        <v>3600</v>
      </c>
      <c r="K76" s="33">
        <v>200</v>
      </c>
      <c r="L76" s="33">
        <v>199.97</v>
      </c>
      <c r="N76" s="33">
        <f t="shared" si="13"/>
        <v>362404668695.28052</v>
      </c>
      <c r="O76" s="35">
        <f t="shared" si="14"/>
        <v>1.1037254503106484E-4</v>
      </c>
      <c r="P76" s="36">
        <f t="shared" si="15"/>
        <v>0.39734116211183346</v>
      </c>
      <c r="Q76" s="40">
        <f>Q75</f>
        <v>2.5014728199829169E-3</v>
      </c>
      <c r="S76" s="37">
        <f t="shared" si="17"/>
        <v>0.36246565851858492</v>
      </c>
      <c r="T76" s="37">
        <f t="shared" si="18"/>
        <v>0.36285972720868076</v>
      </c>
      <c r="V76" s="33">
        <f t="shared" si="19"/>
        <v>-4.8358212451349461E-5</v>
      </c>
      <c r="W76" s="33">
        <f t="shared" si="20"/>
        <v>9.0421022584504739E-6</v>
      </c>
      <c r="X76" s="33">
        <f t="shared" si="21"/>
        <v>6.643964132586201E-5</v>
      </c>
      <c r="Z76" s="33">
        <f t="shared" si="22"/>
        <v>-1.3432512008512021E-8</v>
      </c>
      <c r="AA76" s="33">
        <f t="shared" si="23"/>
        <v>2.5117064273742126E-9</v>
      </c>
      <c r="AB76" s="33">
        <f t="shared" si="24"/>
        <v>1.8456069037956948E-8</v>
      </c>
    </row>
    <row r="77" spans="1:28" x14ac:dyDescent="0.3">
      <c r="A77">
        <v>86</v>
      </c>
      <c r="B77" t="s">
        <v>160</v>
      </c>
      <c r="C77" t="s">
        <v>161</v>
      </c>
      <c r="D77" s="16">
        <v>45261.364583333336</v>
      </c>
      <c r="E77">
        <v>0</v>
      </c>
      <c r="F77">
        <v>1.32</v>
      </c>
      <c r="G77">
        <v>7.5277955271565496E-3</v>
      </c>
      <c r="H77" s="17">
        <v>1.4706725237963801E-5</v>
      </c>
      <c r="I77">
        <v>5.7028753993610204E-3</v>
      </c>
      <c r="J77">
        <v>7200</v>
      </c>
      <c r="K77">
        <v>395</v>
      </c>
      <c r="L77">
        <v>395</v>
      </c>
      <c r="N77">
        <f t="shared" si="13"/>
        <v>1690419506605.4556</v>
      </c>
      <c r="O77" s="17">
        <f t="shared" si="14"/>
        <v>7.2711756551207477E-4</v>
      </c>
      <c r="P77" s="2">
        <f t="shared" si="15"/>
        <v>5.2352464716869385</v>
      </c>
      <c r="Q77" s="41">
        <f t="shared" si="16"/>
        <v>1.7774161616049132E-3</v>
      </c>
      <c r="S77" s="18">
        <f t="shared" si="17"/>
        <v>0.36285972720868076</v>
      </c>
      <c r="T77" s="18">
        <f t="shared" si="18"/>
        <v>0.3703875227358373</v>
      </c>
      <c r="V77">
        <f t="shared" si="19"/>
        <v>1.1533913966989117E-4</v>
      </c>
      <c r="W77">
        <f t="shared" si="20"/>
        <v>1.7273057749377706E-4</v>
      </c>
      <c r="X77">
        <f t="shared" si="21"/>
        <v>2.1351464487887468E-4</v>
      </c>
      <c r="Z77">
        <f t="shared" si="22"/>
        <v>1.6020248852770788E-8</v>
      </c>
      <c r="AA77">
        <f t="shared" si="23"/>
        <v>2.3992430158064271E-8</v>
      </c>
      <c r="AB77">
        <f t="shared" si="24"/>
        <v>2.9657978107743844E-8</v>
      </c>
    </row>
    <row r="78" spans="1:28" s="33" customFormat="1" x14ac:dyDescent="0.3">
      <c r="A78" s="33">
        <v>87</v>
      </c>
      <c r="B78" s="33" t="s">
        <v>162</v>
      </c>
      <c r="C78" s="33" t="s">
        <v>163</v>
      </c>
      <c r="D78" s="34">
        <v>45261.424305555556</v>
      </c>
      <c r="E78" s="33">
        <v>0</v>
      </c>
      <c r="F78" s="33">
        <v>0.188</v>
      </c>
      <c r="G78" s="33">
        <v>1.0721405750798701E-3</v>
      </c>
      <c r="H78" s="35">
        <v>2.07223179692625E-6</v>
      </c>
      <c r="I78" s="33">
        <v>5.7028753993610204E-3</v>
      </c>
      <c r="J78" s="33">
        <v>3600</v>
      </c>
      <c r="K78" s="33">
        <v>200</v>
      </c>
      <c r="L78" s="33">
        <v>199.98</v>
      </c>
      <c r="N78" s="33">
        <f t="shared" si="13"/>
        <v>362445085565.51593</v>
      </c>
      <c r="O78" s="35">
        <f t="shared" si="14"/>
        <v>1.1038718810047663E-4</v>
      </c>
      <c r="P78" s="36">
        <f t="shared" si="15"/>
        <v>0.39739387716171587</v>
      </c>
      <c r="Q78" s="40">
        <f>Q77</f>
        <v>1.7774161616049132E-3</v>
      </c>
      <c r="S78" s="37">
        <f t="shared" si="17"/>
        <v>0.3703875227358373</v>
      </c>
      <c r="T78" s="37">
        <f t="shared" si="18"/>
        <v>0.37145966331091718</v>
      </c>
      <c r="V78" s="33">
        <f t="shared" si="19"/>
        <v>-1.6186501797227645E-5</v>
      </c>
      <c r="W78" s="33">
        <f t="shared" si="20"/>
        <v>2.4605271725847646E-5</v>
      </c>
      <c r="X78" s="33">
        <f t="shared" si="21"/>
        <v>6.539638498349488E-5</v>
      </c>
      <c r="Z78" s="33">
        <f t="shared" si="22"/>
        <v>-4.4962141103128873E-9</v>
      </c>
      <c r="AA78" s="33">
        <f t="shared" si="23"/>
        <v>6.8348817890385682E-9</v>
      </c>
      <c r="AB78" s="33">
        <f t="shared" si="24"/>
        <v>1.8166256505639039E-8</v>
      </c>
    </row>
    <row r="79" spans="1:28" x14ac:dyDescent="0.3">
      <c r="A79">
        <v>88</v>
      </c>
      <c r="B79" t="s">
        <v>164</v>
      </c>
      <c r="C79" t="s">
        <v>165</v>
      </c>
      <c r="D79" s="16">
        <v>45261.537499999999</v>
      </c>
      <c r="E79">
        <v>0</v>
      </c>
      <c r="F79">
        <v>0.85599999999999998</v>
      </c>
      <c r="G79">
        <v>4.8816613418530301E-3</v>
      </c>
      <c r="H79" s="17">
        <v>8.1528149686445194E-6</v>
      </c>
      <c r="I79">
        <v>5.7028753993610204E-3</v>
      </c>
      <c r="J79">
        <v>7200</v>
      </c>
      <c r="K79">
        <v>390</v>
      </c>
      <c r="L79">
        <v>390</v>
      </c>
      <c r="N79">
        <f t="shared" si="13"/>
        <v>1643473994039.4634</v>
      </c>
      <c r="O79" s="17">
        <f t="shared" si="14"/>
        <v>7.0163305796345056E-4</v>
      </c>
      <c r="P79" s="2">
        <f t="shared" si="15"/>
        <v>5.0517580173368444</v>
      </c>
      <c r="Q79" s="41">
        <f t="shared" si="16"/>
        <v>1.2048254908030435E-3</v>
      </c>
      <c r="S79" s="18">
        <f t="shared" si="17"/>
        <v>0.37145966331091718</v>
      </c>
      <c r="T79" s="18">
        <f t="shared" si="18"/>
        <v>0.3763413246527702</v>
      </c>
      <c r="V79">
        <f t="shared" si="19"/>
        <v>7.1246059792669244E-5</v>
      </c>
      <c r="W79">
        <f t="shared" si="20"/>
        <v>1.1203527047383461E-4</v>
      </c>
      <c r="X79">
        <f t="shared" si="21"/>
        <v>1.3968629750813751E-4</v>
      </c>
      <c r="Z79">
        <f t="shared" si="22"/>
        <v>9.8956385991344998E-9</v>
      </c>
      <c r="AA79">
        <f t="shared" si="23"/>
        <v>1.5561325957441975E-8</v>
      </c>
      <c r="AB79">
        <f t="shared" si="24"/>
        <v>1.9402229798283307E-8</v>
      </c>
    </row>
    <row r="80" spans="1:28" s="44" customFormat="1" x14ac:dyDescent="0.3">
      <c r="A80" s="44">
        <v>89</v>
      </c>
      <c r="B80" s="44" t="s">
        <v>166</v>
      </c>
      <c r="C80" s="44" t="s">
        <v>167</v>
      </c>
      <c r="D80" s="45">
        <v>45264.61041666667</v>
      </c>
      <c r="E80" s="44">
        <v>0</v>
      </c>
      <c r="F80" s="44">
        <v>6.23</v>
      </c>
      <c r="G80" s="44">
        <v>3.5386100157034098E-2</v>
      </c>
      <c r="H80" s="44">
        <v>1.7308759051111301E-4</v>
      </c>
      <c r="I80" s="44">
        <v>5.6799518711130202E-3</v>
      </c>
      <c r="J80" s="44">
        <f>((D80-D79)*24*3600)-(30*3600)</f>
        <v>157500.0000004191</v>
      </c>
      <c r="K80" s="44">
        <v>200</v>
      </c>
      <c r="N80" s="44">
        <f t="shared" si="13"/>
        <v>7607873550.2684793</v>
      </c>
      <c r="O80" s="46">
        <f t="shared" si="14"/>
        <v>1.3373947404109301E-6</v>
      </c>
      <c r="P80" s="47">
        <f t="shared" si="15"/>
        <v>0.21063967161528199</v>
      </c>
      <c r="Q80" s="48" t="s">
        <v>313</v>
      </c>
      <c r="S80" s="49">
        <f t="shared" si="17"/>
        <v>0.3763413246527702</v>
      </c>
      <c r="T80" s="49">
        <f t="shared" si="18"/>
        <v>0.41172742480980429</v>
      </c>
      <c r="V80" s="44">
        <f t="shared" si="19"/>
        <v>7.845778493707653E-4</v>
      </c>
      <c r="W80" s="44">
        <f t="shared" si="20"/>
        <v>8.122102778283408E-4</v>
      </c>
      <c r="X80" s="44" t="e">
        <f t="shared" si="21"/>
        <v>#VALUE!</v>
      </c>
      <c r="Z80" s="44">
        <f t="shared" si="22"/>
        <v>4.9834018517454484E-9</v>
      </c>
      <c r="AA80" s="44">
        <f t="shared" si="23"/>
        <v>5.1589860273259022E-9</v>
      </c>
      <c r="AB80" s="44" t="e">
        <f t="shared" si="24"/>
        <v>#VALUE!</v>
      </c>
    </row>
    <row r="81" spans="1:28" s="19" customFormat="1" x14ac:dyDescent="0.3">
      <c r="A81" s="19">
        <v>90</v>
      </c>
      <c r="B81" s="19" t="s">
        <v>168</v>
      </c>
      <c r="C81" s="19" t="s">
        <v>169</v>
      </c>
      <c r="D81" s="20">
        <v>45264.71875</v>
      </c>
      <c r="E81" s="19">
        <v>0</v>
      </c>
      <c r="F81" s="19">
        <v>1.1399999999999999</v>
      </c>
      <c r="G81" s="19">
        <v>6.4671815410019097E-3</v>
      </c>
      <c r="H81" s="21">
        <v>3.1563619783713002E-5</v>
      </c>
      <c r="I81" s="19">
        <v>5.6729662640367697E-3</v>
      </c>
      <c r="J81" s="19">
        <v>7800</v>
      </c>
      <c r="K81" s="19">
        <v>385</v>
      </c>
      <c r="L81" s="19">
        <v>384.99</v>
      </c>
      <c r="N81" s="19">
        <f t="shared" si="13"/>
        <v>1597056428640.2705</v>
      </c>
      <c r="O81" s="21">
        <f t="shared" si="14"/>
        <v>6.7666425116476086E-4</v>
      </c>
      <c r="P81" s="22">
        <f t="shared" si="15"/>
        <v>5.2779811590851349</v>
      </c>
      <c r="Q81" s="43">
        <f t="shared" si="16"/>
        <v>1.5117367983885522E-3</v>
      </c>
      <c r="S81" s="23">
        <f t="shared" si="17"/>
        <v>0.41172742480980429</v>
      </c>
      <c r="T81" s="23">
        <f t="shared" si="18"/>
        <v>0.41819460635080619</v>
      </c>
      <c r="V81" s="19" t="e">
        <f t="shared" si="19"/>
        <v>#VALUE!</v>
      </c>
      <c r="W81" s="19">
        <f t="shared" si="20"/>
        <v>1.4856062315220524E-4</v>
      </c>
      <c r="X81" s="19">
        <f t="shared" si="21"/>
        <v>1.8328742947221611E-4</v>
      </c>
      <c r="Z81" s="19" t="e">
        <f t="shared" si="22"/>
        <v>#VALUE!</v>
      </c>
      <c r="AA81" s="19">
        <f t="shared" si="23"/>
        <v>1.9047648637766929E-8</v>
      </c>
      <c r="AB81" s="19">
        <f t="shared" si="24"/>
        <v>2.3500542136656517E-8</v>
      </c>
    </row>
    <row r="82" spans="1:28" s="33" customFormat="1" x14ac:dyDescent="0.3">
      <c r="A82" s="33">
        <v>91</v>
      </c>
      <c r="B82" s="33" t="s">
        <v>170</v>
      </c>
      <c r="C82" s="33" t="s">
        <v>171</v>
      </c>
      <c r="D82" s="34">
        <v>45264.77847222222</v>
      </c>
      <c r="E82" s="33">
        <v>0</v>
      </c>
      <c r="F82" s="33">
        <v>0</v>
      </c>
      <c r="G82" s="35">
        <v>0</v>
      </c>
      <c r="H82" s="35">
        <v>0</v>
      </c>
      <c r="I82" s="33">
        <v>5.6698843092725503E-3</v>
      </c>
      <c r="J82" s="33">
        <v>3600</v>
      </c>
      <c r="K82" s="33">
        <v>200</v>
      </c>
      <c r="L82" s="33">
        <v>199.91999999999899</v>
      </c>
      <c r="N82" s="33">
        <f t="shared" si="13"/>
        <v>362202626315.36768</v>
      </c>
      <c r="O82" s="35">
        <f t="shared" si="14"/>
        <v>1.1029935027285912E-4</v>
      </c>
      <c r="P82" s="36">
        <f t="shared" si="15"/>
        <v>0.39707766098229286</v>
      </c>
      <c r="Q82" s="40">
        <f>Q81</f>
        <v>1.5117367983885522E-3</v>
      </c>
      <c r="S82" s="37">
        <f t="shared" si="17"/>
        <v>0.41819460635080619</v>
      </c>
      <c r="T82" s="37">
        <f t="shared" si="18"/>
        <v>0.41819460635080619</v>
      </c>
      <c r="V82" s="33">
        <f t="shared" si="19"/>
        <v>-3.4733172473911056E-5</v>
      </c>
      <c r="W82" s="33">
        <f t="shared" si="20"/>
        <v>0</v>
      </c>
      <c r="X82" s="33">
        <f t="shared" si="21"/>
        <v>3.4731966122541367E-5</v>
      </c>
      <c r="Z82" s="33">
        <f t="shared" si="22"/>
        <v>-9.6479359142402526E-9</v>
      </c>
      <c r="AA82" s="33">
        <f t="shared" si="23"/>
        <v>0</v>
      </c>
      <c r="AB82" s="33">
        <f t="shared" si="24"/>
        <v>9.647935914245128E-9</v>
      </c>
    </row>
    <row r="83" spans="1:28" x14ac:dyDescent="0.3">
      <c r="A83">
        <v>92</v>
      </c>
      <c r="B83" t="s">
        <v>172</v>
      </c>
      <c r="C83" t="s">
        <v>173</v>
      </c>
      <c r="D83" s="16">
        <v>45264.893750000003</v>
      </c>
      <c r="E83">
        <v>0</v>
      </c>
      <c r="F83">
        <v>0.77200000000000002</v>
      </c>
      <c r="G83">
        <v>4.3748316803035496E-3</v>
      </c>
      <c r="H83" s="17">
        <v>1.9676215927828798E-5</v>
      </c>
      <c r="I83">
        <v>5.6668804149009704E-3</v>
      </c>
      <c r="J83">
        <v>8400</v>
      </c>
      <c r="K83">
        <v>380</v>
      </c>
      <c r="L83">
        <v>380</v>
      </c>
      <c r="N83">
        <f t="shared" si="13"/>
        <v>1551449247583.8923</v>
      </c>
      <c r="O83" s="17">
        <f t="shared" si="14"/>
        <v>6.5235565678008818E-4</v>
      </c>
      <c r="P83" s="2">
        <f t="shared" si="15"/>
        <v>5.479787516952741</v>
      </c>
      <c r="Q83" s="41">
        <f t="shared" si="16"/>
        <v>9.765712466825692E-4</v>
      </c>
      <c r="S83" s="18">
        <f t="shared" si="17"/>
        <v>0.41819460635080619</v>
      </c>
      <c r="T83" s="18">
        <f t="shared" si="18"/>
        <v>0.42256943803110975</v>
      </c>
      <c r="V83">
        <f t="shared" si="19"/>
        <v>6.5781535812800974E-5</v>
      </c>
      <c r="W83">
        <f t="shared" si="20"/>
        <v>1.0051121721326901E-4</v>
      </c>
      <c r="X83">
        <f t="shared" si="21"/>
        <v>1.2294782092112504E-4</v>
      </c>
      <c r="Z83">
        <f t="shared" si="22"/>
        <v>7.8313927991596029E-9</v>
      </c>
      <c r="AA83">
        <f t="shared" si="23"/>
        <v>1.1966222476679435E-8</v>
      </c>
      <c r="AB83">
        <f t="shared" si="24"/>
        <v>1.4637545193338146E-8</v>
      </c>
    </row>
    <row r="84" spans="1:28" x14ac:dyDescent="0.3">
      <c r="A84">
        <v>93</v>
      </c>
      <c r="B84" t="s">
        <v>174</v>
      </c>
      <c r="C84" t="s">
        <v>175</v>
      </c>
      <c r="D84" s="16">
        <v>45264.995138888888</v>
      </c>
      <c r="E84">
        <v>0</v>
      </c>
      <c r="F84">
        <v>2.71</v>
      </c>
      <c r="G84">
        <v>1.53566666666666E-2</v>
      </c>
      <c r="H84" s="17">
        <v>6.01632590967882E-5</v>
      </c>
      <c r="I84">
        <v>5.6666666666666601E-3</v>
      </c>
      <c r="J84">
        <v>7200</v>
      </c>
      <c r="K84">
        <v>410</v>
      </c>
      <c r="L84">
        <v>410.01</v>
      </c>
      <c r="N84">
        <f t="shared" si="13"/>
        <v>1835008900848.5935</v>
      </c>
      <c r="O84" s="17">
        <f t="shared" si="14"/>
        <v>8.0704716393324737E-4</v>
      </c>
      <c r="P84" s="2">
        <f t="shared" si="15"/>
        <v>5.8107395803193809</v>
      </c>
      <c r="Q84" s="41">
        <f t="shared" si="16"/>
        <v>3.1921633691190335E-3</v>
      </c>
      <c r="S84" s="18">
        <f t="shared" si="17"/>
        <v>0.42256943803110975</v>
      </c>
      <c r="T84" s="18">
        <f t="shared" si="18"/>
        <v>0.43792610469777632</v>
      </c>
      <c r="V84">
        <f t="shared" si="19"/>
        <v>3.3042153979022398E-4</v>
      </c>
      <c r="W84">
        <f t="shared" si="20"/>
        <v>3.5285298457275413E-4</v>
      </c>
      <c r="X84">
        <f t="shared" si="21"/>
        <v>4.2619991568003488E-4</v>
      </c>
      <c r="Z84">
        <f t="shared" si="22"/>
        <v>4.5899464029883536E-8</v>
      </c>
      <c r="AA84">
        <f t="shared" si="23"/>
        <v>4.9016007199308685E-8</v>
      </c>
      <c r="AB84">
        <f t="shared" si="24"/>
        <v>5.9207050649757119E-8</v>
      </c>
    </row>
    <row r="85" spans="1:28" s="33" customFormat="1" x14ac:dyDescent="0.3">
      <c r="A85" s="33">
        <v>94</v>
      </c>
      <c r="B85" s="33" t="s">
        <v>176</v>
      </c>
      <c r="C85" s="33" t="s">
        <v>177</v>
      </c>
      <c r="D85" s="34">
        <v>45265.316666666666</v>
      </c>
      <c r="E85" s="33">
        <v>0</v>
      </c>
      <c r="F85" s="33">
        <v>1.03</v>
      </c>
      <c r="G85" s="33">
        <v>5.8366666666666601E-3</v>
      </c>
      <c r="H85" s="35">
        <v>5.55769294552027E-6</v>
      </c>
      <c r="I85" s="33">
        <v>5.6666666666666601E-3</v>
      </c>
      <c r="J85" s="33">
        <v>3600</v>
      </c>
      <c r="K85" s="33">
        <v>200</v>
      </c>
      <c r="L85" s="33">
        <v>199.11</v>
      </c>
      <c r="N85" s="33">
        <f t="shared" si="13"/>
        <v>358939281504.3429</v>
      </c>
      <c r="O85" s="35">
        <f t="shared" si="14"/>
        <v>1.0911836925086749E-4</v>
      </c>
      <c r="P85" s="36">
        <f t="shared" si="15"/>
        <v>0.392826129303123</v>
      </c>
      <c r="Q85" s="40">
        <f>Q84</f>
        <v>3.1921633691190335E-3</v>
      </c>
      <c r="S85" s="37">
        <f t="shared" si="17"/>
        <v>0.43792610469777632</v>
      </c>
      <c r="T85" s="37">
        <f t="shared" si="18"/>
        <v>0.44376277136444298</v>
      </c>
      <c r="V85" s="33">
        <f t="shared" si="19"/>
        <v>6.0789152172566076E-5</v>
      </c>
      <c r="W85" s="33">
        <f t="shared" si="20"/>
        <v>1.3415751282712049E-4</v>
      </c>
      <c r="X85" s="33">
        <f t="shared" si="21"/>
        <v>2.0753033375325148E-4</v>
      </c>
      <c r="Z85" s="33">
        <f t="shared" si="22"/>
        <v>1.6886388863319635E-8</v>
      </c>
      <c r="AA85" s="33">
        <f t="shared" si="23"/>
        <v>3.7268475764209301E-8</v>
      </c>
      <c r="AB85" s="33">
        <f t="shared" si="24"/>
        <v>5.7653297542428966E-8</v>
      </c>
    </row>
    <row r="86" spans="1:28" x14ac:dyDescent="0.3">
      <c r="A86">
        <v>95</v>
      </c>
      <c r="B86" t="s">
        <v>178</v>
      </c>
      <c r="C86" t="s">
        <v>179</v>
      </c>
      <c r="D86" s="16">
        <v>45265.418055555558</v>
      </c>
      <c r="E86">
        <v>0</v>
      </c>
      <c r="F86">
        <v>4.5</v>
      </c>
      <c r="G86">
        <v>2.5499999999999998E-2</v>
      </c>
      <c r="H86" s="17">
        <v>3.4506453630292697E-5</v>
      </c>
      <c r="I86">
        <v>5.6666666666666601E-3</v>
      </c>
      <c r="J86">
        <v>7200</v>
      </c>
      <c r="K86">
        <v>420</v>
      </c>
      <c r="L86">
        <v>420.01</v>
      </c>
      <c r="N86">
        <f t="shared" si="13"/>
        <v>1934317703267.76</v>
      </c>
      <c r="O86" s="17">
        <f t="shared" si="14"/>
        <v>8.6317923906317664E-4</v>
      </c>
      <c r="P86" s="2">
        <f t="shared" si="15"/>
        <v>6.2148905212548717</v>
      </c>
      <c r="Q86" s="41">
        <f t="shared" si="16"/>
        <v>4.889843784076961E-3</v>
      </c>
      <c r="S86" s="18">
        <f t="shared" si="17"/>
        <v>0.44376277136444298</v>
      </c>
      <c r="T86" s="18">
        <f t="shared" si="18"/>
        <v>0.469262771364443</v>
      </c>
      <c r="V86">
        <f t="shared" si="19"/>
        <v>5.1285866884540098E-4</v>
      </c>
      <c r="W86">
        <f t="shared" si="20"/>
        <v>5.8620369967117623E-4</v>
      </c>
      <c r="X86">
        <f t="shared" si="21"/>
        <v>6.9861328857470629E-4</v>
      </c>
      <c r="Z86">
        <f t="shared" si="22"/>
        <v>7.1248642477020981E-8</v>
      </c>
      <c r="AA86">
        <f t="shared" si="23"/>
        <v>8.1441053366134122E-8</v>
      </c>
      <c r="AB86">
        <f t="shared" si="24"/>
        <v>9.7063532299019344E-8</v>
      </c>
    </row>
    <row r="87" spans="1:28" s="33" customFormat="1" x14ac:dyDescent="0.3">
      <c r="A87" s="33">
        <v>96</v>
      </c>
      <c r="B87" s="33" t="s">
        <v>180</v>
      </c>
      <c r="C87" s="33" t="s">
        <v>181</v>
      </c>
      <c r="D87" s="34">
        <v>45265.49722222222</v>
      </c>
      <c r="E87" s="33">
        <v>0</v>
      </c>
      <c r="F87" s="33">
        <v>0.38600000000000001</v>
      </c>
      <c r="G87" s="33">
        <v>2.1873333333333302E-3</v>
      </c>
      <c r="H87" s="35">
        <v>3.7946190498202502E-6</v>
      </c>
      <c r="I87" s="33">
        <v>5.6666666666666601E-3</v>
      </c>
      <c r="J87" s="33">
        <v>3600</v>
      </c>
      <c r="K87" s="33">
        <v>200</v>
      </c>
      <c r="L87" s="33">
        <v>199.909999999999</v>
      </c>
      <c r="N87" s="33">
        <f t="shared" si="13"/>
        <v>362162226233.36499</v>
      </c>
      <c r="O87" s="35">
        <f t="shared" si="14"/>
        <v>1.1028471543852722E-4</v>
      </c>
      <c r="P87" s="36">
        <f t="shared" si="15"/>
        <v>0.39702497557869798</v>
      </c>
      <c r="Q87" s="40">
        <f>Q86</f>
        <v>4.889843784076961E-3</v>
      </c>
      <c r="S87" s="37">
        <f t="shared" si="17"/>
        <v>0.469262771364443</v>
      </c>
      <c r="T87" s="37">
        <f t="shared" si="18"/>
        <v>0.47145010469777632</v>
      </c>
      <c r="V87" s="33">
        <f t="shared" si="19"/>
        <v>-6.216977084868742E-5</v>
      </c>
      <c r="W87" s="33">
        <f t="shared" si="20"/>
        <v>5.031274419969574E-5</v>
      </c>
      <c r="X87" s="33">
        <f t="shared" si="21"/>
        <v>1.6278826667062078E-4</v>
      </c>
      <c r="Z87" s="33">
        <f t="shared" si="22"/>
        <v>-1.7268843996835727E-8</v>
      </c>
      <c r="AA87" s="33">
        <f t="shared" si="23"/>
        <v>1.3976113868947955E-8</v>
      </c>
      <c r="AB87" s="33">
        <f t="shared" si="24"/>
        <v>4.5222643921839393E-8</v>
      </c>
    </row>
    <row r="88" spans="1:28" x14ac:dyDescent="0.3">
      <c r="A88">
        <v>97</v>
      </c>
      <c r="B88" t="s">
        <v>182</v>
      </c>
      <c r="C88" t="s">
        <v>183</v>
      </c>
      <c r="D88" s="16">
        <v>45265.602083333331</v>
      </c>
      <c r="E88">
        <v>0</v>
      </c>
      <c r="F88">
        <v>9.66</v>
      </c>
      <c r="G88">
        <v>5.4740659351192003E-2</v>
      </c>
      <c r="H88">
        <v>1.01755118091523E-4</v>
      </c>
      <c r="I88">
        <v>5.6667349224836404E-3</v>
      </c>
      <c r="J88">
        <v>7200</v>
      </c>
      <c r="K88">
        <v>430</v>
      </c>
      <c r="L88">
        <v>430</v>
      </c>
      <c r="N88">
        <f t="shared" si="13"/>
        <v>2035843202309.137</v>
      </c>
      <c r="O88" s="17">
        <f t="shared" si="14"/>
        <v>9.2158061179115178E-4</v>
      </c>
      <c r="P88" s="2">
        <f t="shared" si="15"/>
        <v>6.635380404896293</v>
      </c>
      <c r="Q88" s="41">
        <f t="shared" si="16"/>
        <v>9.7137469732532442E-3</v>
      </c>
      <c r="S88" s="18">
        <f t="shared" si="17"/>
        <v>0.47145010469777632</v>
      </c>
      <c r="T88" s="18">
        <f t="shared" si="18"/>
        <v>0.52619076404896836</v>
      </c>
      <c r="V88">
        <f t="shared" si="19"/>
        <v>1.1468483812570433E-3</v>
      </c>
      <c r="W88">
        <f t="shared" si="20"/>
        <v>1.2592005641037273E-3</v>
      </c>
      <c r="X88">
        <f t="shared" si="21"/>
        <v>1.4826460945970498E-3</v>
      </c>
      <c r="Z88">
        <f t="shared" si="22"/>
        <v>1.593759048745007E-7</v>
      </c>
      <c r="AA88">
        <f t="shared" si="23"/>
        <v>1.749991699009548E-7</v>
      </c>
      <c r="AB88">
        <f t="shared" si="24"/>
        <v>2.0607587526821491E-7</v>
      </c>
    </row>
    <row r="89" spans="1:28" s="33" customFormat="1" x14ac:dyDescent="0.3">
      <c r="A89" s="33">
        <v>98</v>
      </c>
      <c r="B89" s="33" t="s">
        <v>184</v>
      </c>
      <c r="C89" s="33" t="s">
        <v>185</v>
      </c>
      <c r="D89" s="34">
        <v>45265.661805555559</v>
      </c>
      <c r="E89" s="33">
        <v>0</v>
      </c>
      <c r="F89" s="33">
        <v>0.6</v>
      </c>
      <c r="G89" s="33">
        <v>3.4007820189490899E-3</v>
      </c>
      <c r="H89" s="35">
        <v>6.2653839642172199E-6</v>
      </c>
      <c r="I89" s="33">
        <v>5.6679700315818201E-3</v>
      </c>
      <c r="J89" s="33">
        <v>3600</v>
      </c>
      <c r="K89" s="33">
        <v>200</v>
      </c>
      <c r="L89" s="33">
        <v>199.89999999999901</v>
      </c>
      <c r="N89" s="33">
        <f t="shared" si="13"/>
        <v>362121828949.263</v>
      </c>
      <c r="O89" s="35">
        <f t="shared" si="14"/>
        <v>1.1027008197647739E-4</v>
      </c>
      <c r="P89" s="36">
        <f t="shared" si="15"/>
        <v>0.39697229511531862</v>
      </c>
      <c r="Q89" s="40">
        <f>Q88</f>
        <v>9.7137469732532442E-3</v>
      </c>
      <c r="S89" s="37">
        <f t="shared" si="17"/>
        <v>0.52619076404896836</v>
      </c>
      <c r="T89" s="37">
        <f t="shared" si="18"/>
        <v>0.52959154606791747</v>
      </c>
      <c r="V89" s="33">
        <f t="shared" si="19"/>
        <v>-1.4543289409937708E-4</v>
      </c>
      <c r="W89" s="33">
        <f t="shared" si="20"/>
        <v>7.8326891171956171E-5</v>
      </c>
      <c r="X89" s="33">
        <f t="shared" si="21"/>
        <v>3.0205413914212827E-4</v>
      </c>
      <c r="Z89" s="33">
        <f t="shared" si="22"/>
        <v>-4.0395088822549374E-8</v>
      </c>
      <c r="AA89" s="33">
        <f t="shared" si="23"/>
        <v>2.175832191196177E-8</v>
      </c>
      <c r="AB89" s="33">
        <f t="shared" si="24"/>
        <v>8.3916601856053337E-8</v>
      </c>
    </row>
    <row r="90" spans="1:28" x14ac:dyDescent="0.3">
      <c r="A90">
        <v>99</v>
      </c>
      <c r="B90" t="s">
        <v>186</v>
      </c>
      <c r="C90" t="s">
        <v>187</v>
      </c>
      <c r="D90" s="16">
        <v>45265.773611111108</v>
      </c>
      <c r="E90">
        <v>0</v>
      </c>
      <c r="F90">
        <v>19.8</v>
      </c>
      <c r="G90">
        <v>0.112310653544161</v>
      </c>
      <c r="H90">
        <v>2.0065094954420601E-4</v>
      </c>
      <c r="I90">
        <v>5.6722552295031103E-3</v>
      </c>
      <c r="J90">
        <v>7200</v>
      </c>
      <c r="K90">
        <v>440</v>
      </c>
      <c r="L90">
        <v>440.01</v>
      </c>
      <c r="N90">
        <f t="shared" si="13"/>
        <v>2139838022805.6277</v>
      </c>
      <c r="O90" s="17">
        <f t="shared" si="14"/>
        <v>9.8244941725195612E-4</v>
      </c>
      <c r="P90" s="2">
        <f t="shared" si="15"/>
        <v>7.0736358042140841</v>
      </c>
      <c r="Q90" s="41">
        <f t="shared" si="16"/>
        <v>1.8491502810595962E-2</v>
      </c>
      <c r="S90" s="18">
        <f t="shared" si="17"/>
        <v>0.52959154606791747</v>
      </c>
      <c r="T90" s="18">
        <f t="shared" si="18"/>
        <v>0.64190219961207851</v>
      </c>
      <c r="V90">
        <f t="shared" si="19"/>
        <v>2.363728330854012E-3</v>
      </c>
      <c r="W90">
        <f t="shared" si="20"/>
        <v>2.5869442321973853E-3</v>
      </c>
      <c r="X90">
        <f t="shared" si="21"/>
        <v>3.0128743201362244E-3</v>
      </c>
      <c r="Z90">
        <f t="shared" si="22"/>
        <v>3.2868421481955921E-7</v>
      </c>
      <c r="AA90">
        <f t="shared" si="23"/>
        <v>3.5976335479161759E-7</v>
      </c>
      <c r="AB90">
        <f t="shared" si="24"/>
        <v>4.1908641152598981E-7</v>
      </c>
    </row>
    <row r="91" spans="1:28" s="33" customFormat="1" x14ac:dyDescent="0.3">
      <c r="A91" s="33">
        <v>100</v>
      </c>
      <c r="B91" s="33" t="s">
        <v>188</v>
      </c>
      <c r="C91" s="33" t="s">
        <v>189</v>
      </c>
      <c r="D91" s="34">
        <v>45265.832638888889</v>
      </c>
      <c r="E91" s="33">
        <v>0</v>
      </c>
      <c r="F91" s="33">
        <v>0.77100000000000002</v>
      </c>
      <c r="G91" s="33">
        <v>4.37486013232958E-3</v>
      </c>
      <c r="H91" s="35">
        <v>7.7058278123875401E-6</v>
      </c>
      <c r="I91" s="33">
        <v>5.6742673571071097E-3</v>
      </c>
      <c r="J91" s="33">
        <v>3600</v>
      </c>
      <c r="K91" s="33">
        <v>200</v>
      </c>
      <c r="L91" s="33">
        <v>199.89</v>
      </c>
      <c r="N91" s="33">
        <f t="shared" si="13"/>
        <v>362081434463.02692</v>
      </c>
      <c r="O91" s="35">
        <f t="shared" si="14"/>
        <v>1.1025544988664524E-4</v>
      </c>
      <c r="P91" s="36">
        <f t="shared" si="15"/>
        <v>0.39691961959192285</v>
      </c>
      <c r="Q91" s="40">
        <f>Q90</f>
        <v>1.8491502810595962E-2</v>
      </c>
      <c r="S91" s="37">
        <f t="shared" si="17"/>
        <v>0.64190219961207851</v>
      </c>
      <c r="T91" s="37">
        <f t="shared" si="18"/>
        <v>0.64627705974440808</v>
      </c>
      <c r="V91" s="33">
        <f t="shared" si="19"/>
        <v>-3.2614294153804184E-4</v>
      </c>
      <c r="W91" s="33">
        <f t="shared" si="20"/>
        <v>1.0103113600862052E-4</v>
      </c>
      <c r="X91" s="33">
        <f t="shared" si="21"/>
        <v>5.2806593916844113E-4</v>
      </c>
      <c r="Z91" s="33">
        <f t="shared" si="22"/>
        <v>-9.0580491247183102E-8</v>
      </c>
      <c r="AA91" s="33">
        <f t="shared" si="23"/>
        <v>2.8065622221546103E-8</v>
      </c>
      <c r="AB91" s="33">
        <f t="shared" si="24"/>
        <v>1.4672372641397327E-7</v>
      </c>
    </row>
    <row r="92" spans="1:28" x14ac:dyDescent="0.3">
      <c r="A92">
        <v>101</v>
      </c>
      <c r="B92" t="s">
        <v>190</v>
      </c>
      <c r="C92" t="s">
        <v>191</v>
      </c>
      <c r="D92" s="16">
        <v>45265.970138888886</v>
      </c>
      <c r="E92">
        <v>0</v>
      </c>
      <c r="F92">
        <v>25.5</v>
      </c>
      <c r="G92">
        <v>0.144903734970903</v>
      </c>
      <c r="H92">
        <v>2.4206178889E-4</v>
      </c>
      <c r="I92">
        <v>5.6824994106236502E-3</v>
      </c>
      <c r="J92">
        <v>7200</v>
      </c>
      <c r="K92">
        <v>450</v>
      </c>
      <c r="L92">
        <v>450.01</v>
      </c>
      <c r="N92">
        <f t="shared" si="13"/>
        <v>2245937385639.2676</v>
      </c>
      <c r="O92" s="17">
        <f t="shared" si="14"/>
        <v>1.0456242017646165E-3</v>
      </c>
      <c r="P92" s="2">
        <f t="shared" si="15"/>
        <v>7.5284942527052392</v>
      </c>
      <c r="Q92" s="41">
        <f t="shared" si="16"/>
        <v>2.219558283456536E-2</v>
      </c>
      <c r="S92" s="18">
        <f t="shared" si="17"/>
        <v>0.64627705974440808</v>
      </c>
      <c r="T92" s="18">
        <f t="shared" si="18"/>
        <v>0.79118079471531111</v>
      </c>
      <c r="V92">
        <f t="shared" si="19"/>
        <v>2.9208520567889692E-3</v>
      </c>
      <c r="W92">
        <f t="shared" si="20"/>
        <v>3.3466825766068245E-3</v>
      </c>
      <c r="X92">
        <f t="shared" si="21"/>
        <v>3.8593096000923768E-3</v>
      </c>
      <c r="Z92">
        <f t="shared" si="22"/>
        <v>4.062675096795709E-7</v>
      </c>
      <c r="AA92">
        <f t="shared" si="23"/>
        <v>4.6559656177578832E-7</v>
      </c>
      <c r="AB92">
        <f t="shared" si="24"/>
        <v>5.3705221549340421E-7</v>
      </c>
    </row>
    <row r="93" spans="1:28" x14ac:dyDescent="0.3">
      <c r="A93">
        <v>102</v>
      </c>
      <c r="B93" t="s">
        <v>192</v>
      </c>
      <c r="C93" t="s">
        <v>193</v>
      </c>
      <c r="D93" s="16">
        <v>45266.071527777778</v>
      </c>
      <c r="E93">
        <v>0</v>
      </c>
      <c r="F93">
        <v>14.5</v>
      </c>
      <c r="G93">
        <v>8.2520248693746495E-2</v>
      </c>
      <c r="H93">
        <v>1.30644049772783E-4</v>
      </c>
      <c r="I93">
        <v>5.6910516340514796E-3</v>
      </c>
      <c r="J93">
        <v>7200</v>
      </c>
      <c r="K93">
        <v>445</v>
      </c>
      <c r="L93">
        <v>445</v>
      </c>
      <c r="N93">
        <f t="shared" si="13"/>
        <v>2192509245352.3804</v>
      </c>
      <c r="O93" s="17">
        <f t="shared" si="14"/>
        <v>1.0136769142346279E-3</v>
      </c>
      <c r="P93" s="2">
        <f t="shared" si="15"/>
        <v>7.2984737824893209</v>
      </c>
      <c r="Q93" s="41">
        <f t="shared" si="16"/>
        <v>1.310162613094697E-2</v>
      </c>
      <c r="S93" s="18">
        <f t="shared" si="17"/>
        <v>0.79118079471531111</v>
      </c>
      <c r="T93" s="18">
        <f t="shared" si="18"/>
        <v>0.87370104340905763</v>
      </c>
      <c r="V93">
        <f t="shared" si="19"/>
        <v>1.3986504435280472E-3</v>
      </c>
      <c r="W93">
        <f t="shared" si="20"/>
        <v>1.9122794341937383E-3</v>
      </c>
      <c r="X93">
        <f t="shared" si="21"/>
        <v>2.2158894038835628E-3</v>
      </c>
      <c r="Z93">
        <f t="shared" si="22"/>
        <v>1.9439298167243034E-7</v>
      </c>
      <c r="AA93">
        <f t="shared" si="23"/>
        <v>2.6584863539004283E-7</v>
      </c>
      <c r="AB93">
        <f t="shared" si="24"/>
        <v>3.0810390550577686E-7</v>
      </c>
    </row>
    <row r="94" spans="1:28" x14ac:dyDescent="0.3">
      <c r="A94">
        <v>103</v>
      </c>
      <c r="B94" t="s">
        <v>194</v>
      </c>
      <c r="C94" t="s">
        <v>195</v>
      </c>
      <c r="D94" s="16">
        <v>45266.192361111112</v>
      </c>
      <c r="E94">
        <v>0</v>
      </c>
      <c r="F94">
        <v>8.9499999999999993</v>
      </c>
      <c r="G94">
        <v>5.0952623172615799E-2</v>
      </c>
      <c r="H94" s="17">
        <v>7.9286635103197802E-5</v>
      </c>
      <c r="I94">
        <v>5.6930305220799704E-3</v>
      </c>
      <c r="J94">
        <v>7200</v>
      </c>
      <c r="K94">
        <v>440</v>
      </c>
      <c r="L94">
        <v>440</v>
      </c>
      <c r="N94">
        <f t="shared" si="13"/>
        <v>2139733018732.5808</v>
      </c>
      <c r="O94" s="17">
        <f t="shared" si="14"/>
        <v>9.8238742921440245E-4</v>
      </c>
      <c r="P94" s="2">
        <f t="shared" si="15"/>
        <v>7.0731894903436974</v>
      </c>
      <c r="Q94" s="41">
        <f t="shared" si="16"/>
        <v>8.3897634436781356E-3</v>
      </c>
      <c r="S94" s="18">
        <f t="shared" si="17"/>
        <v>0.87370104340905763</v>
      </c>
      <c r="T94" s="18">
        <f t="shared" si="18"/>
        <v>0.92465366658167347</v>
      </c>
      <c r="V94">
        <f t="shared" si="19"/>
        <v>8.790864103663306E-4</v>
      </c>
      <c r="W94">
        <f t="shared" si="20"/>
        <v>1.1830106687666406E-3</v>
      </c>
      <c r="X94">
        <f t="shared" si="21"/>
        <v>1.3778029884608663E-3</v>
      </c>
      <c r="Z94">
        <f t="shared" si="22"/>
        <v>1.2214903242011352E-7</v>
      </c>
      <c r="AA94">
        <f t="shared" si="23"/>
        <v>1.6440430253584975E-7</v>
      </c>
      <c r="AB94">
        <f t="shared" si="24"/>
        <v>1.9149347663152795E-7</v>
      </c>
    </row>
    <row r="95" spans="1:28" x14ac:dyDescent="0.3">
      <c r="A95">
        <v>104</v>
      </c>
      <c r="B95" t="s">
        <v>196</v>
      </c>
      <c r="C95" t="s">
        <v>197</v>
      </c>
      <c r="D95" s="16">
        <v>45266.300694444442</v>
      </c>
      <c r="E95">
        <v>0</v>
      </c>
      <c r="F95">
        <v>5.37</v>
      </c>
      <c r="G95">
        <v>3.0513700060832E-2</v>
      </c>
      <c r="H95" s="17">
        <v>4.7591366285723803E-5</v>
      </c>
      <c r="I95">
        <v>5.6822532701735701E-3</v>
      </c>
      <c r="J95">
        <v>7800</v>
      </c>
      <c r="K95">
        <v>435</v>
      </c>
      <c r="L95">
        <v>435</v>
      </c>
      <c r="N95">
        <f t="shared" si="13"/>
        <v>2087508643565.7861</v>
      </c>
      <c r="O95" s="17">
        <f t="shared" si="14"/>
        <v>9.5168936979150138E-4</v>
      </c>
      <c r="P95" s="2">
        <f t="shared" si="15"/>
        <v>7.4231770843737106</v>
      </c>
      <c r="Q95" s="41">
        <f t="shared" si="16"/>
        <v>4.7505618574748085E-3</v>
      </c>
      <c r="S95" s="18">
        <f t="shared" si="17"/>
        <v>0.92465366658167347</v>
      </c>
      <c r="T95" s="18">
        <f t="shared" si="18"/>
        <v>0.95516736664250546</v>
      </c>
      <c r="V95">
        <f t="shared" si="19"/>
        <v>5.1437908806237242E-4</v>
      </c>
      <c r="W95">
        <f t="shared" si="20"/>
        <v>7.0930180631611139E-4</v>
      </c>
      <c r="X95">
        <f t="shared" si="21"/>
        <v>8.1973030563955356E-4</v>
      </c>
      <c r="Z95">
        <f t="shared" si="22"/>
        <v>6.596300338061991E-8</v>
      </c>
      <c r="AA95">
        <f t="shared" si="23"/>
        <v>9.096839485355269E-8</v>
      </c>
      <c r="AB95">
        <f t="shared" si="24"/>
        <v>1.0513672669840135E-7</v>
      </c>
    </row>
    <row r="96" spans="1:28" x14ac:dyDescent="0.3">
      <c r="A96">
        <v>105</v>
      </c>
      <c r="B96" t="s">
        <v>198</v>
      </c>
      <c r="C96" t="s">
        <v>199</v>
      </c>
      <c r="D96" s="16">
        <v>45266.438194444447</v>
      </c>
      <c r="E96">
        <v>0</v>
      </c>
      <c r="F96">
        <v>3.3</v>
      </c>
      <c r="G96">
        <v>1.8729729729729701E-2</v>
      </c>
      <c r="H96" s="17">
        <v>2.93883145395909E-5</v>
      </c>
      <c r="I96">
        <v>5.6756756756756697E-3</v>
      </c>
      <c r="J96">
        <v>8400</v>
      </c>
      <c r="K96">
        <v>430</v>
      </c>
      <c r="L96">
        <v>430</v>
      </c>
      <c r="N96">
        <f t="shared" si="13"/>
        <v>2035843202309.137</v>
      </c>
      <c r="O96" s="17">
        <f t="shared" si="14"/>
        <v>9.2158061179115178E-4</v>
      </c>
      <c r="P96" s="2">
        <f t="shared" si="15"/>
        <v>7.7412771390456747</v>
      </c>
      <c r="Q96" s="41">
        <f t="shared" si="16"/>
        <v>2.7783651885851953E-3</v>
      </c>
      <c r="S96" s="18">
        <f t="shared" si="17"/>
        <v>0.95516736664250546</v>
      </c>
      <c r="T96" s="18">
        <f t="shared" si="18"/>
        <v>0.9738970963722352</v>
      </c>
      <c r="V96">
        <f t="shared" si="19"/>
        <v>3.2521731763404525E-4</v>
      </c>
      <c r="W96">
        <f t="shared" si="20"/>
        <v>4.3568826093677712E-4</v>
      </c>
      <c r="X96">
        <f t="shared" si="21"/>
        <v>5.0031818965061946E-4</v>
      </c>
      <c r="Z96">
        <f t="shared" si="22"/>
        <v>3.8722644315992703E-8</v>
      </c>
      <c r="AA96">
        <f t="shared" si="23"/>
        <v>5.1878952457642818E-8</v>
      </c>
      <c r="AB96">
        <f t="shared" si="24"/>
        <v>5.9576594114042386E-8</v>
      </c>
    </row>
    <row r="97" spans="1:28" x14ac:dyDescent="0.3">
      <c r="A97">
        <v>106</v>
      </c>
      <c r="B97" t="s">
        <v>200</v>
      </c>
      <c r="C97" t="s">
        <v>201</v>
      </c>
      <c r="D97" s="16">
        <v>45266.584722222222</v>
      </c>
      <c r="E97">
        <v>0</v>
      </c>
      <c r="F97">
        <v>2.62</v>
      </c>
      <c r="G97">
        <v>1.48702702702702E-2</v>
      </c>
      <c r="H97" s="17">
        <v>3.1110672933475801E-5</v>
      </c>
      <c r="I97">
        <v>5.6756756756756697E-3</v>
      </c>
      <c r="J97">
        <v>9000</v>
      </c>
      <c r="K97">
        <v>425</v>
      </c>
      <c r="L97">
        <v>425</v>
      </c>
      <c r="N97">
        <f t="shared" si="13"/>
        <v>1984743733629.9553</v>
      </c>
      <c r="O97" s="17">
        <f t="shared" si="14"/>
        <v>8.9205892014581137E-4</v>
      </c>
      <c r="P97" s="2">
        <f t="shared" si="15"/>
        <v>8.0285302813123032</v>
      </c>
      <c r="Q97" s="41">
        <f t="shared" si="16"/>
        <v>2.1157012455090053E-3</v>
      </c>
      <c r="S97" s="18">
        <f t="shared" si="17"/>
        <v>0.9738970963722352</v>
      </c>
      <c r="T97" s="18">
        <f t="shared" si="18"/>
        <v>0.98876736664250542</v>
      </c>
      <c r="V97">
        <f t="shared" si="19"/>
        <v>2.8142094513861142E-4</v>
      </c>
      <c r="W97">
        <f t="shared" si="20"/>
        <v>3.4606084848390648E-4</v>
      </c>
      <c r="X97">
        <f t="shared" si="21"/>
        <v>3.9529743630995959E-4</v>
      </c>
      <c r="Z97">
        <f t="shared" si="22"/>
        <v>3.1273394604851356E-8</v>
      </c>
      <c r="AA97">
        <f t="shared" si="23"/>
        <v>3.8457860150824441E-8</v>
      </c>
      <c r="AB97">
        <f t="shared" si="24"/>
        <v>4.3930620770818474E-8</v>
      </c>
    </row>
    <row r="98" spans="1:28" x14ac:dyDescent="0.3">
      <c r="A98">
        <v>107</v>
      </c>
      <c r="B98" t="s">
        <v>202</v>
      </c>
      <c r="C98" t="s">
        <v>203</v>
      </c>
      <c r="D98" s="16">
        <v>45266.748611111114</v>
      </c>
      <c r="E98">
        <v>0</v>
      </c>
      <c r="F98">
        <v>1.6</v>
      </c>
      <c r="G98">
        <v>9.0827377742240308E-3</v>
      </c>
      <c r="H98" s="17">
        <v>2.21728243635664E-5</v>
      </c>
      <c r="I98">
        <v>5.6767111088900203E-3</v>
      </c>
      <c r="J98">
        <v>9600</v>
      </c>
      <c r="K98">
        <v>420</v>
      </c>
      <c r="L98">
        <v>420</v>
      </c>
      <c r="N98">
        <f t="shared" si="13"/>
        <v>1934217226688.1489</v>
      </c>
      <c r="O98" s="17">
        <f t="shared" si="14"/>
        <v>8.6312194704868742E-4</v>
      </c>
      <c r="P98" s="2">
        <f t="shared" si="15"/>
        <v>8.2859706916673996</v>
      </c>
      <c r="Q98" s="41">
        <f t="shared" si="16"/>
        <v>1.2466064109496768E-3</v>
      </c>
      <c r="S98" s="18">
        <f t="shared" si="17"/>
        <v>0.98876736664250542</v>
      </c>
      <c r="T98" s="18">
        <f t="shared" si="18"/>
        <v>0.9978501044167295</v>
      </c>
      <c r="V98">
        <f t="shared" si="19"/>
        <v>1.6220095365201382E-4</v>
      </c>
      <c r="W98">
        <f t="shared" si="20"/>
        <v>2.1144659724577308E-4</v>
      </c>
      <c r="X98">
        <f t="shared" si="21"/>
        <v>2.4046765788325188E-4</v>
      </c>
      <c r="Z98">
        <f t="shared" si="22"/>
        <v>1.689730308847497E-8</v>
      </c>
      <c r="AA98">
        <f t="shared" si="23"/>
        <v>2.2028016169717813E-8</v>
      </c>
      <c r="AB98">
        <f t="shared" si="24"/>
        <v>2.5051726548571244E-8</v>
      </c>
    </row>
    <row r="99" spans="1:28" x14ac:dyDescent="0.3">
      <c r="A99">
        <v>108</v>
      </c>
      <c r="B99" t="s">
        <v>204</v>
      </c>
      <c r="C99" t="s">
        <v>205</v>
      </c>
      <c r="D99" s="16">
        <v>45266.892361111109</v>
      </c>
      <c r="E99">
        <v>0</v>
      </c>
      <c r="F99">
        <v>1.0900000000000001</v>
      </c>
      <c r="G99">
        <v>6.1970581094213401E-3</v>
      </c>
      <c r="H99" s="17">
        <v>1.5663183198209199E-5</v>
      </c>
      <c r="I99">
        <v>5.6853744123131602E-3</v>
      </c>
      <c r="J99">
        <v>10200</v>
      </c>
      <c r="K99">
        <v>415</v>
      </c>
      <c r="L99">
        <v>415.01</v>
      </c>
      <c r="N99">
        <f t="shared" si="13"/>
        <v>1884369925110.1855</v>
      </c>
      <c r="O99" s="17">
        <f t="shared" si="14"/>
        <v>8.3482336015815823E-4</v>
      </c>
      <c r="P99" s="2">
        <f t="shared" si="15"/>
        <v>8.5151982736132137</v>
      </c>
      <c r="Q99" s="41">
        <f t="shared" si="16"/>
        <v>8.2460340816023102E-4</v>
      </c>
      <c r="S99" s="18">
        <f t="shared" si="17"/>
        <v>0.9978501044167295</v>
      </c>
      <c r="T99" s="18">
        <f t="shared" si="18"/>
        <v>1.0040471625261509</v>
      </c>
      <c r="V99">
        <f t="shared" si="19"/>
        <v>1.152744870593251E-4</v>
      </c>
      <c r="W99">
        <f t="shared" si="20"/>
        <v>1.4429833930372106E-4</v>
      </c>
      <c r="X99">
        <f t="shared" si="21"/>
        <v>1.6349920853565741E-4</v>
      </c>
      <c r="Z99">
        <f t="shared" si="22"/>
        <v>1.130207173270637E-8</v>
      </c>
      <c r="AA99">
        <f t="shared" si="23"/>
        <v>1.4147916795170336E-8</v>
      </c>
      <c r="AB99">
        <f t="shared" si="24"/>
        <v>1.6030644704735845E-8</v>
      </c>
    </row>
    <row r="100" spans="1:28" x14ac:dyDescent="0.3">
      <c r="A100">
        <v>109</v>
      </c>
      <c r="B100" t="s">
        <v>206</v>
      </c>
      <c r="C100" t="s">
        <v>207</v>
      </c>
      <c r="D100" s="16">
        <v>45267.058333333334</v>
      </c>
      <c r="E100">
        <v>0</v>
      </c>
      <c r="F100">
        <v>0.84699999999999998</v>
      </c>
      <c r="G100">
        <v>4.8255741995327298E-3</v>
      </c>
      <c r="H100" s="17">
        <v>1.22999419393235E-5</v>
      </c>
      <c r="I100">
        <v>5.6972540726478596E-3</v>
      </c>
      <c r="J100">
        <v>10800</v>
      </c>
      <c r="K100">
        <v>410</v>
      </c>
      <c r="L100">
        <v>410</v>
      </c>
      <c r="N100">
        <f t="shared" si="13"/>
        <v>1834910771289.2747</v>
      </c>
      <c r="O100" s="17">
        <f t="shared" si="14"/>
        <v>8.069921905995358E-4</v>
      </c>
      <c r="P100" s="2">
        <f t="shared" si="15"/>
        <v>8.7155156584749864</v>
      </c>
      <c r="Q100" s="41">
        <f t="shared" si="16"/>
        <v>6.2543767819745843E-4</v>
      </c>
      <c r="S100" s="18">
        <f t="shared" si="17"/>
        <v>1.0040471625261509</v>
      </c>
      <c r="T100" s="18">
        <f t="shared" si="18"/>
        <v>1.0088727367256836</v>
      </c>
      <c r="V100">
        <f t="shared" si="19"/>
        <v>9.3177736854898095E-5</v>
      </c>
      <c r="W100">
        <f t="shared" si="20"/>
        <v>1.1237958778849504E-4</v>
      </c>
      <c r="X100">
        <f t="shared" si="21"/>
        <v>1.2694498986438266E-4</v>
      </c>
      <c r="Z100">
        <f t="shared" si="22"/>
        <v>8.6279702009176857E-9</v>
      </c>
      <c r="AA100">
        <f t="shared" si="23"/>
        <v>1.0406102115512826E-8</v>
      </c>
      <c r="AB100">
        <f t="shared" si="24"/>
        <v>1.1754911857558202E-8</v>
      </c>
    </row>
    <row r="101" spans="1:28" x14ac:dyDescent="0.3">
      <c r="A101">
        <v>110</v>
      </c>
      <c r="B101" t="s">
        <v>208</v>
      </c>
      <c r="C101" t="s">
        <v>209</v>
      </c>
      <c r="D101" s="16">
        <v>45267.229861111111</v>
      </c>
      <c r="E101">
        <v>0</v>
      </c>
      <c r="F101">
        <v>0.60899999999999999</v>
      </c>
      <c r="G101">
        <v>3.4780566768569899E-3</v>
      </c>
      <c r="H101" s="17">
        <v>8.8437599067863405E-6</v>
      </c>
      <c r="I101">
        <v>5.7110947074827502E-3</v>
      </c>
      <c r="J101">
        <v>11400</v>
      </c>
      <c r="K101">
        <v>405</v>
      </c>
      <c r="L101">
        <v>405.01</v>
      </c>
      <c r="N101">
        <f t="shared" si="13"/>
        <v>1786241434765.2954</v>
      </c>
      <c r="O101" s="17">
        <f t="shared" si="14"/>
        <v>7.7984795368110508E-4</v>
      </c>
      <c r="P101" s="2">
        <f t="shared" si="15"/>
        <v>8.8902666719645982</v>
      </c>
      <c r="Q101" s="41">
        <f t="shared" si="16"/>
        <v>4.4080343814171597E-4</v>
      </c>
      <c r="S101" s="18">
        <f t="shared" si="17"/>
        <v>1.0088727367256836</v>
      </c>
      <c r="T101" s="18">
        <f t="shared" si="18"/>
        <v>1.0123507934025406</v>
      </c>
      <c r="V101">
        <f t="shared" si="19"/>
        <v>6.6441180807154374E-5</v>
      </c>
      <c r="W101">
        <f t="shared" si="20"/>
        <v>8.100725206961333E-5</v>
      </c>
      <c r="X101">
        <f t="shared" si="21"/>
        <v>9.1273983909925544E-5</v>
      </c>
      <c r="Z101">
        <f t="shared" si="22"/>
        <v>5.8283673789600653E-9</v>
      </c>
      <c r="AA101">
        <f t="shared" si="23"/>
        <v>7.1061871345840808E-9</v>
      </c>
      <c r="AB101">
        <f t="shared" si="24"/>
        <v>8.0068552310095721E-9</v>
      </c>
    </row>
    <row r="102" spans="1:28" x14ac:dyDescent="0.3">
      <c r="A102">
        <v>111</v>
      </c>
      <c r="B102" t="s">
        <v>210</v>
      </c>
      <c r="C102" t="s">
        <v>211</v>
      </c>
      <c r="D102" s="16">
        <v>45267.39166666667</v>
      </c>
      <c r="E102">
        <v>0</v>
      </c>
      <c r="F102">
        <v>0.94899999999999995</v>
      </c>
      <c r="G102">
        <v>5.4186897874859002E-3</v>
      </c>
      <c r="H102" s="17">
        <v>1.3175087160265599E-5</v>
      </c>
      <c r="I102">
        <v>5.70989440198725E-3</v>
      </c>
      <c r="J102">
        <v>12360</v>
      </c>
      <c r="K102">
        <v>400</v>
      </c>
      <c r="L102">
        <v>399.98</v>
      </c>
      <c r="N102">
        <f t="shared" si="13"/>
        <v>1737787078625.1179</v>
      </c>
      <c r="O102" s="17">
        <f t="shared" si="14"/>
        <v>7.5306488947605489E-4</v>
      </c>
      <c r="P102" s="2">
        <f t="shared" si="15"/>
        <v>9.307882033924038</v>
      </c>
      <c r="Q102" s="41">
        <f t="shared" si="16"/>
        <v>6.5223480128382447E-4</v>
      </c>
      <c r="S102" s="18">
        <f t="shared" si="17"/>
        <v>1.0123507934025406</v>
      </c>
      <c r="T102" s="18">
        <f t="shared" si="18"/>
        <v>1.0177694831900266</v>
      </c>
      <c r="V102">
        <f t="shared" si="19"/>
        <v>1.1595029663730268E-4</v>
      </c>
      <c r="W102">
        <f t="shared" si="20"/>
        <v>1.2621666969768285E-4</v>
      </c>
      <c r="X102">
        <f t="shared" si="21"/>
        <v>1.4140907002092954E-4</v>
      </c>
      <c r="Z102">
        <f t="shared" si="22"/>
        <v>9.3816358731939804E-9</v>
      </c>
      <c r="AA102">
        <f t="shared" si="23"/>
        <v>1.0212349166007648E-8</v>
      </c>
      <c r="AB102">
        <f t="shared" si="24"/>
        <v>1.1441672267485448E-8</v>
      </c>
    </row>
    <row r="103" spans="1:28" x14ac:dyDescent="0.3">
      <c r="A103">
        <v>112</v>
      </c>
      <c r="B103" t="s">
        <v>212</v>
      </c>
      <c r="C103" t="s">
        <v>213</v>
      </c>
      <c r="D103" s="16">
        <v>45267.493055555555</v>
      </c>
      <c r="E103">
        <v>0</v>
      </c>
      <c r="F103">
        <v>10.3</v>
      </c>
      <c r="G103">
        <v>5.8773374054936697E-2</v>
      </c>
      <c r="H103">
        <v>1.34940344106763E-4</v>
      </c>
      <c r="I103">
        <v>5.7061528208676403E-3</v>
      </c>
      <c r="J103">
        <v>7200</v>
      </c>
      <c r="K103">
        <v>460</v>
      </c>
      <c r="L103">
        <v>460.01</v>
      </c>
      <c r="N103">
        <f t="shared" si="13"/>
        <v>2354186971156.1348</v>
      </c>
      <c r="O103" s="17">
        <f t="shared" si="14"/>
        <v>1.111180290657839E-3</v>
      </c>
      <c r="P103" s="2">
        <f t="shared" si="15"/>
        <v>8.0004980927364411</v>
      </c>
      <c r="Q103" s="41">
        <f t="shared" si="16"/>
        <v>8.3955988954441153E-3</v>
      </c>
      <c r="S103" s="18">
        <f t="shared" si="17"/>
        <v>1.0177694831900266</v>
      </c>
      <c r="T103" s="18">
        <f t="shared" si="18"/>
        <v>1.0765428572449633</v>
      </c>
      <c r="V103">
        <f t="shared" si="19"/>
        <v>1.3539978162160965E-3</v>
      </c>
      <c r="W103">
        <f t="shared" si="20"/>
        <v>1.3691715612420467E-3</v>
      </c>
      <c r="X103">
        <f t="shared" si="21"/>
        <v>1.5647535817075143E-3</v>
      </c>
      <c r="Z103">
        <f t="shared" si="22"/>
        <v>1.8818268049070698E-7</v>
      </c>
      <c r="AA103">
        <f t="shared" si="23"/>
        <v>1.902930184815758E-7</v>
      </c>
      <c r="AB103">
        <f t="shared" si="24"/>
        <v>2.1749709544019943E-7</v>
      </c>
    </row>
    <row r="104" spans="1:28" x14ac:dyDescent="0.3">
      <c r="A104">
        <v>113</v>
      </c>
      <c r="B104" t="s">
        <v>214</v>
      </c>
      <c r="C104" t="s">
        <v>215</v>
      </c>
      <c r="D104" s="16">
        <v>45267.759722222225</v>
      </c>
      <c r="E104">
        <v>0</v>
      </c>
      <c r="F104">
        <v>13.2</v>
      </c>
      <c r="G104">
        <v>7.4984240045244899E-2</v>
      </c>
      <c r="H104">
        <v>1.7476795713139E-4</v>
      </c>
      <c r="I104">
        <v>5.6806242458518896E-3</v>
      </c>
      <c r="J104">
        <v>6000</v>
      </c>
      <c r="K104">
        <v>470</v>
      </c>
      <c r="L104">
        <v>469.99</v>
      </c>
      <c r="N104">
        <f t="shared" si="13"/>
        <v>2464306508896.7798</v>
      </c>
      <c r="O104" s="17">
        <f t="shared" si="14"/>
        <v>1.1789933919254556E-3</v>
      </c>
      <c r="P104" s="2">
        <f t="shared" si="15"/>
        <v>7.0739603515527332</v>
      </c>
      <c r="Q104" s="41">
        <f t="shared" si="16"/>
        <v>1.2345197483232847E-2</v>
      </c>
      <c r="S104" s="18">
        <f t="shared" si="17"/>
        <v>1.0765428572449633</v>
      </c>
      <c r="T104" s="18">
        <f t="shared" si="18"/>
        <v>1.1515270972902083</v>
      </c>
      <c r="V104">
        <f t="shared" si="19"/>
        <v>1.5536654035613368E-3</v>
      </c>
      <c r="W104">
        <f t="shared" si="20"/>
        <v>1.7492112908758777E-3</v>
      </c>
      <c r="X104">
        <f t="shared" si="21"/>
        <v>2.0371965903565885E-3</v>
      </c>
      <c r="Z104">
        <f t="shared" si="22"/>
        <v>2.5914559887194208E-7</v>
      </c>
      <c r="AA104">
        <f t="shared" si="23"/>
        <v>2.9179049122229228E-7</v>
      </c>
      <c r="AB104">
        <f t="shared" si="24"/>
        <v>3.3987908298014317E-7</v>
      </c>
    </row>
    <row r="105" spans="1:28" x14ac:dyDescent="0.3">
      <c r="A105">
        <v>114</v>
      </c>
      <c r="B105" t="s">
        <v>216</v>
      </c>
      <c r="C105" t="s">
        <v>217</v>
      </c>
      <c r="D105" s="16">
        <v>45267.833333333336</v>
      </c>
      <c r="E105">
        <v>0</v>
      </c>
      <c r="F105">
        <v>12.9</v>
      </c>
      <c r="G105">
        <v>7.3219845418357299E-2</v>
      </c>
      <c r="H105">
        <v>1.7211758152057801E-4</v>
      </c>
      <c r="I105">
        <v>5.6759570091749799E-3</v>
      </c>
      <c r="J105">
        <v>4800</v>
      </c>
      <c r="K105">
        <v>480</v>
      </c>
      <c r="L105">
        <v>480</v>
      </c>
      <c r="N105">
        <f t="shared" si="13"/>
        <v>2576792998460.7334</v>
      </c>
      <c r="O105" s="17">
        <f t="shared" si="14"/>
        <v>1.2494192307614814E-3</v>
      </c>
      <c r="P105" s="2">
        <f t="shared" si="15"/>
        <v>5.9972123076551105</v>
      </c>
      <c r="Q105" s="41">
        <f t="shared" si="16"/>
        <v>1.4652138214378756E-2</v>
      </c>
      <c r="S105" s="18">
        <f t="shared" si="17"/>
        <v>1.1515270972902083</v>
      </c>
      <c r="T105" s="18">
        <f t="shared" si="18"/>
        <v>1.2247469427085655</v>
      </c>
      <c r="V105">
        <f t="shared" si="19"/>
        <v>1.4229655496724297E-3</v>
      </c>
      <c r="W105">
        <f t="shared" si="20"/>
        <v>1.711044967763962E-3</v>
      </c>
      <c r="X105">
        <f t="shared" si="21"/>
        <v>2.0534448624298044E-3</v>
      </c>
      <c r="Z105">
        <f t="shared" si="22"/>
        <v>2.9666227637457661E-7</v>
      </c>
      <c r="AA105">
        <f t="shared" si="23"/>
        <v>3.5677301607188448E-7</v>
      </c>
      <c r="AB105">
        <f t="shared" si="24"/>
        <v>4.2824084812360448E-7</v>
      </c>
    </row>
    <row r="106" spans="1:28" x14ac:dyDescent="0.3">
      <c r="A106">
        <v>115</v>
      </c>
      <c r="B106" t="s">
        <v>218</v>
      </c>
      <c r="C106" t="s">
        <v>219</v>
      </c>
      <c r="D106" s="16">
        <v>45267.913194444445</v>
      </c>
      <c r="E106">
        <v>0</v>
      </c>
      <c r="F106">
        <v>25.1</v>
      </c>
      <c r="G106">
        <v>0.142477773868319</v>
      </c>
      <c r="H106">
        <v>3.3505398777835399E-4</v>
      </c>
      <c r="I106">
        <v>5.6764053333991701E-3</v>
      </c>
      <c r="J106">
        <v>3600</v>
      </c>
      <c r="K106">
        <v>500</v>
      </c>
      <c r="L106">
        <v>500.01</v>
      </c>
      <c r="N106">
        <f t="shared" si="13"/>
        <v>2807533246330.5669</v>
      </c>
      <c r="O106" s="17">
        <f t="shared" si="14"/>
        <v>1.3974738765917553E-3</v>
      </c>
      <c r="P106" s="2">
        <f t="shared" si="15"/>
        <v>5.0309059557303195</v>
      </c>
      <c r="Q106" s="41">
        <f t="shared" si="16"/>
        <v>3.5346340359484987E-2</v>
      </c>
      <c r="S106" s="18">
        <f t="shared" si="17"/>
        <v>1.2247469427085655</v>
      </c>
      <c r="T106" s="18">
        <f t="shared" si="18"/>
        <v>1.3672247165768845</v>
      </c>
      <c r="V106">
        <f t="shared" si="19"/>
        <v>2.9932520829819491E-3</v>
      </c>
      <c r="W106">
        <f t="shared" si="20"/>
        <v>3.335212197583134E-3</v>
      </c>
      <c r="X106">
        <f t="shared" si="21"/>
        <v>4.1626222721947255E-3</v>
      </c>
      <c r="Z106">
        <f t="shared" si="22"/>
        <v>8.3270578375553835E-7</v>
      </c>
      <c r="AA106">
        <f t="shared" si="23"/>
        <v>9.2799622649118437E-7</v>
      </c>
      <c r="AB106">
        <f t="shared" si="24"/>
        <v>1.1586972505842399E-6</v>
      </c>
    </row>
    <row r="107" spans="1:28" x14ac:dyDescent="0.3">
      <c r="A107">
        <v>116</v>
      </c>
      <c r="B107" t="s">
        <v>220</v>
      </c>
      <c r="C107" t="s">
        <v>221</v>
      </c>
      <c r="D107" s="16">
        <v>45268.068055555559</v>
      </c>
      <c r="E107">
        <v>0</v>
      </c>
      <c r="F107">
        <v>12.2</v>
      </c>
      <c r="G107">
        <v>6.93353177045056E-2</v>
      </c>
      <c r="H107">
        <v>1.6285492633051399E-4</v>
      </c>
      <c r="I107">
        <v>5.6832227626643899E-3</v>
      </c>
      <c r="J107">
        <v>3600</v>
      </c>
      <c r="K107">
        <v>495</v>
      </c>
      <c r="L107">
        <v>495</v>
      </c>
      <c r="N107">
        <f t="shared" si="13"/>
        <v>2749044301161.3721</v>
      </c>
      <c r="O107" s="17">
        <f t="shared" si="14"/>
        <v>1.3594919392140713E-3</v>
      </c>
      <c r="P107" s="2">
        <f t="shared" si="15"/>
        <v>4.8941709811706566</v>
      </c>
      <c r="Q107" s="41">
        <f t="shared" si="16"/>
        <v>1.7804898151560406E-2</v>
      </c>
      <c r="S107" s="18">
        <f t="shared" si="17"/>
        <v>1.3672247165768845</v>
      </c>
      <c r="T107" s="18">
        <f t="shared" si="18"/>
        <v>1.43656003428139</v>
      </c>
      <c r="V107">
        <f t="shared" si="19"/>
        <v>7.9896181650387422E-4</v>
      </c>
      <c r="W107">
        <f t="shared" si="20"/>
        <v>1.6284774326603517E-3</v>
      </c>
      <c r="X107">
        <f t="shared" si="21"/>
        <v>2.0466607740016718E-3</v>
      </c>
      <c r="Z107">
        <f t="shared" si="22"/>
        <v>2.2202254350027578E-7</v>
      </c>
      <c r="AA107">
        <f t="shared" si="23"/>
        <v>4.5272356759333368E-7</v>
      </c>
      <c r="AB107">
        <f t="shared" si="24"/>
        <v>5.690994572931576E-7</v>
      </c>
    </row>
    <row r="108" spans="1:28" x14ac:dyDescent="0.3">
      <c r="A108">
        <v>117</v>
      </c>
      <c r="B108" t="s">
        <v>222</v>
      </c>
      <c r="C108" t="s">
        <v>223</v>
      </c>
      <c r="D108" s="16">
        <v>45268.299305555556</v>
      </c>
      <c r="E108">
        <v>0</v>
      </c>
      <c r="F108">
        <v>5.28</v>
      </c>
      <c r="G108">
        <v>3.0015286624203798E-2</v>
      </c>
      <c r="H108" s="17">
        <v>7.4186347393527706E-5</v>
      </c>
      <c r="I108">
        <v>5.6847133757961703E-3</v>
      </c>
      <c r="J108">
        <v>3600</v>
      </c>
      <c r="K108">
        <v>485</v>
      </c>
      <c r="L108">
        <v>484.99</v>
      </c>
      <c r="N108">
        <f t="shared" si="13"/>
        <v>2633611182304.6694</v>
      </c>
      <c r="O108" s="17">
        <f t="shared" si="14"/>
        <v>1.2854311260354955E-3</v>
      </c>
      <c r="P108" s="2">
        <f t="shared" si="15"/>
        <v>4.6275520537277837</v>
      </c>
      <c r="Q108" s="41">
        <f t="shared" si="16"/>
        <v>8.2742538713839187E-3</v>
      </c>
      <c r="S108" s="18">
        <f t="shared" si="17"/>
        <v>1.43656003428139</v>
      </c>
      <c r="T108" s="18">
        <f t="shared" si="18"/>
        <v>1.4665753209055938</v>
      </c>
      <c r="V108">
        <f t="shared" si="19"/>
        <v>2.8737334301004051E-4</v>
      </c>
      <c r="W108">
        <f t="shared" si="20"/>
        <v>7.0611842652510998E-4</v>
      </c>
      <c r="X108">
        <f t="shared" si="21"/>
        <v>9.0077267712352141E-4</v>
      </c>
      <c r="Z108">
        <f t="shared" si="22"/>
        <v>7.9837400733775071E-8</v>
      </c>
      <c r="AA108">
        <f t="shared" si="23"/>
        <v>1.9621329043363754E-7</v>
      </c>
      <c r="AB108">
        <f t="shared" si="24"/>
        <v>2.5032739350626605E-7</v>
      </c>
    </row>
    <row r="109" spans="1:28" x14ac:dyDescent="0.3">
      <c r="A109">
        <v>118</v>
      </c>
      <c r="B109" t="s">
        <v>224</v>
      </c>
      <c r="C109" t="s">
        <v>225</v>
      </c>
      <c r="D109" s="16">
        <v>45268.359027777777</v>
      </c>
      <c r="E109">
        <v>0</v>
      </c>
      <c r="F109">
        <v>1.76</v>
      </c>
      <c r="G109">
        <v>1.00050955414012E-2</v>
      </c>
      <c r="H109" s="17">
        <v>2.5369322976467701E-5</v>
      </c>
      <c r="I109">
        <v>5.6847133757961703E-3</v>
      </c>
      <c r="J109">
        <v>3600</v>
      </c>
      <c r="K109">
        <v>475</v>
      </c>
      <c r="L109">
        <v>475.01</v>
      </c>
      <c r="N109">
        <f t="shared" si="13"/>
        <v>2520467072955.0288</v>
      </c>
      <c r="O109" s="17">
        <f t="shared" si="14"/>
        <v>1.2140095703171547E-3</v>
      </c>
      <c r="P109" s="2">
        <f t="shared" si="15"/>
        <v>4.3704344531417565</v>
      </c>
      <c r="Q109" s="41">
        <f t="shared" si="16"/>
        <v>2.968488389404794E-3</v>
      </c>
      <c r="S109" s="18">
        <f t="shared" si="17"/>
        <v>1.4665753209055938</v>
      </c>
      <c r="T109" s="18">
        <f t="shared" si="18"/>
        <v>1.4765804164469951</v>
      </c>
      <c r="V109">
        <f t="shared" si="19"/>
        <v>4.0755269476483579E-5</v>
      </c>
      <c r="W109">
        <f t="shared" si="20"/>
        <v>2.3553912735969806E-4</v>
      </c>
      <c r="X109">
        <f t="shared" si="21"/>
        <v>3.0542303420741612E-4</v>
      </c>
      <c r="Z109">
        <f t="shared" si="22"/>
        <v>1.1321138887501404E-8</v>
      </c>
      <c r="AA109">
        <f t="shared" si="23"/>
        <v>6.5435241960158053E-8</v>
      </c>
      <c r="AB109">
        <f t="shared" si="24"/>
        <v>8.4852690367077437E-8</v>
      </c>
    </row>
    <row r="110" spans="1:28" x14ac:dyDescent="0.3">
      <c r="A110">
        <v>119</v>
      </c>
      <c r="B110" t="s">
        <v>226</v>
      </c>
      <c r="C110" t="s">
        <v>227</v>
      </c>
      <c r="D110" s="16">
        <v>45268.425000000003</v>
      </c>
      <c r="E110">
        <v>0</v>
      </c>
      <c r="F110">
        <v>0.81599999999999995</v>
      </c>
      <c r="G110">
        <v>4.6387261146496796E-3</v>
      </c>
      <c r="H110" s="17">
        <v>1.22173642989464E-5</v>
      </c>
      <c r="I110">
        <v>5.6847133757961703E-3</v>
      </c>
      <c r="J110">
        <v>3600</v>
      </c>
      <c r="K110">
        <v>465</v>
      </c>
      <c r="L110">
        <v>465</v>
      </c>
      <c r="N110">
        <f t="shared" si="13"/>
        <v>2408989787036.5723</v>
      </c>
      <c r="O110" s="17">
        <f t="shared" si="14"/>
        <v>1.1447878167952816E-3</v>
      </c>
      <c r="P110" s="2">
        <f t="shared" si="15"/>
        <v>4.1212361404630133</v>
      </c>
      <c r="Q110" s="41">
        <f t="shared" si="16"/>
        <v>1.4861823668239204E-3</v>
      </c>
      <c r="S110" s="18">
        <f t="shared" si="17"/>
        <v>1.4765804164469951</v>
      </c>
      <c r="T110" s="18">
        <f t="shared" si="18"/>
        <v>1.4812191425616448</v>
      </c>
      <c r="V110">
        <f t="shared" si="19"/>
        <v>3.933261074073117E-5</v>
      </c>
      <c r="W110">
        <f t="shared" si="20"/>
        <v>1.0923023249677709E-4</v>
      </c>
      <c r="X110">
        <f t="shared" si="21"/>
        <v>1.44226057093558E-4</v>
      </c>
      <c r="Z110">
        <f t="shared" si="22"/>
        <v>1.0925940080043463E-8</v>
      </c>
      <c r="AA110">
        <f t="shared" si="23"/>
        <v>3.0343388486960704E-8</v>
      </c>
      <c r="AB110">
        <f t="shared" si="24"/>
        <v>4.0065682964284748E-8</v>
      </c>
    </row>
    <row r="111" spans="1:28" s="24" customFormat="1" x14ac:dyDescent="0.3">
      <c r="A111" s="24">
        <v>120</v>
      </c>
      <c r="B111" s="24" t="s">
        <v>228</v>
      </c>
      <c r="C111" s="24" t="s">
        <v>229</v>
      </c>
      <c r="D111" s="27">
        <v>45268.484722222223</v>
      </c>
      <c r="E111" s="24">
        <v>0</v>
      </c>
      <c r="F111" s="24">
        <v>0.94899999999999995</v>
      </c>
      <c r="G111" s="24">
        <v>5.39588602407696E-3</v>
      </c>
      <c r="H111" s="25">
        <v>1.47204106233909E-5</v>
      </c>
      <c r="I111" s="24">
        <v>5.6858651465510699E-3</v>
      </c>
      <c r="J111" s="24">
        <v>3600</v>
      </c>
      <c r="K111" s="24">
        <v>455</v>
      </c>
      <c r="L111" s="24">
        <v>455.02</v>
      </c>
      <c r="N111" s="24">
        <f t="shared" si="13"/>
        <v>2299905240960.124</v>
      </c>
      <c r="O111" s="25">
        <f t="shared" si="14"/>
        <v>1.0781692254686409E-3</v>
      </c>
      <c r="P111" s="28">
        <f t="shared" si="15"/>
        <v>3.8814092116871071</v>
      </c>
      <c r="Q111" s="42">
        <f>G111/((O111*J111)-1) + (Q110*EXP(-P111))</f>
        <v>1.9033029006731397E-3</v>
      </c>
      <c r="S111" s="29">
        <f t="shared" si="17"/>
        <v>1.4812191425616448</v>
      </c>
      <c r="T111" s="29">
        <f t="shared" si="18"/>
        <v>1.4866150285857218</v>
      </c>
      <c r="V111" s="24">
        <f t="shared" si="19"/>
        <v>9.2076882892324412E-5</v>
      </c>
      <c r="W111" s="24">
        <f t="shared" si="20"/>
        <v>1.2707330785029691E-4</v>
      </c>
      <c r="X111" s="24">
        <f t="shared" si="21"/>
        <v>1.7189615887984108E-4</v>
      </c>
      <c r="Z111" s="24">
        <f t="shared" si="22"/>
        <v>2.5578089507994535E-8</v>
      </c>
      <c r="AA111" s="24">
        <f t="shared" si="23"/>
        <v>3.5300383985322357E-8</v>
      </c>
      <c r="AB111" s="24">
        <f t="shared" si="24"/>
        <v>4.7753037421616446E-8</v>
      </c>
    </row>
    <row r="112" spans="1:28" s="24" customFormat="1" x14ac:dyDescent="0.3">
      <c r="A112" s="24">
        <v>121</v>
      </c>
      <c r="B112" s="24" t="s">
        <v>230</v>
      </c>
      <c r="C112" s="24" t="s">
        <v>231</v>
      </c>
      <c r="D112" s="27">
        <v>45268.568055555559</v>
      </c>
      <c r="E112" s="24">
        <v>0</v>
      </c>
      <c r="F112" s="24">
        <v>0.38600000000000001</v>
      </c>
      <c r="G112" s="24">
        <v>2.1972986097278601E-3</v>
      </c>
      <c r="H112" s="25">
        <v>6.2620576279778202E-6</v>
      </c>
      <c r="I112" s="24">
        <v>5.6924834448908498E-3</v>
      </c>
      <c r="J112" s="24">
        <v>3600</v>
      </c>
      <c r="K112" s="24">
        <v>445</v>
      </c>
      <c r="L112" s="24">
        <v>445.01</v>
      </c>
      <c r="N112" s="24">
        <f t="shared" si="13"/>
        <v>2192615346005.2126</v>
      </c>
      <c r="O112" s="25">
        <f t="shared" si="14"/>
        <v>1.0137400871785798E-3</v>
      </c>
      <c r="P112" s="28">
        <f t="shared" si="15"/>
        <v>3.6494643138428873</v>
      </c>
      <c r="Q112" s="42">
        <f>G112/((O112*J112)-1) + (Q111*EXP(-P112))</f>
        <v>8.7883243135006631E-4</v>
      </c>
      <c r="S112" s="29">
        <f t="shared" si="17"/>
        <v>1.4866150285857218</v>
      </c>
      <c r="T112" s="29">
        <f t="shared" si="18"/>
        <v>1.4888123271954496</v>
      </c>
      <c r="V112" s="24">
        <f t="shared" si="19"/>
        <v>6.924799754957375E-6</v>
      </c>
      <c r="W112" s="24">
        <f t="shared" si="20"/>
        <v>5.1753036867608735E-5</v>
      </c>
      <c r="X112" s="24">
        <f t="shared" si="21"/>
        <v>7.2452202205788819E-5</v>
      </c>
      <c r="Z112" s="24">
        <f t="shared" si="22"/>
        <v>1.9235621476346412E-9</v>
      </c>
      <c r="AA112" s="24">
        <f t="shared" si="23"/>
        <v>1.4376215583967311E-8</v>
      </c>
      <c r="AB112" s="24">
        <f t="shared" si="24"/>
        <v>2.0126340831482461E-8</v>
      </c>
    </row>
    <row r="113" spans="1:28" s="24" customFormat="1" x14ac:dyDescent="0.3">
      <c r="A113" s="24">
        <v>122</v>
      </c>
      <c r="B113" s="24" t="s">
        <v>232</v>
      </c>
      <c r="C113" s="24" t="s">
        <v>233</v>
      </c>
      <c r="D113" s="27">
        <v>45268.629166666666</v>
      </c>
      <c r="E113" s="24">
        <v>0</v>
      </c>
      <c r="F113" s="24">
        <v>0.25900000000000001</v>
      </c>
      <c r="G113" s="24">
        <v>1.47672100558771E-3</v>
      </c>
      <c r="H113" s="25">
        <v>4.3913280986859297E-6</v>
      </c>
      <c r="I113" s="24">
        <v>5.70162550419967E-3</v>
      </c>
      <c r="J113" s="24">
        <v>3600</v>
      </c>
      <c r="K113" s="24">
        <v>435</v>
      </c>
      <c r="L113" s="24">
        <v>435.01</v>
      </c>
      <c r="N113" s="24">
        <f t="shared" si="13"/>
        <v>2087612536853.9714</v>
      </c>
      <c r="O113" s="25">
        <f t="shared" si="14"/>
        <v>9.5175017706113248E-4</v>
      </c>
      <c r="P113" s="28">
        <f t="shared" si="15"/>
        <v>3.4263006374200771</v>
      </c>
      <c r="Q113" s="42">
        <f>G113/((O113*J113)-1) + (Q112*EXP(-P113))</f>
        <v>6.3719886221353121E-4</v>
      </c>
      <c r="S113" s="29">
        <f t="shared" si="17"/>
        <v>1.4888123271954496</v>
      </c>
      <c r="T113" s="29">
        <f t="shared" si="18"/>
        <v>1.4902890482010374</v>
      </c>
      <c r="V113" s="24">
        <f t="shared" si="19"/>
        <v>1.4083107005361576E-5</v>
      </c>
      <c r="W113" s="24">
        <f t="shared" si="20"/>
        <v>3.4783052120003953E-5</v>
      </c>
      <c r="X113" s="24">
        <f t="shared" si="21"/>
        <v>4.9791791855753614E-5</v>
      </c>
      <c r="Z113" s="24">
        <f t="shared" si="22"/>
        <v>3.9120017147860051E-9</v>
      </c>
      <c r="AA113" s="24">
        <f t="shared" si="23"/>
        <v>9.6621269623329195E-9</v>
      </c>
      <c r="AB113" s="24">
        <f t="shared" si="24"/>
        <v>1.3831397641147586E-8</v>
      </c>
    </row>
    <row r="114" spans="1:28" x14ac:dyDescent="0.3">
      <c r="A114">
        <v>123</v>
      </c>
      <c r="B114" t="s">
        <v>234</v>
      </c>
      <c r="C114" t="s">
        <v>235</v>
      </c>
      <c r="D114" s="16">
        <v>45268.702777777777</v>
      </c>
      <c r="E114">
        <v>0</v>
      </c>
      <c r="F114">
        <v>7.1300000000000002E-2</v>
      </c>
      <c r="G114">
        <v>4.0707964569846401E-4</v>
      </c>
      <c r="H114" s="17">
        <v>1.2481228420541199E-6</v>
      </c>
      <c r="I114">
        <v>5.7093919452800099E-3</v>
      </c>
      <c r="J114">
        <v>4800</v>
      </c>
      <c r="K114">
        <v>425</v>
      </c>
      <c r="L114">
        <v>425.02</v>
      </c>
      <c r="N114">
        <f t="shared" si="13"/>
        <v>1984946994806.6194</v>
      </c>
      <c r="O114" s="17">
        <f t="shared" si="14"/>
        <v>8.9217584054999499E-4</v>
      </c>
      <c r="P114" s="2">
        <f t="shared" si="15"/>
        <v>4.2824440346399761</v>
      </c>
      <c r="Q114" s="41">
        <f t="shared" si="16"/>
        <v>1.2401723880209681E-4</v>
      </c>
      <c r="S114" s="18">
        <f t="shared" si="17"/>
        <v>1.4902890482010374</v>
      </c>
      <c r="T114" s="18">
        <f t="shared" si="18"/>
        <v>1.4906961278467359</v>
      </c>
      <c r="V114">
        <f t="shared" si="19"/>
        <v>-5.4205548897186359E-6</v>
      </c>
      <c r="W114">
        <f t="shared" si="20"/>
        <v>9.5887882724940932E-6</v>
      </c>
      <c r="X114">
        <f t="shared" si="21"/>
        <v>1.2510022624489925E-5</v>
      </c>
      <c r="Z114">
        <f t="shared" si="22"/>
        <v>-1.1292792080120613E-9</v>
      </c>
      <c r="AA114">
        <f t="shared" si="23"/>
        <v>1.9976738010899566E-9</v>
      </c>
      <c r="AB114">
        <f t="shared" si="24"/>
        <v>2.606271015721797E-9</v>
      </c>
    </row>
    <row r="115" spans="1:28" s="19" customFormat="1" x14ac:dyDescent="0.3">
      <c r="A115" s="19">
        <v>124</v>
      </c>
      <c r="B115" s="19" t="s">
        <v>236</v>
      </c>
      <c r="C115" s="19" t="s">
        <v>237</v>
      </c>
      <c r="D115" s="20">
        <v>45268.815972222219</v>
      </c>
      <c r="E115" s="19">
        <v>0</v>
      </c>
      <c r="F115" s="19">
        <v>0</v>
      </c>
      <c r="G115" s="19">
        <v>0</v>
      </c>
      <c r="H115" s="19">
        <v>0</v>
      </c>
      <c r="I115" s="19">
        <v>5.7120000000000001E-3</v>
      </c>
      <c r="J115" s="19">
        <v>6000</v>
      </c>
      <c r="K115" s="19">
        <v>415</v>
      </c>
      <c r="L115" s="19">
        <v>415.01</v>
      </c>
      <c r="N115" s="19">
        <f t="shared" si="13"/>
        <v>1884369925110.1855</v>
      </c>
      <c r="O115" s="21">
        <f t="shared" si="14"/>
        <v>8.3482336015815823E-4</v>
      </c>
      <c r="P115" s="22">
        <f t="shared" si="15"/>
        <v>5.0089401609489492</v>
      </c>
      <c r="Q115" s="43">
        <f>Q114</f>
        <v>1.2401723880209681E-4</v>
      </c>
      <c r="S115" s="23">
        <f t="shared" si="17"/>
        <v>1.4906961278467359</v>
      </c>
      <c r="T115" s="23">
        <f t="shared" si="18"/>
        <v>1.4906961278467359</v>
      </c>
      <c r="V115" s="19">
        <f t="shared" si="19"/>
        <v>-2.9212708971608474E-6</v>
      </c>
      <c r="W115" s="19">
        <f t="shared" si="20"/>
        <v>0</v>
      </c>
      <c r="X115" s="19">
        <f t="shared" si="21"/>
        <v>2.9212623633621229E-6</v>
      </c>
      <c r="Z115" s="19">
        <f t="shared" si="22"/>
        <v>-4.8687777171318666E-10</v>
      </c>
      <c r="AA115" s="19">
        <f t="shared" si="23"/>
        <v>0</v>
      </c>
      <c r="AB115" s="19">
        <f t="shared" si="24"/>
        <v>4.8687777170625727E-10</v>
      </c>
    </row>
    <row r="116" spans="1:28" x14ac:dyDescent="0.3">
      <c r="A116">
        <v>125</v>
      </c>
      <c r="B116" t="s">
        <v>238</v>
      </c>
      <c r="C116" t="s">
        <v>239</v>
      </c>
      <c r="D116" s="16">
        <v>45268.918055555558</v>
      </c>
      <c r="E116">
        <v>0</v>
      </c>
      <c r="F116">
        <v>0.26200000000000001</v>
      </c>
      <c r="G116">
        <v>1.496544E-3</v>
      </c>
      <c r="H116" s="17">
        <v>4.30027113884261E-6</v>
      </c>
      <c r="I116">
        <v>5.7120000000000001E-3</v>
      </c>
      <c r="J116">
        <v>7200</v>
      </c>
      <c r="K116">
        <v>405</v>
      </c>
      <c r="L116">
        <v>405.01</v>
      </c>
      <c r="N116">
        <f t="shared" si="13"/>
        <v>1786241434765.2954</v>
      </c>
      <c r="O116" s="17">
        <f t="shared" si="14"/>
        <v>7.7984795368110508E-4</v>
      </c>
      <c r="P116" s="2">
        <f t="shared" si="15"/>
        <v>5.6149052665039569</v>
      </c>
      <c r="Q116" s="41">
        <f t="shared" si="16"/>
        <v>3.2428487987873995E-4</v>
      </c>
      <c r="S116" s="18">
        <f t="shared" si="17"/>
        <v>1.4906961278467359</v>
      </c>
      <c r="T116" s="18">
        <f t="shared" si="18"/>
        <v>1.492192671846736</v>
      </c>
      <c r="V116">
        <f t="shared" si="19"/>
        <v>3.2330364083175193E-5</v>
      </c>
      <c r="W116">
        <f t="shared" si="20"/>
        <v>3.5251532001061529E-5</v>
      </c>
      <c r="X116">
        <f t="shared" si="21"/>
        <v>4.2890157274027641E-5</v>
      </c>
      <c r="Z116">
        <f t="shared" si="22"/>
        <v>4.4904009334177018E-9</v>
      </c>
      <c r="AA116">
        <f t="shared" si="23"/>
        <v>4.8961324098429626E-9</v>
      </c>
      <c r="AB116">
        <f t="shared" si="24"/>
        <v>5.9570940393174101E-9</v>
      </c>
    </row>
    <row r="117" spans="1:28" x14ac:dyDescent="0.3">
      <c r="A117">
        <v>126</v>
      </c>
      <c r="B117" t="s">
        <v>240</v>
      </c>
      <c r="C117" t="s">
        <v>241</v>
      </c>
      <c r="D117" s="16">
        <v>45269.04583333333</v>
      </c>
      <c r="E117">
        <v>0</v>
      </c>
      <c r="F117">
        <v>0.32100000000000001</v>
      </c>
      <c r="G117">
        <v>1.8336544130984501E-3</v>
      </c>
      <c r="H117" s="17">
        <v>4.7857537629259702E-6</v>
      </c>
      <c r="I117">
        <v>5.7123190439203999E-3</v>
      </c>
      <c r="J117">
        <v>9000</v>
      </c>
      <c r="K117">
        <v>395</v>
      </c>
      <c r="L117">
        <v>395.01</v>
      </c>
      <c r="N117">
        <f t="shared" si="13"/>
        <v>1690514014537.6599</v>
      </c>
      <c r="O117" s="17">
        <f t="shared" si="14"/>
        <v>7.2716910278509961E-4</v>
      </c>
      <c r="P117" s="2">
        <f t="shared" si="15"/>
        <v>6.5445219250658964</v>
      </c>
      <c r="Q117" s="41">
        <f t="shared" si="16"/>
        <v>3.3071461126500228E-4</v>
      </c>
      <c r="S117" s="18">
        <f t="shared" si="17"/>
        <v>1.492192671846736</v>
      </c>
      <c r="T117" s="18">
        <f t="shared" si="18"/>
        <v>1.4940263262598343</v>
      </c>
      <c r="V117">
        <f t="shared" si="19"/>
        <v>3.5555166157119125E-5</v>
      </c>
      <c r="W117">
        <f t="shared" si="20"/>
        <v>4.3193789110655926E-5</v>
      </c>
      <c r="X117">
        <f t="shared" si="21"/>
        <v>5.0984143210507843E-5</v>
      </c>
      <c r="Z117">
        <f t="shared" si="22"/>
        <v>3.95064425078525E-9</v>
      </c>
      <c r="AA117">
        <f t="shared" si="23"/>
        <v>4.7994135543594039E-9</v>
      </c>
      <c r="AB117">
        <f t="shared" si="24"/>
        <v>5.665049216231343E-9</v>
      </c>
    </row>
    <row r="118" spans="1:28" x14ac:dyDescent="0.3">
      <c r="A118">
        <v>127</v>
      </c>
      <c r="B118" t="s">
        <v>242</v>
      </c>
      <c r="C118" t="s">
        <v>243</v>
      </c>
      <c r="D118" s="16">
        <v>45269.174305555556</v>
      </c>
      <c r="E118">
        <v>0</v>
      </c>
      <c r="F118">
        <v>0.16600000000000001</v>
      </c>
      <c r="G118">
        <v>9.4986383247973999E-4</v>
      </c>
      <c r="H118" s="17">
        <v>1.9206971693464999E-6</v>
      </c>
      <c r="I118">
        <v>5.7220712799984303E-3</v>
      </c>
      <c r="J118">
        <v>9000</v>
      </c>
      <c r="K118">
        <v>395</v>
      </c>
      <c r="L118">
        <v>395.01</v>
      </c>
      <c r="N118">
        <f t="shared" si="13"/>
        <v>1690514014537.6599</v>
      </c>
      <c r="O118" s="17">
        <f t="shared" si="14"/>
        <v>7.2716910278509961E-4</v>
      </c>
      <c r="P118" s="2">
        <f t="shared" si="15"/>
        <v>6.5445219250658964</v>
      </c>
      <c r="Q118" s="41">
        <f t="shared" si="16"/>
        <v>1.7131573205357123E-4</v>
      </c>
      <c r="S118" s="18">
        <f t="shared" si="17"/>
        <v>1.4940263262598343</v>
      </c>
      <c r="T118" s="18">
        <f t="shared" si="18"/>
        <v>1.494976190092314</v>
      </c>
      <c r="V118">
        <f t="shared" si="19"/>
        <v>1.4585498912461127E-5</v>
      </c>
      <c r="W118">
        <f t="shared" si="20"/>
        <v>2.2376075890650833E-5</v>
      </c>
      <c r="X118">
        <f t="shared" si="21"/>
        <v>2.6411784684495114E-5</v>
      </c>
      <c r="Z118">
        <f t="shared" si="22"/>
        <v>1.6206228090940381E-9</v>
      </c>
      <c r="AA118">
        <f t="shared" si="23"/>
        <v>2.4862584709709356E-9</v>
      </c>
      <c r="AB118">
        <f t="shared" si="24"/>
        <v>2.9346814979855804E-9</v>
      </c>
    </row>
    <row r="119" spans="1:28" x14ac:dyDescent="0.3">
      <c r="A119">
        <v>128</v>
      </c>
      <c r="B119" t="s">
        <v>244</v>
      </c>
      <c r="C119" t="s">
        <v>245</v>
      </c>
      <c r="D119" s="16">
        <v>45269.298611111109</v>
      </c>
      <c r="E119">
        <v>0</v>
      </c>
      <c r="F119">
        <v>0.38800000000000001</v>
      </c>
      <c r="G119">
        <v>2.22321429685675E-3</v>
      </c>
      <c r="H119" s="17">
        <v>3.6627106402138201E-6</v>
      </c>
      <c r="I119">
        <v>5.7299337547854602E-3</v>
      </c>
      <c r="J119">
        <v>9000</v>
      </c>
      <c r="K119">
        <v>395</v>
      </c>
      <c r="L119">
        <v>395.01</v>
      </c>
      <c r="N119">
        <f t="shared" si="13"/>
        <v>1690514014537.6599</v>
      </c>
      <c r="O119" s="17">
        <f t="shared" si="14"/>
        <v>7.2716910278509961E-4</v>
      </c>
      <c r="P119" s="2">
        <f t="shared" si="15"/>
        <v>6.5445219250658964</v>
      </c>
      <c r="Q119" s="41">
        <f t="shared" si="16"/>
        <v>4.0097493109477193E-4</v>
      </c>
      <c r="S119" s="18">
        <f t="shared" si="17"/>
        <v>1.494976190092314</v>
      </c>
      <c r="T119" s="18">
        <f t="shared" si="18"/>
        <v>1.4971994043891708</v>
      </c>
      <c r="V119">
        <f t="shared" si="19"/>
        <v>4.8338139766786812E-5</v>
      </c>
      <c r="W119">
        <f t="shared" si="20"/>
        <v>5.2373743782957087E-5</v>
      </c>
      <c r="X119">
        <f t="shared" si="21"/>
        <v>6.1819777993081456E-5</v>
      </c>
      <c r="Z119">
        <f t="shared" si="22"/>
        <v>5.3710342324798174E-9</v>
      </c>
      <c r="AA119">
        <f t="shared" si="23"/>
        <v>5.819457259486903E-9</v>
      </c>
      <c r="AB119">
        <f t="shared" si="24"/>
        <v>6.8690765460404442E-9</v>
      </c>
    </row>
    <row r="120" spans="1:28" x14ac:dyDescent="0.3">
      <c r="A120">
        <v>129</v>
      </c>
      <c r="B120" t="s">
        <v>246</v>
      </c>
      <c r="C120" t="s">
        <v>247</v>
      </c>
      <c r="D120" s="16">
        <v>45269.438194444447</v>
      </c>
      <c r="E120">
        <v>0</v>
      </c>
      <c r="F120">
        <v>0.30199999999999999</v>
      </c>
      <c r="G120">
        <v>1.72999103583408E-3</v>
      </c>
      <c r="H120" s="17">
        <v>2.8860820323952199E-6</v>
      </c>
      <c r="I120">
        <v>5.7284471385234603E-3</v>
      </c>
      <c r="J120">
        <v>9000</v>
      </c>
      <c r="K120">
        <v>395</v>
      </c>
      <c r="L120">
        <v>395.02</v>
      </c>
      <c r="N120">
        <f t="shared" si="13"/>
        <v>1690608524923.8784</v>
      </c>
      <c r="O120" s="17">
        <f t="shared" si="14"/>
        <v>7.2722064233084259E-4</v>
      </c>
      <c r="P120" s="2">
        <f t="shared" si="15"/>
        <v>6.5449857809775835</v>
      </c>
      <c r="Q120" s="41">
        <f t="shared" si="16"/>
        <v>3.1199196971233383E-4</v>
      </c>
      <c r="S120" s="18">
        <f t="shared" si="17"/>
        <v>1.4971994043891708</v>
      </c>
      <c r="T120" s="18">
        <f t="shared" si="18"/>
        <v>1.4989293954250049</v>
      </c>
      <c r="V120">
        <f t="shared" si="19"/>
        <v>3.1310455459497113E-5</v>
      </c>
      <c r="W120">
        <f t="shared" si="20"/>
        <v>4.0756688644584629E-5</v>
      </c>
      <c r="X120">
        <f t="shared" si="21"/>
        <v>4.8106876770296864E-5</v>
      </c>
      <c r="Z120">
        <f t="shared" si="22"/>
        <v>3.4789939602218892E-9</v>
      </c>
      <c r="AA120">
        <f t="shared" si="23"/>
        <v>4.5286132467737056E-9</v>
      </c>
      <c r="AB120">
        <f t="shared" si="24"/>
        <v>5.3453371047964597E-9</v>
      </c>
    </row>
    <row r="121" spans="1:28" x14ac:dyDescent="0.3">
      <c r="A121">
        <v>130</v>
      </c>
      <c r="B121" t="s">
        <v>248</v>
      </c>
      <c r="C121" t="s">
        <v>249</v>
      </c>
      <c r="D121" s="16">
        <v>45269.560416666667</v>
      </c>
      <c r="E121">
        <v>0</v>
      </c>
      <c r="F121">
        <v>0.313</v>
      </c>
      <c r="G121">
        <v>1.7916031030068399E-3</v>
      </c>
      <c r="H121" s="17">
        <v>3.1865453924872602E-6</v>
      </c>
      <c r="I121">
        <v>5.7239715751017496E-3</v>
      </c>
      <c r="J121">
        <v>9000</v>
      </c>
      <c r="K121">
        <v>400</v>
      </c>
      <c r="L121">
        <v>400.01</v>
      </c>
      <c r="N121">
        <f t="shared" si="13"/>
        <v>1738074256566.0579</v>
      </c>
      <c r="O121" s="17">
        <f t="shared" si="14"/>
        <v>7.5322291274680154E-4</v>
      </c>
      <c r="P121" s="2">
        <f t="shared" si="15"/>
        <v>6.779006214721214</v>
      </c>
      <c r="Q121" s="41">
        <f t="shared" si="16"/>
        <v>3.1001923798645181E-4</v>
      </c>
      <c r="S121" s="18">
        <f t="shared" si="17"/>
        <v>1.4989293954250049</v>
      </c>
      <c r="T121" s="18">
        <f t="shared" si="18"/>
        <v>1.5007209985280117</v>
      </c>
      <c r="V121">
        <f t="shared" si="19"/>
        <v>3.4859690139811272E-5</v>
      </c>
      <c r="W121">
        <f t="shared" si="20"/>
        <v>4.2209921611338523E-5</v>
      </c>
      <c r="X121">
        <f t="shared" si="21"/>
        <v>4.9513932031644813E-5</v>
      </c>
      <c r="Z121">
        <f t="shared" si="22"/>
        <v>3.8733664169946146E-9</v>
      </c>
      <c r="AA121">
        <f t="shared" si="23"/>
        <v>4.6900902750125239E-9</v>
      </c>
      <c r="AB121">
        <f t="shared" si="24"/>
        <v>5.5016842096524984E-9</v>
      </c>
    </row>
    <row r="122" spans="1:28" x14ac:dyDescent="0.3">
      <c r="A122">
        <v>131</v>
      </c>
      <c r="B122" t="s">
        <v>250</v>
      </c>
      <c r="C122" t="s">
        <v>251</v>
      </c>
      <c r="D122" s="16">
        <v>45269.882638888892</v>
      </c>
      <c r="E122">
        <v>0</v>
      </c>
      <c r="F122">
        <v>0.72199999999999998</v>
      </c>
      <c r="G122">
        <v>4.1178158029951898E-3</v>
      </c>
      <c r="H122" s="17">
        <v>1.55105334568612E-5</v>
      </c>
      <c r="I122">
        <v>5.7033459875279703E-3</v>
      </c>
      <c r="J122">
        <v>24900</v>
      </c>
      <c r="K122">
        <v>410</v>
      </c>
      <c r="L122">
        <v>410.02</v>
      </c>
      <c r="N122">
        <f t="shared" ref="N122:N138" si="25">(0.000304*EXP(-5580/(1.987*(L122+273))))*(199000000000000000*EXP(680/(1.987*(L122+273))))*1.17*EXP(-57/(1.987*(273+L122)))</f>
        <v>1835107032782.1711</v>
      </c>
      <c r="O122" s="17">
        <f t="shared" ref="O122:O138" si="26">N122*$C$143*$C$144*(L122+273)</f>
        <v>8.0710213957494348E-4</v>
      </c>
      <c r="P122" s="2">
        <f t="shared" ref="P122:P138" si="27">O122*J122</f>
        <v>20.096843275416092</v>
      </c>
      <c r="Q122" s="41">
        <f t="shared" ref="Q122:Q138" si="28">G122/((O122*J122)-1)</f>
        <v>2.156280880356897E-4</v>
      </c>
      <c r="S122" s="18">
        <f t="shared" ref="S122:S138" si="29">G121+S121</f>
        <v>1.5007209985280117</v>
      </c>
      <c r="T122" s="18">
        <f t="shared" ref="T122:T138" si="30">S122+G122</f>
        <v>1.5048388143310067</v>
      </c>
      <c r="V122">
        <f t="shared" si="19"/>
        <v>8.971560322753634E-5</v>
      </c>
      <c r="W122">
        <f t="shared" si="20"/>
        <v>9.7019266651202381E-5</v>
      </c>
      <c r="X122">
        <f t="shared" si="21"/>
        <v>1.0209964906058718E-4</v>
      </c>
      <c r="Z122">
        <f t="shared" si="22"/>
        <v>3.6031979081534261E-9</v>
      </c>
      <c r="AA122">
        <f t="shared" si="23"/>
        <v>3.8965451134399874E-9</v>
      </c>
      <c r="AB122">
        <f t="shared" si="24"/>
        <v>4.1005968507861561E-9</v>
      </c>
    </row>
    <row r="123" spans="1:28" x14ac:dyDescent="0.3">
      <c r="A123">
        <v>132</v>
      </c>
      <c r="B123" t="s">
        <v>252</v>
      </c>
      <c r="C123" t="s">
        <v>253</v>
      </c>
      <c r="D123" s="16">
        <v>45270.012499999997</v>
      </c>
      <c r="E123">
        <v>0</v>
      </c>
      <c r="F123">
        <v>0.17399999999999999</v>
      </c>
      <c r="G123">
        <v>9.9230031948881691E-4</v>
      </c>
      <c r="H123" s="17">
        <v>3.6174552649905398E-6</v>
      </c>
      <c r="I123">
        <v>5.7028753993610204E-3</v>
      </c>
      <c r="J123">
        <v>7800</v>
      </c>
      <c r="K123">
        <v>420</v>
      </c>
      <c r="L123">
        <v>420.01</v>
      </c>
      <c r="N123">
        <f t="shared" si="25"/>
        <v>1934317703267.76</v>
      </c>
      <c r="O123" s="17">
        <f t="shared" si="26"/>
        <v>8.6317923906317664E-4</v>
      </c>
      <c r="P123" s="2">
        <f t="shared" si="27"/>
        <v>6.7327980646927781</v>
      </c>
      <c r="Q123" s="41">
        <f t="shared" si="28"/>
        <v>1.7309179711042107E-4</v>
      </c>
      <c r="S123" s="18">
        <f t="shared" si="29"/>
        <v>1.5048388143310067</v>
      </c>
      <c r="T123" s="18">
        <f t="shared" si="30"/>
        <v>1.5058311146504955</v>
      </c>
      <c r="V123">
        <f t="shared" si="19"/>
        <v>1.8300931402721636E-5</v>
      </c>
      <c r="W123">
        <f t="shared" si="20"/>
        <v>2.3381713770155768E-5</v>
      </c>
      <c r="X123">
        <f t="shared" si="21"/>
        <v>2.7460300440451961E-5</v>
      </c>
      <c r="Z123">
        <f t="shared" si="22"/>
        <v>2.3462947265189257E-9</v>
      </c>
      <c r="AA123">
        <f t="shared" si="23"/>
        <v>2.9976906572658383E-9</v>
      </c>
      <c r="AB123">
        <f t="shared" si="24"/>
        <v>3.520599677100264E-9</v>
      </c>
    </row>
    <row r="124" spans="1:28" x14ac:dyDescent="0.3">
      <c r="A124">
        <v>133</v>
      </c>
      <c r="B124" t="s">
        <v>254</v>
      </c>
      <c r="C124" t="s">
        <v>255</v>
      </c>
      <c r="D124" s="16">
        <v>45270.129166666666</v>
      </c>
      <c r="E124">
        <v>0</v>
      </c>
      <c r="F124">
        <v>0.38</v>
      </c>
      <c r="G124">
        <v>2.1670926517571801E-3</v>
      </c>
      <c r="H124" s="17">
        <v>7.0769935138155799E-6</v>
      </c>
      <c r="I124">
        <v>5.7028753993610204E-3</v>
      </c>
      <c r="J124">
        <v>7200</v>
      </c>
      <c r="K124">
        <v>430</v>
      </c>
      <c r="L124">
        <v>430.01</v>
      </c>
      <c r="N124">
        <f t="shared" si="25"/>
        <v>2035945970689.3757</v>
      </c>
      <c r="O124" s="17">
        <f t="shared" si="26"/>
        <v>9.2164024265126219E-4</v>
      </c>
      <c r="P124" s="2">
        <f t="shared" si="27"/>
        <v>6.6358097470890876</v>
      </c>
      <c r="Q124" s="41">
        <f t="shared" si="28"/>
        <v>3.8452196738480922E-4</v>
      </c>
      <c r="S124" s="18">
        <f t="shared" si="29"/>
        <v>1.5058311146504955</v>
      </c>
      <c r="T124" s="18">
        <f t="shared" si="30"/>
        <v>1.5079982073022526</v>
      </c>
      <c r="V124">
        <f t="shared" si="19"/>
        <v>4.6986216416697687E-5</v>
      </c>
      <c r="W124">
        <f t="shared" si="20"/>
        <v>5.1064706811732946E-5</v>
      </c>
      <c r="X124">
        <f t="shared" si="21"/>
        <v>6.0125464556102867E-5</v>
      </c>
      <c r="Z124">
        <f t="shared" si="22"/>
        <v>6.5260167088318781E-9</v>
      </c>
      <c r="AA124">
        <f t="shared" si="23"/>
        <v>7.0925014803108227E-9</v>
      </c>
      <c r="AB124">
        <f t="shared" si="24"/>
        <v>8.3510100228246789E-9</v>
      </c>
    </row>
    <row r="125" spans="1:28" x14ac:dyDescent="0.3">
      <c r="A125">
        <v>134</v>
      </c>
      <c r="B125" t="s">
        <v>256</v>
      </c>
      <c r="C125" t="s">
        <v>257</v>
      </c>
      <c r="D125" s="16">
        <v>45270.559027777781</v>
      </c>
      <c r="E125">
        <v>0</v>
      </c>
      <c r="F125">
        <v>1.82</v>
      </c>
      <c r="G125">
        <v>1.0320594156525E-2</v>
      </c>
      <c r="H125" s="17">
        <v>2.6776409145497199E-5</v>
      </c>
      <c r="I125">
        <v>5.6706561299587899E-3</v>
      </c>
      <c r="J125">
        <v>35580</v>
      </c>
      <c r="K125">
        <v>440</v>
      </c>
      <c r="L125">
        <v>440.02</v>
      </c>
      <c r="N125">
        <f t="shared" si="25"/>
        <v>2139943029086.0352</v>
      </c>
      <c r="O125" s="17">
        <f t="shared" si="26"/>
        <v>9.8251140765526516E-4</v>
      </c>
      <c r="P125" s="2">
        <f t="shared" si="27"/>
        <v>34.957755884374336</v>
      </c>
      <c r="Q125" s="41">
        <f t="shared" si="28"/>
        <v>3.0392450524900622E-4</v>
      </c>
      <c r="S125" s="18">
        <f t="shared" si="29"/>
        <v>1.5079982073022526</v>
      </c>
      <c r="T125" s="18">
        <f t="shared" si="30"/>
        <v>1.5183188014587776</v>
      </c>
      <c r="V125">
        <f t="shared" si="19"/>
        <v>2.3414463670341182E-4</v>
      </c>
      <c r="W125">
        <f t="shared" si="20"/>
        <v>2.432037355201765E-4</v>
      </c>
      <c r="X125">
        <f t="shared" si="21"/>
        <v>2.5036568510095216E-4</v>
      </c>
      <c r="Z125">
        <f t="shared" si="22"/>
        <v>6.5815641607237802E-9</v>
      </c>
      <c r="AA125">
        <f t="shared" si="23"/>
        <v>6.836237052967825E-9</v>
      </c>
      <c r="AB125">
        <f t="shared" si="24"/>
        <v>7.0375781849717027E-9</v>
      </c>
    </row>
    <row r="126" spans="1:28" x14ac:dyDescent="0.3">
      <c r="A126">
        <v>135</v>
      </c>
      <c r="B126" t="s">
        <v>258</v>
      </c>
      <c r="C126" t="s">
        <v>259</v>
      </c>
      <c r="D126" s="16">
        <v>45270.632638888892</v>
      </c>
      <c r="E126">
        <v>0</v>
      </c>
      <c r="F126">
        <v>0.376</v>
      </c>
      <c r="G126">
        <v>2.1366671560675999E-3</v>
      </c>
      <c r="H126" s="17">
        <v>5.5318295817071096E-6</v>
      </c>
      <c r="I126">
        <v>5.6826254150734003E-3</v>
      </c>
      <c r="J126">
        <v>4800</v>
      </c>
      <c r="K126">
        <v>450</v>
      </c>
      <c r="L126">
        <v>435.04999999999899</v>
      </c>
      <c r="N126">
        <f t="shared" si="25"/>
        <v>2088028132363.0681</v>
      </c>
      <c r="O126" s="17">
        <f t="shared" si="26"/>
        <v>9.5199342971242368E-4</v>
      </c>
      <c r="P126" s="2">
        <f t="shared" si="27"/>
        <v>4.5695684626196336</v>
      </c>
      <c r="Q126" s="41">
        <f t="shared" si="28"/>
        <v>5.9857856165043081E-4</v>
      </c>
      <c r="S126" s="18">
        <f t="shared" si="29"/>
        <v>1.5183188014587776</v>
      </c>
      <c r="T126" s="18">
        <f t="shared" si="30"/>
        <v>1.5204554686148453</v>
      </c>
      <c r="V126">
        <f t="shared" si="19"/>
        <v>4.3199206903463862E-5</v>
      </c>
      <c r="W126">
        <f t="shared" si="20"/>
        <v>5.0362589255044596E-5</v>
      </c>
      <c r="X126">
        <f t="shared" si="21"/>
        <v>6.4471462577531455E-5</v>
      </c>
      <c r="Z126">
        <f t="shared" si="22"/>
        <v>9.0000291700092473E-9</v>
      </c>
      <c r="AA126">
        <f t="shared" si="23"/>
        <v>1.0492470311008172E-8</v>
      </c>
      <c r="AB126">
        <f t="shared" si="24"/>
        <v>1.3431987698241909E-8</v>
      </c>
    </row>
    <row r="127" spans="1:28" s="24" customFormat="1" x14ac:dyDescent="0.3">
      <c r="A127" s="24">
        <v>136</v>
      </c>
      <c r="B127" s="24" t="s">
        <v>260</v>
      </c>
      <c r="C127" s="24" t="s">
        <v>261</v>
      </c>
      <c r="D127" s="27">
        <v>45270.692361111112</v>
      </c>
      <c r="E127" s="24">
        <v>0</v>
      </c>
      <c r="F127" s="24">
        <v>0.46800000000000003</v>
      </c>
      <c r="G127" s="24">
        <v>2.66223253972911E-3</v>
      </c>
      <c r="H127" s="25">
        <v>6.8853623516992804E-6</v>
      </c>
      <c r="I127" s="24">
        <v>5.6885310677972497E-3</v>
      </c>
      <c r="J127" s="24">
        <v>3600</v>
      </c>
      <c r="K127" s="24">
        <v>460</v>
      </c>
      <c r="L127" s="24">
        <v>453.6</v>
      </c>
      <c r="N127" s="24">
        <f t="shared" si="25"/>
        <v>2284554574201.3613</v>
      </c>
      <c r="O127" s="25">
        <f t="shared" si="26"/>
        <v>1.0688840803489193E-3</v>
      </c>
      <c r="P127" s="28">
        <f t="shared" si="27"/>
        <v>3.8479826892561095</v>
      </c>
      <c r="Q127" s="42">
        <f>G127/((O127*J127)-1) + (Q126*EXP(-P127))</f>
        <v>9.4754165885180502E-4</v>
      </c>
      <c r="S127" s="29">
        <f t="shared" si="29"/>
        <v>1.5204554686148453</v>
      </c>
      <c r="T127" s="29">
        <f t="shared" si="30"/>
        <v>1.5231177011545745</v>
      </c>
      <c r="V127" s="24">
        <f t="shared" si="19"/>
        <v>4.8644758908859567E-5</v>
      </c>
      <c r="W127" s="24">
        <f t="shared" si="20"/>
        <v>6.2753656469217867E-5</v>
      </c>
      <c r="X127" s="24">
        <f t="shared" si="21"/>
        <v>8.5088934422025619E-5</v>
      </c>
      <c r="Z127" s="24">
        <f t="shared" si="22"/>
        <v>1.3512761695422887E-8</v>
      </c>
      <c r="AA127" s="24">
        <f t="shared" si="23"/>
        <v>1.7432118211754969E-8</v>
      </c>
      <c r="AB127" s="24">
        <f t="shared" si="24"/>
        <v>2.3636820747443301E-8</v>
      </c>
    </row>
    <row r="128" spans="1:28" x14ac:dyDescent="0.3">
      <c r="A128">
        <v>137</v>
      </c>
      <c r="B128" t="s">
        <v>262</v>
      </c>
      <c r="C128" t="s">
        <v>263</v>
      </c>
      <c r="D128" s="16">
        <v>45270.950694444444</v>
      </c>
      <c r="E128">
        <v>0</v>
      </c>
      <c r="F128">
        <v>4.1900000000000004</v>
      </c>
      <c r="G128">
        <v>2.38087345754056E-2</v>
      </c>
      <c r="H128" s="17">
        <v>6.1644590285512806E-5</v>
      </c>
      <c r="I128">
        <v>5.6822755549894204E-3</v>
      </c>
      <c r="J128">
        <v>20700</v>
      </c>
      <c r="K128">
        <v>470</v>
      </c>
      <c r="L128">
        <v>470</v>
      </c>
      <c r="N128">
        <f t="shared" si="25"/>
        <v>2464417875200.7886</v>
      </c>
      <c r="O128" s="17">
        <f t="shared" si="26"/>
        <v>1.1790625416346994E-3</v>
      </c>
      <c r="P128" s="2">
        <f t="shared" si="27"/>
        <v>24.406594611838276</v>
      </c>
      <c r="Q128" s="41">
        <f t="shared" si="28"/>
        <v>1.0171806266668084E-3</v>
      </c>
      <c r="S128" s="18">
        <f t="shared" si="29"/>
        <v>1.5231177011545745</v>
      </c>
      <c r="T128" s="18">
        <f t="shared" si="30"/>
        <v>1.5469264357299801</v>
      </c>
      <c r="V128">
        <f t="shared" si="19"/>
        <v>5.3892569725559896E-4</v>
      </c>
      <c r="W128">
        <f t="shared" si="20"/>
        <v>5.612503391060681E-4</v>
      </c>
      <c r="X128">
        <f t="shared" si="21"/>
        <v>5.8522863874399186E-4</v>
      </c>
      <c r="Z128">
        <f t="shared" si="22"/>
        <v>2.6042075840849752E-8</v>
      </c>
      <c r="AA128">
        <f t="shared" si="23"/>
        <v>2.7121154542708903E-8</v>
      </c>
      <c r="AB128">
        <f t="shared" si="24"/>
        <v>2.8280190911366615E-8</v>
      </c>
    </row>
    <row r="129" spans="1:28" x14ac:dyDescent="0.3">
      <c r="A129">
        <v>138</v>
      </c>
      <c r="B129" t="s">
        <v>264</v>
      </c>
      <c r="C129" t="s">
        <v>265</v>
      </c>
      <c r="D129" s="16">
        <v>45271.011111111111</v>
      </c>
      <c r="E129">
        <v>0</v>
      </c>
      <c r="F129">
        <v>1.83</v>
      </c>
      <c r="G129">
        <v>1.0389048444591001E-2</v>
      </c>
      <c r="H129" s="17">
        <v>2.69235322726702E-5</v>
      </c>
      <c r="I129">
        <v>5.6770756527819996E-3</v>
      </c>
      <c r="J129">
        <v>3600</v>
      </c>
      <c r="K129">
        <v>480</v>
      </c>
      <c r="L129">
        <v>480.05999999999898</v>
      </c>
      <c r="N129">
        <f t="shared" si="25"/>
        <v>2577473273597.7915</v>
      </c>
      <c r="O129" s="17">
        <f t="shared" si="26"/>
        <v>1.2498486599039906E-3</v>
      </c>
      <c r="P129" s="2">
        <f t="shared" si="27"/>
        <v>4.4994551756543659</v>
      </c>
      <c r="Q129" s="41">
        <f t="shared" si="28"/>
        <v>2.9687616852095682E-3</v>
      </c>
      <c r="S129" s="18">
        <f t="shared" si="29"/>
        <v>1.5469264357299801</v>
      </c>
      <c r="T129" s="18">
        <f t="shared" si="30"/>
        <v>1.5573154841745711</v>
      </c>
      <c r="V129">
        <f t="shared" si="19"/>
        <v>2.2105517864958577E-4</v>
      </c>
      <c r="W129">
        <f t="shared" si="20"/>
        <v>2.4504164016986144E-4</v>
      </c>
      <c r="X129">
        <f t="shared" si="21"/>
        <v>3.1506443739687294E-4</v>
      </c>
      <c r="Z129">
        <f t="shared" si="22"/>
        <v>6.1411004151893172E-8</v>
      </c>
      <c r="AA129">
        <f t="shared" si="23"/>
        <v>6.8075463271655303E-8</v>
      </c>
      <c r="AB129">
        <f t="shared" si="24"/>
        <v>8.7531689062296748E-8</v>
      </c>
    </row>
    <row r="130" spans="1:28" x14ac:dyDescent="0.3">
      <c r="A130">
        <v>139</v>
      </c>
      <c r="B130" t="s">
        <v>266</v>
      </c>
      <c r="C130" t="s">
        <v>267</v>
      </c>
      <c r="D130" s="16">
        <v>45271.087500000001</v>
      </c>
      <c r="E130">
        <v>0</v>
      </c>
      <c r="F130">
        <v>3.6</v>
      </c>
      <c r="G130">
        <v>2.0433714748324401E-2</v>
      </c>
      <c r="H130" s="17">
        <v>5.3079250630071897E-5</v>
      </c>
      <c r="I130">
        <v>5.6760318745345496E-3</v>
      </c>
      <c r="J130">
        <v>3600</v>
      </c>
      <c r="K130">
        <v>490</v>
      </c>
      <c r="L130">
        <v>490</v>
      </c>
      <c r="N130">
        <f t="shared" si="25"/>
        <v>2691145053530.3311</v>
      </c>
      <c r="O130" s="17">
        <f t="shared" si="26"/>
        <v>1.3221944297635438E-3</v>
      </c>
      <c r="P130" s="2">
        <f t="shared" si="27"/>
        <v>4.7598999471487575</v>
      </c>
      <c r="Q130" s="41">
        <f t="shared" si="28"/>
        <v>5.4346432180515563E-3</v>
      </c>
      <c r="S130" s="18">
        <f t="shared" si="29"/>
        <v>1.5573154841745711</v>
      </c>
      <c r="T130" s="18">
        <f t="shared" si="30"/>
        <v>1.5777491989228956</v>
      </c>
      <c r="V130">
        <f t="shared" si="19"/>
        <v>4.1206753000198621E-4</v>
      </c>
      <c r="W130">
        <f t="shared" si="20"/>
        <v>4.8207862874236599E-4</v>
      </c>
      <c r="X130">
        <f t="shared" si="21"/>
        <v>6.102944418008864E-4</v>
      </c>
      <c r="Z130">
        <f t="shared" si="22"/>
        <v>1.1448679254356334E-7</v>
      </c>
      <c r="AA130">
        <f t="shared" si="23"/>
        <v>1.3394301833417613E-7</v>
      </c>
      <c r="AB130">
        <f t="shared" si="24"/>
        <v>1.6957798534956482E-7</v>
      </c>
    </row>
    <row r="131" spans="1:28" x14ac:dyDescent="0.3">
      <c r="A131">
        <v>140</v>
      </c>
      <c r="B131" t="s">
        <v>268</v>
      </c>
      <c r="C131" t="s">
        <v>269</v>
      </c>
      <c r="D131" s="16">
        <v>45271.147916666669</v>
      </c>
      <c r="E131">
        <v>0</v>
      </c>
      <c r="F131">
        <v>9.0399999999999991</v>
      </c>
      <c r="G131">
        <v>5.1363013244834298E-2</v>
      </c>
      <c r="H131">
        <v>1.3800229318698199E-4</v>
      </c>
      <c r="I131">
        <v>5.6817492527471503E-3</v>
      </c>
      <c r="J131">
        <v>3600</v>
      </c>
      <c r="K131">
        <v>500</v>
      </c>
      <c r="L131">
        <v>497.47</v>
      </c>
      <c r="N131">
        <f t="shared" si="25"/>
        <v>2777821335708.5776</v>
      </c>
      <c r="O131" s="17">
        <f t="shared" si="26"/>
        <v>1.378141213911553E-3</v>
      </c>
      <c r="P131" s="2">
        <f t="shared" si="27"/>
        <v>4.961308370081591</v>
      </c>
      <c r="Q131" s="41">
        <f t="shared" si="28"/>
        <v>1.2966173911822062E-2</v>
      </c>
      <c r="S131" s="18">
        <f t="shared" si="29"/>
        <v>1.5777491989228956</v>
      </c>
      <c r="T131" s="18">
        <f t="shared" si="30"/>
        <v>1.6291122121677299</v>
      </c>
      <c r="V131">
        <f t="shared" si="19"/>
        <v>1.0842182514999019E-3</v>
      </c>
      <c r="W131">
        <f t="shared" si="20"/>
        <v>1.2123568235008527E-3</v>
      </c>
      <c r="X131">
        <f t="shared" si="21"/>
        <v>1.518406418795521E-3</v>
      </c>
      <c r="Z131">
        <f t="shared" si="22"/>
        <v>3.0133512258262977E-7</v>
      </c>
      <c r="AA131">
        <f t="shared" si="23"/>
        <v>3.3697008959802399E-7</v>
      </c>
      <c r="AB131">
        <f t="shared" si="24"/>
        <v>4.2210010168807689E-7</v>
      </c>
    </row>
    <row r="132" spans="1:28" s="19" customFormat="1" x14ac:dyDescent="0.3">
      <c r="A132" s="19">
        <v>141</v>
      </c>
      <c r="B132" s="19" t="s">
        <v>270</v>
      </c>
      <c r="C132" s="19" t="s">
        <v>271</v>
      </c>
      <c r="D132" s="20">
        <v>45276.488194444442</v>
      </c>
      <c r="E132" s="19">
        <v>0</v>
      </c>
      <c r="F132" s="19">
        <v>5.41</v>
      </c>
      <c r="G132" s="19">
        <v>1.15494738283095</v>
      </c>
      <c r="H132" s="19">
        <v>1.1562946875170801</v>
      </c>
      <c r="I132" s="19">
        <v>0.21348380458982499</v>
      </c>
      <c r="J132" s="19">
        <v>60</v>
      </c>
      <c r="K132" s="19">
        <v>21</v>
      </c>
      <c r="L132" s="19">
        <v>24</v>
      </c>
      <c r="N132" s="19">
        <f t="shared" si="25"/>
        <v>15920702014.437834</v>
      </c>
      <c r="O132" s="21">
        <f t="shared" si="26"/>
        <v>3.0447549231092797E-6</v>
      </c>
      <c r="P132" s="22">
        <f t="shared" si="27"/>
        <v>1.8268529538655677E-4</v>
      </c>
      <c r="Q132" s="43">
        <f t="shared" si="28"/>
        <v>-1.1551584132868995</v>
      </c>
      <c r="S132" s="23">
        <f t="shared" si="29"/>
        <v>1.6291122121677299</v>
      </c>
      <c r="T132" s="23">
        <f t="shared" si="30"/>
        <v>2.7840595949986797</v>
      </c>
      <c r="V132" s="19">
        <f t="shared" ref="V132:V138" si="31">(G132-Q131)/($G$139-(S132+Q131))</f>
        <v>2.6995965321427194E-2</v>
      </c>
      <c r="W132" s="19">
        <f t="shared" ref="W132:W138" si="32">(G132)/($G$139-(S132))</f>
        <v>2.7294114275379394E-2</v>
      </c>
      <c r="X132" s="19">
        <f t="shared" ref="X132:X138" si="33">(G132+Q132)/($G$139-(S132))</f>
        <v>-4.9871444066592453E-6</v>
      </c>
      <c r="Z132" s="19">
        <f t="shared" ref="Z132:Z138" si="34">-LN(1-V132)/J132</f>
        <v>4.5611750278226799E-4</v>
      </c>
      <c r="AA132" s="19">
        <f t="shared" ref="AA132:AA138" si="35">-LN(1-W132)/J132</f>
        <v>4.6122530350767093E-4</v>
      </c>
      <c r="AB132" s="19">
        <f t="shared" ref="AB132:AB138" si="36">-LN(1-X132)/J132</f>
        <v>-8.3118866179846702E-8</v>
      </c>
    </row>
    <row r="133" spans="1:28" s="19" customFormat="1" x14ac:dyDescent="0.3">
      <c r="A133" s="19">
        <v>142</v>
      </c>
      <c r="B133" s="19" t="s">
        <v>272</v>
      </c>
      <c r="C133" s="19" t="s">
        <v>273</v>
      </c>
      <c r="D133" s="20">
        <v>45276.75</v>
      </c>
      <c r="E133" s="19">
        <v>0</v>
      </c>
      <c r="F133" s="19">
        <v>2.62</v>
      </c>
      <c r="G133" s="19">
        <v>1.42488159688275</v>
      </c>
      <c r="H133" s="19">
        <v>0.55730078162102603</v>
      </c>
      <c r="I133" s="19">
        <v>0.54384793774150797</v>
      </c>
      <c r="J133" s="19">
        <v>20640</v>
      </c>
      <c r="K133" s="19">
        <v>400</v>
      </c>
      <c r="L133" s="19">
        <v>400</v>
      </c>
      <c r="N133" s="19">
        <f t="shared" si="25"/>
        <v>1737978528157.9001</v>
      </c>
      <c r="O133" s="21">
        <f t="shared" si="26"/>
        <v>7.5317023603828641E-4</v>
      </c>
      <c r="P133" s="22">
        <f t="shared" si="27"/>
        <v>15.545433671830232</v>
      </c>
      <c r="Q133" s="43">
        <f t="shared" si="28"/>
        <v>9.7960750365407231E-2</v>
      </c>
      <c r="S133" s="23">
        <f t="shared" si="29"/>
        <v>2.7840595949986797</v>
      </c>
      <c r="T133" s="23">
        <f t="shared" si="30"/>
        <v>4.2089411918814292</v>
      </c>
      <c r="V133" s="19">
        <f t="shared" si="31"/>
        <v>6.0972089921117668E-2</v>
      </c>
      <c r="W133" s="19">
        <f t="shared" si="32"/>
        <v>3.4618164721871493E-2</v>
      </c>
      <c r="X133" s="19">
        <f t="shared" si="33"/>
        <v>3.699816696195015E-2</v>
      </c>
      <c r="Z133" s="19">
        <f t="shared" si="34"/>
        <v>3.0479688479603503E-6</v>
      </c>
      <c r="AA133" s="19">
        <f t="shared" si="35"/>
        <v>1.7069559922224081E-6</v>
      </c>
      <c r="AB133" s="19">
        <f t="shared" si="36"/>
        <v>1.8265486298217055E-6</v>
      </c>
    </row>
    <row r="134" spans="1:28" s="19" customFormat="1" x14ac:dyDescent="0.3">
      <c r="A134" s="19">
        <v>143</v>
      </c>
      <c r="B134" s="19" t="s">
        <v>274</v>
      </c>
      <c r="C134" s="19" t="s">
        <v>275</v>
      </c>
      <c r="D134" s="20">
        <v>45276.893750000003</v>
      </c>
      <c r="E134" s="19">
        <v>0</v>
      </c>
      <c r="F134" s="19">
        <v>1.9099999999999999E-2</v>
      </c>
      <c r="G134" s="19">
        <v>2.6915085924376901E-3</v>
      </c>
      <c r="H134" s="19">
        <v>4.01020799242375E-3</v>
      </c>
      <c r="I134" s="19">
        <v>0.14091668023234</v>
      </c>
      <c r="J134" s="19">
        <v>10800</v>
      </c>
      <c r="K134" s="19">
        <v>400</v>
      </c>
      <c r="L134" s="19">
        <v>400</v>
      </c>
      <c r="N134" s="19">
        <f t="shared" si="25"/>
        <v>1737978528157.9001</v>
      </c>
      <c r="O134" s="21">
        <f t="shared" si="26"/>
        <v>7.5317023603828641E-4</v>
      </c>
      <c r="P134" s="22">
        <f t="shared" si="27"/>
        <v>8.1342385492134941</v>
      </c>
      <c r="Q134" s="43">
        <f t="shared" si="28"/>
        <v>3.7726641376947123E-4</v>
      </c>
      <c r="S134" s="23">
        <f t="shared" si="29"/>
        <v>4.2089411918814292</v>
      </c>
      <c r="T134" s="23">
        <f t="shared" si="30"/>
        <v>4.2116327004738672</v>
      </c>
      <c r="V134" s="19">
        <f t="shared" si="31"/>
        <v>-2.4035372527564367E-3</v>
      </c>
      <c r="W134" s="19">
        <f t="shared" si="32"/>
        <v>6.7736368667152121E-5</v>
      </c>
      <c r="X134" s="19">
        <f t="shared" si="33"/>
        <v>7.7230916431414876E-5</v>
      </c>
      <c r="Z134" s="19">
        <f t="shared" si="34"/>
        <v>-2.2228272010842294E-7</v>
      </c>
      <c r="AA134" s="19">
        <f t="shared" si="35"/>
        <v>6.2720984146865295E-9</v>
      </c>
      <c r="AB134" s="19">
        <f t="shared" si="36"/>
        <v>7.1512869344630214E-9</v>
      </c>
    </row>
    <row r="135" spans="1:28" s="19" customFormat="1" x14ac:dyDescent="0.3">
      <c r="A135" s="19">
        <v>144</v>
      </c>
      <c r="B135" s="19" t="s">
        <v>276</v>
      </c>
      <c r="C135" s="19" t="s">
        <v>277</v>
      </c>
      <c r="D135" s="20">
        <v>45277.036805555559</v>
      </c>
      <c r="E135" s="19">
        <v>0</v>
      </c>
      <c r="F135" s="19">
        <v>0.155</v>
      </c>
      <c r="G135" s="19">
        <v>2.9846289814426902E-3</v>
      </c>
      <c r="H135" s="19">
        <v>3.2603117248624199E-2</v>
      </c>
      <c r="I135" s="19">
        <v>1.9255670848017398E-2</v>
      </c>
      <c r="J135" s="19">
        <v>10800</v>
      </c>
      <c r="K135" s="19">
        <v>400</v>
      </c>
      <c r="L135" s="19">
        <v>399.97</v>
      </c>
      <c r="N135" s="19">
        <f t="shared" si="25"/>
        <v>1737691357500.6008</v>
      </c>
      <c r="O135" s="21">
        <f t="shared" si="26"/>
        <v>7.5301221962229123E-4</v>
      </c>
      <c r="P135" s="22">
        <f t="shared" si="27"/>
        <v>8.132531971920745</v>
      </c>
      <c r="Q135" s="43">
        <f t="shared" si="28"/>
        <v>4.184529411424354E-4</v>
      </c>
      <c r="S135" s="23">
        <f t="shared" si="29"/>
        <v>4.2116327004738672</v>
      </c>
      <c r="T135" s="23">
        <f t="shared" si="30"/>
        <v>4.2146173294553098</v>
      </c>
      <c r="V135" s="19">
        <f t="shared" si="31"/>
        <v>6.5623759733661986E-5</v>
      </c>
      <c r="W135" s="19">
        <f t="shared" si="32"/>
        <v>7.511832755754994E-5</v>
      </c>
      <c r="X135" s="19">
        <f t="shared" si="33"/>
        <v>8.5650117369817839E-5</v>
      </c>
      <c r="Z135" s="19">
        <f t="shared" si="34"/>
        <v>6.076473432106652E-9</v>
      </c>
      <c r="AA135" s="19">
        <f t="shared" si="35"/>
        <v>6.955661951893003E-9</v>
      </c>
      <c r="AB135" s="19">
        <f t="shared" si="36"/>
        <v>7.9309060694987388E-9</v>
      </c>
    </row>
    <row r="136" spans="1:28" s="19" customFormat="1" x14ac:dyDescent="0.3">
      <c r="A136" s="19">
        <v>145</v>
      </c>
      <c r="B136" s="19" t="s">
        <v>278</v>
      </c>
      <c r="C136" s="19" t="s">
        <v>279</v>
      </c>
      <c r="D136" s="20">
        <v>45277.315972222219</v>
      </c>
      <c r="E136" s="19">
        <v>0</v>
      </c>
      <c r="F136" s="19">
        <v>0.222</v>
      </c>
      <c r="G136" s="19">
        <v>7.5273036161252697E-3</v>
      </c>
      <c r="H136" s="19">
        <v>3.9477158929882399E-2</v>
      </c>
      <c r="I136" s="19">
        <v>3.3906773045609302E-2</v>
      </c>
      <c r="J136" s="19">
        <v>22560</v>
      </c>
      <c r="K136" s="19">
        <v>400</v>
      </c>
      <c r="L136" s="19">
        <v>400.12</v>
      </c>
      <c r="N136" s="19">
        <f t="shared" si="25"/>
        <v>1739127429277.259</v>
      </c>
      <c r="O136" s="21">
        <f t="shared" si="26"/>
        <v>7.5380250735343751E-4</v>
      </c>
      <c r="P136" s="22">
        <f t="shared" si="27"/>
        <v>17.005784565893549</v>
      </c>
      <c r="Q136" s="43">
        <f t="shared" si="28"/>
        <v>4.7028645082260271E-4</v>
      </c>
      <c r="S136" s="23">
        <f t="shared" si="29"/>
        <v>4.2146173294553098</v>
      </c>
      <c r="T136" s="23">
        <f t="shared" si="30"/>
        <v>4.2221446330714354</v>
      </c>
      <c r="V136" s="19">
        <f t="shared" si="31"/>
        <v>1.7893370277780781E-4</v>
      </c>
      <c r="W136" s="19">
        <f t="shared" si="32"/>
        <v>1.8946439914622689E-4</v>
      </c>
      <c r="X136" s="19">
        <f t="shared" si="33"/>
        <v>2.0130164451000329E-4</v>
      </c>
      <c r="Z136" s="19">
        <f t="shared" si="34"/>
        <v>7.9321681437358185E-9</v>
      </c>
      <c r="AA136" s="19">
        <f t="shared" si="35"/>
        <v>8.3990403276990619E-9</v>
      </c>
      <c r="AB136" s="19">
        <f t="shared" si="36"/>
        <v>8.923843457693587E-9</v>
      </c>
    </row>
    <row r="137" spans="1:28" s="19" customFormat="1" x14ac:dyDescent="0.3">
      <c r="A137" s="19">
        <v>146</v>
      </c>
      <c r="B137" s="19" t="s">
        <v>280</v>
      </c>
      <c r="C137" s="19" t="s">
        <v>281</v>
      </c>
      <c r="D137" s="20">
        <v>45277.46875</v>
      </c>
      <c r="E137" s="19">
        <v>0</v>
      </c>
      <c r="F137" s="19">
        <v>0</v>
      </c>
      <c r="G137" s="19">
        <v>0</v>
      </c>
      <c r="H137" s="19">
        <v>0</v>
      </c>
      <c r="I137" s="19">
        <v>6.3988462522489395E-2</v>
      </c>
      <c r="J137" s="19">
        <v>10800</v>
      </c>
      <c r="K137" s="19">
        <v>400</v>
      </c>
      <c r="L137" s="19">
        <v>400.01</v>
      </c>
      <c r="N137" s="19">
        <f t="shared" si="25"/>
        <v>1738074256566.0579</v>
      </c>
      <c r="O137" s="21">
        <f t="shared" si="26"/>
        <v>7.5322291274680154E-4</v>
      </c>
      <c r="P137" s="22">
        <f t="shared" si="27"/>
        <v>8.1348074576654561</v>
      </c>
      <c r="Q137" s="43">
        <f t="shared" si="28"/>
        <v>0</v>
      </c>
      <c r="S137" s="23">
        <f t="shared" si="29"/>
        <v>4.2221446330714354</v>
      </c>
      <c r="T137" s="23">
        <f t="shared" si="30"/>
        <v>4.2221446330714354</v>
      </c>
      <c r="V137" s="19">
        <f t="shared" si="31"/>
        <v>-1.1839628700504176E-5</v>
      </c>
      <c r="W137" s="19">
        <f t="shared" si="32"/>
        <v>0</v>
      </c>
      <c r="X137" s="19">
        <f t="shared" si="33"/>
        <v>0</v>
      </c>
      <c r="Z137" s="19">
        <f t="shared" si="34"/>
        <v>-1.0962554271017482E-9</v>
      </c>
      <c r="AA137" s="19">
        <f t="shared" si="35"/>
        <v>0</v>
      </c>
      <c r="AB137" s="19">
        <f t="shared" si="36"/>
        <v>0</v>
      </c>
    </row>
    <row r="138" spans="1:28" s="19" customFormat="1" x14ac:dyDescent="0.3">
      <c r="A138" s="19">
        <v>147</v>
      </c>
      <c r="B138" s="19" t="s">
        <v>282</v>
      </c>
      <c r="C138" s="19" t="s">
        <v>283</v>
      </c>
      <c r="D138" s="20">
        <v>45277.611805555556</v>
      </c>
      <c r="E138" s="19">
        <v>0</v>
      </c>
      <c r="F138" s="19">
        <v>4.4699999999999997E-2</v>
      </c>
      <c r="G138" s="19">
        <v>1.9807029513972999E-3</v>
      </c>
      <c r="H138" s="19">
        <v>9.0265219763742595E-4</v>
      </c>
      <c r="I138" s="19">
        <v>4.43110279954654E-2</v>
      </c>
      <c r="J138" s="19">
        <v>10800</v>
      </c>
      <c r="K138" s="19">
        <v>400</v>
      </c>
      <c r="L138" s="19">
        <v>400.01</v>
      </c>
      <c r="N138" s="19">
        <f t="shared" si="25"/>
        <v>1738074256566.0579</v>
      </c>
      <c r="O138" s="21">
        <f t="shared" si="26"/>
        <v>7.5322291274680154E-4</v>
      </c>
      <c r="P138" s="22">
        <f t="shared" si="27"/>
        <v>8.1348074576654561</v>
      </c>
      <c r="Q138" s="43">
        <f t="shared" si="28"/>
        <v>2.7761126886042073E-4</v>
      </c>
      <c r="S138" s="23">
        <f t="shared" si="29"/>
        <v>4.2221446330714354</v>
      </c>
      <c r="T138" s="23">
        <f t="shared" si="30"/>
        <v>4.2241253360228326</v>
      </c>
      <c r="V138" s="19">
        <f t="shared" si="31"/>
        <v>4.9864311047423633E-5</v>
      </c>
      <c r="W138" s="19">
        <f t="shared" si="32"/>
        <v>4.9864311047423633E-5</v>
      </c>
      <c r="X138" s="19">
        <f t="shared" si="33"/>
        <v>5.6853190753469612E-5</v>
      </c>
      <c r="Z138" s="19">
        <f t="shared" si="34"/>
        <v>4.6171809549596441E-9</v>
      </c>
      <c r="AA138" s="19">
        <f t="shared" si="35"/>
        <v>4.6171809549596441E-9</v>
      </c>
      <c r="AB138" s="19">
        <f t="shared" si="36"/>
        <v>5.2643339775318239E-9</v>
      </c>
    </row>
    <row r="139" spans="1:28" ht="15" thickBot="1" x14ac:dyDescent="0.35">
      <c r="A139" s="33"/>
      <c r="D139" t="s">
        <v>314</v>
      </c>
      <c r="G139">
        <f>(0.8*54.93)</f>
        <v>43.944000000000003</v>
      </c>
    </row>
    <row r="140" spans="1:28" x14ac:dyDescent="0.3">
      <c r="B140" s="7" t="s">
        <v>290</v>
      </c>
      <c r="C140" s="8"/>
      <c r="D140" s="8"/>
      <c r="E140" s="9"/>
      <c r="I140">
        <f>_xlfn.STDEV.P(I56:I131)/AVERAGE(I56:I131)</f>
        <v>2.7895417027779912E-3</v>
      </c>
    </row>
    <row r="141" spans="1:28" x14ac:dyDescent="0.3">
      <c r="B141" s="10" t="s">
        <v>291</v>
      </c>
      <c r="C141">
        <v>5.33E-2</v>
      </c>
      <c r="E141" s="11"/>
    </row>
    <row r="142" spans="1:28" x14ac:dyDescent="0.3">
      <c r="B142" s="10" t="s">
        <v>292</v>
      </c>
      <c r="C142">
        <v>9.6699999999999994E-2</v>
      </c>
      <c r="E142" s="11"/>
    </row>
    <row r="143" spans="1:28" x14ac:dyDescent="0.3">
      <c r="B143" s="10" t="s">
        <v>293</v>
      </c>
      <c r="C143">
        <f>2/((LN(C142/C141)*((C141/2)^2)))</f>
        <v>4727.4254111558203</v>
      </c>
      <c r="E143" s="11"/>
    </row>
    <row r="144" spans="1:28" ht="58.2" thickBot="1" x14ac:dyDescent="0.35">
      <c r="B144" s="12" t="s">
        <v>294</v>
      </c>
      <c r="C144" s="13">
        <v>1.3621000000000001E-22</v>
      </c>
      <c r="D144" s="14"/>
      <c r="E144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1335-8030-4E4A-AFD3-515CDA6F156C}">
  <dimension ref="A1:AC141"/>
  <sheetViews>
    <sheetView topLeftCell="Q1" workbookViewId="0">
      <selection activeCell="J12" sqref="J12"/>
    </sheetView>
  </sheetViews>
  <sheetFormatPr defaultRowHeight="14.4" x14ac:dyDescent="0.3"/>
  <cols>
    <col min="21" max="21" width="10.6640625" bestFit="1" customWidth="1"/>
    <col min="22" max="22" width="12" bestFit="1" customWidth="1"/>
  </cols>
  <sheetData>
    <row r="1" spans="1:29" ht="16.8" x14ac:dyDescent="0.35">
      <c r="A1">
        <v>3</v>
      </c>
      <c r="D1" t="s">
        <v>295</v>
      </c>
      <c r="E1" s="2" t="s">
        <v>286</v>
      </c>
      <c r="F1" t="s">
        <v>306</v>
      </c>
      <c r="G1" t="s">
        <v>307</v>
      </c>
      <c r="H1" t="s">
        <v>308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Q1" t="s">
        <v>296</v>
      </c>
      <c r="R1" t="s">
        <v>297</v>
      </c>
      <c r="S1" t="s">
        <v>298</v>
      </c>
      <c r="T1" t="s">
        <v>299</v>
      </c>
      <c r="U1" t="s">
        <v>301</v>
      </c>
      <c r="V1" t="s">
        <v>309</v>
      </c>
      <c r="X1" t="s">
        <v>296</v>
      </c>
      <c r="Y1" t="s">
        <v>297</v>
      </c>
      <c r="Z1" t="s">
        <v>298</v>
      </c>
      <c r="AA1" t="s">
        <v>299</v>
      </c>
      <c r="AB1" t="s">
        <v>301</v>
      </c>
      <c r="AC1" s="1" t="s">
        <v>309</v>
      </c>
    </row>
    <row r="2" spans="1:29" x14ac:dyDescent="0.3">
      <c r="J2" t="s">
        <v>310</v>
      </c>
      <c r="Q2" t="s">
        <v>311</v>
      </c>
      <c r="X2" t="s">
        <v>312</v>
      </c>
    </row>
    <row r="3" spans="1:29" x14ac:dyDescent="0.3">
      <c r="A3" t="s">
        <v>302</v>
      </c>
      <c r="B3" t="s">
        <v>303</v>
      </c>
      <c r="C3" t="s">
        <v>304</v>
      </c>
      <c r="D3">
        <v>0</v>
      </c>
      <c r="E3">
        <v>0</v>
      </c>
      <c r="G3">
        <v>0</v>
      </c>
    </row>
    <row r="4" spans="1:29" s="30" customFormat="1" x14ac:dyDescent="0.3">
      <c r="A4" s="3">
        <v>11</v>
      </c>
      <c r="B4" s="30" cm="1">
        <f t="array" ref="B4:B140">Reduced112123SalAspIrr!L2:L138</f>
        <v>23</v>
      </c>
      <c r="C4" s="30" cm="1">
        <f t="array" ref="C4:C140">Reduced112123SalAspIrr!J2:J138</f>
        <v>3600</v>
      </c>
      <c r="D4" s="30" cm="1">
        <f t="array" ref="D4:D140">Reduced112123SalAspIrr!T2:T138</f>
        <v>3.2484311611553299E-3</v>
      </c>
      <c r="E4" s="30" cm="1">
        <f t="array" ref="E4:F140">Reduced112123SalAspIrr!P2:Q138</f>
        <v>1.0618567874396023E-2</v>
      </c>
      <c r="F4" s="30">
        <v>-3.2832950525222056E-3</v>
      </c>
      <c r="G4" s="31">
        <f t="shared" ref="G4:G35" si="0">D4/$D$141</f>
        <v>7.392206356169966E-5</v>
      </c>
      <c r="H4" s="31">
        <f t="shared" ref="H4:H35" si="1">(D4+F4)/$D$141</f>
        <v>-7.9337091222637224E-7</v>
      </c>
      <c r="J4" s="30">
        <f t="shared" ref="J4:J35" si="2">((G4^2-G3^2)*PI())/(36*C4)</f>
        <v>1.3246252670641649E-13</v>
      </c>
      <c r="K4" s="31">
        <f t="shared" ref="K4:K35" si="3">(1/(PI()*PI()*C4))*(-(G4-G3)*PI()*PI()/3-2*PI()*(SQRT(1-PI()/3*G4)-SQRT(1-PI()/3*G3)))</f>
        <v>1.3246764806741377E-13</v>
      </c>
      <c r="L4" s="31">
        <f t="shared" ref="L4:L35" si="4">(1/(PI()^2*C4))*LN((1-G3)/(1-G4))</f>
        <v>2.0805966178773146E-9</v>
      </c>
      <c r="M4" s="31">
        <f t="shared" ref="M4:M35" si="5">(G4&lt;0.05)*J4+((G4&gt;=0.05)*(G4&lt;0.9))*K4+(G4&gt;=0.9)*L4</f>
        <v>1.3246252670641649E-13</v>
      </c>
      <c r="N4" s="30">
        <f t="shared" ref="N4:N35" si="6">10000/(273+B4)</f>
        <v>33.783783783783782</v>
      </c>
      <c r="O4" s="30">
        <f>LN(M4)</f>
        <v>-29.652476606794831</v>
      </c>
      <c r="Q4" s="30">
        <f t="shared" ref="Q4:Q35" si="7">((G4^2-H3^2)*PI())/(36*C4)</f>
        <v>1.3246252670641649E-13</v>
      </c>
      <c r="R4" s="30">
        <f t="shared" ref="R4:R35" si="8">(1/(PI()*PI()*C4))*(-(G4-H3)*PI()*PI()/3-2*PI()*(SQRT(1-PI()/3*G4)-SQRT(1-PI()/3*H3)))</f>
        <v>1.3246764806741377E-13</v>
      </c>
      <c r="S4" s="30">
        <f t="shared" ref="S4:S35" si="9">(1/(PI()^2*C4))*LN((1-H3)/(1-G4))</f>
        <v>2.0805966178773146E-9</v>
      </c>
      <c r="T4" s="30">
        <f t="shared" ref="T4:T35" si="10">(G4&lt;0.05)*Q4+((G4&gt;=0.05)*(G4&lt;0.9))*R4+(G4&gt;=0.9)*S4</f>
        <v>1.3246252670641649E-13</v>
      </c>
      <c r="U4" s="30">
        <f>LN(T4)</f>
        <v>-29.652476606794831</v>
      </c>
      <c r="V4" s="30">
        <f>IFERROR(O4-U4,5)</f>
        <v>0</v>
      </c>
      <c r="X4" s="31">
        <f t="shared" ref="X4:X35" si="11">((H4^2-G3^2)*PI())/(36*C4)</f>
        <v>1.5257993251957565E-17</v>
      </c>
      <c r="Y4" s="31">
        <f t="shared" ref="Y4:Y35" si="12">(1/(PI()*PI()*C4))*(-(H4-G3)*PI()*PI()/3-2*PI()*(SQRT(1-PI()/3*H4)-SQRT(1-PI()/3*G3)))</f>
        <v>1.5282801425054854E-17</v>
      </c>
      <c r="Z4" s="31">
        <f t="shared" ref="Z4:Z35" si="13">(1/(PI()^2*C4))*LN((1-G3)/(1-H4))</f>
        <v>-2.2329235560882907E-11</v>
      </c>
      <c r="AA4" s="31">
        <f>(H4&lt;0.05)*X4+((H4&gt;=0.05)*(H4&lt;0.9))*Y4+(H4&gt;=0.9)*Z4</f>
        <v>1.5257993251957565E-17</v>
      </c>
      <c r="AB4" s="30">
        <f>LN(AA4)</f>
        <v>-38.721428160487463</v>
      </c>
      <c r="AC4" s="30">
        <f>AB4-O4</f>
        <v>-9.0689515536926315</v>
      </c>
    </row>
    <row r="5" spans="1:29" s="30" customFormat="1" x14ac:dyDescent="0.3">
      <c r="A5" s="3">
        <v>12</v>
      </c>
      <c r="B5" s="30">
        <v>100.399999999999</v>
      </c>
      <c r="C5" s="30">
        <v>7200</v>
      </c>
      <c r="D5" s="30">
        <v>1.9272673713698729E-2</v>
      </c>
      <c r="E5" s="30">
        <v>0.1537079715231372</v>
      </c>
      <c r="F5" s="30">
        <v>-1.8934649049434472E-2</v>
      </c>
      <c r="G5" s="31">
        <f t="shared" si="0"/>
        <v>4.3857349612458422E-4</v>
      </c>
      <c r="H5" s="31">
        <f t="shared" si="1"/>
        <v>7.6921687662538103E-6</v>
      </c>
      <c r="J5" s="30">
        <f t="shared" si="2"/>
        <v>2.2650766679731568E-12</v>
      </c>
      <c r="K5" s="31">
        <f t="shared" si="3"/>
        <v>2.2656096135695456E-12</v>
      </c>
      <c r="L5" s="31">
        <f t="shared" si="4"/>
        <v>5.1328312729729211E-9</v>
      </c>
      <c r="M5" s="31">
        <f t="shared" si="5"/>
        <v>2.2650766679731568E-12</v>
      </c>
      <c r="N5" s="30">
        <f t="shared" si="6"/>
        <v>26.78093197643285</v>
      </c>
      <c r="O5" s="30">
        <f t="shared" ref="O5:O68" si="14">LN(M5)</f>
        <v>-26.813412508571645</v>
      </c>
      <c r="Q5" s="30">
        <f t="shared" si="7"/>
        <v>2.331300302329739E-12</v>
      </c>
      <c r="R5" s="30">
        <f t="shared" si="8"/>
        <v>2.3318357962077072E-12</v>
      </c>
      <c r="S5" s="30">
        <f t="shared" si="9"/>
        <v>6.1842941996912528E-9</v>
      </c>
      <c r="T5" s="30">
        <f t="shared" si="10"/>
        <v>2.331300302329739E-12</v>
      </c>
      <c r="U5" s="30">
        <f t="shared" ref="U5:U68" si="15">LN(T5)</f>
        <v>-26.78459493434449</v>
      </c>
      <c r="V5" s="30">
        <f t="shared" ref="V5:V68" si="16">IFERROR(O5-U5,5)</f>
        <v>-2.8817574227154807E-2</v>
      </c>
      <c r="X5" s="31">
        <f t="shared" si="11"/>
        <v>-6.5514109256429765E-14</v>
      </c>
      <c r="Y5" s="31">
        <f t="shared" si="12"/>
        <v>-6.5516665933683003E-14</v>
      </c>
      <c r="Z5" s="31">
        <f t="shared" si="13"/>
        <v>-9.3205071980713685E-10</v>
      </c>
      <c r="AA5" s="31">
        <f t="shared" ref="AA5:AA68" si="17">(H5&lt;0.05)*X5+((H5&gt;=0.05)*(H5&lt;0.9))*Y5+(H5&gt;=0.9)*Z5</f>
        <v>-6.5514109256429765E-14</v>
      </c>
      <c r="AB5" s="30" t="e">
        <f t="shared" ref="AB5:AB68" si="18">LN(AA5)</f>
        <v>#NUM!</v>
      </c>
      <c r="AC5" s="30" t="e">
        <f t="shared" ref="AC5:AC68" si="19">AB5-O5</f>
        <v>#NUM!</v>
      </c>
    </row>
    <row r="6" spans="1:29" s="30" customFormat="1" x14ac:dyDescent="0.3">
      <c r="A6" s="3">
        <v>13</v>
      </c>
      <c r="B6" s="30">
        <v>23.97</v>
      </c>
      <c r="C6" s="30">
        <v>3600</v>
      </c>
      <c r="D6" s="30">
        <v>2.065229872772946E-2</v>
      </c>
      <c r="E6" s="30">
        <v>1.0950714456331279E-2</v>
      </c>
      <c r="F6" s="30">
        <v>-1.3949001674596693E-3</v>
      </c>
      <c r="G6" s="31">
        <f t="shared" si="0"/>
        <v>4.6996856744332467E-4</v>
      </c>
      <c r="H6" s="31">
        <f t="shared" si="1"/>
        <v>4.3822589114031018E-4</v>
      </c>
      <c r="J6" s="30">
        <f t="shared" si="2"/>
        <v>6.9143503927712948E-13</v>
      </c>
      <c r="K6" s="31">
        <f t="shared" si="3"/>
        <v>6.916819324574108E-13</v>
      </c>
      <c r="L6" s="31">
        <f t="shared" si="4"/>
        <v>8.8400874256304725E-10</v>
      </c>
      <c r="M6" s="31">
        <f t="shared" si="5"/>
        <v>6.9143503927712948E-13</v>
      </c>
      <c r="N6" s="30">
        <f t="shared" si="6"/>
        <v>33.673435027107111</v>
      </c>
      <c r="O6" s="30">
        <f t="shared" si="14"/>
        <v>-28.000007189972646</v>
      </c>
      <c r="Q6" s="30">
        <f t="shared" si="7"/>
        <v>5.3526165937363028E-12</v>
      </c>
      <c r="R6" s="30">
        <f t="shared" si="8"/>
        <v>5.3539344914734038E-12</v>
      </c>
      <c r="S6" s="30">
        <f t="shared" si="9"/>
        <v>1.3013772728124164E-8</v>
      </c>
      <c r="T6" s="30">
        <f t="shared" si="10"/>
        <v>5.3526165937363028E-12</v>
      </c>
      <c r="U6" s="30">
        <f t="shared" si="15"/>
        <v>-25.953435591641348</v>
      </c>
      <c r="V6" s="30">
        <f t="shared" si="16"/>
        <v>-2.0465715983312975</v>
      </c>
      <c r="X6" s="31">
        <f t="shared" si="11"/>
        <v>-7.3880717405710192E-15</v>
      </c>
      <c r="Y6" s="31">
        <f t="shared" si="12"/>
        <v>-7.390613753965202E-15</v>
      </c>
      <c r="Z6" s="31">
        <f t="shared" si="13"/>
        <v>-9.7875543212434807E-12</v>
      </c>
      <c r="AA6" s="31">
        <f t="shared" si="17"/>
        <v>-7.3880717405710192E-15</v>
      </c>
      <c r="AB6" s="30" t="e">
        <f t="shared" si="18"/>
        <v>#NUM!</v>
      </c>
      <c r="AC6" s="30" t="e">
        <f t="shared" si="19"/>
        <v>#NUM!</v>
      </c>
    </row>
    <row r="7" spans="1:29" s="30" customFormat="1" x14ac:dyDescent="0.3">
      <c r="A7" s="3">
        <v>14</v>
      </c>
      <c r="B7" s="30">
        <v>23.98</v>
      </c>
      <c r="C7" s="30">
        <v>3600</v>
      </c>
      <c r="D7" s="30">
        <v>2.1720480734286108E-2</v>
      </c>
      <c r="E7" s="30">
        <v>1.0954181335476969E-2</v>
      </c>
      <c r="F7" s="30">
        <v>-1.0800126610908502E-3</v>
      </c>
      <c r="G7" s="31">
        <f t="shared" si="0"/>
        <v>4.9427636842995872E-4</v>
      </c>
      <c r="H7" s="31">
        <f t="shared" si="1"/>
        <v>4.6969934628607449E-4</v>
      </c>
      <c r="J7" s="30">
        <f t="shared" si="2"/>
        <v>5.6816949120003916E-13</v>
      </c>
      <c r="K7" s="31">
        <f t="shared" si="3"/>
        <v>5.6838476849435835E-13</v>
      </c>
      <c r="L7" s="31">
        <f t="shared" si="4"/>
        <v>6.8446754380158511E-10</v>
      </c>
      <c r="M7" s="31">
        <f t="shared" si="5"/>
        <v>5.6816949120003916E-13</v>
      </c>
      <c r="N7" s="30">
        <f t="shared" si="6"/>
        <v>33.672301165061619</v>
      </c>
      <c r="O7" s="30">
        <f t="shared" si="14"/>
        <v>-28.196356620701891</v>
      </c>
      <c r="Q7" s="30">
        <f t="shared" si="7"/>
        <v>1.2669926022177396E-12</v>
      </c>
      <c r="R7" s="30">
        <f t="shared" si="8"/>
        <v>1.2674573147060622E-12</v>
      </c>
      <c r="S7" s="30">
        <f t="shared" si="9"/>
        <v>1.578263840685672E-9</v>
      </c>
      <c r="T7" s="30">
        <f t="shared" si="10"/>
        <v>1.2669926022177396E-12</v>
      </c>
      <c r="U7" s="30">
        <f t="shared" si="15"/>
        <v>-27.394375053424476</v>
      </c>
      <c r="V7" s="30">
        <f t="shared" si="16"/>
        <v>-0.80198156727741576</v>
      </c>
      <c r="X7" s="31">
        <f t="shared" si="11"/>
        <v>-6.1323714832385813E-15</v>
      </c>
      <c r="Y7" s="31">
        <f t="shared" si="12"/>
        <v>-6.1346320898208249E-15</v>
      </c>
      <c r="Z7" s="31">
        <f t="shared" si="13"/>
        <v>-7.5807301063964562E-12</v>
      </c>
      <c r="AA7" s="31">
        <f t="shared" si="17"/>
        <v>-6.1323714832385813E-15</v>
      </c>
      <c r="AB7" s="30" t="e">
        <f t="shared" si="18"/>
        <v>#NUM!</v>
      </c>
      <c r="AC7" s="30" t="e">
        <f t="shared" si="19"/>
        <v>#NUM!</v>
      </c>
    </row>
    <row r="8" spans="1:29" s="30" customFormat="1" x14ac:dyDescent="0.3">
      <c r="A8" s="3">
        <v>15</v>
      </c>
      <c r="B8" s="30">
        <v>100</v>
      </c>
      <c r="C8" s="30">
        <v>14400</v>
      </c>
      <c r="D8" s="30">
        <v>2.8723185174061659E-2</v>
      </c>
      <c r="E8" s="30">
        <v>0.30489430767119097</v>
      </c>
      <c r="F8" s="30">
        <v>-1.0074301673914402E-2</v>
      </c>
      <c r="G8" s="31">
        <f t="shared" si="0"/>
        <v>6.5363155775672807E-4</v>
      </c>
      <c r="H8" s="31">
        <f t="shared" si="1"/>
        <v>4.2437837930427939E-4</v>
      </c>
      <c r="J8" s="30">
        <f t="shared" si="2"/>
        <v>1.1085572972640463E-12</v>
      </c>
      <c r="K8" s="31">
        <f t="shared" si="3"/>
        <v>1.1090604822865244E-12</v>
      </c>
      <c r="L8" s="31">
        <f t="shared" si="4"/>
        <v>1.1218978369007169E-9</v>
      </c>
      <c r="M8" s="31">
        <f t="shared" si="5"/>
        <v>1.1085572972640463E-12</v>
      </c>
      <c r="N8" s="30">
        <f t="shared" si="6"/>
        <v>26.809651474530831</v>
      </c>
      <c r="O8" s="30">
        <f t="shared" si="14"/>
        <v>-27.527961678183342</v>
      </c>
      <c r="Q8" s="30">
        <f t="shared" si="7"/>
        <v>1.2521327629348658E-12</v>
      </c>
      <c r="R8" s="30">
        <f t="shared" si="8"/>
        <v>1.2526903324318377E-12</v>
      </c>
      <c r="S8" s="30">
        <f t="shared" si="9"/>
        <v>1.2949099053776023E-9</v>
      </c>
      <c r="T8" s="30">
        <f t="shared" si="10"/>
        <v>1.2521327629348658E-12</v>
      </c>
      <c r="U8" s="30">
        <f t="shared" si="15"/>
        <v>-27.406172808189758</v>
      </c>
      <c r="V8" s="30">
        <f t="shared" si="16"/>
        <v>-0.1217888699935834</v>
      </c>
      <c r="X8" s="31">
        <f t="shared" si="11"/>
        <v>-3.8913642574134831E-13</v>
      </c>
      <c r="Y8" s="31">
        <f t="shared" si="12"/>
        <v>-3.8927713583417679E-13</v>
      </c>
      <c r="Z8" s="31">
        <f t="shared" si="13"/>
        <v>-4.9204177181854015E-10</v>
      </c>
      <c r="AA8" s="31">
        <f t="shared" si="17"/>
        <v>-3.8913642574134831E-13</v>
      </c>
      <c r="AB8" s="30" t="e">
        <f t="shared" si="18"/>
        <v>#NUM!</v>
      </c>
      <c r="AC8" s="30" t="e">
        <f t="shared" si="19"/>
        <v>#NUM!</v>
      </c>
    </row>
    <row r="9" spans="1:29" s="30" customFormat="1" x14ac:dyDescent="0.3">
      <c r="A9" s="3">
        <v>16</v>
      </c>
      <c r="B9" s="30">
        <v>24</v>
      </c>
      <c r="C9" s="30">
        <v>3600</v>
      </c>
      <c r="D9" s="30">
        <v>2.9457304606430462E-2</v>
      </c>
      <c r="E9" s="30">
        <v>1.0961117723193407E-2</v>
      </c>
      <c r="F9" s="30">
        <v>-7.4225538098040091E-4</v>
      </c>
      <c r="G9" s="31">
        <f t="shared" si="0"/>
        <v>6.7033735223080422E-4</v>
      </c>
      <c r="H9" s="31">
        <f t="shared" si="1"/>
        <v>6.5344641419647867E-4</v>
      </c>
      <c r="J9" s="30">
        <f t="shared" si="2"/>
        <v>5.3615429851426028E-13</v>
      </c>
      <c r="K9" s="31">
        <f t="shared" si="3"/>
        <v>5.3643322117340666E-13</v>
      </c>
      <c r="L9" s="31">
        <f t="shared" si="4"/>
        <v>4.7049225573523143E-10</v>
      </c>
      <c r="M9" s="31">
        <f t="shared" si="5"/>
        <v>5.3615429851426028E-13</v>
      </c>
      <c r="N9" s="30">
        <f t="shared" si="6"/>
        <v>33.670033670033668</v>
      </c>
      <c r="O9" s="30">
        <f t="shared" si="14"/>
        <v>-28.254354404904181</v>
      </c>
      <c r="Q9" s="30">
        <f t="shared" si="7"/>
        <v>6.5269291905358392E-12</v>
      </c>
      <c r="R9" s="30">
        <f t="shared" si="8"/>
        <v>6.5297836936562115E-12</v>
      </c>
      <c r="S9" s="30">
        <f t="shared" si="9"/>
        <v>6.9262506906110451E-9</v>
      </c>
      <c r="T9" s="30">
        <f t="shared" si="10"/>
        <v>6.5269291905358392E-12</v>
      </c>
      <c r="U9" s="30">
        <f t="shared" si="15"/>
        <v>-25.755084545034201</v>
      </c>
      <c r="V9" s="30">
        <f t="shared" si="16"/>
        <v>-2.4992698598699796</v>
      </c>
      <c r="X9" s="31">
        <f t="shared" si="11"/>
        <v>-5.8661744980642825E-15</v>
      </c>
      <c r="Y9" s="31">
        <f t="shared" si="12"/>
        <v>-5.8691906241744942E-15</v>
      </c>
      <c r="Z9" s="31">
        <f t="shared" si="13"/>
        <v>-5.2142312224533665E-12</v>
      </c>
      <c r="AA9" s="31">
        <f t="shared" si="17"/>
        <v>-5.8661744980642825E-15</v>
      </c>
      <c r="AB9" s="30" t="e">
        <f t="shared" si="18"/>
        <v>#NUM!</v>
      </c>
      <c r="AC9" s="30" t="e">
        <f t="shared" si="19"/>
        <v>#NUM!</v>
      </c>
    </row>
    <row r="10" spans="1:29" s="30" customFormat="1" x14ac:dyDescent="0.3">
      <c r="A10" s="3">
        <v>17</v>
      </c>
      <c r="B10" s="30">
        <v>24</v>
      </c>
      <c r="C10" s="30">
        <v>3600</v>
      </c>
      <c r="D10" s="30">
        <v>3.0774938376314152E-2</v>
      </c>
      <c r="E10" s="30">
        <v>1.0961117723193407E-2</v>
      </c>
      <c r="F10" s="30">
        <v>-1.3322365717821376E-3</v>
      </c>
      <c r="G10" s="31">
        <f t="shared" si="0"/>
        <v>7.003217362168703E-4</v>
      </c>
      <c r="H10" s="31">
        <f t="shared" si="1"/>
        <v>6.7000504743610083E-4</v>
      </c>
      <c r="J10" s="30">
        <f t="shared" si="2"/>
        <v>9.9625256411344162E-13</v>
      </c>
      <c r="K10" s="31">
        <f t="shared" si="3"/>
        <v>9.9678922000283228E-13</v>
      </c>
      <c r="L10" s="31">
        <f t="shared" si="4"/>
        <v>8.4448243668038242E-10</v>
      </c>
      <c r="M10" s="31">
        <f t="shared" si="5"/>
        <v>9.9625256411344162E-13</v>
      </c>
      <c r="N10" s="30">
        <f t="shared" si="6"/>
        <v>33.670033670033668</v>
      </c>
      <c r="O10" s="30">
        <f t="shared" si="14"/>
        <v>-27.634775591044512</v>
      </c>
      <c r="Q10" s="30">
        <f t="shared" si="7"/>
        <v>1.5382730371257662E-12</v>
      </c>
      <c r="R10" s="30">
        <f t="shared" si="8"/>
        <v>1.5390916317999574E-12</v>
      </c>
      <c r="S10" s="30">
        <f t="shared" si="9"/>
        <v>1.3201889236326616E-9</v>
      </c>
      <c r="T10" s="30">
        <f t="shared" si="10"/>
        <v>1.5382730371257662E-12</v>
      </c>
      <c r="U10" s="30">
        <f t="shared" si="15"/>
        <v>-27.200360733211252</v>
      </c>
      <c r="V10" s="30">
        <f t="shared" si="16"/>
        <v>-0.43441485783326073</v>
      </c>
      <c r="X10" s="31">
        <f t="shared" si="11"/>
        <v>-1.0796854152132427E-14</v>
      </c>
      <c r="Y10" s="31">
        <f t="shared" si="12"/>
        <v>-1.0802546247797347E-14</v>
      </c>
      <c r="Z10" s="31">
        <f t="shared" si="13"/>
        <v>-9.3589151649271118E-12</v>
      </c>
      <c r="AA10" s="31">
        <f t="shared" si="17"/>
        <v>-1.0796854152132427E-14</v>
      </c>
      <c r="AB10" s="30" t="e">
        <f t="shared" si="18"/>
        <v>#NUM!</v>
      </c>
      <c r="AC10" s="30" t="e">
        <f t="shared" si="19"/>
        <v>#NUM!</v>
      </c>
    </row>
    <row r="11" spans="1:29" s="30" customFormat="1" x14ac:dyDescent="0.3">
      <c r="A11" s="3">
        <v>18</v>
      </c>
      <c r="B11" s="30">
        <v>24</v>
      </c>
      <c r="C11" s="30">
        <v>3600</v>
      </c>
      <c r="D11" s="30">
        <v>3.1484461723878657E-2</v>
      </c>
      <c r="E11" s="30">
        <v>1.0961117723193407E-2</v>
      </c>
      <c r="F11" s="30">
        <v>-7.1738670772088578E-4</v>
      </c>
      <c r="G11" s="31">
        <f t="shared" si="0"/>
        <v>7.1646781639993294E-4</v>
      </c>
      <c r="H11" s="31">
        <f t="shared" si="1"/>
        <v>7.0014279574362296E-4</v>
      </c>
      <c r="J11" s="30">
        <f t="shared" si="2"/>
        <v>5.5452013688831571E-13</v>
      </c>
      <c r="K11" s="31">
        <f t="shared" si="3"/>
        <v>5.548288601683673E-13</v>
      </c>
      <c r="L11" s="31">
        <f t="shared" si="4"/>
        <v>4.547499078383342E-10</v>
      </c>
      <c r="M11" s="31">
        <f t="shared" si="5"/>
        <v>5.5452013688831571E-13</v>
      </c>
      <c r="N11" s="30">
        <f t="shared" si="6"/>
        <v>33.670033670033668</v>
      </c>
      <c r="O11" s="30">
        <f t="shared" si="14"/>
        <v>-28.220673273381426</v>
      </c>
      <c r="Q11" s="30">
        <f t="shared" si="7"/>
        <v>1.5615695551538899E-12</v>
      </c>
      <c r="R11" s="30">
        <f t="shared" si="8"/>
        <v>1.5624206264188598E-12</v>
      </c>
      <c r="S11" s="30">
        <f t="shared" si="9"/>
        <v>1.3085912596777837E-9</v>
      </c>
      <c r="T11" s="30">
        <f t="shared" si="10"/>
        <v>1.5615695551538899E-12</v>
      </c>
      <c r="U11" s="30">
        <f t="shared" si="15"/>
        <v>-27.185329675373072</v>
      </c>
      <c r="V11" s="30">
        <f t="shared" si="16"/>
        <v>-1.0353435980083532</v>
      </c>
      <c r="X11" s="31">
        <f t="shared" si="11"/>
        <v>-6.0747102395874837E-15</v>
      </c>
      <c r="Y11" s="31">
        <f t="shared" si="12"/>
        <v>-6.0780568530928481E-15</v>
      </c>
      <c r="Z11" s="31">
        <f t="shared" si="13"/>
        <v>-5.0397680538466699E-12</v>
      </c>
      <c r="AA11" s="31">
        <f t="shared" si="17"/>
        <v>-6.0747102395874837E-15</v>
      </c>
      <c r="AB11" s="30" t="e">
        <f t="shared" si="18"/>
        <v>#NUM!</v>
      </c>
      <c r="AC11" s="30" t="e">
        <f t="shared" si="19"/>
        <v>#NUM!</v>
      </c>
    </row>
    <row r="12" spans="1:29" s="30" customFormat="1" x14ac:dyDescent="0.3">
      <c r="A12" s="3">
        <v>19</v>
      </c>
      <c r="B12" s="30">
        <v>200.06</v>
      </c>
      <c r="C12" s="30">
        <v>7200</v>
      </c>
      <c r="D12" s="30">
        <v>7.2527837429117947E-2</v>
      </c>
      <c r="E12" s="30">
        <v>0.79563155097681137</v>
      </c>
      <c r="F12" s="30">
        <v>-0.20083029401755806</v>
      </c>
      <c r="G12" s="31">
        <f t="shared" si="0"/>
        <v>1.6504605276970222E-3</v>
      </c>
      <c r="H12" s="31">
        <f t="shared" si="1"/>
        <v>-2.9196808799481183E-3</v>
      </c>
      <c r="J12" s="30">
        <f t="shared" si="2"/>
        <v>2.67943652357825E-11</v>
      </c>
      <c r="K12" s="31">
        <f t="shared" si="3"/>
        <v>2.6820592765263465E-11</v>
      </c>
      <c r="L12" s="31">
        <f t="shared" si="4"/>
        <v>1.3159080789212923E-8</v>
      </c>
      <c r="M12" s="31">
        <f t="shared" si="5"/>
        <v>2.67943652357825E-11</v>
      </c>
      <c r="N12" s="30">
        <f t="shared" si="6"/>
        <v>21.138967572823745</v>
      </c>
      <c r="O12" s="30">
        <f t="shared" si="14"/>
        <v>-24.342829502914046</v>
      </c>
      <c r="Q12" s="30">
        <f t="shared" si="7"/>
        <v>2.7074662659346454E-11</v>
      </c>
      <c r="R12" s="30">
        <f t="shared" si="8"/>
        <v>2.710104622377368E-11</v>
      </c>
      <c r="S12" s="30">
        <f t="shared" si="9"/>
        <v>1.3388975627154783E-8</v>
      </c>
      <c r="T12" s="30">
        <f t="shared" si="10"/>
        <v>2.7074662659346454E-11</v>
      </c>
      <c r="U12" s="30">
        <f t="shared" si="15"/>
        <v>-24.332422782607704</v>
      </c>
      <c r="V12" s="30">
        <f t="shared" si="16"/>
        <v>-1.0406720306342265E-2</v>
      </c>
      <c r="X12" s="31">
        <f t="shared" si="11"/>
        <v>9.7098608998772255E-11</v>
      </c>
      <c r="Y12" s="31">
        <f t="shared" si="12"/>
        <v>9.6938625070840075E-11</v>
      </c>
      <c r="Z12" s="31">
        <f t="shared" si="13"/>
        <v>-5.1113040047432967E-8</v>
      </c>
      <c r="AA12" s="31">
        <f t="shared" si="17"/>
        <v>9.7098608998772255E-11</v>
      </c>
      <c r="AB12" s="30">
        <f t="shared" si="18"/>
        <v>-23.055294066184217</v>
      </c>
      <c r="AC12" s="30">
        <f t="shared" si="19"/>
        <v>1.2875354367298293</v>
      </c>
    </row>
    <row r="13" spans="1:29" s="30" customFormat="1" x14ac:dyDescent="0.3">
      <c r="A13" s="3">
        <v>20</v>
      </c>
      <c r="B13" s="30">
        <v>26.25</v>
      </c>
      <c r="C13" s="30">
        <v>3600</v>
      </c>
      <c r="D13" s="30">
        <v>7.3999882642339074E-2</v>
      </c>
      <c r="E13" s="30">
        <v>1.1764155317572843E-2</v>
      </c>
      <c r="F13" s="30">
        <v>-1.4895687311303472E-3</v>
      </c>
      <c r="G13" s="31">
        <f t="shared" si="0"/>
        <v>1.6839587348065508E-3</v>
      </c>
      <c r="H13" s="31">
        <f t="shared" si="1"/>
        <v>1.6500617584018005E-3</v>
      </c>
      <c r="J13" s="30">
        <f t="shared" si="2"/>
        <v>2.7076133121696543E-12</v>
      </c>
      <c r="K13" s="31">
        <f t="shared" si="3"/>
        <v>2.7111640107491085E-12</v>
      </c>
      <c r="L13" s="31">
        <f t="shared" si="4"/>
        <v>9.4437391221505378E-10</v>
      </c>
      <c r="M13" s="31">
        <f t="shared" si="5"/>
        <v>2.7076133121696543E-12</v>
      </c>
      <c r="N13" s="30">
        <f t="shared" si="6"/>
        <v>33.416875522138682</v>
      </c>
      <c r="O13" s="30">
        <f t="shared" si="14"/>
        <v>-26.634953565694413</v>
      </c>
      <c r="Q13" s="30">
        <f t="shared" si="7"/>
        <v>-1.3790087421380984E-10</v>
      </c>
      <c r="R13" s="30">
        <f t="shared" si="8"/>
        <v>-1.375249006002153E-10</v>
      </c>
      <c r="S13" s="30">
        <f t="shared" si="9"/>
        <v>1.2948861558550134E-7</v>
      </c>
      <c r="T13" s="30">
        <f t="shared" si="10"/>
        <v>-1.3790087421380984E-10</v>
      </c>
      <c r="U13" s="30" t="e">
        <f t="shared" si="15"/>
        <v>#NUM!</v>
      </c>
      <c r="V13" s="30">
        <f t="shared" si="16"/>
        <v>5</v>
      </c>
      <c r="X13" s="31">
        <f t="shared" si="11"/>
        <v>-3.190430228593006E-14</v>
      </c>
      <c r="Y13" s="31">
        <f t="shared" si="12"/>
        <v>-3.1945712327583977E-14</v>
      </c>
      <c r="Z13" s="31">
        <f t="shared" si="13"/>
        <v>-1.1241823330795313E-11</v>
      </c>
      <c r="AA13" s="31">
        <f t="shared" si="17"/>
        <v>-3.190430228593006E-14</v>
      </c>
      <c r="AB13" s="30" t="e">
        <f t="shared" si="18"/>
        <v>#NUM!</v>
      </c>
      <c r="AC13" s="30" t="e">
        <f t="shared" si="19"/>
        <v>#NUM!</v>
      </c>
    </row>
    <row r="14" spans="1:29" s="30" customFormat="1" x14ac:dyDescent="0.3">
      <c r="A14" s="3">
        <v>21</v>
      </c>
      <c r="B14" s="30">
        <v>24</v>
      </c>
      <c r="C14" s="30">
        <v>3600</v>
      </c>
      <c r="D14" s="30">
        <v>7.5359747066353983E-2</v>
      </c>
      <c r="E14" s="30">
        <v>1.0961117723193407E-2</v>
      </c>
      <c r="F14" s="30">
        <v>-1.3749352511646946E-3</v>
      </c>
      <c r="G14" s="31">
        <f t="shared" si="0"/>
        <v>1.7149041294910335E-3</v>
      </c>
      <c r="H14" s="31">
        <f t="shared" si="1"/>
        <v>1.6836157795191444E-3</v>
      </c>
      <c r="J14" s="30">
        <f t="shared" si="2"/>
        <v>2.5496146125897922E-12</v>
      </c>
      <c r="K14" s="31">
        <f t="shared" si="3"/>
        <v>2.5530228217021323E-12</v>
      </c>
      <c r="L14" s="31">
        <f t="shared" si="4"/>
        <v>8.7243375745411825E-10</v>
      </c>
      <c r="M14" s="31">
        <f t="shared" si="5"/>
        <v>2.5496146125897922E-12</v>
      </c>
      <c r="N14" s="30">
        <f t="shared" si="6"/>
        <v>33.670033670033668</v>
      </c>
      <c r="O14" s="30">
        <f t="shared" si="14"/>
        <v>-26.695078900497581</v>
      </c>
      <c r="Q14" s="30">
        <f t="shared" si="7"/>
        <v>5.2891322270453763E-12</v>
      </c>
      <c r="R14" s="30">
        <f t="shared" si="8"/>
        <v>5.2961325447775611E-12</v>
      </c>
      <c r="S14" s="30">
        <f t="shared" si="9"/>
        <v>1.8280494929954616E-9</v>
      </c>
      <c r="T14" s="30">
        <f t="shared" si="10"/>
        <v>5.2891322270453763E-12</v>
      </c>
      <c r="U14" s="30">
        <f t="shared" si="15"/>
        <v>-25.965366923770485</v>
      </c>
      <c r="V14" s="30">
        <f t="shared" si="16"/>
        <v>-0.72971197672709565</v>
      </c>
      <c r="X14" s="31">
        <f t="shared" si="11"/>
        <v>-2.799623228113295E-14</v>
      </c>
      <c r="Y14" s="31">
        <f t="shared" si="12"/>
        <v>-2.803330519045364E-14</v>
      </c>
      <c r="Z14" s="31">
        <f t="shared" si="13"/>
        <v>-9.6686787905243719E-12</v>
      </c>
      <c r="AA14" s="31">
        <f t="shared" si="17"/>
        <v>-2.799623228113295E-14</v>
      </c>
      <c r="AB14" s="30" t="e">
        <f t="shared" si="18"/>
        <v>#NUM!</v>
      </c>
      <c r="AC14" s="30" t="e">
        <f t="shared" si="19"/>
        <v>#NUM!</v>
      </c>
    </row>
    <row r="15" spans="1:29" s="30" customFormat="1" x14ac:dyDescent="0.3">
      <c r="A15" s="3">
        <v>22</v>
      </c>
      <c r="B15" s="30">
        <v>200.01999999999899</v>
      </c>
      <c r="C15" s="30">
        <v>14400</v>
      </c>
      <c r="D15" s="30">
        <v>0.11788841456506369</v>
      </c>
      <c r="E15" s="30">
        <v>1.5904191471296552</v>
      </c>
      <c r="F15" s="30">
        <v>7.2031314881071201E-2</v>
      </c>
      <c r="G15" s="31">
        <f t="shared" si="0"/>
        <v>2.6826964901935117E-3</v>
      </c>
      <c r="H15" s="31">
        <f t="shared" si="1"/>
        <v>4.321858034000885E-3</v>
      </c>
      <c r="J15" s="30">
        <f t="shared" si="2"/>
        <v>2.5791871396935774E-11</v>
      </c>
      <c r="K15" s="31">
        <f t="shared" si="3"/>
        <v>2.5837221108367258E-11</v>
      </c>
      <c r="L15" s="31">
        <f t="shared" si="4"/>
        <v>6.8245805560733455E-9</v>
      </c>
      <c r="M15" s="31">
        <f t="shared" si="5"/>
        <v>2.5791871396935774E-11</v>
      </c>
      <c r="N15" s="30">
        <f t="shared" si="6"/>
        <v>21.140755147773923</v>
      </c>
      <c r="O15" s="30">
        <f t="shared" si="14"/>
        <v>-24.380961735777749</v>
      </c>
      <c r="Q15" s="30">
        <f t="shared" si="7"/>
        <v>2.6436274108153506E-11</v>
      </c>
      <c r="R15" s="30">
        <f t="shared" si="8"/>
        <v>2.6482485140088884E-11</v>
      </c>
      <c r="S15" s="30">
        <f t="shared" si="9"/>
        <v>7.0451061651342457E-9</v>
      </c>
      <c r="T15" s="30">
        <f t="shared" si="10"/>
        <v>2.6436274108153506E-11</v>
      </c>
      <c r="U15" s="30">
        <f t="shared" si="15"/>
        <v>-24.356284029628693</v>
      </c>
      <c r="V15" s="30">
        <f t="shared" si="16"/>
        <v>-2.4677706149056178E-2</v>
      </c>
      <c r="X15" s="31">
        <f t="shared" si="11"/>
        <v>9.5372309138984164E-11</v>
      </c>
      <c r="Y15" s="31">
        <f t="shared" si="12"/>
        <v>9.56131653289181E-11</v>
      </c>
      <c r="Z15" s="31">
        <f t="shared" si="13"/>
        <v>1.8398575983748001E-8</v>
      </c>
      <c r="AA15" s="31">
        <f t="shared" si="17"/>
        <v>9.5372309138984164E-11</v>
      </c>
      <c r="AB15" s="30">
        <f t="shared" si="18"/>
        <v>-23.073232840205719</v>
      </c>
      <c r="AC15" s="30">
        <f t="shared" si="19"/>
        <v>1.3077288955720299</v>
      </c>
    </row>
    <row r="16" spans="1:29" s="30" customFormat="1" x14ac:dyDescent="0.3">
      <c r="A16" s="3">
        <v>23</v>
      </c>
      <c r="B16" s="30">
        <v>26.18</v>
      </c>
      <c r="C16" s="30">
        <v>3600</v>
      </c>
      <c r="D16" s="30">
        <v>0.11788841456506369</v>
      </c>
      <c r="E16" s="30">
        <v>1.1738484870732606E-2</v>
      </c>
      <c r="F16" s="30">
        <v>0</v>
      </c>
      <c r="G16" s="31">
        <f t="shared" si="0"/>
        <v>2.6826964901935117E-3</v>
      </c>
      <c r="H16" s="31">
        <f t="shared" si="1"/>
        <v>2.6826964901935117E-3</v>
      </c>
      <c r="J16" s="30">
        <f t="shared" si="2"/>
        <v>0</v>
      </c>
      <c r="K16" s="31">
        <f t="shared" si="3"/>
        <v>0</v>
      </c>
      <c r="L16" s="31">
        <f t="shared" si="4"/>
        <v>0</v>
      </c>
      <c r="M16" s="31">
        <f t="shared" si="5"/>
        <v>0</v>
      </c>
      <c r="N16" s="30">
        <f t="shared" si="6"/>
        <v>33.424694164048397</v>
      </c>
      <c r="O16" s="30" t="e">
        <f t="shared" si="14"/>
        <v>#NUM!</v>
      </c>
      <c r="Q16" s="30">
        <f t="shared" si="7"/>
        <v>-2.7832175096819352E-10</v>
      </c>
      <c r="R16" s="30">
        <f t="shared" si="8"/>
        <v>-2.7910377688220333E-10</v>
      </c>
      <c r="S16" s="30">
        <f t="shared" si="9"/>
        <v>-4.6295981710694038E-8</v>
      </c>
      <c r="T16" s="30">
        <f t="shared" si="10"/>
        <v>-2.7832175096819352E-10</v>
      </c>
      <c r="U16" s="30" t="e">
        <f t="shared" si="15"/>
        <v>#NUM!</v>
      </c>
      <c r="V16" s="30">
        <f t="shared" si="16"/>
        <v>5</v>
      </c>
      <c r="X16" s="31">
        <f t="shared" si="11"/>
        <v>0</v>
      </c>
      <c r="Y16" s="31">
        <f t="shared" si="12"/>
        <v>0</v>
      </c>
      <c r="Z16" s="31">
        <f t="shared" si="13"/>
        <v>0</v>
      </c>
      <c r="AA16" s="31">
        <f t="shared" si="17"/>
        <v>0</v>
      </c>
      <c r="AB16" s="30" t="e">
        <f t="shared" si="18"/>
        <v>#NUM!</v>
      </c>
      <c r="AC16" s="30" t="e">
        <f t="shared" si="19"/>
        <v>#NUM!</v>
      </c>
    </row>
    <row r="17" spans="1:29" s="30" customFormat="1" x14ac:dyDescent="0.3">
      <c r="A17" s="3">
        <v>24</v>
      </c>
      <c r="B17" s="30">
        <v>24</v>
      </c>
      <c r="C17" s="30">
        <v>3600</v>
      </c>
      <c r="D17" s="30">
        <v>0.11819259924543152</v>
      </c>
      <c r="E17" s="30">
        <v>1.0961117723193407E-2</v>
      </c>
      <c r="F17" s="30">
        <v>-3.0755583609371238E-4</v>
      </c>
      <c r="G17" s="31">
        <f t="shared" si="0"/>
        <v>2.6896185883267683E-3</v>
      </c>
      <c r="H17" s="31">
        <f t="shared" si="1"/>
        <v>2.6826197753808895E-3</v>
      </c>
      <c r="J17" s="30">
        <f t="shared" si="2"/>
        <v>9.01455096797805E-13</v>
      </c>
      <c r="K17" s="31">
        <f t="shared" si="3"/>
        <v>9.0336137537355513E-13</v>
      </c>
      <c r="L17" s="31">
        <f t="shared" si="4"/>
        <v>1.9534561135225676E-10</v>
      </c>
      <c r="M17" s="31">
        <f t="shared" si="5"/>
        <v>9.01455096797805E-13</v>
      </c>
      <c r="N17" s="30">
        <f t="shared" si="6"/>
        <v>33.670033670033668</v>
      </c>
      <c r="O17" s="30">
        <f t="shared" si="14"/>
        <v>-27.73476616293901</v>
      </c>
      <c r="Q17" s="30">
        <f t="shared" si="7"/>
        <v>9.01455096797805E-13</v>
      </c>
      <c r="R17" s="30">
        <f t="shared" si="8"/>
        <v>9.0336137537355513E-13</v>
      </c>
      <c r="S17" s="30">
        <f t="shared" si="9"/>
        <v>1.9534561135225676E-10</v>
      </c>
      <c r="T17" s="30">
        <f t="shared" si="10"/>
        <v>9.01455096797805E-13</v>
      </c>
      <c r="U17" s="30">
        <f t="shared" si="15"/>
        <v>-27.73476616293901</v>
      </c>
      <c r="V17" s="30">
        <f t="shared" si="16"/>
        <v>0</v>
      </c>
      <c r="X17" s="31">
        <f t="shared" si="11"/>
        <v>-9.9774469397334559E-15</v>
      </c>
      <c r="Y17" s="31">
        <f t="shared" si="12"/>
        <v>-9.9985109132933616E-15</v>
      </c>
      <c r="Z17" s="31">
        <f t="shared" si="13"/>
        <v>-2.1649287695208011E-12</v>
      </c>
      <c r="AA17" s="31">
        <f t="shared" si="17"/>
        <v>-9.9774469397334559E-15</v>
      </c>
      <c r="AB17" s="30" t="e">
        <f t="shared" si="18"/>
        <v>#NUM!</v>
      </c>
      <c r="AC17" s="30" t="e">
        <f t="shared" si="19"/>
        <v>#NUM!</v>
      </c>
    </row>
    <row r="18" spans="1:29" s="30" customFormat="1" x14ac:dyDescent="0.3">
      <c r="A18" s="3">
        <v>25</v>
      </c>
      <c r="B18" s="30">
        <v>250.02999999999901</v>
      </c>
      <c r="C18" s="30">
        <v>7200</v>
      </c>
      <c r="D18" s="30">
        <v>0.15241836446598753</v>
      </c>
      <c r="E18" s="30">
        <v>1.4559107304057963</v>
      </c>
      <c r="F18" s="30">
        <v>7.5071199114116888E-2</v>
      </c>
      <c r="G18" s="31">
        <f t="shared" si="0"/>
        <v>3.4684681518748297E-3</v>
      </c>
      <c r="H18" s="31">
        <f t="shared" si="1"/>
        <v>5.1768060162958405E-3</v>
      </c>
      <c r="J18" s="30">
        <f t="shared" si="2"/>
        <v>5.8131865260516735E-11</v>
      </c>
      <c r="K18" s="31">
        <f t="shared" si="3"/>
        <v>5.8273578540364867E-11</v>
      </c>
      <c r="L18" s="31">
        <f t="shared" si="4"/>
        <v>1.0994124117173483E-8</v>
      </c>
      <c r="M18" s="31">
        <f t="shared" si="5"/>
        <v>5.8131865260516735E-11</v>
      </c>
      <c r="N18" s="30">
        <f t="shared" si="6"/>
        <v>19.119362178077772</v>
      </c>
      <c r="O18" s="30">
        <f t="shared" si="14"/>
        <v>-23.568307146986811</v>
      </c>
      <c r="Q18" s="30">
        <f t="shared" si="7"/>
        <v>5.8587581532385508E-11</v>
      </c>
      <c r="R18" s="30">
        <f t="shared" si="8"/>
        <v>5.8730258483513002E-11</v>
      </c>
      <c r="S18" s="30">
        <f t="shared" si="9"/>
        <v>1.1092879387233826E-8</v>
      </c>
      <c r="T18" s="30">
        <f t="shared" si="10"/>
        <v>5.8587581532385508E-11</v>
      </c>
      <c r="U18" s="30">
        <f t="shared" si="15"/>
        <v>-23.560498361046204</v>
      </c>
      <c r="V18" s="30">
        <f t="shared" si="16"/>
        <v>-7.8087859406075211E-3</v>
      </c>
      <c r="X18" s="31">
        <f t="shared" si="11"/>
        <v>2.3713779310763241E-10</v>
      </c>
      <c r="Y18" s="31">
        <f t="shared" si="12"/>
        <v>2.3789753172979832E-10</v>
      </c>
      <c r="Z18" s="31">
        <f t="shared" si="13"/>
        <v>3.5138889975575539E-8</v>
      </c>
      <c r="AA18" s="31">
        <f t="shared" si="17"/>
        <v>2.3713779310763241E-10</v>
      </c>
      <c r="AB18" s="30">
        <f t="shared" si="18"/>
        <v>-22.162379738226686</v>
      </c>
      <c r="AC18" s="30">
        <f t="shared" si="19"/>
        <v>1.4059274087601246</v>
      </c>
    </row>
    <row r="19" spans="1:29" s="30" customFormat="1" x14ac:dyDescent="0.3">
      <c r="A19" s="3">
        <v>26</v>
      </c>
      <c r="B19" s="30">
        <v>36</v>
      </c>
      <c r="C19" s="30">
        <v>300</v>
      </c>
      <c r="D19" s="30">
        <v>0.15327713438443691</v>
      </c>
      <c r="E19" s="30">
        <v>1.3168721083646588E-3</v>
      </c>
      <c r="F19" s="30">
        <v>-8.5990229980389932E-4</v>
      </c>
      <c r="G19" s="31">
        <f t="shared" si="0"/>
        <v>3.4880105221290029E-3</v>
      </c>
      <c r="H19" s="31">
        <f t="shared" si="1"/>
        <v>3.4684423831383808E-3</v>
      </c>
      <c r="J19" s="30">
        <f t="shared" si="2"/>
        <v>3.9545112242692385E-11</v>
      </c>
      <c r="K19" s="31">
        <f t="shared" si="3"/>
        <v>3.9653471065588767E-11</v>
      </c>
      <c r="L19" s="31">
        <f t="shared" si="4"/>
        <v>6.6232241099146682E-9</v>
      </c>
      <c r="M19" s="31">
        <f t="shared" si="5"/>
        <v>3.9545112242692385E-11</v>
      </c>
      <c r="N19" s="30">
        <f t="shared" si="6"/>
        <v>32.362459546925564</v>
      </c>
      <c r="O19" s="30">
        <f t="shared" si="14"/>
        <v>-23.953579013607616</v>
      </c>
      <c r="Q19" s="30">
        <f t="shared" si="7"/>
        <v>-4.2565971560880843E-9</v>
      </c>
      <c r="R19" s="30">
        <f t="shared" si="8"/>
        <v>-4.2713214054814369E-9</v>
      </c>
      <c r="S19" s="30">
        <f t="shared" si="9"/>
        <v>-5.7285115649171291E-7</v>
      </c>
      <c r="T19" s="30">
        <f t="shared" si="10"/>
        <v>-4.2565971560880843E-9</v>
      </c>
      <c r="U19" s="30" t="e">
        <f t="shared" si="15"/>
        <v>#NUM!</v>
      </c>
      <c r="V19" s="30">
        <f t="shared" si="16"/>
        <v>5</v>
      </c>
      <c r="X19" s="31">
        <f t="shared" si="11"/>
        <v>-5.1997843722918125E-14</v>
      </c>
      <c r="Y19" s="31">
        <f t="shared" si="12"/>
        <v>-5.2139781722043068E-14</v>
      </c>
      <c r="Z19" s="31">
        <f t="shared" si="13"/>
        <v>-8.7333541920931043E-12</v>
      </c>
      <c r="AA19" s="31">
        <f t="shared" si="17"/>
        <v>-5.1997843722918125E-14</v>
      </c>
      <c r="AB19" s="30" t="e">
        <f t="shared" si="18"/>
        <v>#NUM!</v>
      </c>
      <c r="AC19" s="30" t="e">
        <f t="shared" si="19"/>
        <v>#NUM!</v>
      </c>
    </row>
    <row r="20" spans="1:29" s="30" customFormat="1" x14ac:dyDescent="0.3">
      <c r="A20" s="3">
        <v>27</v>
      </c>
      <c r="B20" s="30">
        <v>24</v>
      </c>
      <c r="C20" s="30">
        <v>300</v>
      </c>
      <c r="D20" s="30">
        <v>0.15374070877366536</v>
      </c>
      <c r="E20" s="30">
        <v>9.1342647693278391E-4</v>
      </c>
      <c r="F20" s="30">
        <v>-4.6399821748554392E-4</v>
      </c>
      <c r="G20" s="31">
        <f t="shared" si="0"/>
        <v>3.4985597299668977E-3</v>
      </c>
      <c r="H20" s="31">
        <f t="shared" si="1"/>
        <v>3.4880008773934962E-3</v>
      </c>
      <c r="J20" s="30">
        <f t="shared" si="2"/>
        <v>2.1439270131750935E-11</v>
      </c>
      <c r="K20" s="31">
        <f t="shared" si="3"/>
        <v>2.1498271139788512E-11</v>
      </c>
      <c r="L20" s="31">
        <f t="shared" si="4"/>
        <v>3.5753504673831172E-9</v>
      </c>
      <c r="M20" s="31">
        <f t="shared" si="5"/>
        <v>2.1439270131750935E-11</v>
      </c>
      <c r="N20" s="30">
        <f t="shared" si="6"/>
        <v>33.670033670033668</v>
      </c>
      <c r="O20" s="30">
        <f t="shared" si="14"/>
        <v>-24.565796822667764</v>
      </c>
      <c r="Q20" s="30">
        <f t="shared" si="7"/>
        <v>6.1036380218166244E-11</v>
      </c>
      <c r="R20" s="30">
        <f t="shared" si="8"/>
        <v>6.1203881987100064E-11</v>
      </c>
      <c r="S20" s="30">
        <f t="shared" si="9"/>
        <v>1.0207307931496216E-8</v>
      </c>
      <c r="T20" s="30">
        <f t="shared" si="10"/>
        <v>6.1036380218166244E-11</v>
      </c>
      <c r="U20" s="30">
        <f t="shared" si="15"/>
        <v>-23.51955103251014</v>
      </c>
      <c r="V20" s="30">
        <f t="shared" si="16"/>
        <v>-1.0462457901576236</v>
      </c>
      <c r="X20" s="31">
        <f t="shared" si="11"/>
        <v>-1.9571477868182615E-14</v>
      </c>
      <c r="Y20" s="31">
        <f t="shared" si="12"/>
        <v>-1.962535267018447E-14</v>
      </c>
      <c r="Z20" s="31">
        <f t="shared" si="13"/>
        <v>-3.2687882444427495E-12</v>
      </c>
      <c r="AA20" s="31">
        <f t="shared" si="17"/>
        <v>-1.9571477868182615E-14</v>
      </c>
      <c r="AB20" s="30" t="e">
        <f t="shared" si="18"/>
        <v>#NUM!</v>
      </c>
      <c r="AC20" s="30" t="e">
        <f t="shared" si="19"/>
        <v>#NUM!</v>
      </c>
    </row>
    <row r="21" spans="1:29" s="30" customFormat="1" x14ac:dyDescent="0.3">
      <c r="A21" s="3">
        <v>28</v>
      </c>
      <c r="B21" s="30">
        <v>260.02999999999997</v>
      </c>
      <c r="C21" s="30">
        <v>7200</v>
      </c>
      <c r="D21" s="30">
        <v>0.17729064909902564</v>
      </c>
      <c r="E21" s="30">
        <v>1.6226392442089479</v>
      </c>
      <c r="F21" s="30">
        <v>3.7822769034226364E-2</v>
      </c>
      <c r="G21" s="31">
        <f t="shared" si="0"/>
        <v>4.0344677111556898E-3</v>
      </c>
      <c r="H21" s="31">
        <f t="shared" si="1"/>
        <v>4.895171539533315E-3</v>
      </c>
      <c r="J21" s="30">
        <f t="shared" si="2"/>
        <v>4.8929936251165594E-11</v>
      </c>
      <c r="K21" s="31">
        <f t="shared" si="3"/>
        <v>4.9075405445428175E-11</v>
      </c>
      <c r="L21" s="31">
        <f t="shared" si="4"/>
        <v>7.5700170573909073E-9</v>
      </c>
      <c r="M21" s="31">
        <f t="shared" si="5"/>
        <v>4.8929936251165594E-11</v>
      </c>
      <c r="N21" s="30">
        <f t="shared" si="6"/>
        <v>18.760670131137086</v>
      </c>
      <c r="O21" s="30">
        <f t="shared" si="14"/>
        <v>-23.740631713486209</v>
      </c>
      <c r="Q21" s="30">
        <f t="shared" si="7"/>
        <v>4.9824054651566391E-11</v>
      </c>
      <c r="R21" s="30">
        <f t="shared" si="8"/>
        <v>4.9971984465943489E-11</v>
      </c>
      <c r="S21" s="30">
        <f t="shared" si="9"/>
        <v>7.7191261930421488E-9</v>
      </c>
      <c r="T21" s="30">
        <f t="shared" si="10"/>
        <v>4.9824054651566391E-11</v>
      </c>
      <c r="U21" s="30">
        <f t="shared" si="15"/>
        <v>-23.722523223385174</v>
      </c>
      <c r="V21" s="30">
        <f t="shared" si="16"/>
        <v>-1.8108490101035102E-2</v>
      </c>
      <c r="X21" s="31">
        <f t="shared" si="11"/>
        <v>1.4208415423118186E-10</v>
      </c>
      <c r="Y21" s="31">
        <f t="shared" si="12"/>
        <v>1.4255858523970727E-10</v>
      </c>
      <c r="Z21" s="31">
        <f t="shared" si="13"/>
        <v>1.9736495981372973E-8</v>
      </c>
      <c r="AA21" s="31">
        <f t="shared" si="17"/>
        <v>1.4208415423118186E-10</v>
      </c>
      <c r="AB21" s="30">
        <f t="shared" si="18"/>
        <v>-22.674601598435455</v>
      </c>
      <c r="AC21" s="30">
        <f t="shared" si="19"/>
        <v>1.0660301150507543</v>
      </c>
    </row>
    <row r="22" spans="1:29" s="30" customFormat="1" x14ac:dyDescent="0.3">
      <c r="A22" s="3">
        <v>29</v>
      </c>
      <c r="B22" s="30">
        <v>36.979999999999997</v>
      </c>
      <c r="C22" s="30">
        <v>300</v>
      </c>
      <c r="D22" s="30">
        <v>0.17771976267660525</v>
      </c>
      <c r="E22" s="30">
        <v>1.3552015365618974E-3</v>
      </c>
      <c r="F22" s="30">
        <v>-4.2969590212642506E-4</v>
      </c>
      <c r="G22" s="31">
        <f t="shared" si="0"/>
        <v>4.0442327206582293E-3</v>
      </c>
      <c r="H22" s="31">
        <f t="shared" si="1"/>
        <v>4.0344544596413344E-3</v>
      </c>
      <c r="J22" s="30">
        <f t="shared" si="2"/>
        <v>2.2947759606743271E-11</v>
      </c>
      <c r="K22" s="31">
        <f t="shared" si="3"/>
        <v>2.3020819165141187E-11</v>
      </c>
      <c r="L22" s="31">
        <f t="shared" si="4"/>
        <v>3.3113835749419233E-9</v>
      </c>
      <c r="M22" s="31">
        <f t="shared" si="5"/>
        <v>2.2947759606743271E-11</v>
      </c>
      <c r="N22" s="30">
        <f t="shared" si="6"/>
        <v>32.260145815859083</v>
      </c>
      <c r="O22" s="30">
        <f t="shared" si="14"/>
        <v>-24.497800804808406</v>
      </c>
      <c r="Q22" s="30">
        <f t="shared" si="7"/>
        <v>-2.212753471913647E-9</v>
      </c>
      <c r="R22" s="30">
        <f t="shared" si="8"/>
        <v>-2.2205754958977132E-9</v>
      </c>
      <c r="S22" s="30">
        <f t="shared" si="9"/>
        <v>-2.8868411060068177E-7</v>
      </c>
      <c r="T22" s="30">
        <f t="shared" si="10"/>
        <v>-2.212753471913647E-9</v>
      </c>
      <c r="U22" s="30" t="e">
        <f t="shared" si="15"/>
        <v>#NUM!</v>
      </c>
      <c r="V22" s="30">
        <f t="shared" si="16"/>
        <v>5</v>
      </c>
      <c r="X22" s="31">
        <f t="shared" si="11"/>
        <v>-3.1103349114620724E-14</v>
      </c>
      <c r="Y22" s="31">
        <f t="shared" si="12"/>
        <v>-3.1202164203381459E-14</v>
      </c>
      <c r="Z22" s="31">
        <f t="shared" si="13"/>
        <v>-4.4936598774436288E-12</v>
      </c>
      <c r="AA22" s="31">
        <f t="shared" si="17"/>
        <v>-3.1103349114620724E-14</v>
      </c>
      <c r="AB22" s="30" t="e">
        <f t="shared" si="18"/>
        <v>#NUM!</v>
      </c>
      <c r="AC22" s="30" t="e">
        <f t="shared" si="19"/>
        <v>#NUM!</v>
      </c>
    </row>
    <row r="23" spans="1:29" s="30" customFormat="1" x14ac:dyDescent="0.3">
      <c r="A23" s="3">
        <v>30</v>
      </c>
      <c r="B23" s="30">
        <v>25.0199999999999</v>
      </c>
      <c r="C23" s="30">
        <v>300</v>
      </c>
      <c r="D23" s="30">
        <v>0.17808390560077389</v>
      </c>
      <c r="E23" s="30">
        <v>9.4329599830999308E-4</v>
      </c>
      <c r="F23" s="30">
        <v>-3.6448674305480862E-4</v>
      </c>
      <c r="G23" s="31">
        <f t="shared" si="0"/>
        <v>4.0525192426901025E-3</v>
      </c>
      <c r="H23" s="31">
        <f t="shared" si="1"/>
        <v>4.0442248966347872E-3</v>
      </c>
      <c r="J23" s="30">
        <f t="shared" si="2"/>
        <v>1.9516828319376546E-11</v>
      </c>
      <c r="K23" s="31">
        <f t="shared" si="3"/>
        <v>1.9579103702597016E-11</v>
      </c>
      <c r="L23" s="31">
        <f t="shared" si="4"/>
        <v>2.8100435145544598E-9</v>
      </c>
      <c r="M23" s="31">
        <f t="shared" si="5"/>
        <v>1.9516828319376546E-11</v>
      </c>
      <c r="N23" s="30">
        <f t="shared" si="6"/>
        <v>33.554794980202679</v>
      </c>
      <c r="O23" s="30">
        <f t="shared" si="14"/>
        <v>-24.659744031783994</v>
      </c>
      <c r="Q23" s="30">
        <f t="shared" si="7"/>
        <v>4.2495691275234438E-11</v>
      </c>
      <c r="R23" s="30">
        <f t="shared" si="8"/>
        <v>4.2631125031944761E-11</v>
      </c>
      <c r="S23" s="30">
        <f t="shared" si="9"/>
        <v>6.1259207492881004E-9</v>
      </c>
      <c r="T23" s="30">
        <f t="shared" si="10"/>
        <v>4.2495691275234438E-11</v>
      </c>
      <c r="U23" s="30">
        <f t="shared" si="15"/>
        <v>-23.881618426896846</v>
      </c>
      <c r="V23" s="30">
        <f t="shared" si="16"/>
        <v>-0.77812560488714766</v>
      </c>
      <c r="X23" s="31">
        <f t="shared" si="11"/>
        <v>-1.8408651429569224E-14</v>
      </c>
      <c r="Y23" s="31">
        <f t="shared" si="12"/>
        <v>-1.8467320269170766E-14</v>
      </c>
      <c r="Z23" s="31">
        <f t="shared" si="13"/>
        <v>-2.6531945040231057E-12</v>
      </c>
      <c r="AA23" s="31">
        <f t="shared" si="17"/>
        <v>-1.8408651429569224E-14</v>
      </c>
      <c r="AB23" s="30" t="e">
        <f t="shared" si="18"/>
        <v>#NUM!</v>
      </c>
      <c r="AC23" s="30" t="e">
        <f t="shared" si="19"/>
        <v>#NUM!</v>
      </c>
    </row>
    <row r="24" spans="1:29" s="30" customFormat="1" x14ac:dyDescent="0.3">
      <c r="A24" s="3">
        <v>31</v>
      </c>
      <c r="B24" s="30">
        <v>270.02999999999997</v>
      </c>
      <c r="C24" s="30">
        <v>7200</v>
      </c>
      <c r="D24" s="30">
        <v>0.19524045236336379</v>
      </c>
      <c r="E24" s="30">
        <v>1.8018764650104284</v>
      </c>
      <c r="F24" s="30">
        <v>2.1395498572672013E-2</v>
      </c>
      <c r="G24" s="31">
        <f t="shared" si="0"/>
        <v>4.4429376561843205E-3</v>
      </c>
      <c r="H24" s="31">
        <f t="shared" si="1"/>
        <v>4.9298186541060392E-3</v>
      </c>
      <c r="J24" s="30">
        <f t="shared" si="2"/>
        <v>4.0200542020650109E-11</v>
      </c>
      <c r="K24" s="31">
        <f t="shared" si="3"/>
        <v>4.0335251947880273E-11</v>
      </c>
      <c r="L24" s="31">
        <f t="shared" si="4"/>
        <v>5.5175560070890943E-9</v>
      </c>
      <c r="M24" s="31">
        <f t="shared" si="5"/>
        <v>4.0200542020650109E-11</v>
      </c>
      <c r="N24" s="30">
        <f t="shared" si="6"/>
        <v>18.415188847761634</v>
      </c>
      <c r="O24" s="30">
        <f t="shared" si="14"/>
        <v>-23.937140637293719</v>
      </c>
      <c r="Q24" s="30">
        <f t="shared" si="7"/>
        <v>4.1014510227767027E-11</v>
      </c>
      <c r="R24" s="30">
        <f t="shared" si="8"/>
        <v>4.1151817407169798E-11</v>
      </c>
      <c r="S24" s="30">
        <f t="shared" si="9"/>
        <v>5.6347517032980766E-9</v>
      </c>
      <c r="T24" s="30">
        <f t="shared" si="10"/>
        <v>4.1014510227767027E-11</v>
      </c>
      <c r="U24" s="30">
        <f t="shared" si="15"/>
        <v>-23.917095203840585</v>
      </c>
      <c r="V24" s="30">
        <f t="shared" si="16"/>
        <v>-2.0045433453134365E-2</v>
      </c>
      <c r="X24" s="31">
        <f t="shared" si="11"/>
        <v>9.5510716216878228E-11</v>
      </c>
      <c r="Y24" s="31">
        <f t="shared" si="12"/>
        <v>9.5850026332903283E-11</v>
      </c>
      <c r="Z24" s="31">
        <f t="shared" si="13"/>
        <v>1.240139405116997E-8</v>
      </c>
      <c r="AA24" s="31">
        <f t="shared" si="17"/>
        <v>9.5510716216878228E-11</v>
      </c>
      <c r="AB24" s="30">
        <f t="shared" si="18"/>
        <v>-23.071782663042065</v>
      </c>
      <c r="AC24" s="30">
        <f t="shared" si="19"/>
        <v>0.86535797425165484</v>
      </c>
    </row>
    <row r="25" spans="1:29" s="30" customFormat="1" x14ac:dyDescent="0.3">
      <c r="A25" s="3">
        <v>32</v>
      </c>
      <c r="B25" s="30">
        <v>32.449999999999903</v>
      </c>
      <c r="C25" s="30">
        <v>300</v>
      </c>
      <c r="D25" s="30">
        <v>0.19524045236336379</v>
      </c>
      <c r="E25" s="30">
        <v>1.1851533437831376E-3</v>
      </c>
      <c r="F25" s="30">
        <v>0</v>
      </c>
      <c r="G25" s="31">
        <f t="shared" si="0"/>
        <v>4.4429376561843205E-3</v>
      </c>
      <c r="H25" s="31">
        <f t="shared" si="1"/>
        <v>4.4429376561843205E-3</v>
      </c>
      <c r="J25" s="30">
        <f t="shared" si="2"/>
        <v>0</v>
      </c>
      <c r="K25" s="31">
        <f t="shared" si="3"/>
        <v>0</v>
      </c>
      <c r="L25" s="31">
        <f t="shared" si="4"/>
        <v>0</v>
      </c>
      <c r="M25" s="31">
        <f t="shared" si="5"/>
        <v>0</v>
      </c>
      <c r="N25" s="30">
        <f t="shared" si="6"/>
        <v>32.738582419381245</v>
      </c>
      <c r="O25" s="30" t="e">
        <f t="shared" si="14"/>
        <v>#NUM!</v>
      </c>
      <c r="Q25" s="30">
        <f t="shared" si="7"/>
        <v>-1.3274441807094748E-9</v>
      </c>
      <c r="R25" s="30">
        <f t="shared" si="8"/>
        <v>-1.3323545852406255E-9</v>
      </c>
      <c r="S25" s="30">
        <f t="shared" si="9"/>
        <v>-1.652121130579357E-7</v>
      </c>
      <c r="T25" s="30">
        <f t="shared" si="10"/>
        <v>-1.3274441807094748E-9</v>
      </c>
      <c r="U25" s="30" t="e">
        <f t="shared" si="15"/>
        <v>#NUM!</v>
      </c>
      <c r="V25" s="30">
        <f t="shared" si="16"/>
        <v>5</v>
      </c>
      <c r="X25" s="31">
        <f t="shared" si="11"/>
        <v>0</v>
      </c>
      <c r="Y25" s="31">
        <f t="shared" si="12"/>
        <v>0</v>
      </c>
      <c r="Z25" s="31">
        <f t="shared" si="13"/>
        <v>0</v>
      </c>
      <c r="AA25" s="31">
        <f t="shared" si="17"/>
        <v>0</v>
      </c>
      <c r="AB25" s="30" t="e">
        <f t="shared" si="18"/>
        <v>#NUM!</v>
      </c>
      <c r="AC25" s="30" t="e">
        <f t="shared" si="19"/>
        <v>#NUM!</v>
      </c>
    </row>
    <row r="26" spans="1:29" s="30" customFormat="1" x14ac:dyDescent="0.3">
      <c r="A26" s="3">
        <v>33</v>
      </c>
      <c r="B26" s="30">
        <v>25</v>
      </c>
      <c r="C26" s="30">
        <v>300</v>
      </c>
      <c r="D26" s="30">
        <v>0.19524045236336379</v>
      </c>
      <c r="E26" s="30">
        <v>9.4270292548352338E-4</v>
      </c>
      <c r="F26" s="30">
        <v>0</v>
      </c>
      <c r="G26" s="31">
        <f t="shared" si="0"/>
        <v>4.4429376561843205E-3</v>
      </c>
      <c r="H26" s="31">
        <f t="shared" si="1"/>
        <v>4.4429376561843205E-3</v>
      </c>
      <c r="J26" s="30">
        <f t="shared" si="2"/>
        <v>0</v>
      </c>
      <c r="K26" s="31">
        <f t="shared" si="3"/>
        <v>0</v>
      </c>
      <c r="L26" s="31">
        <f t="shared" si="4"/>
        <v>0</v>
      </c>
      <c r="M26" s="31">
        <f t="shared" si="5"/>
        <v>0</v>
      </c>
      <c r="N26" s="30">
        <f t="shared" si="6"/>
        <v>33.557046979865774</v>
      </c>
      <c r="O26" s="30" t="e">
        <f t="shared" si="14"/>
        <v>#NUM!</v>
      </c>
      <c r="Q26" s="30">
        <f t="shared" si="7"/>
        <v>0</v>
      </c>
      <c r="R26" s="30">
        <f t="shared" si="8"/>
        <v>0</v>
      </c>
      <c r="S26" s="30">
        <f t="shared" si="9"/>
        <v>0</v>
      </c>
      <c r="T26" s="30">
        <f t="shared" si="10"/>
        <v>0</v>
      </c>
      <c r="U26" s="30" t="e">
        <f t="shared" si="15"/>
        <v>#NUM!</v>
      </c>
      <c r="V26" s="30">
        <f t="shared" si="16"/>
        <v>5</v>
      </c>
      <c r="X26" s="31">
        <f t="shared" si="11"/>
        <v>0</v>
      </c>
      <c r="Y26" s="31">
        <f t="shared" si="12"/>
        <v>0</v>
      </c>
      <c r="Z26" s="31">
        <f t="shared" si="13"/>
        <v>0</v>
      </c>
      <c r="AA26" s="31">
        <f t="shared" si="17"/>
        <v>0</v>
      </c>
      <c r="AB26" s="30" t="e">
        <f t="shared" si="18"/>
        <v>#NUM!</v>
      </c>
      <c r="AC26" s="30" t="e">
        <f t="shared" si="19"/>
        <v>#NUM!</v>
      </c>
    </row>
    <row r="27" spans="1:29" s="30" customFormat="1" x14ac:dyDescent="0.3">
      <c r="A27" s="3">
        <v>34</v>
      </c>
      <c r="B27" s="30">
        <v>280.02999999999997</v>
      </c>
      <c r="C27" s="30">
        <v>7200</v>
      </c>
      <c r="D27" s="30">
        <v>0.20736503615038068</v>
      </c>
      <c r="E27" s="30">
        <v>1.9940088557725655</v>
      </c>
      <c r="F27" s="30">
        <v>1.2197661737725071E-2</v>
      </c>
      <c r="G27" s="31">
        <f t="shared" si="0"/>
        <v>4.7188475366462014E-3</v>
      </c>
      <c r="H27" s="31">
        <f t="shared" si="1"/>
        <v>4.9964203961429489E-3</v>
      </c>
      <c r="J27" s="30">
        <f t="shared" si="2"/>
        <v>3.0638128522311658E-11</v>
      </c>
      <c r="K27" s="31">
        <f t="shared" si="3"/>
        <v>3.0748835377150251E-11</v>
      </c>
      <c r="L27" s="31">
        <f t="shared" si="4"/>
        <v>3.9005786661000989E-9</v>
      </c>
      <c r="M27" s="31">
        <f t="shared" si="5"/>
        <v>3.0638128522311658E-11</v>
      </c>
      <c r="N27" s="30">
        <f t="shared" si="6"/>
        <v>18.082201688877639</v>
      </c>
      <c r="O27" s="30">
        <f t="shared" si="14"/>
        <v>-24.20877585248061</v>
      </c>
      <c r="Q27" s="30">
        <f t="shared" si="7"/>
        <v>3.0638128522311658E-11</v>
      </c>
      <c r="R27" s="30">
        <f t="shared" si="8"/>
        <v>3.0748835377150251E-11</v>
      </c>
      <c r="S27" s="30">
        <f t="shared" si="9"/>
        <v>3.9005786661000989E-9</v>
      </c>
      <c r="T27" s="30">
        <f t="shared" si="10"/>
        <v>3.0638128522311658E-11</v>
      </c>
      <c r="U27" s="30">
        <f t="shared" si="15"/>
        <v>-24.20877585248061</v>
      </c>
      <c r="V27" s="30">
        <f t="shared" si="16"/>
        <v>0</v>
      </c>
      <c r="X27" s="31">
        <f t="shared" si="11"/>
        <v>6.3322990641383156E-11</v>
      </c>
      <c r="Y27" s="31">
        <f t="shared" si="12"/>
        <v>6.3558961357299127E-11</v>
      </c>
      <c r="Z27" s="31">
        <f t="shared" si="13"/>
        <v>7.8257583709032924E-9</v>
      </c>
      <c r="AA27" s="31">
        <f t="shared" si="17"/>
        <v>6.3322990641383156E-11</v>
      </c>
      <c r="AB27" s="30">
        <f t="shared" si="18"/>
        <v>-23.482772651434363</v>
      </c>
      <c r="AC27" s="30">
        <f t="shared" si="19"/>
        <v>0.72600320104624672</v>
      </c>
    </row>
    <row r="28" spans="1:29" s="30" customFormat="1" x14ac:dyDescent="0.3">
      <c r="A28" s="3">
        <v>35</v>
      </c>
      <c r="B28" s="30">
        <v>24.959999999999901</v>
      </c>
      <c r="C28" s="30">
        <v>300</v>
      </c>
      <c r="D28" s="30">
        <v>0.20736503615038068</v>
      </c>
      <c r="E28" s="30">
        <v>9.4151767248007749E-4</v>
      </c>
      <c r="F28" s="30">
        <v>0</v>
      </c>
      <c r="G28" s="31">
        <f t="shared" si="0"/>
        <v>4.7188475366462014E-3</v>
      </c>
      <c r="H28" s="31">
        <f t="shared" si="1"/>
        <v>4.7188475366462014E-3</v>
      </c>
      <c r="J28" s="30">
        <f t="shared" si="2"/>
        <v>0</v>
      </c>
      <c r="K28" s="31">
        <f t="shared" si="3"/>
        <v>0</v>
      </c>
      <c r="L28" s="31">
        <f t="shared" si="4"/>
        <v>0</v>
      </c>
      <c r="M28" s="31">
        <f t="shared" si="5"/>
        <v>0</v>
      </c>
      <c r="N28" s="30">
        <f t="shared" si="6"/>
        <v>33.561551886159222</v>
      </c>
      <c r="O28" s="30" t="e">
        <f t="shared" si="14"/>
        <v>#NUM!</v>
      </c>
      <c r="Q28" s="30">
        <f t="shared" si="7"/>
        <v>-7.8443669085771585E-10</v>
      </c>
      <c r="R28" s="30">
        <f t="shared" si="8"/>
        <v>-7.8744302352353653E-10</v>
      </c>
      <c r="S28" s="30">
        <f t="shared" si="9"/>
        <v>-9.420431291530524E-8</v>
      </c>
      <c r="T28" s="30">
        <f t="shared" si="10"/>
        <v>-7.8443669085771585E-10</v>
      </c>
      <c r="U28" s="30" t="e">
        <f t="shared" si="15"/>
        <v>#NUM!</v>
      </c>
      <c r="V28" s="30">
        <f t="shared" si="16"/>
        <v>5</v>
      </c>
      <c r="X28" s="31">
        <f t="shared" si="11"/>
        <v>0</v>
      </c>
      <c r="Y28" s="31">
        <f t="shared" si="12"/>
        <v>0</v>
      </c>
      <c r="Z28" s="31">
        <f t="shared" si="13"/>
        <v>0</v>
      </c>
      <c r="AA28" s="31">
        <f t="shared" si="17"/>
        <v>0</v>
      </c>
      <c r="AB28" s="30" t="e">
        <f t="shared" si="18"/>
        <v>#NUM!</v>
      </c>
      <c r="AC28" s="30" t="e">
        <f t="shared" si="19"/>
        <v>#NUM!</v>
      </c>
    </row>
    <row r="29" spans="1:29" s="30" customFormat="1" x14ac:dyDescent="0.3">
      <c r="A29" s="3">
        <v>36</v>
      </c>
      <c r="B29" s="30">
        <v>25</v>
      </c>
      <c r="C29" s="30">
        <v>300</v>
      </c>
      <c r="D29" s="30">
        <v>0.20757832634937964</v>
      </c>
      <c r="E29" s="30">
        <v>9.4270292548352338E-4</v>
      </c>
      <c r="F29" s="30">
        <v>-2.1349145802101015E-4</v>
      </c>
      <c r="G29" s="31">
        <f t="shared" si="0"/>
        <v>4.7237012185822784E-3</v>
      </c>
      <c r="H29" s="31">
        <f t="shared" si="1"/>
        <v>4.7188429567485571E-3</v>
      </c>
      <c r="J29" s="30">
        <f t="shared" si="2"/>
        <v>1.333173481923242E-11</v>
      </c>
      <c r="K29" s="31">
        <f t="shared" si="3"/>
        <v>1.338137462088744E-11</v>
      </c>
      <c r="L29" s="31">
        <f t="shared" si="4"/>
        <v>1.6470454829505482E-9</v>
      </c>
      <c r="M29" s="31">
        <f t="shared" si="5"/>
        <v>1.333173481923242E-11</v>
      </c>
      <c r="N29" s="30">
        <f t="shared" si="6"/>
        <v>33.557046979865774</v>
      </c>
      <c r="O29" s="30">
        <f t="shared" si="14"/>
        <v>-25.040873846227498</v>
      </c>
      <c r="Q29" s="30">
        <f t="shared" si="7"/>
        <v>1.333173481923242E-11</v>
      </c>
      <c r="R29" s="30">
        <f t="shared" si="8"/>
        <v>1.338137462088744E-11</v>
      </c>
      <c r="S29" s="30">
        <f t="shared" si="9"/>
        <v>1.6470454829505482E-9</v>
      </c>
      <c r="T29" s="30">
        <f t="shared" si="10"/>
        <v>1.333173481923242E-11</v>
      </c>
      <c r="U29" s="30">
        <f t="shared" si="15"/>
        <v>-25.040873846227498</v>
      </c>
      <c r="V29" s="30">
        <f t="shared" si="16"/>
        <v>0</v>
      </c>
      <c r="X29" s="31">
        <f t="shared" si="11"/>
        <v>-1.2573251999276152E-14</v>
      </c>
      <c r="Y29" s="31">
        <f t="shared" si="12"/>
        <v>-1.2619920203594488E-14</v>
      </c>
      <c r="Z29" s="31">
        <f t="shared" si="13"/>
        <v>-1.5541359119479217E-12</v>
      </c>
      <c r="AA29" s="31">
        <f t="shared" si="17"/>
        <v>-1.2573251999276152E-14</v>
      </c>
      <c r="AB29" s="30" t="e">
        <f t="shared" si="18"/>
        <v>#NUM!</v>
      </c>
      <c r="AC29" s="30" t="e">
        <f t="shared" si="19"/>
        <v>#NUM!</v>
      </c>
    </row>
    <row r="30" spans="1:29" s="30" customFormat="1" x14ac:dyDescent="0.3">
      <c r="A30" s="3">
        <v>37</v>
      </c>
      <c r="B30" s="30">
        <v>290.02999999999997</v>
      </c>
      <c r="C30" s="30">
        <v>7200</v>
      </c>
      <c r="D30" s="30">
        <v>0.21612485797542511</v>
      </c>
      <c r="E30" s="30">
        <v>2.19940694696913</v>
      </c>
      <c r="F30" s="30">
        <v>7.1256312527139447E-3</v>
      </c>
      <c r="G30" s="31">
        <f t="shared" si="0"/>
        <v>4.9181881024810007E-3</v>
      </c>
      <c r="H30" s="31">
        <f t="shared" si="1"/>
        <v>5.0803406432764209E-3</v>
      </c>
      <c r="J30" s="30">
        <f t="shared" si="2"/>
        <v>2.2728320006074283E-11</v>
      </c>
      <c r="K30" s="31">
        <f t="shared" si="3"/>
        <v>2.2814753108700079E-11</v>
      </c>
      <c r="L30" s="31">
        <f t="shared" si="4"/>
        <v>2.7501529661255578E-9</v>
      </c>
      <c r="M30" s="31">
        <f t="shared" si="5"/>
        <v>2.2728320006074283E-11</v>
      </c>
      <c r="N30" s="30">
        <f t="shared" si="6"/>
        <v>17.761042928440759</v>
      </c>
      <c r="O30" s="30">
        <f t="shared" si="14"/>
        <v>-24.507409391659067</v>
      </c>
      <c r="Q30" s="30">
        <f t="shared" si="7"/>
        <v>2.3284332842375603E-11</v>
      </c>
      <c r="R30" s="30">
        <f t="shared" si="8"/>
        <v>2.3372836214578294E-11</v>
      </c>
      <c r="S30" s="30">
        <f t="shared" si="9"/>
        <v>2.8188446169111042E-9</v>
      </c>
      <c r="T30" s="30">
        <f t="shared" si="10"/>
        <v>2.3284332842375603E-11</v>
      </c>
      <c r="U30" s="30">
        <f t="shared" si="15"/>
        <v>-24.483240391724493</v>
      </c>
      <c r="V30" s="30">
        <f t="shared" si="16"/>
        <v>-2.4168999934573776E-2</v>
      </c>
      <c r="X30" s="31">
        <f t="shared" si="11"/>
        <v>4.2378871036073774E-11</v>
      </c>
      <c r="Y30" s="31">
        <f t="shared" si="12"/>
        <v>4.2542805329161668E-11</v>
      </c>
      <c r="Z30" s="31">
        <f t="shared" si="13"/>
        <v>5.0434912204050844E-9</v>
      </c>
      <c r="AA30" s="31">
        <f t="shared" si="17"/>
        <v>4.2378871036073774E-11</v>
      </c>
      <c r="AB30" s="30">
        <f t="shared" si="18"/>
        <v>-23.884371202516515</v>
      </c>
      <c r="AC30" s="30">
        <f t="shared" si="19"/>
        <v>0.6230381891425516</v>
      </c>
    </row>
    <row r="31" spans="1:29" s="30" customFormat="1" x14ac:dyDescent="0.3">
      <c r="A31" s="3">
        <v>38</v>
      </c>
      <c r="B31" s="30">
        <v>24.509999999999899</v>
      </c>
      <c r="C31" s="30">
        <v>300</v>
      </c>
      <c r="D31" s="30">
        <v>0.21637257037736829</v>
      </c>
      <c r="E31" s="30">
        <v>9.2826533732668617E-4</v>
      </c>
      <c r="F31" s="30">
        <v>-2.4794255842580876E-4</v>
      </c>
      <c r="G31" s="31">
        <f t="shared" si="0"/>
        <v>4.9238251041636687E-3</v>
      </c>
      <c r="H31" s="31">
        <f t="shared" si="1"/>
        <v>4.9181828649859476E-3</v>
      </c>
      <c r="J31" s="30">
        <f t="shared" si="2"/>
        <v>1.6138316375765788E-11</v>
      </c>
      <c r="K31" s="31">
        <f t="shared" si="3"/>
        <v>1.6200959160600616E-11</v>
      </c>
      <c r="L31" s="31">
        <f t="shared" si="4"/>
        <v>1.9132406789885786E-9</v>
      </c>
      <c r="M31" s="31">
        <f t="shared" si="5"/>
        <v>1.6138316375765788E-11</v>
      </c>
      <c r="N31" s="30">
        <f t="shared" si="6"/>
        <v>33.612315552418423</v>
      </c>
      <c r="O31" s="30">
        <f t="shared" si="14"/>
        <v>-24.849824772296962</v>
      </c>
      <c r="Q31" s="30">
        <f t="shared" si="7"/>
        <v>-4.5547490834422211E-10</v>
      </c>
      <c r="R31" s="30">
        <f t="shared" si="8"/>
        <v>-4.5727229413046262E-10</v>
      </c>
      <c r="S31" s="30">
        <f t="shared" si="9"/>
        <v>-5.3126877423762378E-8</v>
      </c>
      <c r="T31" s="30">
        <f t="shared" si="10"/>
        <v>-4.5547490834422211E-10</v>
      </c>
      <c r="U31" s="30" t="e">
        <f t="shared" si="15"/>
        <v>#NUM!</v>
      </c>
      <c r="V31" s="30">
        <f t="shared" si="16"/>
        <v>5</v>
      </c>
      <c r="X31" s="31">
        <f t="shared" si="11"/>
        <v>-1.4985962527337778E-14</v>
      </c>
      <c r="Y31" s="31">
        <f t="shared" si="12"/>
        <v>-1.5044065931722042E-14</v>
      </c>
      <c r="Z31" s="31">
        <f t="shared" si="13"/>
        <v>-1.7776401151606741E-12</v>
      </c>
      <c r="AA31" s="31">
        <f t="shared" si="17"/>
        <v>-1.4985962527337778E-14</v>
      </c>
      <c r="AB31" s="30" t="e">
        <f t="shared" si="18"/>
        <v>#NUM!</v>
      </c>
      <c r="AC31" s="30" t="e">
        <f t="shared" si="19"/>
        <v>#NUM!</v>
      </c>
    </row>
    <row r="32" spans="1:29" s="30" customFormat="1" x14ac:dyDescent="0.3">
      <c r="A32" s="3">
        <v>39</v>
      </c>
      <c r="B32" s="30">
        <v>25</v>
      </c>
      <c r="C32" s="30">
        <v>300</v>
      </c>
      <c r="D32" s="30">
        <v>0.21674997674220292</v>
      </c>
      <c r="E32" s="30">
        <v>9.4270292548352338E-4</v>
      </c>
      <c r="F32" s="30">
        <v>-3.7776248263214727E-4</v>
      </c>
      <c r="G32" s="31">
        <f t="shared" si="0"/>
        <v>4.9324134521710108E-3</v>
      </c>
      <c r="H32" s="31">
        <f t="shared" si="1"/>
        <v>4.9238170002633063E-3</v>
      </c>
      <c r="J32" s="30">
        <f t="shared" si="2"/>
        <v>2.4623339765616283E-11</v>
      </c>
      <c r="K32" s="31">
        <f t="shared" si="3"/>
        <v>2.4719056968770502E-11</v>
      </c>
      <c r="L32" s="31">
        <f t="shared" si="4"/>
        <v>2.9149706083468849E-9</v>
      </c>
      <c r="M32" s="31">
        <f t="shared" si="5"/>
        <v>2.4623339765616283E-11</v>
      </c>
      <c r="N32" s="30">
        <f t="shared" si="6"/>
        <v>33.557046979865774</v>
      </c>
      <c r="O32" s="30">
        <f t="shared" si="14"/>
        <v>-24.427326351828906</v>
      </c>
      <c r="Q32" s="30">
        <f t="shared" si="7"/>
        <v>4.0776642103909408E-11</v>
      </c>
      <c r="R32" s="30">
        <f t="shared" si="8"/>
        <v>4.0935060195303153E-11</v>
      </c>
      <c r="S32" s="30">
        <f t="shared" si="9"/>
        <v>4.8299889273673217E-9</v>
      </c>
      <c r="T32" s="30">
        <f t="shared" si="10"/>
        <v>4.0776642103909408E-11</v>
      </c>
      <c r="U32" s="30">
        <f t="shared" si="15"/>
        <v>-23.922911695910873</v>
      </c>
      <c r="V32" s="30">
        <f t="shared" si="16"/>
        <v>-0.50441465591803336</v>
      </c>
      <c r="X32" s="31">
        <f t="shared" si="11"/>
        <v>-2.3214132901141946E-14</v>
      </c>
      <c r="Y32" s="31">
        <f t="shared" si="12"/>
        <v>-2.3304374556318737E-14</v>
      </c>
      <c r="Z32" s="31">
        <f t="shared" si="13"/>
        <v>-2.7505323824155839E-12</v>
      </c>
      <c r="AA32" s="31">
        <f t="shared" si="17"/>
        <v>-2.3214132901141946E-14</v>
      </c>
      <c r="AB32" s="30" t="e">
        <f t="shared" si="18"/>
        <v>#NUM!</v>
      </c>
      <c r="AC32" s="30" t="e">
        <f t="shared" si="19"/>
        <v>#NUM!</v>
      </c>
    </row>
    <row r="33" spans="1:29" s="30" customFormat="1" x14ac:dyDescent="0.3">
      <c r="A33" s="3">
        <v>40</v>
      </c>
      <c r="B33" s="30">
        <v>300.02</v>
      </c>
      <c r="C33" s="30">
        <v>7200</v>
      </c>
      <c r="D33" s="30">
        <v>0.22407764586512532</v>
      </c>
      <c r="E33" s="30">
        <v>2.4181991313014435</v>
      </c>
      <c r="F33" s="30">
        <v>5.166883099271111E-3</v>
      </c>
      <c r="G33" s="31">
        <f t="shared" si="0"/>
        <v>5.099163614261909E-3</v>
      </c>
      <c r="H33" s="31">
        <f t="shared" si="1"/>
        <v>5.2167424213634718E-3</v>
      </c>
      <c r="J33" s="30">
        <f t="shared" si="2"/>
        <v>2.027450940723163E-11</v>
      </c>
      <c r="K33" s="31">
        <f t="shared" si="3"/>
        <v>2.0354737291727606E-11</v>
      </c>
      <c r="L33" s="31">
        <f t="shared" si="4"/>
        <v>2.358402000593229E-9</v>
      </c>
      <c r="M33" s="31">
        <f t="shared" si="5"/>
        <v>2.027450940723163E-11</v>
      </c>
      <c r="N33" s="30">
        <f t="shared" si="6"/>
        <v>17.451397856968345</v>
      </c>
      <c r="O33" s="30">
        <f t="shared" si="14"/>
        <v>-24.621656713150443</v>
      </c>
      <c r="Q33" s="30">
        <f t="shared" si="7"/>
        <v>2.130144915300319E-11</v>
      </c>
      <c r="R33" s="30">
        <f t="shared" si="8"/>
        <v>2.1385669014367388E-11</v>
      </c>
      <c r="S33" s="30">
        <f t="shared" si="9"/>
        <v>2.4799737147891671E-9</v>
      </c>
      <c r="T33" s="30">
        <f t="shared" si="10"/>
        <v>2.130144915300319E-11</v>
      </c>
      <c r="U33" s="30">
        <f t="shared" si="15"/>
        <v>-24.572246010175206</v>
      </c>
      <c r="V33" s="30">
        <f t="shared" si="16"/>
        <v>-4.9410702975237086E-2</v>
      </c>
      <c r="X33" s="31">
        <f t="shared" si="11"/>
        <v>3.497565920478365E-11</v>
      </c>
      <c r="Y33" s="31">
        <f t="shared" si="12"/>
        <v>3.5115714098343786E-11</v>
      </c>
      <c r="Z33" s="31">
        <f t="shared" si="13"/>
        <v>4.0215951059137619E-9</v>
      </c>
      <c r="AA33" s="31">
        <f t="shared" si="17"/>
        <v>3.497565920478365E-11</v>
      </c>
      <c r="AB33" s="30">
        <f t="shared" si="18"/>
        <v>-24.076368747669456</v>
      </c>
      <c r="AC33" s="30">
        <f t="shared" si="19"/>
        <v>0.54528796548098768</v>
      </c>
    </row>
    <row r="34" spans="1:29" s="30" customFormat="1" x14ac:dyDescent="0.3">
      <c r="A34" s="3">
        <v>41</v>
      </c>
      <c r="B34" s="30">
        <v>34.06</v>
      </c>
      <c r="C34" s="30">
        <v>300</v>
      </c>
      <c r="D34" s="30">
        <v>0.22442242932212558</v>
      </c>
      <c r="E34" s="30">
        <v>1.243528467141611E-3</v>
      </c>
      <c r="F34" s="30">
        <v>-3.4521273886825159E-4</v>
      </c>
      <c r="G34" s="31">
        <f t="shared" si="0"/>
        <v>5.1070095877053879E-3</v>
      </c>
      <c r="H34" s="31">
        <f t="shared" si="1"/>
        <v>5.0991538454227495E-3</v>
      </c>
      <c r="J34" s="30">
        <f t="shared" si="2"/>
        <v>2.3293560940178106E-11</v>
      </c>
      <c r="K34" s="31">
        <f t="shared" si="3"/>
        <v>2.3387338356567875E-11</v>
      </c>
      <c r="L34" s="31">
        <f t="shared" si="4"/>
        <v>2.6634696366147089E-9</v>
      </c>
      <c r="M34" s="31">
        <f t="shared" si="5"/>
        <v>2.3293560940178106E-11</v>
      </c>
      <c r="N34" s="30">
        <f t="shared" si="6"/>
        <v>32.566925030938577</v>
      </c>
      <c r="O34" s="30">
        <f t="shared" si="14"/>
        <v>-24.482844148048628</v>
      </c>
      <c r="Q34" s="30">
        <f t="shared" si="7"/>
        <v>-3.2953403420107048E-10</v>
      </c>
      <c r="R34" s="30">
        <f t="shared" si="8"/>
        <v>-3.3087610500218274E-10</v>
      </c>
      <c r="S34" s="30">
        <f t="shared" si="9"/>
        <v>-3.7253164891097602E-8</v>
      </c>
      <c r="T34" s="30">
        <f t="shared" si="10"/>
        <v>-3.2953403420107048E-10</v>
      </c>
      <c r="U34" s="30" t="e">
        <f t="shared" si="15"/>
        <v>#NUM!</v>
      </c>
      <c r="V34" s="30">
        <f t="shared" si="16"/>
        <v>5</v>
      </c>
      <c r="X34" s="31">
        <f t="shared" si="11"/>
        <v>-2.8979948089233847E-14</v>
      </c>
      <c r="Y34" s="31">
        <f t="shared" si="12"/>
        <v>-2.9096456288539196E-14</v>
      </c>
      <c r="Z34" s="31">
        <f t="shared" si="13"/>
        <v>-3.3162110668370859E-12</v>
      </c>
      <c r="AA34" s="31">
        <f t="shared" si="17"/>
        <v>-2.8979948089233847E-14</v>
      </c>
      <c r="AB34" s="30" t="e">
        <f t="shared" si="18"/>
        <v>#NUM!</v>
      </c>
      <c r="AC34" s="30" t="e">
        <f t="shared" si="19"/>
        <v>#NUM!</v>
      </c>
    </row>
    <row r="35" spans="1:29" s="30" customFormat="1" x14ac:dyDescent="0.3">
      <c r="A35" s="3">
        <v>42</v>
      </c>
      <c r="B35" s="30">
        <v>26</v>
      </c>
      <c r="C35" s="30">
        <v>300</v>
      </c>
      <c r="D35" s="30">
        <v>0.22465422613268954</v>
      </c>
      <c r="E35" s="30">
        <v>9.7272334855119278E-4</v>
      </c>
      <c r="F35" s="30">
        <v>-2.3202250427125496E-4</v>
      </c>
      <c r="G35" s="31">
        <f t="shared" si="0"/>
        <v>5.1122844104471493E-3</v>
      </c>
      <c r="H35" s="31">
        <f t="shared" si="1"/>
        <v>5.1070044517662998E-3</v>
      </c>
      <c r="J35" s="30">
        <f t="shared" si="2"/>
        <v>1.5680318528491681E-11</v>
      </c>
      <c r="K35" s="31">
        <f t="shared" si="3"/>
        <v>1.5743527113871989E-11</v>
      </c>
      <c r="L35" s="31">
        <f t="shared" si="4"/>
        <v>1.7906538882990879E-9</v>
      </c>
      <c r="M35" s="31">
        <f t="shared" si="5"/>
        <v>1.5680318528491681E-11</v>
      </c>
      <c r="N35" s="30">
        <f t="shared" si="6"/>
        <v>33.444816053511708</v>
      </c>
      <c r="O35" s="30">
        <f t="shared" si="14"/>
        <v>-24.878614786895547</v>
      </c>
      <c r="Q35" s="30">
        <f t="shared" si="7"/>
        <v>3.9002859416759019E-11</v>
      </c>
      <c r="R35" s="30">
        <f t="shared" si="8"/>
        <v>3.9159961926728355E-11</v>
      </c>
      <c r="S35" s="30">
        <f t="shared" si="9"/>
        <v>4.4574397359753026E-9</v>
      </c>
      <c r="T35" s="30">
        <f t="shared" si="10"/>
        <v>3.9002859416759019E-11</v>
      </c>
      <c r="U35" s="30">
        <f t="shared" si="15"/>
        <v>-23.967386154108127</v>
      </c>
      <c r="V35" s="30">
        <f t="shared" si="16"/>
        <v>-0.91122863278742017</v>
      </c>
      <c r="X35" s="31">
        <f t="shared" si="11"/>
        <v>-1.5259574787630213E-14</v>
      </c>
      <c r="Y35" s="31">
        <f t="shared" si="12"/>
        <v>-1.53211341387761E-14</v>
      </c>
      <c r="Z35" s="31">
        <f t="shared" si="13"/>
        <v>-1.7435021820625636E-12</v>
      </c>
      <c r="AA35" s="31">
        <f t="shared" si="17"/>
        <v>-1.5259574787630213E-14</v>
      </c>
      <c r="AB35" s="30" t="e">
        <f t="shared" si="18"/>
        <v>#NUM!</v>
      </c>
      <c r="AC35" s="30" t="e">
        <f t="shared" si="19"/>
        <v>#NUM!</v>
      </c>
    </row>
    <row r="36" spans="1:29" s="30" customFormat="1" x14ac:dyDescent="0.3">
      <c r="A36" s="3">
        <v>43</v>
      </c>
      <c r="B36" s="30">
        <v>290.02999999999997</v>
      </c>
      <c r="C36" s="30">
        <v>7200</v>
      </c>
      <c r="D36" s="30">
        <v>0.22876841851064567</v>
      </c>
      <c r="E36" s="30">
        <v>2.19940694696913</v>
      </c>
      <c r="F36" s="30">
        <v>3.4301888848923098E-3</v>
      </c>
      <c r="G36" s="31">
        <f t="shared" ref="G36:G67" si="20">D36/$D$141</f>
        <v>5.2059079398927193E-3</v>
      </c>
      <c r="H36" s="31">
        <f t="shared" ref="H36:H67" si="21">(D36+F36)/$D$141</f>
        <v>5.283966124966729E-3</v>
      </c>
      <c r="J36" s="30">
        <f t="shared" ref="J36:J67" si="22">((G36^2-G35^2)*PI())/(36*C36)</f>
        <v>1.1708560501831832E-11</v>
      </c>
      <c r="K36" s="31">
        <f t="shared" ref="K36:K67" si="23">(1/(PI()*PI()*C36))*(-(G36-G35)*PI()*PI()/3-2*PI()*(SQRT(1-PI()/3*G36)-SQRT(1-PI()/3*G35)))</f>
        <v>1.1756218877952724E-11</v>
      </c>
      <c r="L36" s="31">
        <f t="shared" ref="L36:L67" si="24">(1/(PI()^2*C36))*LN((1-G35)/(1-G36))</f>
        <v>1.3243388955067202E-9</v>
      </c>
      <c r="M36" s="31">
        <f t="shared" ref="M36:M67" si="25">(G36&lt;0.05)*J36+((G36&gt;=0.05)*(G36&lt;0.9))*K36+(G36&gt;=0.9)*L36</f>
        <v>1.1708560501831832E-11</v>
      </c>
      <c r="N36" s="30">
        <f t="shared" ref="N36:N67" si="26">10000/(273+B36)</f>
        <v>17.761042928440759</v>
      </c>
      <c r="O36" s="30">
        <f t="shared" si="14"/>
        <v>-25.170700874839284</v>
      </c>
      <c r="Q36" s="30">
        <f t="shared" ref="Q36:Q67" si="27">((G36^2-H35^2)*PI())/(36*C36)</f>
        <v>1.2362542922801803E-11</v>
      </c>
      <c r="R36" s="30">
        <f t="shared" ref="R36:R67" si="28">(1/(PI()*PI()*C36))*(-(G36-H35)*PI()*PI()/3-2*PI()*(SQRT(1-PI()/3*G36)-SQRT(1-PI()/3*H35)))</f>
        <v>1.2412837554952966E-11</v>
      </c>
      <c r="S36" s="30">
        <f t="shared" ref="S36:S67" si="29">(1/(PI()^2*C36))*LN((1-H35)/(1-G36))</f>
        <v>1.399022120108908E-9</v>
      </c>
      <c r="T36" s="30">
        <f t="shared" ref="T36:T67" si="30">(G36&lt;0.05)*Q36+((G36&gt;=0.05)*(G36&lt;0.9))*R36+(G36&gt;=0.9)*S36</f>
        <v>1.2362542922801803E-11</v>
      </c>
      <c r="U36" s="30">
        <f t="shared" si="15"/>
        <v>-25.116349946969422</v>
      </c>
      <c r="V36" s="30">
        <f t="shared" si="16"/>
        <v>-5.4350927869862176E-2</v>
      </c>
      <c r="X36" s="31">
        <f t="shared" ref="X36:X67" si="31">((H36^2-G35^2)*PI())/(36*C36)</f>
        <v>2.1632945398799465E-11</v>
      </c>
      <c r="Y36" s="31">
        <f t="shared" ref="Y36:Y67" si="32">(1/(PI()*PI()*C36))*(-(H36-G35)*PI()*PI()/3-2*PI()*(SQRT(1-PI()/3*H36)-SQRT(1-PI()/3*G35)))</f>
        <v>2.1721674714395241E-11</v>
      </c>
      <c r="Z36" s="31">
        <f t="shared" ref="Z36:Z67" si="33">(1/(PI()^2*C36))*LN((1-G35)/(1-H36))</f>
        <v>2.4285956119985177E-9</v>
      </c>
      <c r="AA36" s="31">
        <f t="shared" si="17"/>
        <v>2.1632945398799465E-11</v>
      </c>
      <c r="AB36" s="30">
        <f t="shared" si="18"/>
        <v>-24.556803713306284</v>
      </c>
      <c r="AC36" s="30">
        <f t="shared" si="19"/>
        <v>0.613897161533</v>
      </c>
    </row>
    <row r="37" spans="1:29" s="30" customFormat="1" x14ac:dyDescent="0.3">
      <c r="A37" s="3">
        <v>44</v>
      </c>
      <c r="B37" s="30">
        <v>24.8799999999999</v>
      </c>
      <c r="C37" s="30">
        <v>300</v>
      </c>
      <c r="D37" s="30">
        <v>0.22935267536133125</v>
      </c>
      <c r="E37" s="30">
        <v>9.3915073406828926E-4</v>
      </c>
      <c r="F37" s="30">
        <v>-5.8480607173713153E-4</v>
      </c>
      <c r="G37" s="31">
        <f t="shared" si="20"/>
        <v>5.2192034262090667E-3</v>
      </c>
      <c r="H37" s="31">
        <f t="shared" si="21"/>
        <v>5.2058954416892888E-3</v>
      </c>
      <c r="J37" s="30">
        <f t="shared" si="22"/>
        <v>4.0319120271548143E-11</v>
      </c>
      <c r="K37" s="31">
        <f t="shared" si="23"/>
        <v>4.0484938346848029E-11</v>
      </c>
      <c r="L37" s="31">
        <f t="shared" si="24"/>
        <v>4.5139103782005941E-9</v>
      </c>
      <c r="M37" s="31">
        <f t="shared" si="25"/>
        <v>4.0319120271548143E-11</v>
      </c>
      <c r="N37" s="30">
        <f t="shared" si="26"/>
        <v>33.570565328320143</v>
      </c>
      <c r="O37" s="30">
        <f t="shared" si="14"/>
        <v>-23.934195311065466</v>
      </c>
      <c r="Q37" s="30">
        <f t="shared" si="27"/>
        <v>-1.9786611725567505E-10</v>
      </c>
      <c r="R37" s="30">
        <f t="shared" si="28"/>
        <v>-1.986860017277701E-10</v>
      </c>
      <c r="S37" s="30">
        <f t="shared" si="29"/>
        <v>-2.1988250817614803E-8</v>
      </c>
      <c r="T37" s="30">
        <f t="shared" si="30"/>
        <v>-1.9786611725567505E-10</v>
      </c>
      <c r="U37" s="30" t="e">
        <f t="shared" si="15"/>
        <v>#NUM!</v>
      </c>
      <c r="V37" s="30">
        <f t="shared" si="16"/>
        <v>5</v>
      </c>
      <c r="X37" s="31">
        <f t="shared" si="31"/>
        <v>-3.7852944215804719E-14</v>
      </c>
      <c r="Y37" s="31">
        <f t="shared" si="32"/>
        <v>-3.8008485900485811E-14</v>
      </c>
      <c r="Z37" s="31">
        <f t="shared" si="33"/>
        <v>-4.2431988940319263E-12</v>
      </c>
      <c r="AA37" s="31">
        <f t="shared" si="17"/>
        <v>-3.7852944215804719E-14</v>
      </c>
      <c r="AB37" s="30" t="e">
        <f t="shared" si="18"/>
        <v>#NUM!</v>
      </c>
      <c r="AC37" s="30" t="e">
        <f t="shared" si="19"/>
        <v>#NUM!</v>
      </c>
    </row>
    <row r="38" spans="1:29" s="30" customFormat="1" x14ac:dyDescent="0.3">
      <c r="A38" s="3">
        <v>45</v>
      </c>
      <c r="B38" s="30">
        <v>24.06</v>
      </c>
      <c r="C38" s="30">
        <v>300</v>
      </c>
      <c r="D38" s="30">
        <v>0.22935267536133125</v>
      </c>
      <c r="E38" s="30">
        <v>9.1516232776835116E-4</v>
      </c>
      <c r="F38" s="30">
        <v>0</v>
      </c>
      <c r="G38" s="31">
        <f t="shared" si="20"/>
        <v>5.2192034262090667E-3</v>
      </c>
      <c r="H38" s="31">
        <f t="shared" si="21"/>
        <v>5.2192034262090667E-3</v>
      </c>
      <c r="J38" s="30">
        <f t="shared" si="22"/>
        <v>0</v>
      </c>
      <c r="K38" s="31">
        <f t="shared" si="23"/>
        <v>0</v>
      </c>
      <c r="L38" s="31">
        <f t="shared" si="24"/>
        <v>0</v>
      </c>
      <c r="M38" s="31">
        <f t="shared" si="25"/>
        <v>0</v>
      </c>
      <c r="N38" s="30">
        <f t="shared" si="26"/>
        <v>33.663233016898943</v>
      </c>
      <c r="O38" s="30" t="e">
        <f t="shared" si="14"/>
        <v>#NUM!</v>
      </c>
      <c r="Q38" s="30">
        <f t="shared" si="27"/>
        <v>4.035697321576395E-11</v>
      </c>
      <c r="R38" s="30">
        <f t="shared" si="28"/>
        <v>4.0522946832746698E-11</v>
      </c>
      <c r="S38" s="30">
        <f t="shared" si="29"/>
        <v>4.518153577061943E-9</v>
      </c>
      <c r="T38" s="30">
        <f t="shared" si="30"/>
        <v>4.035697321576395E-11</v>
      </c>
      <c r="U38" s="30">
        <f t="shared" si="15"/>
        <v>-23.933256917909393</v>
      </c>
      <c r="V38" s="30">
        <f t="shared" si="16"/>
        <v>5</v>
      </c>
      <c r="X38" s="31">
        <f t="shared" si="31"/>
        <v>0</v>
      </c>
      <c r="Y38" s="31">
        <f t="shared" si="32"/>
        <v>0</v>
      </c>
      <c r="Z38" s="31">
        <f t="shared" si="33"/>
        <v>0</v>
      </c>
      <c r="AA38" s="31">
        <f t="shared" si="17"/>
        <v>0</v>
      </c>
      <c r="AB38" s="30" t="e">
        <f t="shared" si="18"/>
        <v>#NUM!</v>
      </c>
      <c r="AC38" s="30" t="e">
        <f t="shared" si="19"/>
        <v>#NUM!</v>
      </c>
    </row>
    <row r="39" spans="1:29" s="30" customFormat="1" x14ac:dyDescent="0.3">
      <c r="A39" s="3">
        <v>46</v>
      </c>
      <c r="B39" s="30">
        <v>280.02</v>
      </c>
      <c r="C39" s="30">
        <v>8400</v>
      </c>
      <c r="D39" s="30">
        <v>0.23235055708338193</v>
      </c>
      <c r="E39" s="30">
        <v>2.3261118505067655</v>
      </c>
      <c r="F39" s="30">
        <v>2.2606552538574011E-3</v>
      </c>
      <c r="G39" s="31">
        <f t="shared" si="20"/>
        <v>5.2874239278031566E-3</v>
      </c>
      <c r="H39" s="31">
        <f t="shared" si="21"/>
        <v>5.338867930485147E-3</v>
      </c>
      <c r="J39" s="30">
        <f t="shared" si="22"/>
        <v>7.4463993417787681E-12</v>
      </c>
      <c r="K39" s="31">
        <f t="shared" si="23"/>
        <v>7.4772647283931303E-12</v>
      </c>
      <c r="L39" s="31">
        <f t="shared" si="24"/>
        <v>8.2722447595030711E-10</v>
      </c>
      <c r="M39" s="31">
        <f t="shared" si="25"/>
        <v>7.4463993417787681E-12</v>
      </c>
      <c r="N39" s="30">
        <f t="shared" si="26"/>
        <v>18.082528660807927</v>
      </c>
      <c r="O39" s="30">
        <f t="shared" si="14"/>
        <v>-25.623290510197275</v>
      </c>
      <c r="Q39" s="30">
        <f t="shared" si="27"/>
        <v>7.4463993417787681E-12</v>
      </c>
      <c r="R39" s="30">
        <f t="shared" si="28"/>
        <v>7.4772647283931303E-12</v>
      </c>
      <c r="S39" s="30">
        <f t="shared" si="29"/>
        <v>8.2722447595030711E-10</v>
      </c>
      <c r="T39" s="30">
        <f t="shared" si="30"/>
        <v>7.4463993417787681E-12</v>
      </c>
      <c r="U39" s="30">
        <f t="shared" si="15"/>
        <v>-25.623290510197275</v>
      </c>
      <c r="V39" s="30">
        <f t="shared" si="16"/>
        <v>0</v>
      </c>
      <c r="X39" s="31">
        <f t="shared" si="31"/>
        <v>1.3125565535991818E-11</v>
      </c>
      <c r="Y39" s="31">
        <f t="shared" si="32"/>
        <v>1.3180240319099859E-11</v>
      </c>
      <c r="Z39" s="31">
        <f t="shared" si="33"/>
        <v>1.4510589093533479E-9</v>
      </c>
      <c r="AA39" s="31">
        <f t="shared" si="17"/>
        <v>1.3125565535991818E-11</v>
      </c>
      <c r="AB39" s="30">
        <f t="shared" si="18"/>
        <v>-25.056459219922623</v>
      </c>
      <c r="AC39" s="30">
        <f t="shared" si="19"/>
        <v>0.56683129027465284</v>
      </c>
    </row>
    <row r="40" spans="1:29" s="30" customFormat="1" x14ac:dyDescent="0.3">
      <c r="A40" s="3">
        <v>47</v>
      </c>
      <c r="B40" s="30">
        <v>24</v>
      </c>
      <c r="C40" s="30">
        <v>300</v>
      </c>
      <c r="D40" s="30">
        <v>0.23233010231835283</v>
      </c>
      <c r="E40" s="30">
        <v>9.1342647693278391E-4</v>
      </c>
      <c r="F40" s="30">
        <v>2.0473466035063413E-5</v>
      </c>
      <c r="G40" s="31">
        <f t="shared" si="20"/>
        <v>5.2869584543590205E-3</v>
      </c>
      <c r="H40" s="31">
        <f t="shared" si="21"/>
        <v>5.2874243533676465E-3</v>
      </c>
      <c r="J40" s="30">
        <f t="shared" si="22"/>
        <v>-1.4317791609517058E-12</v>
      </c>
      <c r="K40" s="31">
        <f t="shared" si="23"/>
        <v>-1.4377521407960355E-12</v>
      </c>
      <c r="L40" s="31">
        <f t="shared" si="24"/>
        <v>-1.5804333971944396E-10</v>
      </c>
      <c r="M40" s="31">
        <f t="shared" si="25"/>
        <v>-1.4317791609517058E-12</v>
      </c>
      <c r="N40" s="30">
        <f t="shared" si="26"/>
        <v>33.670033670033668</v>
      </c>
      <c r="O40" s="30" t="e">
        <f t="shared" si="14"/>
        <v>#NUM!</v>
      </c>
      <c r="Q40" s="30">
        <f t="shared" si="27"/>
        <v>-1.6044843259891707E-10</v>
      </c>
      <c r="R40" s="30">
        <f t="shared" si="28"/>
        <v>-1.6112106868059245E-10</v>
      </c>
      <c r="S40" s="30">
        <f t="shared" si="29"/>
        <v>-1.7625407475026484E-8</v>
      </c>
      <c r="T40" s="30">
        <f t="shared" si="30"/>
        <v>-1.6044843259891707E-10</v>
      </c>
      <c r="U40" s="30" t="e">
        <f t="shared" si="15"/>
        <v>#NUM!</v>
      </c>
      <c r="V40" s="30">
        <f t="shared" si="16"/>
        <v>5</v>
      </c>
      <c r="X40" s="31">
        <f t="shared" si="31"/>
        <v>1.3090783623448449E-15</v>
      </c>
      <c r="Y40" s="31">
        <f t="shared" si="32"/>
        <v>1.3144909956614455E-15</v>
      </c>
      <c r="Z40" s="31">
        <f t="shared" si="33"/>
        <v>1.4449301292718282E-13</v>
      </c>
      <c r="AA40" s="31">
        <f t="shared" si="17"/>
        <v>1.3090783623448449E-15</v>
      </c>
      <c r="AB40" s="30">
        <f t="shared" si="18"/>
        <v>-34.269453045492938</v>
      </c>
      <c r="AC40" s="30" t="e">
        <f t="shared" si="19"/>
        <v>#NUM!</v>
      </c>
    </row>
    <row r="41" spans="1:29" s="30" customFormat="1" x14ac:dyDescent="0.3">
      <c r="A41" s="3">
        <v>48</v>
      </c>
      <c r="B41" s="30">
        <v>24</v>
      </c>
      <c r="C41" s="30">
        <v>300</v>
      </c>
      <c r="D41" s="30">
        <v>0.23287406098707325</v>
      </c>
      <c r="E41" s="30">
        <v>9.1342647693278391E-4</v>
      </c>
      <c r="F41" s="30">
        <v>-5.4445598923652029E-4</v>
      </c>
      <c r="G41" s="31">
        <f t="shared" si="20"/>
        <v>5.2993369057680968E-3</v>
      </c>
      <c r="H41" s="31">
        <f t="shared" si="21"/>
        <v>5.2869471372163825E-3</v>
      </c>
      <c r="J41" s="30">
        <f t="shared" si="22"/>
        <v>3.8118555977158958E-11</v>
      </c>
      <c r="K41" s="31">
        <f t="shared" si="23"/>
        <v>3.8277758962304121E-11</v>
      </c>
      <c r="L41" s="31">
        <f t="shared" si="24"/>
        <v>4.202911124110894E-9</v>
      </c>
      <c r="M41" s="31">
        <f t="shared" si="25"/>
        <v>3.8118555977158958E-11</v>
      </c>
      <c r="N41" s="30">
        <f t="shared" si="26"/>
        <v>33.670033670033668</v>
      </c>
      <c r="O41" s="30">
        <f t="shared" si="14"/>
        <v>-23.990319918836992</v>
      </c>
      <c r="Q41" s="30">
        <f t="shared" si="27"/>
        <v>3.6685467737844905E-11</v>
      </c>
      <c r="R41" s="30">
        <f t="shared" si="28"/>
        <v>3.6838692330511155E-11</v>
      </c>
      <c r="S41" s="30">
        <f t="shared" si="29"/>
        <v>4.0447232913408635E-9</v>
      </c>
      <c r="T41" s="30">
        <f t="shared" si="30"/>
        <v>3.6685467737844905E-11</v>
      </c>
      <c r="U41" s="30">
        <f t="shared" si="15"/>
        <v>-24.028640413732248</v>
      </c>
      <c r="V41" s="30">
        <f t="shared" si="16"/>
        <v>3.8320494895256019E-2</v>
      </c>
      <c r="X41" s="31">
        <f t="shared" si="31"/>
        <v>-3.4809544099406356E-14</v>
      </c>
      <c r="Y41" s="31">
        <f t="shared" si="32"/>
        <v>-3.4954893657416018E-14</v>
      </c>
      <c r="Z41" s="31">
        <f t="shared" si="33"/>
        <v>-3.8425362612061108E-12</v>
      </c>
      <c r="AA41" s="31">
        <f t="shared" si="17"/>
        <v>-3.4809544099406356E-14</v>
      </c>
      <c r="AB41" s="30" t="e">
        <f t="shared" si="18"/>
        <v>#NUM!</v>
      </c>
      <c r="AC41" s="30" t="e">
        <f t="shared" si="19"/>
        <v>#NUM!</v>
      </c>
    </row>
    <row r="42" spans="1:29" s="30" customFormat="1" x14ac:dyDescent="0.3">
      <c r="A42" s="3">
        <v>49</v>
      </c>
      <c r="B42" s="30">
        <v>270.02</v>
      </c>
      <c r="C42" s="30">
        <v>9600</v>
      </c>
      <c r="D42" s="30">
        <v>0.23602715114781075</v>
      </c>
      <c r="E42" s="30">
        <v>2.4022544663284506</v>
      </c>
      <c r="F42" s="30">
        <v>2.2485862847656285E-3</v>
      </c>
      <c r="G42" s="31">
        <f t="shared" si="20"/>
        <v>5.3710893670992797E-3</v>
      </c>
      <c r="H42" s="31">
        <f t="shared" si="21"/>
        <v>5.4222587254818943E-3</v>
      </c>
      <c r="J42" s="30">
        <f t="shared" si="22"/>
        <v>6.9597671780040961E-12</v>
      </c>
      <c r="K42" s="31">
        <f t="shared" si="23"/>
        <v>6.9890673521526304E-12</v>
      </c>
      <c r="L42" s="31">
        <f t="shared" si="24"/>
        <v>7.6135829151743655E-10</v>
      </c>
      <c r="M42" s="31">
        <f t="shared" si="25"/>
        <v>6.9597671780040961E-12</v>
      </c>
      <c r="N42" s="30">
        <f t="shared" si="26"/>
        <v>18.415527973186993</v>
      </c>
      <c r="O42" s="30">
        <f t="shared" si="14"/>
        <v>-25.690875093577926</v>
      </c>
      <c r="Q42" s="30">
        <f t="shared" si="27"/>
        <v>8.1520598505434195E-12</v>
      </c>
      <c r="R42" s="30">
        <f t="shared" si="28"/>
        <v>8.1863396601509164E-12</v>
      </c>
      <c r="S42" s="30">
        <f t="shared" si="29"/>
        <v>8.9281934340317488E-10</v>
      </c>
      <c r="T42" s="30">
        <f t="shared" si="30"/>
        <v>8.1520598505434195E-12</v>
      </c>
      <c r="U42" s="30">
        <f t="shared" si="15"/>
        <v>-25.532750478211792</v>
      </c>
      <c r="V42" s="30">
        <f t="shared" si="16"/>
        <v>-0.15812461536613398</v>
      </c>
      <c r="X42" s="31">
        <f t="shared" si="31"/>
        <v>1.1980213104525638E-11</v>
      </c>
      <c r="Y42" s="31">
        <f t="shared" si="32"/>
        <v>1.2030893508128224E-11</v>
      </c>
      <c r="Z42" s="31">
        <f t="shared" si="33"/>
        <v>1.3043448587274879E-9</v>
      </c>
      <c r="AA42" s="31">
        <f t="shared" si="17"/>
        <v>1.1980213104525638E-11</v>
      </c>
      <c r="AB42" s="30">
        <f t="shared" si="18"/>
        <v>-25.147764735041722</v>
      </c>
      <c r="AC42" s="30">
        <f t="shared" si="19"/>
        <v>0.54311035853620382</v>
      </c>
    </row>
    <row r="43" spans="1:29" s="30" customFormat="1" x14ac:dyDescent="0.3">
      <c r="A43" s="3">
        <v>50</v>
      </c>
      <c r="B43" s="30">
        <v>38.18</v>
      </c>
      <c r="C43" s="30">
        <v>300</v>
      </c>
      <c r="D43" s="30">
        <v>0.23628029408172418</v>
      </c>
      <c r="E43" s="30">
        <v>1.4033318384598064E-3</v>
      </c>
      <c r="F43" s="30">
        <v>-2.5349867667743284E-4</v>
      </c>
      <c r="G43" s="31">
        <f t="shared" si="20"/>
        <v>5.37684994724477E-3</v>
      </c>
      <c r="H43" s="31">
        <f t="shared" si="21"/>
        <v>5.3710812717332685E-3</v>
      </c>
      <c r="J43" s="30">
        <f t="shared" si="22"/>
        <v>1.8010158963805496E-11</v>
      </c>
      <c r="K43" s="31">
        <f t="shared" si="23"/>
        <v>1.8086532857127786E-11</v>
      </c>
      <c r="L43" s="31">
        <f t="shared" si="24"/>
        <v>1.9560745479206653E-9</v>
      </c>
      <c r="M43" s="31">
        <f t="shared" si="25"/>
        <v>1.8010158963805496E-11</v>
      </c>
      <c r="N43" s="30">
        <f t="shared" si="26"/>
        <v>32.135741371553443</v>
      </c>
      <c r="O43" s="30">
        <f t="shared" si="14"/>
        <v>-24.740085130360676</v>
      </c>
      <c r="Q43" s="30">
        <f t="shared" si="27"/>
        <v>-1.426441106848838E-10</v>
      </c>
      <c r="R43" s="30">
        <f t="shared" si="28"/>
        <v>-1.4325190413409232E-10</v>
      </c>
      <c r="S43" s="30">
        <f t="shared" si="29"/>
        <v>-1.5419495602806352E-8</v>
      </c>
      <c r="T43" s="30">
        <f t="shared" si="30"/>
        <v>-1.426441106848838E-10</v>
      </c>
      <c r="U43" s="30" t="e">
        <f t="shared" si="15"/>
        <v>#NUM!</v>
      </c>
      <c r="V43" s="30">
        <f t="shared" si="16"/>
        <v>5</v>
      </c>
      <c r="X43" s="31">
        <f t="shared" si="31"/>
        <v>-2.5296163119610871E-14</v>
      </c>
      <c r="Y43" s="31">
        <f t="shared" si="32"/>
        <v>-2.5403388181513919E-14</v>
      </c>
      <c r="Z43" s="31">
        <f t="shared" si="33"/>
        <v>-2.7488713306932254E-12</v>
      </c>
      <c r="AA43" s="31">
        <f t="shared" si="17"/>
        <v>-2.5296163119610871E-14</v>
      </c>
      <c r="AB43" s="30" t="e">
        <f t="shared" si="18"/>
        <v>#NUM!</v>
      </c>
      <c r="AC43" s="30" t="e">
        <f t="shared" si="19"/>
        <v>#NUM!</v>
      </c>
    </row>
    <row r="44" spans="1:29" s="30" customFormat="1" x14ac:dyDescent="0.3">
      <c r="A44" s="3">
        <v>51</v>
      </c>
      <c r="B44" s="30">
        <v>25.569999999999901</v>
      </c>
      <c r="C44" s="30">
        <v>300</v>
      </c>
      <c r="D44" s="30">
        <v>0.23628029408172418</v>
      </c>
      <c r="E44" s="30">
        <v>9.5972253134767526E-4</v>
      </c>
      <c r="F44" s="30">
        <v>0</v>
      </c>
      <c r="G44" s="31">
        <f t="shared" si="20"/>
        <v>5.37684994724477E-3</v>
      </c>
      <c r="H44" s="31">
        <f t="shared" si="21"/>
        <v>5.37684994724477E-3</v>
      </c>
      <c r="J44" s="30">
        <f t="shared" si="22"/>
        <v>0</v>
      </c>
      <c r="K44" s="31">
        <f t="shared" si="23"/>
        <v>0</v>
      </c>
      <c r="L44" s="31">
        <f t="shared" si="24"/>
        <v>0</v>
      </c>
      <c r="M44" s="31">
        <f t="shared" si="25"/>
        <v>0</v>
      </c>
      <c r="N44" s="30">
        <f t="shared" si="26"/>
        <v>33.492983220015418</v>
      </c>
      <c r="O44" s="30" t="e">
        <f t="shared" si="14"/>
        <v>#NUM!</v>
      </c>
      <c r="Q44" s="30">
        <f t="shared" si="27"/>
        <v>1.8035455126925107E-11</v>
      </c>
      <c r="R44" s="30">
        <f t="shared" si="28"/>
        <v>1.8111936245308242E-11</v>
      </c>
      <c r="S44" s="30">
        <f t="shared" si="29"/>
        <v>1.9588234192442456E-9</v>
      </c>
      <c r="T44" s="30">
        <f t="shared" si="30"/>
        <v>1.8035455126925107E-11</v>
      </c>
      <c r="U44" s="30">
        <f t="shared" si="15"/>
        <v>-24.738681566131824</v>
      </c>
      <c r="V44" s="30">
        <f t="shared" si="16"/>
        <v>5</v>
      </c>
      <c r="X44" s="31">
        <f t="shared" si="31"/>
        <v>0</v>
      </c>
      <c r="Y44" s="31">
        <f t="shared" si="32"/>
        <v>0</v>
      </c>
      <c r="Z44" s="31">
        <f t="shared" si="33"/>
        <v>0</v>
      </c>
      <c r="AA44" s="31">
        <f t="shared" si="17"/>
        <v>0</v>
      </c>
      <c r="AB44" s="30" t="e">
        <f t="shared" si="18"/>
        <v>#NUM!</v>
      </c>
      <c r="AC44" s="30" t="e">
        <f t="shared" si="19"/>
        <v>#NUM!</v>
      </c>
    </row>
    <row r="45" spans="1:29" s="30" customFormat="1" x14ac:dyDescent="0.3">
      <c r="A45" s="3">
        <v>52</v>
      </c>
      <c r="B45" s="30">
        <v>260.01</v>
      </c>
      <c r="C45" s="30">
        <v>10800</v>
      </c>
      <c r="D45" s="30">
        <v>0.23701240200328486</v>
      </c>
      <c r="E45" s="30">
        <v>2.4334401524043954</v>
      </c>
      <c r="F45" s="30">
        <v>5.10734906045899E-4</v>
      </c>
      <c r="G45" s="31">
        <f t="shared" si="20"/>
        <v>5.3935099673057723E-3</v>
      </c>
      <c r="H45" s="31">
        <f t="shared" si="21"/>
        <v>5.4051323709569162E-3</v>
      </c>
      <c r="J45" s="30">
        <f t="shared" si="22"/>
        <v>1.4498709652683927E-12</v>
      </c>
      <c r="K45" s="31">
        <f t="shared" si="23"/>
        <v>1.456032178562797E-12</v>
      </c>
      <c r="L45" s="31">
        <f t="shared" si="24"/>
        <v>1.5714374290304431E-10</v>
      </c>
      <c r="M45" s="31">
        <f t="shared" si="25"/>
        <v>1.4498709652683927E-12</v>
      </c>
      <c r="N45" s="30">
        <f t="shared" si="26"/>
        <v>18.761374083037843</v>
      </c>
      <c r="O45" s="30">
        <f t="shared" si="14"/>
        <v>-27.259546552925936</v>
      </c>
      <c r="Q45" s="30">
        <f t="shared" si="27"/>
        <v>1.4498709652683927E-12</v>
      </c>
      <c r="R45" s="30">
        <f t="shared" si="28"/>
        <v>1.456032178562797E-12</v>
      </c>
      <c r="S45" s="30">
        <f t="shared" si="29"/>
        <v>1.5714374290304431E-10</v>
      </c>
      <c r="T45" s="30">
        <f t="shared" si="30"/>
        <v>1.4498709652683927E-12</v>
      </c>
      <c r="U45" s="30">
        <f t="shared" si="15"/>
        <v>-27.259546552925936</v>
      </c>
      <c r="V45" s="30">
        <f t="shared" si="16"/>
        <v>0</v>
      </c>
      <c r="X45" s="31">
        <f t="shared" si="31"/>
        <v>2.4639895185265059E-12</v>
      </c>
      <c r="Y45" s="31">
        <f t="shared" si="32"/>
        <v>2.4744715821899166E-12</v>
      </c>
      <c r="Z45" s="31">
        <f t="shared" si="33"/>
        <v>2.6677230109685867E-10</v>
      </c>
      <c r="AA45" s="31">
        <f t="shared" si="17"/>
        <v>2.4639895185265059E-12</v>
      </c>
      <c r="AB45" s="30">
        <f t="shared" si="18"/>
        <v>-26.729239324111084</v>
      </c>
      <c r="AC45" s="30">
        <f t="shared" si="19"/>
        <v>0.53030722881485204</v>
      </c>
    </row>
    <row r="46" spans="1:29" s="30" customFormat="1" x14ac:dyDescent="0.3">
      <c r="A46" s="3">
        <v>53</v>
      </c>
      <c r="B46" s="30">
        <v>29.509999999999899</v>
      </c>
      <c r="C46" s="30">
        <v>300</v>
      </c>
      <c r="D46" s="30">
        <v>0.23701240200328486</v>
      </c>
      <c r="E46" s="30">
        <v>1.0841806414174729E-3</v>
      </c>
      <c r="F46" s="30">
        <v>0</v>
      </c>
      <c r="G46" s="31">
        <f t="shared" si="20"/>
        <v>5.3935099673057723E-3</v>
      </c>
      <c r="H46" s="31">
        <f t="shared" si="21"/>
        <v>5.3935099673057723E-3</v>
      </c>
      <c r="J46" s="30">
        <f t="shared" si="22"/>
        <v>0</v>
      </c>
      <c r="K46" s="31">
        <f t="shared" si="23"/>
        <v>0</v>
      </c>
      <c r="L46" s="31">
        <f t="shared" si="24"/>
        <v>0</v>
      </c>
      <c r="M46" s="31">
        <f t="shared" si="25"/>
        <v>0</v>
      </c>
      <c r="N46" s="30">
        <f t="shared" si="26"/>
        <v>33.056758454265989</v>
      </c>
      <c r="O46" s="30" t="e">
        <f t="shared" si="14"/>
        <v>#NUM!</v>
      </c>
      <c r="Q46" s="30">
        <f t="shared" si="27"/>
        <v>-3.6508267917292079E-11</v>
      </c>
      <c r="R46" s="30">
        <f t="shared" si="28"/>
        <v>-3.6663818530574027E-11</v>
      </c>
      <c r="S46" s="30">
        <f t="shared" si="29"/>
        <v>-3.9466280950189593E-9</v>
      </c>
      <c r="T46" s="30">
        <f t="shared" si="30"/>
        <v>-3.6508267917292079E-11</v>
      </c>
      <c r="U46" s="30" t="e">
        <f t="shared" si="15"/>
        <v>#NUM!</v>
      </c>
      <c r="V46" s="30">
        <f t="shared" si="16"/>
        <v>5</v>
      </c>
      <c r="X46" s="31">
        <f t="shared" si="31"/>
        <v>0</v>
      </c>
      <c r="Y46" s="31">
        <f t="shared" si="32"/>
        <v>0</v>
      </c>
      <c r="Z46" s="31">
        <f t="shared" si="33"/>
        <v>0</v>
      </c>
      <c r="AA46" s="31">
        <f t="shared" si="17"/>
        <v>0</v>
      </c>
      <c r="AB46" s="30" t="e">
        <f t="shared" si="18"/>
        <v>#NUM!</v>
      </c>
      <c r="AC46" s="30" t="e">
        <f t="shared" si="19"/>
        <v>#NUM!</v>
      </c>
    </row>
    <row r="47" spans="1:29" s="30" customFormat="1" x14ac:dyDescent="0.3">
      <c r="A47" s="3">
        <v>54</v>
      </c>
      <c r="B47" s="30">
        <v>25</v>
      </c>
      <c r="C47" s="30">
        <v>300</v>
      </c>
      <c r="D47" s="30">
        <v>0.2374742622716785</v>
      </c>
      <c r="E47" s="30">
        <v>9.4270292548352338E-4</v>
      </c>
      <c r="F47" s="30">
        <v>-4.6229607625718119E-4</v>
      </c>
      <c r="G47" s="31">
        <f t="shared" si="20"/>
        <v>5.4040201682067747E-3</v>
      </c>
      <c r="H47" s="31">
        <f t="shared" si="21"/>
        <v>5.3935000499595242E-3</v>
      </c>
      <c r="J47" s="30">
        <f t="shared" si="22"/>
        <v>3.3011218837667327E-11</v>
      </c>
      <c r="K47" s="31">
        <f t="shared" si="23"/>
        <v>3.315185507120471E-11</v>
      </c>
      <c r="L47" s="31">
        <f t="shared" si="24"/>
        <v>3.5689545994625749E-9</v>
      </c>
      <c r="M47" s="31">
        <f t="shared" si="25"/>
        <v>3.3011218837667327E-11</v>
      </c>
      <c r="N47" s="30">
        <f t="shared" si="26"/>
        <v>33.557046979865774</v>
      </c>
      <c r="O47" s="30">
        <f t="shared" si="14"/>
        <v>-24.1341736474592</v>
      </c>
      <c r="Q47" s="30">
        <f t="shared" si="27"/>
        <v>3.3011218837667327E-11</v>
      </c>
      <c r="R47" s="30">
        <f t="shared" si="28"/>
        <v>3.315185507120471E-11</v>
      </c>
      <c r="S47" s="30">
        <f t="shared" si="29"/>
        <v>3.5689545994625749E-9</v>
      </c>
      <c r="T47" s="30">
        <f t="shared" si="30"/>
        <v>3.3011218837667327E-11</v>
      </c>
      <c r="U47" s="30">
        <f t="shared" si="15"/>
        <v>-24.1341736474592</v>
      </c>
      <c r="V47" s="30">
        <f t="shared" si="16"/>
        <v>0</v>
      </c>
      <c r="X47" s="31">
        <f t="shared" si="31"/>
        <v>-3.1118788105771563E-14</v>
      </c>
      <c r="Y47" s="31">
        <f t="shared" si="32"/>
        <v>-3.1251230660385969E-14</v>
      </c>
      <c r="Z47" s="31">
        <f t="shared" si="33"/>
        <v>-3.3676208408376389E-12</v>
      </c>
      <c r="AA47" s="31">
        <f t="shared" si="17"/>
        <v>-3.1118788105771563E-14</v>
      </c>
      <c r="AB47" s="30" t="e">
        <f t="shared" si="18"/>
        <v>#NUM!</v>
      </c>
      <c r="AC47" s="30" t="e">
        <f t="shared" si="19"/>
        <v>#NUM!</v>
      </c>
    </row>
    <row r="48" spans="1:29" s="30" customFormat="1" x14ac:dyDescent="0.3">
      <c r="A48" s="3">
        <v>55</v>
      </c>
      <c r="B48" s="30">
        <v>250.01999999999899</v>
      </c>
      <c r="C48" s="30">
        <v>12000</v>
      </c>
      <c r="D48" s="30">
        <v>0.23901382335655763</v>
      </c>
      <c r="E48" s="30">
        <v>2.4262502159448887</v>
      </c>
      <c r="F48" s="30">
        <v>1.0794466971275184E-3</v>
      </c>
      <c r="G48" s="31">
        <f t="shared" si="20"/>
        <v>5.4390547823720556E-3</v>
      </c>
      <c r="H48" s="31">
        <f t="shared" si="21"/>
        <v>5.463618925306871E-3</v>
      </c>
      <c r="J48" s="30">
        <f t="shared" si="22"/>
        <v>2.7625867507688232E-12</v>
      </c>
      <c r="K48" s="31">
        <f t="shared" si="23"/>
        <v>2.7744059991833108E-12</v>
      </c>
      <c r="L48" s="31">
        <f t="shared" si="24"/>
        <v>2.9742488147770964E-10</v>
      </c>
      <c r="M48" s="31">
        <f t="shared" si="25"/>
        <v>2.7625867507688232E-12</v>
      </c>
      <c r="N48" s="30">
        <f t="shared" si="26"/>
        <v>19.119727735077092</v>
      </c>
      <c r="O48" s="30">
        <f t="shared" si="14"/>
        <v>-26.6148536465845</v>
      </c>
      <c r="Q48" s="30">
        <f t="shared" si="27"/>
        <v>3.5886451914131513E-12</v>
      </c>
      <c r="R48" s="30">
        <f t="shared" si="28"/>
        <v>3.6039836567298266E-12</v>
      </c>
      <c r="S48" s="30">
        <f t="shared" si="29"/>
        <v>3.86732936985018E-10</v>
      </c>
      <c r="T48" s="30">
        <f t="shared" si="30"/>
        <v>3.5886451914131513E-12</v>
      </c>
      <c r="U48" s="30">
        <f t="shared" si="15"/>
        <v>-26.353246368663104</v>
      </c>
      <c r="V48" s="30">
        <f t="shared" si="16"/>
        <v>-0.26160727792139582</v>
      </c>
      <c r="X48" s="31">
        <f t="shared" si="31"/>
        <v>4.7101911933288114E-12</v>
      </c>
      <c r="Y48" s="31">
        <f t="shared" si="32"/>
        <v>4.7303889331886932E-12</v>
      </c>
      <c r="Z48" s="31">
        <f t="shared" si="33"/>
        <v>5.0596738670961523E-10</v>
      </c>
      <c r="AA48" s="31">
        <f t="shared" si="17"/>
        <v>4.7101911933288114E-12</v>
      </c>
      <c r="AB48" s="30">
        <f t="shared" si="18"/>
        <v>-26.081292615660654</v>
      </c>
      <c r="AC48" s="30">
        <f t="shared" si="19"/>
        <v>0.53356103092384544</v>
      </c>
    </row>
    <row r="49" spans="1:29" s="30" customFormat="1" x14ac:dyDescent="0.3">
      <c r="A49" s="3">
        <v>56</v>
      </c>
      <c r="B49" s="30">
        <v>37.329999999999899</v>
      </c>
      <c r="C49" s="30">
        <v>300</v>
      </c>
      <c r="D49" s="30">
        <v>0.23901382335655763</v>
      </c>
      <c r="E49" s="30">
        <v>1.3691025111020408E-3</v>
      </c>
      <c r="F49" s="30">
        <v>0</v>
      </c>
      <c r="G49" s="31">
        <f t="shared" si="20"/>
        <v>5.4390547823720556E-3</v>
      </c>
      <c r="H49" s="31">
        <f t="shared" si="21"/>
        <v>5.4390547823720556E-3</v>
      </c>
      <c r="J49" s="30">
        <f t="shared" si="22"/>
        <v>0</v>
      </c>
      <c r="K49" s="31">
        <f t="shared" si="23"/>
        <v>0</v>
      </c>
      <c r="L49" s="31">
        <f t="shared" si="24"/>
        <v>0</v>
      </c>
      <c r="M49" s="31">
        <f t="shared" si="25"/>
        <v>0</v>
      </c>
      <c r="N49" s="30">
        <f t="shared" si="26"/>
        <v>32.223761801952769</v>
      </c>
      <c r="O49" s="30" t="e">
        <f t="shared" si="14"/>
        <v>#NUM!</v>
      </c>
      <c r="Q49" s="30">
        <f t="shared" si="27"/>
        <v>-7.790417770239951E-11</v>
      </c>
      <c r="R49" s="30">
        <f t="shared" si="28"/>
        <v>-7.8239317360215294E-11</v>
      </c>
      <c r="S49" s="30">
        <f t="shared" si="29"/>
        <v>-8.3417002092437945E-9</v>
      </c>
      <c r="T49" s="30">
        <f t="shared" si="30"/>
        <v>-7.790417770239951E-11</v>
      </c>
      <c r="U49" s="30" t="e">
        <f t="shared" si="15"/>
        <v>#NUM!</v>
      </c>
      <c r="V49" s="30">
        <f t="shared" si="16"/>
        <v>5</v>
      </c>
      <c r="X49" s="31">
        <f t="shared" si="31"/>
        <v>0</v>
      </c>
      <c r="Y49" s="31">
        <f t="shared" si="32"/>
        <v>0</v>
      </c>
      <c r="Z49" s="31">
        <f t="shared" si="33"/>
        <v>0</v>
      </c>
      <c r="AA49" s="31">
        <f t="shared" si="17"/>
        <v>0</v>
      </c>
      <c r="AB49" s="30" t="e">
        <f t="shared" si="18"/>
        <v>#NUM!</v>
      </c>
      <c r="AC49" s="30" t="e">
        <f t="shared" si="19"/>
        <v>#NUM!</v>
      </c>
    </row>
    <row r="50" spans="1:29" s="30" customFormat="1" x14ac:dyDescent="0.3">
      <c r="A50" s="3">
        <v>57</v>
      </c>
      <c r="B50" s="30">
        <v>25</v>
      </c>
      <c r="C50" s="30">
        <v>300</v>
      </c>
      <c r="D50" s="30">
        <v>0.23901382335655763</v>
      </c>
      <c r="E50" s="30">
        <v>9.4270292548352338E-4</v>
      </c>
      <c r="F50" s="30">
        <v>0</v>
      </c>
      <c r="G50" s="31">
        <f t="shared" si="20"/>
        <v>5.4390547823720556E-3</v>
      </c>
      <c r="H50" s="31">
        <f t="shared" si="21"/>
        <v>5.4390547823720556E-3</v>
      </c>
      <c r="J50" s="30">
        <f t="shared" si="22"/>
        <v>0</v>
      </c>
      <c r="K50" s="31">
        <f t="shared" si="23"/>
        <v>0</v>
      </c>
      <c r="L50" s="31">
        <f t="shared" si="24"/>
        <v>0</v>
      </c>
      <c r="M50" s="31">
        <f t="shared" si="25"/>
        <v>0</v>
      </c>
      <c r="N50" s="30">
        <f t="shared" si="26"/>
        <v>33.557046979865774</v>
      </c>
      <c r="O50" s="30" t="e">
        <f t="shared" si="14"/>
        <v>#NUM!</v>
      </c>
      <c r="Q50" s="30">
        <f t="shared" si="27"/>
        <v>0</v>
      </c>
      <c r="R50" s="30">
        <f t="shared" si="28"/>
        <v>0</v>
      </c>
      <c r="S50" s="30">
        <f t="shared" si="29"/>
        <v>0</v>
      </c>
      <c r="T50" s="30">
        <f t="shared" si="30"/>
        <v>0</v>
      </c>
      <c r="U50" s="30" t="e">
        <f t="shared" si="15"/>
        <v>#NUM!</v>
      </c>
      <c r="V50" s="30">
        <f t="shared" si="16"/>
        <v>5</v>
      </c>
      <c r="X50" s="31">
        <f t="shared" si="31"/>
        <v>0</v>
      </c>
      <c r="Y50" s="31">
        <f t="shared" si="32"/>
        <v>0</v>
      </c>
      <c r="Z50" s="31">
        <f t="shared" si="33"/>
        <v>0</v>
      </c>
      <c r="AA50" s="31">
        <f t="shared" si="17"/>
        <v>0</v>
      </c>
      <c r="AB50" s="30" t="e">
        <f t="shared" si="18"/>
        <v>#NUM!</v>
      </c>
      <c r="AC50" s="30" t="e">
        <f t="shared" si="19"/>
        <v>#NUM!</v>
      </c>
    </row>
    <row r="51" spans="1:29" s="30" customFormat="1" x14ac:dyDescent="0.3">
      <c r="A51" s="3">
        <v>58</v>
      </c>
      <c r="B51" s="30">
        <v>310.039999999999</v>
      </c>
      <c r="C51" s="30">
        <v>7200</v>
      </c>
      <c r="D51" s="30">
        <v>0.24823085600962574</v>
      </c>
      <c r="E51" s="30">
        <v>2.651641237583835</v>
      </c>
      <c r="F51" s="30">
        <v>5.5805295020071007E-3</v>
      </c>
      <c r="G51" s="31">
        <f t="shared" si="20"/>
        <v>5.6487997453492107E-3</v>
      </c>
      <c r="H51" s="31">
        <f t="shared" si="21"/>
        <v>5.7757915872845627E-3</v>
      </c>
      <c r="J51" s="30">
        <f t="shared" si="22"/>
        <v>2.8187329672554275E-11</v>
      </c>
      <c r="K51" s="31">
        <f t="shared" si="23"/>
        <v>2.8310674341647686E-11</v>
      </c>
      <c r="L51" s="31">
        <f t="shared" si="24"/>
        <v>2.9680669683106581E-9</v>
      </c>
      <c r="M51" s="31">
        <f t="shared" si="25"/>
        <v>2.8187329672554275E-11</v>
      </c>
      <c r="N51" s="30">
        <f t="shared" si="26"/>
        <v>17.151481888035153</v>
      </c>
      <c r="O51" s="30">
        <f t="shared" si="14"/>
        <v>-24.292148541342737</v>
      </c>
      <c r="Q51" s="30">
        <f t="shared" si="27"/>
        <v>2.8187329672554275E-11</v>
      </c>
      <c r="R51" s="30">
        <f t="shared" si="28"/>
        <v>2.8310674341647686E-11</v>
      </c>
      <c r="S51" s="30">
        <f t="shared" si="29"/>
        <v>2.9680669683106581E-9</v>
      </c>
      <c r="T51" s="30">
        <f t="shared" si="30"/>
        <v>2.8187329672554275E-11</v>
      </c>
      <c r="U51" s="30">
        <f t="shared" si="15"/>
        <v>-24.292148541342737</v>
      </c>
      <c r="V51" s="30">
        <f t="shared" si="16"/>
        <v>0</v>
      </c>
      <c r="X51" s="31">
        <f t="shared" si="31"/>
        <v>4.5771884244503295E-11</v>
      </c>
      <c r="Y51" s="31">
        <f t="shared" si="32"/>
        <v>4.5974519356518904E-11</v>
      </c>
      <c r="Z51" s="31">
        <f t="shared" si="33"/>
        <v>4.7654122352378915E-9</v>
      </c>
      <c r="AA51" s="31">
        <f t="shared" si="17"/>
        <v>4.5771884244503295E-11</v>
      </c>
      <c r="AB51" s="30">
        <f t="shared" si="18"/>
        <v>-23.807351094434956</v>
      </c>
      <c r="AC51" s="30">
        <f t="shared" si="19"/>
        <v>0.48479744690778048</v>
      </c>
    </row>
    <row r="52" spans="1:29" s="30" customFormat="1" x14ac:dyDescent="0.3">
      <c r="A52" s="3">
        <v>59</v>
      </c>
      <c r="B52" s="30">
        <v>200.039999999999</v>
      </c>
      <c r="C52" s="30">
        <v>7200</v>
      </c>
      <c r="D52" s="30">
        <v>0.24823085600962574</v>
      </c>
      <c r="E52" s="30">
        <v>0.79542054249759231</v>
      </c>
      <c r="F52" s="30">
        <v>0</v>
      </c>
      <c r="G52" s="31">
        <f t="shared" si="20"/>
        <v>5.6487997453492107E-3</v>
      </c>
      <c r="H52" s="31">
        <f t="shared" si="21"/>
        <v>5.6487997453492107E-3</v>
      </c>
      <c r="J52" s="30">
        <f t="shared" si="22"/>
        <v>0</v>
      </c>
      <c r="K52" s="31">
        <f t="shared" si="23"/>
        <v>0</v>
      </c>
      <c r="L52" s="31">
        <f t="shared" si="24"/>
        <v>0</v>
      </c>
      <c r="M52" s="31">
        <f t="shared" si="25"/>
        <v>0</v>
      </c>
      <c r="N52" s="30">
        <f t="shared" si="26"/>
        <v>21.13986132250977</v>
      </c>
      <c r="O52" s="30" t="e">
        <f t="shared" si="14"/>
        <v>#NUM!</v>
      </c>
      <c r="Q52" s="30">
        <f t="shared" si="27"/>
        <v>-1.7584554571949014E-11</v>
      </c>
      <c r="R52" s="30">
        <f t="shared" si="28"/>
        <v>-1.7663845014871977E-11</v>
      </c>
      <c r="S52" s="30">
        <f t="shared" si="29"/>
        <v>-1.7973452669254011E-9</v>
      </c>
      <c r="T52" s="30">
        <f t="shared" si="30"/>
        <v>-1.7584554571949014E-11</v>
      </c>
      <c r="U52" s="30" t="e">
        <f t="shared" si="15"/>
        <v>#NUM!</v>
      </c>
      <c r="V52" s="30">
        <f t="shared" si="16"/>
        <v>5</v>
      </c>
      <c r="X52" s="31">
        <f t="shared" si="31"/>
        <v>0</v>
      </c>
      <c r="Y52" s="31">
        <f t="shared" si="32"/>
        <v>0</v>
      </c>
      <c r="Z52" s="31">
        <f t="shared" si="33"/>
        <v>0</v>
      </c>
      <c r="AA52" s="31">
        <f t="shared" si="17"/>
        <v>0</v>
      </c>
      <c r="AB52" s="30" t="e">
        <f t="shared" si="18"/>
        <v>#NUM!</v>
      </c>
      <c r="AC52" s="30" t="e">
        <f t="shared" si="19"/>
        <v>#NUM!</v>
      </c>
    </row>
    <row r="53" spans="1:29" s="30" customFormat="1" x14ac:dyDescent="0.3">
      <c r="A53" s="3">
        <v>60</v>
      </c>
      <c r="B53" s="30">
        <v>320.039999999999</v>
      </c>
      <c r="C53" s="30">
        <v>7200</v>
      </c>
      <c r="D53" s="30">
        <v>0.26513841663054805</v>
      </c>
      <c r="E53" s="30">
        <v>2.898911245907966</v>
      </c>
      <c r="F53" s="30">
        <v>8.9038182576236923E-3</v>
      </c>
      <c r="G53" s="31">
        <f t="shared" si="20"/>
        <v>6.0335521716399967E-3</v>
      </c>
      <c r="H53" s="31">
        <f t="shared" si="21"/>
        <v>6.2361695541637476E-3</v>
      </c>
      <c r="J53" s="30">
        <f t="shared" si="22"/>
        <v>5.4478673878322953E-11</v>
      </c>
      <c r="K53" s="31">
        <f t="shared" si="23"/>
        <v>5.4729975503458497E-11</v>
      </c>
      <c r="L53" s="31">
        <f t="shared" si="24"/>
        <v>5.4461971580736149E-9</v>
      </c>
      <c r="M53" s="31">
        <f t="shared" si="25"/>
        <v>5.4478673878322953E-11</v>
      </c>
      <c r="N53" s="30">
        <f t="shared" si="26"/>
        <v>16.862268986914906</v>
      </c>
      <c r="O53" s="30">
        <f t="shared" si="14"/>
        <v>-23.633211795824025</v>
      </c>
      <c r="Q53" s="30">
        <f t="shared" si="27"/>
        <v>5.4478673878322953E-11</v>
      </c>
      <c r="R53" s="30">
        <f t="shared" si="28"/>
        <v>5.4729975503458497E-11</v>
      </c>
      <c r="S53" s="30">
        <f t="shared" si="29"/>
        <v>5.4461971580736149E-9</v>
      </c>
      <c r="T53" s="30">
        <f t="shared" si="30"/>
        <v>5.4478673878322953E-11</v>
      </c>
      <c r="U53" s="30">
        <f t="shared" si="15"/>
        <v>-23.633211795824025</v>
      </c>
      <c r="V53" s="30">
        <f t="shared" si="16"/>
        <v>0</v>
      </c>
      <c r="X53" s="31">
        <f t="shared" si="31"/>
        <v>8.461055805199734E-11</v>
      </c>
      <c r="Y53" s="31">
        <f t="shared" si="32"/>
        <v>8.5007839470127984E-11</v>
      </c>
      <c r="Z53" s="31">
        <f t="shared" si="33"/>
        <v>8.3151076770078249E-9</v>
      </c>
      <c r="AA53" s="31">
        <f t="shared" si="17"/>
        <v>8.461055805199734E-11</v>
      </c>
      <c r="AB53" s="30">
        <f t="shared" si="18"/>
        <v>-23.192962057434201</v>
      </c>
      <c r="AC53" s="30">
        <f t="shared" si="19"/>
        <v>0.44024973838982362</v>
      </c>
    </row>
    <row r="54" spans="1:29" s="30" customFormat="1" x14ac:dyDescent="0.3">
      <c r="A54" s="3">
        <v>61</v>
      </c>
      <c r="B54" s="30">
        <v>200.06</v>
      </c>
      <c r="C54" s="30">
        <v>7200</v>
      </c>
      <c r="D54" s="30">
        <v>0.26513841663054805</v>
      </c>
      <c r="E54" s="30">
        <v>0.79563155097681137</v>
      </c>
      <c r="F54" s="30">
        <v>0</v>
      </c>
      <c r="G54" s="31">
        <f t="shared" si="20"/>
        <v>6.0335521716399967E-3</v>
      </c>
      <c r="H54" s="31">
        <f t="shared" si="21"/>
        <v>6.0335521716399967E-3</v>
      </c>
      <c r="J54" s="30">
        <f t="shared" si="22"/>
        <v>0</v>
      </c>
      <c r="K54" s="31">
        <f t="shared" si="23"/>
        <v>0</v>
      </c>
      <c r="L54" s="31">
        <f t="shared" si="24"/>
        <v>0</v>
      </c>
      <c r="M54" s="31">
        <f t="shared" si="25"/>
        <v>0</v>
      </c>
      <c r="N54" s="30">
        <f t="shared" si="26"/>
        <v>21.138967572823745</v>
      </c>
      <c r="O54" s="30" t="e">
        <f t="shared" si="14"/>
        <v>#NUM!</v>
      </c>
      <c r="Q54" s="30">
        <f t="shared" si="27"/>
        <v>-3.0131884173674394E-11</v>
      </c>
      <c r="R54" s="30">
        <f t="shared" si="28"/>
        <v>-3.0277863966667961E-11</v>
      </c>
      <c r="S54" s="30">
        <f t="shared" si="29"/>
        <v>-2.8689105189333605E-9</v>
      </c>
      <c r="T54" s="30">
        <f t="shared" si="30"/>
        <v>-3.0131884173674394E-11</v>
      </c>
      <c r="U54" s="30" t="e">
        <f t="shared" si="15"/>
        <v>#NUM!</v>
      </c>
      <c r="V54" s="30">
        <f t="shared" si="16"/>
        <v>5</v>
      </c>
      <c r="X54" s="31">
        <f t="shared" si="31"/>
        <v>0</v>
      </c>
      <c r="Y54" s="31">
        <f t="shared" si="32"/>
        <v>0</v>
      </c>
      <c r="Z54" s="31">
        <f t="shared" si="33"/>
        <v>0</v>
      </c>
      <c r="AA54" s="31">
        <f t="shared" si="17"/>
        <v>0</v>
      </c>
      <c r="AB54" s="30" t="e">
        <f t="shared" si="18"/>
        <v>#NUM!</v>
      </c>
      <c r="AC54" s="30" t="e">
        <f t="shared" si="19"/>
        <v>#NUM!</v>
      </c>
    </row>
    <row r="55" spans="1:29" s="30" customFormat="1" x14ac:dyDescent="0.3">
      <c r="A55" s="3">
        <v>62</v>
      </c>
      <c r="B55" s="30">
        <v>330.02</v>
      </c>
      <c r="C55" s="30">
        <v>7200</v>
      </c>
      <c r="D55" s="30">
        <v>0.26917599932393732</v>
      </c>
      <c r="E55" s="30">
        <v>3.1602275903168655</v>
      </c>
      <c r="F55" s="30">
        <v>1.8690543123731796E-3</v>
      </c>
      <c r="G55" s="31">
        <f t="shared" si="20"/>
        <v>6.1254323530843188E-3</v>
      </c>
      <c r="H55" s="31">
        <f t="shared" si="21"/>
        <v>6.167964992634045E-3</v>
      </c>
      <c r="J55" s="30">
        <f t="shared" si="22"/>
        <v>1.3540478919269193E-11</v>
      </c>
      <c r="K55" s="31">
        <f t="shared" si="23"/>
        <v>1.3605478478066349E-11</v>
      </c>
      <c r="L55" s="31">
        <f t="shared" si="24"/>
        <v>1.3008821395439615E-9</v>
      </c>
      <c r="M55" s="31">
        <f t="shared" si="25"/>
        <v>1.3540478919269193E-11</v>
      </c>
      <c r="N55" s="30">
        <f t="shared" si="26"/>
        <v>16.583197903883786</v>
      </c>
      <c r="O55" s="30">
        <f t="shared" si="14"/>
        <v>-25.025337478370599</v>
      </c>
      <c r="Q55" s="30">
        <f t="shared" si="27"/>
        <v>1.3540478919269193E-11</v>
      </c>
      <c r="R55" s="30">
        <f t="shared" si="28"/>
        <v>1.3605478478066349E-11</v>
      </c>
      <c r="S55" s="30">
        <f t="shared" si="29"/>
        <v>1.3008821395439615E-9</v>
      </c>
      <c r="T55" s="30">
        <f t="shared" si="30"/>
        <v>1.3540478919269193E-11</v>
      </c>
      <c r="U55" s="30">
        <f t="shared" si="15"/>
        <v>-25.025337478370599</v>
      </c>
      <c r="V55" s="30">
        <f t="shared" si="16"/>
        <v>0</v>
      </c>
      <c r="X55" s="31">
        <f t="shared" si="31"/>
        <v>1.9877849889872653E-11</v>
      </c>
      <c r="Y55" s="31">
        <f t="shared" si="32"/>
        <v>1.9973608941034743E-11</v>
      </c>
      <c r="Z55" s="31">
        <f t="shared" si="33"/>
        <v>1.9031196597869978E-9</v>
      </c>
      <c r="AA55" s="31">
        <f t="shared" si="17"/>
        <v>1.9877849889872653E-11</v>
      </c>
      <c r="AB55" s="30">
        <f t="shared" si="18"/>
        <v>-24.641415074982199</v>
      </c>
      <c r="AC55" s="30">
        <f t="shared" si="19"/>
        <v>0.38392240338840011</v>
      </c>
    </row>
    <row r="56" spans="1:29" s="30" customFormat="1" x14ac:dyDescent="0.3">
      <c r="A56" s="3">
        <v>63</v>
      </c>
      <c r="B56" s="30">
        <v>200.05</v>
      </c>
      <c r="C56" s="30">
        <v>7200</v>
      </c>
      <c r="D56" s="30">
        <v>0.26917599932393732</v>
      </c>
      <c r="E56" s="30">
        <v>0.79552604179366371</v>
      </c>
      <c r="F56" s="30">
        <v>0</v>
      </c>
      <c r="G56" s="31">
        <f t="shared" si="20"/>
        <v>6.1254323530843188E-3</v>
      </c>
      <c r="H56" s="31">
        <f t="shared" si="21"/>
        <v>6.1254323530843188E-3</v>
      </c>
      <c r="J56" s="30">
        <f t="shared" si="22"/>
        <v>0</v>
      </c>
      <c r="K56" s="31">
        <f t="shared" si="23"/>
        <v>0</v>
      </c>
      <c r="L56" s="31">
        <f t="shared" si="24"/>
        <v>0</v>
      </c>
      <c r="M56" s="31">
        <f t="shared" si="25"/>
        <v>0</v>
      </c>
      <c r="N56" s="30">
        <f t="shared" si="26"/>
        <v>21.139414438220061</v>
      </c>
      <c r="O56" s="30" t="e">
        <f t="shared" si="14"/>
        <v>#NUM!</v>
      </c>
      <c r="Q56" s="30">
        <f t="shared" si="27"/>
        <v>-6.3373709706034626E-12</v>
      </c>
      <c r="R56" s="30">
        <f t="shared" si="28"/>
        <v>-6.3681304629691585E-12</v>
      </c>
      <c r="S56" s="30">
        <f t="shared" si="29"/>
        <v>-6.0223752024408631E-10</v>
      </c>
      <c r="T56" s="30">
        <f t="shared" si="30"/>
        <v>-6.3373709706034626E-12</v>
      </c>
      <c r="U56" s="30" t="e">
        <f t="shared" si="15"/>
        <v>#NUM!</v>
      </c>
      <c r="V56" s="30">
        <f t="shared" si="16"/>
        <v>5</v>
      </c>
      <c r="X56" s="31">
        <f t="shared" si="31"/>
        <v>0</v>
      </c>
      <c r="Y56" s="31">
        <f t="shared" si="32"/>
        <v>0</v>
      </c>
      <c r="Z56" s="31">
        <f t="shared" si="33"/>
        <v>0</v>
      </c>
      <c r="AA56" s="31">
        <f t="shared" si="17"/>
        <v>0</v>
      </c>
      <c r="AB56" s="30" t="e">
        <f t="shared" si="18"/>
        <v>#NUM!</v>
      </c>
      <c r="AC56" s="30" t="e">
        <f t="shared" si="19"/>
        <v>#NUM!</v>
      </c>
    </row>
    <row r="57" spans="1:29" s="30" customFormat="1" x14ac:dyDescent="0.3">
      <c r="A57" s="3">
        <v>64</v>
      </c>
      <c r="B57" s="30">
        <v>340.02</v>
      </c>
      <c r="C57" s="30">
        <v>7200</v>
      </c>
      <c r="D57" s="30">
        <v>0.2732595846884136</v>
      </c>
      <c r="E57" s="30">
        <v>3.436925773883786</v>
      </c>
      <c r="F57" s="30">
        <v>1.675711836708167E-3</v>
      </c>
      <c r="G57" s="31">
        <f t="shared" si="20"/>
        <v>6.218359382132113E-3</v>
      </c>
      <c r="H57" s="31">
        <f t="shared" si="21"/>
        <v>6.2564922748298236E-3</v>
      </c>
      <c r="J57" s="30">
        <f t="shared" si="22"/>
        <v>1.3902903675242503E-11</v>
      </c>
      <c r="K57" s="31">
        <f t="shared" si="23"/>
        <v>1.3970662887811178E-11</v>
      </c>
      <c r="L57" s="31">
        <f t="shared" si="24"/>
        <v>1.3158262233123392E-9</v>
      </c>
      <c r="M57" s="31">
        <f t="shared" si="25"/>
        <v>1.3902903675242503E-11</v>
      </c>
      <c r="N57" s="30">
        <f t="shared" si="26"/>
        <v>16.31268147858145</v>
      </c>
      <c r="O57" s="30">
        <f t="shared" si="14"/>
        <v>-24.998923400108485</v>
      </c>
      <c r="Q57" s="30">
        <f t="shared" si="27"/>
        <v>1.3902903675242503E-11</v>
      </c>
      <c r="R57" s="30">
        <f t="shared" si="28"/>
        <v>1.3970662887811178E-11</v>
      </c>
      <c r="S57" s="30">
        <f t="shared" si="29"/>
        <v>1.3158262233123392E-9</v>
      </c>
      <c r="T57" s="30">
        <f t="shared" si="30"/>
        <v>1.3902903675242503E-11</v>
      </c>
      <c r="U57" s="30">
        <f t="shared" si="15"/>
        <v>-24.998923400108485</v>
      </c>
      <c r="V57" s="30">
        <f t="shared" si="16"/>
        <v>0</v>
      </c>
      <c r="X57" s="31">
        <f t="shared" si="31"/>
        <v>1.9668576795999158E-11</v>
      </c>
      <c r="Y57" s="31">
        <f t="shared" si="32"/>
        <v>1.9764735968216449E-11</v>
      </c>
      <c r="Z57" s="31">
        <f t="shared" si="33"/>
        <v>1.8558151732688777E-9</v>
      </c>
      <c r="AA57" s="31">
        <f t="shared" si="17"/>
        <v>1.9668576795999158E-11</v>
      </c>
      <c r="AB57" s="30">
        <f t="shared" si="18"/>
        <v>-24.651998840186991</v>
      </c>
      <c r="AC57" s="30">
        <f t="shared" si="19"/>
        <v>0.34692455992149362</v>
      </c>
    </row>
    <row r="58" spans="1:29" s="30" customFormat="1" x14ac:dyDescent="0.3">
      <c r="A58" s="3">
        <v>65</v>
      </c>
      <c r="B58" s="30">
        <v>200.05</v>
      </c>
      <c r="C58" s="30">
        <v>7200</v>
      </c>
      <c r="D58" s="30">
        <v>0.28621334679976718</v>
      </c>
      <c r="E58" s="30">
        <v>0.79552604179366371</v>
      </c>
      <c r="F58" s="30">
        <v>-6.3351647441978187E-2</v>
      </c>
      <c r="G58" s="31">
        <f t="shared" si="20"/>
        <v>6.5131382395723454E-3</v>
      </c>
      <c r="H58" s="31">
        <f t="shared" si="21"/>
        <v>5.0714932495400733E-3</v>
      </c>
      <c r="J58" s="30">
        <f t="shared" si="22"/>
        <v>4.5487356649844264E-11</v>
      </c>
      <c r="K58" s="31">
        <f t="shared" si="23"/>
        <v>4.5716089498247275E-11</v>
      </c>
      <c r="L58" s="31">
        <f t="shared" si="24"/>
        <v>4.174817921054042E-9</v>
      </c>
      <c r="M58" s="31">
        <f t="shared" si="25"/>
        <v>4.5487356649844264E-11</v>
      </c>
      <c r="N58" s="30">
        <f t="shared" si="26"/>
        <v>21.139414438220061</v>
      </c>
      <c r="O58" s="30">
        <f t="shared" si="14"/>
        <v>-23.813586704413883</v>
      </c>
      <c r="Q58" s="30">
        <f t="shared" si="27"/>
        <v>3.9721683529087605E-11</v>
      </c>
      <c r="R58" s="30">
        <f t="shared" si="28"/>
        <v>3.9922016417842768E-11</v>
      </c>
      <c r="S58" s="30">
        <f t="shared" si="29"/>
        <v>3.6348289711000333E-9</v>
      </c>
      <c r="T58" s="30">
        <f t="shared" si="30"/>
        <v>3.9721683529087605E-11</v>
      </c>
      <c r="U58" s="30">
        <f t="shared" si="15"/>
        <v>-23.949123892728149</v>
      </c>
      <c r="V58" s="30">
        <f t="shared" si="16"/>
        <v>0.13553718831426664</v>
      </c>
      <c r="X58" s="31">
        <f t="shared" si="31"/>
        <v>-1.569335780155929E-10</v>
      </c>
      <c r="Y58" s="31">
        <f t="shared" si="32"/>
        <v>-1.5763521961765069E-10</v>
      </c>
      <c r="Z58" s="31">
        <f t="shared" si="33"/>
        <v>-1.6230766888030811E-8</v>
      </c>
      <c r="AA58" s="31">
        <f t="shared" si="17"/>
        <v>-1.569335780155929E-10</v>
      </c>
      <c r="AB58" s="30" t="e">
        <f t="shared" si="18"/>
        <v>#NUM!</v>
      </c>
      <c r="AC58" s="30" t="e">
        <f t="shared" si="19"/>
        <v>#NUM!</v>
      </c>
    </row>
    <row r="59" spans="1:29" s="30" customFormat="1" x14ac:dyDescent="0.3">
      <c r="A59" s="3">
        <v>66</v>
      </c>
      <c r="B59" s="30">
        <v>350.03</v>
      </c>
      <c r="C59" s="30">
        <v>7200</v>
      </c>
      <c r="D59" s="30">
        <v>0.2927603886538423</v>
      </c>
      <c r="E59" s="30">
        <v>3.7290686746968089</v>
      </c>
      <c r="F59" s="30">
        <v>2.399002236468991E-3</v>
      </c>
      <c r="G59" s="31">
        <f t="shared" si="20"/>
        <v>6.6621242639232272E-3</v>
      </c>
      <c r="H59" s="31">
        <f t="shared" si="21"/>
        <v>6.7167165230819061E-3</v>
      </c>
      <c r="J59" s="30">
        <f t="shared" si="22"/>
        <v>2.3791382736223337E-11</v>
      </c>
      <c r="K59" s="31">
        <f t="shared" si="23"/>
        <v>2.3915194571575568E-11</v>
      </c>
      <c r="L59" s="31">
        <f t="shared" si="24"/>
        <v>2.1104920827234946E-9</v>
      </c>
      <c r="M59" s="31">
        <f t="shared" si="25"/>
        <v>2.3791382736223337E-11</v>
      </c>
      <c r="N59" s="30">
        <f t="shared" si="26"/>
        <v>16.050591464295461</v>
      </c>
      <c r="O59" s="30">
        <f t="shared" si="14"/>
        <v>-24.461697670720838</v>
      </c>
      <c r="Q59" s="30">
        <f t="shared" si="27"/>
        <v>2.262123174016605E-10</v>
      </c>
      <c r="R59" s="30">
        <f t="shared" si="28"/>
        <v>2.2726650368746741E-10</v>
      </c>
      <c r="S59" s="30">
        <f t="shared" si="29"/>
        <v>2.2516076891810982E-8</v>
      </c>
      <c r="T59" s="30">
        <f t="shared" si="30"/>
        <v>2.262123174016605E-10</v>
      </c>
      <c r="U59" s="30">
        <f t="shared" si="15"/>
        <v>-22.209547100140828</v>
      </c>
      <c r="V59" s="30">
        <f t="shared" si="16"/>
        <v>-2.2521505705800102</v>
      </c>
      <c r="X59" s="31">
        <f t="shared" si="31"/>
        <v>3.2643852005895126E-11</v>
      </c>
      <c r="Y59" s="31">
        <f t="shared" si="32"/>
        <v>3.2814446900414804E-11</v>
      </c>
      <c r="Z59" s="31">
        <f t="shared" si="33"/>
        <v>2.8839091721439339E-9</v>
      </c>
      <c r="AA59" s="31">
        <f t="shared" si="17"/>
        <v>3.2643852005895126E-11</v>
      </c>
      <c r="AB59" s="30">
        <f t="shared" si="18"/>
        <v>-24.145364577909358</v>
      </c>
      <c r="AC59" s="30">
        <f t="shared" si="19"/>
        <v>0.31633309281147959</v>
      </c>
    </row>
    <row r="60" spans="1:29" s="30" customFormat="1" x14ac:dyDescent="0.3">
      <c r="A60" s="3">
        <v>67</v>
      </c>
      <c r="B60" s="30">
        <v>200.039999999999</v>
      </c>
      <c r="C60" s="30">
        <v>7200</v>
      </c>
      <c r="D60" s="30">
        <v>0.29474599302108911</v>
      </c>
      <c r="E60" s="30">
        <v>0.79542054249759231</v>
      </c>
      <c r="F60" s="30">
        <v>-9.7057856711905265E-3</v>
      </c>
      <c r="G60" s="31">
        <f t="shared" si="20"/>
        <v>6.7073091439352151E-3</v>
      </c>
      <c r="H60" s="31">
        <f t="shared" si="21"/>
        <v>6.4864420023188285E-3</v>
      </c>
      <c r="J60" s="30">
        <f t="shared" si="22"/>
        <v>7.3218530993439154E-12</v>
      </c>
      <c r="K60" s="31">
        <f t="shared" si="23"/>
        <v>7.3605198044194957E-12</v>
      </c>
      <c r="L60" s="31">
        <f t="shared" si="24"/>
        <v>6.4013824369282092E-10</v>
      </c>
      <c r="M60" s="31">
        <f t="shared" si="25"/>
        <v>7.3218530993439154E-12</v>
      </c>
      <c r="N60" s="30">
        <f t="shared" si="26"/>
        <v>21.13986132250977</v>
      </c>
      <c r="O60" s="30">
        <f t="shared" si="14"/>
        <v>-25.640157664345736</v>
      </c>
      <c r="Q60" s="30">
        <f t="shared" si="27"/>
        <v>-1.5306161703278717E-12</v>
      </c>
      <c r="R60" s="30">
        <f t="shared" si="28"/>
        <v>-1.5387325244204082E-12</v>
      </c>
      <c r="S60" s="30">
        <f t="shared" si="29"/>
        <v>-1.3327884572909873E-10</v>
      </c>
      <c r="T60" s="30">
        <f t="shared" si="30"/>
        <v>-1.5306161703278717E-12</v>
      </c>
      <c r="U60" s="30" t="e">
        <f t="shared" si="15"/>
        <v>#NUM!</v>
      </c>
      <c r="V60" s="30">
        <f t="shared" si="16"/>
        <v>5</v>
      </c>
      <c r="X60" s="31">
        <f t="shared" si="31"/>
        <v>-2.7997624758891969E-11</v>
      </c>
      <c r="Y60" s="31">
        <f t="shared" si="32"/>
        <v>-2.8143031703659015E-11</v>
      </c>
      <c r="Z60" s="31">
        <f t="shared" si="33"/>
        <v>-2.4886296695482042E-9</v>
      </c>
      <c r="AA60" s="31">
        <f t="shared" si="17"/>
        <v>-2.7997624758891969E-11</v>
      </c>
      <c r="AB60" s="30" t="e">
        <f t="shared" si="18"/>
        <v>#NUM!</v>
      </c>
      <c r="AC60" s="30" t="e">
        <f t="shared" si="19"/>
        <v>#NUM!</v>
      </c>
    </row>
    <row r="61" spans="1:29" s="30" customFormat="1" x14ac:dyDescent="0.3">
      <c r="A61" s="3">
        <v>68</v>
      </c>
      <c r="B61" s="30">
        <v>345.02</v>
      </c>
      <c r="C61" s="30">
        <v>7200</v>
      </c>
      <c r="D61" s="30">
        <v>0.2993338254645635</v>
      </c>
      <c r="E61" s="30">
        <v>3.5809379266107797</v>
      </c>
      <c r="F61" s="30">
        <v>1.7775834111202363E-3</v>
      </c>
      <c r="G61" s="31">
        <f t="shared" si="20"/>
        <v>6.8117109381158631E-3</v>
      </c>
      <c r="H61" s="31">
        <f t="shared" si="21"/>
        <v>6.8521620443219482E-3</v>
      </c>
      <c r="J61" s="30">
        <f t="shared" si="22"/>
        <v>1.7106771361173583E-11</v>
      </c>
      <c r="K61" s="31">
        <f t="shared" si="23"/>
        <v>1.7198130511996225E-11</v>
      </c>
      <c r="L61" s="31">
        <f t="shared" si="24"/>
        <v>1.4791809510602956E-9</v>
      </c>
      <c r="M61" s="31">
        <f t="shared" si="25"/>
        <v>1.7106771361173583E-11</v>
      </c>
      <c r="N61" s="30">
        <f t="shared" si="26"/>
        <v>16.180706126015341</v>
      </c>
      <c r="O61" s="30">
        <f t="shared" si="14"/>
        <v>-24.791546744768169</v>
      </c>
      <c r="Q61" s="30">
        <f t="shared" si="27"/>
        <v>5.2426249219409463E-11</v>
      </c>
      <c r="R61" s="30">
        <f t="shared" si="28"/>
        <v>5.2701682020078166E-11</v>
      </c>
      <c r="S61" s="30">
        <f t="shared" si="29"/>
        <v>4.6079488643001297E-9</v>
      </c>
      <c r="T61" s="30">
        <f t="shared" si="30"/>
        <v>5.2426249219409463E-11</v>
      </c>
      <c r="U61" s="30">
        <f t="shared" si="15"/>
        <v>-23.67161371072805</v>
      </c>
      <c r="V61" s="30">
        <f t="shared" si="16"/>
        <v>-1.1199330340401197</v>
      </c>
      <c r="X61" s="31">
        <f t="shared" si="31"/>
        <v>2.3805911985979442E-11</v>
      </c>
      <c r="Y61" s="31">
        <f t="shared" si="32"/>
        <v>2.3933433086060539E-11</v>
      </c>
      <c r="Z61" s="31">
        <f t="shared" si="33"/>
        <v>2.0523403453380573E-9</v>
      </c>
      <c r="AA61" s="31">
        <f t="shared" si="17"/>
        <v>2.3805911985979442E-11</v>
      </c>
      <c r="AB61" s="30">
        <f t="shared" si="18"/>
        <v>-24.461087163325733</v>
      </c>
      <c r="AC61" s="30">
        <f t="shared" si="19"/>
        <v>0.3304595814424367</v>
      </c>
    </row>
    <row r="62" spans="1:29" s="30" customFormat="1" x14ac:dyDescent="0.3">
      <c r="A62" s="3">
        <v>69</v>
      </c>
      <c r="B62" s="30">
        <v>200.039999999999</v>
      </c>
      <c r="C62" s="30">
        <v>7200</v>
      </c>
      <c r="D62" s="30">
        <v>0.30111882546456348</v>
      </c>
      <c r="E62" s="30">
        <v>0.79542054249759231</v>
      </c>
      <c r="F62" s="30">
        <v>-8.7252162157043182E-3</v>
      </c>
      <c r="G62" s="31">
        <f t="shared" si="20"/>
        <v>6.8523308179629407E-3</v>
      </c>
      <c r="H62" s="31">
        <f t="shared" si="21"/>
        <v>6.6537777455138161E-3</v>
      </c>
      <c r="J62" s="30">
        <f t="shared" si="22"/>
        <v>6.7271744566602164E-12</v>
      </c>
      <c r="K62" s="31">
        <f t="shared" si="23"/>
        <v>6.7634881807083226E-12</v>
      </c>
      <c r="L62" s="31">
        <f t="shared" si="24"/>
        <v>5.7555082890392201E-10</v>
      </c>
      <c r="M62" s="31">
        <f t="shared" si="25"/>
        <v>6.7271744566602164E-12</v>
      </c>
      <c r="N62" s="30">
        <f t="shared" si="26"/>
        <v>21.13986132250977</v>
      </c>
      <c r="O62" s="30">
        <f t="shared" si="14"/>
        <v>-25.724865903423197</v>
      </c>
      <c r="Q62" s="30">
        <f t="shared" si="27"/>
        <v>2.8033831854355088E-14</v>
      </c>
      <c r="R62" s="30">
        <f t="shared" si="28"/>
        <v>2.8185606644197052E-14</v>
      </c>
      <c r="S62" s="30">
        <f t="shared" si="29"/>
        <v>2.3914346258284487E-12</v>
      </c>
      <c r="T62" s="30">
        <f t="shared" si="30"/>
        <v>2.8033831854355088E-14</v>
      </c>
      <c r="U62" s="30">
        <f t="shared" si="15"/>
        <v>-31.205364333606223</v>
      </c>
      <c r="V62" s="30">
        <f t="shared" si="16"/>
        <v>5.480498430183026</v>
      </c>
      <c r="X62" s="31">
        <f t="shared" si="31"/>
        <v>-2.5775696499633751E-11</v>
      </c>
      <c r="Y62" s="31">
        <f t="shared" si="32"/>
        <v>-2.5912807574901831E-11</v>
      </c>
      <c r="Z62" s="31">
        <f t="shared" si="33"/>
        <v>-2.237561882740298E-9</v>
      </c>
      <c r="AA62" s="31">
        <f t="shared" si="17"/>
        <v>-2.5775696499633751E-11</v>
      </c>
      <c r="AB62" s="30" t="e">
        <f t="shared" si="18"/>
        <v>#NUM!</v>
      </c>
      <c r="AC62" s="30" t="e">
        <f t="shared" si="19"/>
        <v>#NUM!</v>
      </c>
    </row>
    <row r="63" spans="1:29" s="30" customFormat="1" x14ac:dyDescent="0.3">
      <c r="A63" s="3">
        <v>70</v>
      </c>
      <c r="B63" s="30">
        <v>340.02</v>
      </c>
      <c r="C63" s="30">
        <v>7200</v>
      </c>
      <c r="D63" s="30">
        <v>0.30477978087857621</v>
      </c>
      <c r="E63" s="30">
        <v>3.436925773883786</v>
      </c>
      <c r="F63" s="30">
        <v>1.5022843343226572E-3</v>
      </c>
      <c r="G63" s="31">
        <f t="shared" si="20"/>
        <v>6.9356403804518522E-3</v>
      </c>
      <c r="H63" s="31">
        <f t="shared" si="21"/>
        <v>6.9698267161136633E-3</v>
      </c>
      <c r="J63" s="30">
        <f t="shared" si="22"/>
        <v>1.3922271436524068E-11</v>
      </c>
      <c r="K63" s="31">
        <f t="shared" si="23"/>
        <v>1.3998111243023189E-11</v>
      </c>
      <c r="L63" s="31">
        <f t="shared" si="24"/>
        <v>1.1805027418237463E-9</v>
      </c>
      <c r="M63" s="31">
        <f t="shared" si="25"/>
        <v>1.3922271436524068E-11</v>
      </c>
      <c r="N63" s="30">
        <f t="shared" si="26"/>
        <v>16.31268147858145</v>
      </c>
      <c r="O63" s="30">
        <f t="shared" si="14"/>
        <v>-24.99753129642313</v>
      </c>
      <c r="Q63" s="30">
        <f t="shared" si="27"/>
        <v>4.6425142392818032E-11</v>
      </c>
      <c r="R63" s="30">
        <f t="shared" si="28"/>
        <v>4.667440699863449E-11</v>
      </c>
      <c r="S63" s="30">
        <f t="shared" si="29"/>
        <v>3.9936154534691797E-9</v>
      </c>
      <c r="T63" s="30">
        <f t="shared" si="30"/>
        <v>4.6425142392818032E-11</v>
      </c>
      <c r="U63" s="30">
        <f t="shared" si="15"/>
        <v>-23.793179941536312</v>
      </c>
      <c r="V63" s="30">
        <f t="shared" si="16"/>
        <v>-1.2043513548868177</v>
      </c>
      <c r="X63" s="31">
        <f t="shared" si="31"/>
        <v>1.9684002852885732E-11</v>
      </c>
      <c r="Y63" s="31">
        <f t="shared" si="32"/>
        <v>1.9791497725399678E-11</v>
      </c>
      <c r="Z63" s="31">
        <f t="shared" si="33"/>
        <v>1.6649543371841947E-9</v>
      </c>
      <c r="AA63" s="31">
        <f t="shared" si="17"/>
        <v>1.9684002852885732E-11</v>
      </c>
      <c r="AB63" s="30">
        <f t="shared" si="18"/>
        <v>-24.65121484799058</v>
      </c>
      <c r="AC63" s="30">
        <f t="shared" si="19"/>
        <v>0.34631644843254961</v>
      </c>
    </row>
    <row r="64" spans="1:29" s="30" customFormat="1" x14ac:dyDescent="0.3">
      <c r="A64" s="3">
        <v>71</v>
      </c>
      <c r="B64" s="30">
        <v>199.99</v>
      </c>
      <c r="C64" s="30">
        <v>7200</v>
      </c>
      <c r="D64" s="30">
        <v>0.31182645209918902</v>
      </c>
      <c r="E64" s="30">
        <v>0.79489319430695626</v>
      </c>
      <c r="F64" s="30">
        <v>-3.435610630667537E-2</v>
      </c>
      <c r="G64" s="31">
        <f t="shared" si="20"/>
        <v>7.0959960881847124E-3</v>
      </c>
      <c r="H64" s="31">
        <f t="shared" si="21"/>
        <v>6.3141804522235953E-3</v>
      </c>
      <c r="J64" s="30">
        <f t="shared" si="22"/>
        <v>2.7271411899068221E-11</v>
      </c>
      <c r="K64" s="31">
        <f t="shared" si="23"/>
        <v>2.7422615764686001E-11</v>
      </c>
      <c r="L64" s="31">
        <f t="shared" si="24"/>
        <v>2.2725311860956682E-9</v>
      </c>
      <c r="M64" s="31">
        <f t="shared" si="25"/>
        <v>2.7271411899068221E-11</v>
      </c>
      <c r="N64" s="30">
        <f t="shared" si="26"/>
        <v>21.142096027400157</v>
      </c>
      <c r="O64" s="30">
        <f t="shared" si="14"/>
        <v>-24.325182145601339</v>
      </c>
      <c r="Q64" s="30">
        <f t="shared" si="27"/>
        <v>2.150968048270656E-11</v>
      </c>
      <c r="R64" s="30">
        <f t="shared" si="28"/>
        <v>2.1629229282310276E-11</v>
      </c>
      <c r="S64" s="30">
        <f t="shared" si="29"/>
        <v>1.7880795907371128E-9</v>
      </c>
      <c r="T64" s="30">
        <f t="shared" si="30"/>
        <v>2.150968048270656E-11</v>
      </c>
      <c r="U64" s="30">
        <f t="shared" si="15"/>
        <v>-24.562518027119694</v>
      </c>
      <c r="V64" s="30">
        <f t="shared" si="16"/>
        <v>0.23733588151835505</v>
      </c>
      <c r="X64" s="31">
        <f t="shared" si="31"/>
        <v>-9.9801716704975446E-11</v>
      </c>
      <c r="Y64" s="31">
        <f t="shared" si="32"/>
        <v>-1.003244122444884E-10</v>
      </c>
      <c r="Z64" s="31">
        <f t="shared" si="33"/>
        <v>-8.8037487087496567E-9</v>
      </c>
      <c r="AA64" s="31">
        <f t="shared" si="17"/>
        <v>-9.9801716704975446E-11</v>
      </c>
      <c r="AB64" s="30" t="e">
        <f t="shared" si="18"/>
        <v>#NUM!</v>
      </c>
      <c r="AC64" s="30" t="e">
        <f t="shared" si="19"/>
        <v>#NUM!</v>
      </c>
    </row>
    <row r="65" spans="1:29" s="30" customFormat="1" x14ac:dyDescent="0.3">
      <c r="A65" s="3">
        <v>72</v>
      </c>
      <c r="B65" s="30">
        <v>334.99</v>
      </c>
      <c r="C65" s="30">
        <v>7200</v>
      </c>
      <c r="D65" s="30">
        <v>0.31527127296979113</v>
      </c>
      <c r="E65" s="30">
        <v>3.2958701814767237</v>
      </c>
      <c r="F65" s="30">
        <v>1.5004423588037288E-3</v>
      </c>
      <c r="G65" s="31">
        <f t="shared" si="20"/>
        <v>7.1743872421671014E-3</v>
      </c>
      <c r="H65" s="31">
        <f t="shared" si="21"/>
        <v>7.2085316614007569E-3</v>
      </c>
      <c r="J65" s="30">
        <f t="shared" si="22"/>
        <v>1.3558685039284024E-11</v>
      </c>
      <c r="K65" s="31">
        <f t="shared" si="23"/>
        <v>1.3635144469382991E-11</v>
      </c>
      <c r="L65" s="31">
        <f t="shared" si="24"/>
        <v>1.1110783839907402E-9</v>
      </c>
      <c r="M65" s="31">
        <f t="shared" si="25"/>
        <v>1.3558685039284024E-11</v>
      </c>
      <c r="N65" s="30">
        <f t="shared" si="26"/>
        <v>16.447638941429958</v>
      </c>
      <c r="O65" s="30">
        <f t="shared" si="14"/>
        <v>-25.02399381162266</v>
      </c>
      <c r="Q65" s="30">
        <f t="shared" si="27"/>
        <v>1.4063181364332769E-10</v>
      </c>
      <c r="R65" s="30">
        <f t="shared" si="28"/>
        <v>1.4138217247855815E-10</v>
      </c>
      <c r="S65" s="30">
        <f t="shared" si="29"/>
        <v>1.2187358278835681E-8</v>
      </c>
      <c r="T65" s="30">
        <f t="shared" si="30"/>
        <v>1.4063181364332769E-10</v>
      </c>
      <c r="U65" s="30">
        <f t="shared" si="15"/>
        <v>-22.684875891568876</v>
      </c>
      <c r="V65" s="30">
        <f t="shared" si="16"/>
        <v>-2.3391179200537842</v>
      </c>
      <c r="X65" s="31">
        <f t="shared" si="31"/>
        <v>1.9510941531586208E-11</v>
      </c>
      <c r="Y65" s="31">
        <f t="shared" si="32"/>
        <v>1.9621232700468889E-11</v>
      </c>
      <c r="Z65" s="31">
        <f t="shared" si="33"/>
        <v>1.5950523313236149E-9</v>
      </c>
      <c r="AA65" s="31">
        <f t="shared" si="17"/>
        <v>1.9510941531586208E-11</v>
      </c>
      <c r="AB65" s="30">
        <f t="shared" si="18"/>
        <v>-24.66004570353503</v>
      </c>
      <c r="AC65" s="30">
        <f t="shared" si="19"/>
        <v>0.36394810808763012</v>
      </c>
    </row>
    <row r="66" spans="1:29" s="30" customFormat="1" x14ac:dyDescent="0.3">
      <c r="A66" s="3">
        <v>73</v>
      </c>
      <c r="B66" s="30">
        <v>199.99</v>
      </c>
      <c r="C66" s="30">
        <v>7200</v>
      </c>
      <c r="D66" s="30">
        <v>0.31659735623052421</v>
      </c>
      <c r="E66" s="30">
        <v>0.79489319430695626</v>
      </c>
      <c r="F66" s="30">
        <v>-6.4653303738622103E-3</v>
      </c>
      <c r="G66" s="31">
        <f t="shared" si="20"/>
        <v>7.2045639047543276E-3</v>
      </c>
      <c r="H66" s="31">
        <f t="shared" si="21"/>
        <v>7.0574373260664019E-3</v>
      </c>
      <c r="J66" s="30">
        <f t="shared" si="22"/>
        <v>5.2591225451114472E-12</v>
      </c>
      <c r="K66" s="31">
        <f t="shared" si="23"/>
        <v>5.2890063006246023E-12</v>
      </c>
      <c r="L66" s="31">
        <f t="shared" si="24"/>
        <v>4.2773283755925064E-10</v>
      </c>
      <c r="M66" s="31">
        <f t="shared" si="25"/>
        <v>5.2591225451114472E-12</v>
      </c>
      <c r="N66" s="30">
        <f t="shared" si="26"/>
        <v>21.142096027400157</v>
      </c>
      <c r="O66" s="30">
        <f t="shared" si="14"/>
        <v>-25.97105691961309</v>
      </c>
      <c r="Q66" s="30">
        <f t="shared" si="27"/>
        <v>-6.9313394719073758E-13</v>
      </c>
      <c r="R66" s="30">
        <f t="shared" si="28"/>
        <v>-6.9708193046213036E-13</v>
      </c>
      <c r="S66" s="30">
        <f t="shared" si="29"/>
        <v>-5.6241109776329424E-11</v>
      </c>
      <c r="T66" s="30">
        <f t="shared" si="30"/>
        <v>-6.9313394719073758E-13</v>
      </c>
      <c r="U66" s="30" t="e">
        <f t="shared" si="15"/>
        <v>#NUM!</v>
      </c>
      <c r="V66" s="30">
        <f t="shared" si="16"/>
        <v>5</v>
      </c>
      <c r="X66" s="31">
        <f t="shared" si="31"/>
        <v>-2.0173226827906969E-11</v>
      </c>
      <c r="Y66" s="31">
        <f t="shared" si="32"/>
        <v>-2.028667876282696E-11</v>
      </c>
      <c r="Z66" s="31">
        <f t="shared" si="33"/>
        <v>-1.6575594839893035E-9</v>
      </c>
      <c r="AA66" s="31">
        <f t="shared" si="17"/>
        <v>-2.0173226827906969E-11</v>
      </c>
      <c r="AB66" s="30" t="e">
        <f t="shared" si="18"/>
        <v>#NUM!</v>
      </c>
      <c r="AC66" s="30" t="e">
        <f t="shared" si="19"/>
        <v>#NUM!</v>
      </c>
    </row>
    <row r="67" spans="1:29" s="30" customFormat="1" x14ac:dyDescent="0.3">
      <c r="A67" s="3">
        <v>74</v>
      </c>
      <c r="B67" s="30">
        <v>330</v>
      </c>
      <c r="C67" s="30">
        <v>7200</v>
      </c>
      <c r="D67" s="30">
        <v>0.31970955392472616</v>
      </c>
      <c r="E67" s="30">
        <v>3.1596891900306097</v>
      </c>
      <c r="F67" s="30">
        <v>1.4410396220753553E-3</v>
      </c>
      <c r="G67" s="31">
        <f t="shared" si="20"/>
        <v>7.2753858074987741E-3</v>
      </c>
      <c r="H67" s="31">
        <f t="shared" si="21"/>
        <v>7.3081784440834135E-3</v>
      </c>
      <c r="J67" s="30">
        <f t="shared" si="22"/>
        <v>1.2429381542641339E-11</v>
      </c>
      <c r="K67" s="31">
        <f t="shared" si="23"/>
        <v>1.2500508373070523E-11</v>
      </c>
      <c r="L67" s="31">
        <f t="shared" si="24"/>
        <v>1.0039014178161275E-9</v>
      </c>
      <c r="M67" s="31">
        <f t="shared" si="25"/>
        <v>1.2429381542641339E-11</v>
      </c>
      <c r="N67" s="30">
        <f t="shared" si="26"/>
        <v>16.58374792703151</v>
      </c>
      <c r="O67" s="30">
        <f t="shared" si="14"/>
        <v>-25.110957966861672</v>
      </c>
      <c r="Q67" s="30">
        <f t="shared" si="27"/>
        <v>3.786173091565975E-11</v>
      </c>
      <c r="R67" s="30">
        <f t="shared" si="28"/>
        <v>3.8076193436523422E-11</v>
      </c>
      <c r="S67" s="30">
        <f t="shared" si="29"/>
        <v>3.089193739363242E-9</v>
      </c>
      <c r="T67" s="30">
        <f t="shared" si="30"/>
        <v>3.786173091565975E-11</v>
      </c>
      <c r="U67" s="30">
        <f t="shared" si="15"/>
        <v>-23.997080252342478</v>
      </c>
      <c r="V67" s="30">
        <f t="shared" si="16"/>
        <v>-1.1138777145191945</v>
      </c>
      <c r="X67" s="31">
        <f t="shared" si="31"/>
        <v>1.8225735405815295E-11</v>
      </c>
      <c r="Y67" s="31">
        <f t="shared" si="32"/>
        <v>1.8330270389424167E-11</v>
      </c>
      <c r="Z67" s="31">
        <f t="shared" si="33"/>
        <v>1.4687617382416716E-9</v>
      </c>
      <c r="AA67" s="31">
        <f t="shared" si="17"/>
        <v>1.8225735405815295E-11</v>
      </c>
      <c r="AB67" s="30">
        <f t="shared" si="18"/>
        <v>-24.728186487362862</v>
      </c>
      <c r="AC67" s="30">
        <f t="shared" si="19"/>
        <v>0.38277147949881041</v>
      </c>
    </row>
    <row r="68" spans="1:29" s="33" customFormat="1" x14ac:dyDescent="0.3">
      <c r="A68" s="33">
        <v>75</v>
      </c>
      <c r="B68" s="33">
        <v>199.98</v>
      </c>
      <c r="C68" s="33">
        <v>3600</v>
      </c>
      <c r="D68" s="33">
        <v>0.32069115875794157</v>
      </c>
      <c r="E68" s="33">
        <v>0.39739387716171587</v>
      </c>
      <c r="F68" s="33">
        <v>1.4410396220753553E-3</v>
      </c>
      <c r="G68" s="35">
        <f t="shared" ref="G68:G99" si="34">D68/$D$141</f>
        <v>7.2977234379651727E-3</v>
      </c>
      <c r="H68" s="35">
        <f t="shared" ref="H68:H99" si="35">(D68+F68)/$D$141</f>
        <v>7.3305160745498121E-3</v>
      </c>
      <c r="J68" s="33">
        <f t="shared" ref="J68:J99" si="36">((G68^2-G67^2)*PI())/(36*C68)</f>
        <v>7.8910390724063955E-12</v>
      </c>
      <c r="K68" s="35">
        <f t="shared" ref="K68:K99" si="37">(1/(PI()*PI()*C68))*(-(G68-G67)*PI()*PI()/3-2*PI()*(SQRT(1-PI()/3*G68)-SQRT(1-PI()/3*G67)))</f>
        <v>7.9364873918830208E-12</v>
      </c>
      <c r="L68" s="35">
        <f t="shared" ref="L68:L99" si="38">(1/(PI()^2*C68))*LN((1-G67)/(1-G68))</f>
        <v>6.3330213468330519E-10</v>
      </c>
      <c r="M68" s="35">
        <f t="shared" ref="M68:M99" si="39">(G68&lt;0.05)*J68+((G68&gt;=0.05)*(G68&lt;0.9))*K68+(G68&gt;=0.9)*L68</f>
        <v>7.8910390724063955E-12</v>
      </c>
      <c r="N68" s="33">
        <f t="shared" ref="N68:N99" si="40">10000/(273+B68)</f>
        <v>21.142543025075057</v>
      </c>
      <c r="O68" s="33">
        <f t="shared" si="14"/>
        <v>-25.565293294886715</v>
      </c>
      <c r="Q68" s="33">
        <f t="shared" ref="Q68:Q99" si="41">((G68^2-H67^2)*PI())/(36*C68)</f>
        <v>-3.7016686539415103E-12</v>
      </c>
      <c r="R68" s="33">
        <f t="shared" ref="R68:R99" si="42">(1/(PI()*PI()*C68))*(-(G68-H67)*PI()*PI()/3-2*PI()*(SQRT(1-PI()/3*G68)-SQRT(1-PI()/3*H67)))</f>
        <v>-3.7230366408250317E-12</v>
      </c>
      <c r="S68" s="33">
        <f t="shared" ref="S68:S99" si="43">(1/(PI()^2*C68))*LN((1-H67)/(1-G68))</f>
        <v>-2.9641850616653488E-10</v>
      </c>
      <c r="T68" s="33">
        <f t="shared" ref="T68:T99" si="44">(G68&lt;0.05)*Q68+((G68&gt;=0.05)*(G68&lt;0.9))*R68+(G68&gt;=0.9)*S68</f>
        <v>-3.7016686539415103E-12</v>
      </c>
      <c r="U68" s="33" t="e">
        <f t="shared" si="15"/>
        <v>#NUM!</v>
      </c>
      <c r="V68" s="33">
        <f t="shared" si="16"/>
        <v>5</v>
      </c>
      <c r="X68" s="35">
        <f t="shared" ref="X68:X99" si="45">((H68^2-G67^2)*PI())/(36*C68)</f>
        <v>1.9519259875918314E-11</v>
      </c>
      <c r="Y68" s="35">
        <f t="shared" ref="Y68:Y99" si="46">(1/(PI()*PI()*C68))*(-(H68-G67)*PI()*PI()/3-2*PI()*(SQRT(1-PI()/3*H68)-SQRT(1-PI()/3*G67)))</f>
        <v>1.9631935809351581E-11</v>
      </c>
      <c r="Z68" s="35">
        <f t="shared" ref="Z68:Z99" si="47">(1/(PI()^2*C68))*LN((1-G67)/(1-H68))</f>
        <v>1.5630436963116982E-9</v>
      </c>
      <c r="AA68" s="35">
        <f t="shared" si="17"/>
        <v>1.9519259875918314E-11</v>
      </c>
      <c r="AB68" s="33">
        <f t="shared" si="18"/>
        <v>-24.659619451855146</v>
      </c>
      <c r="AC68" s="33">
        <f t="shared" si="19"/>
        <v>0.90567384303156828</v>
      </c>
    </row>
    <row r="69" spans="1:29" s="50" customFormat="1" x14ac:dyDescent="0.3">
      <c r="A69" s="50">
        <v>76</v>
      </c>
      <c r="B69" s="50">
        <v>359.99</v>
      </c>
      <c r="C69" s="50">
        <v>7200</v>
      </c>
      <c r="D69" s="50">
        <v>0.32584998339633392</v>
      </c>
      <c r="E69" s="50">
        <v>4.0350690202416351</v>
      </c>
      <c r="F69" s="50">
        <v>1.6997388210900103E-3</v>
      </c>
      <c r="G69" s="51">
        <f t="shared" si="34"/>
        <v>7.4151188648355609E-3</v>
      </c>
      <c r="H69" s="51">
        <f t="shared" si="35"/>
        <v>7.4537985212412144E-3</v>
      </c>
      <c r="J69" s="50">
        <f t="shared" si="36"/>
        <v>2.0934502036969684E-11</v>
      </c>
      <c r="K69" s="51">
        <f t="shared" si="37"/>
        <v>2.1056240100472712E-11</v>
      </c>
      <c r="L69" s="51">
        <f t="shared" si="38"/>
        <v>1.6642769581287459E-9</v>
      </c>
      <c r="M69" s="51">
        <f t="shared" si="39"/>
        <v>2.0934502036969684E-11</v>
      </c>
      <c r="N69" s="50">
        <f t="shared" si="40"/>
        <v>15.798037883694844</v>
      </c>
      <c r="O69" s="50">
        <f t="shared" ref="O69:O132" si="48">LN(M69)</f>
        <v>-24.589622502889384</v>
      </c>
      <c r="Q69" s="50">
        <f t="shared" si="41"/>
        <v>1.5120391635213727E-11</v>
      </c>
      <c r="R69" s="50">
        <f t="shared" si="42"/>
        <v>1.5208515891738813E-11</v>
      </c>
      <c r="S69" s="50">
        <f t="shared" si="43"/>
        <v>1.1994061773145671E-9</v>
      </c>
      <c r="T69" s="50">
        <f t="shared" si="44"/>
        <v>1.5120391635213727E-11</v>
      </c>
      <c r="U69" s="50">
        <f t="shared" ref="U69:U132" si="49">LN(T69)</f>
        <v>-24.914976843712758</v>
      </c>
      <c r="V69" s="50">
        <v>5</v>
      </c>
      <c r="X69" s="51">
        <f t="shared" si="45"/>
        <v>2.7905209086825295E-11</v>
      </c>
      <c r="Y69" s="51">
        <f t="shared" si="46"/>
        <v>2.8067915147944673E-11</v>
      </c>
      <c r="Z69" s="51">
        <f t="shared" si="47"/>
        <v>2.2126690355964381E-9</v>
      </c>
      <c r="AA69" s="51">
        <f t="shared" ref="AA69:AA132" si="50">(H69&lt;0.05)*X69+((H69&gt;=0.05)*(H69&lt;0.9))*Y69+(H69&gt;=0.9)*Z69</f>
        <v>2.7905209086825295E-11</v>
      </c>
      <c r="AB69" s="50">
        <f t="shared" ref="AB69:AB132" si="51">LN(AA69)</f>
        <v>-24.302207738907576</v>
      </c>
      <c r="AC69" s="50">
        <f t="shared" ref="AC69:AC132" si="52">AB69-O69</f>
        <v>0.28741476398180765</v>
      </c>
    </row>
    <row r="70" spans="1:29" s="33" customFormat="1" x14ac:dyDescent="0.3">
      <c r="A70" s="33">
        <v>77</v>
      </c>
      <c r="B70" s="33">
        <v>199.99</v>
      </c>
      <c r="C70" s="33">
        <v>3600</v>
      </c>
      <c r="D70" s="33">
        <v>0.32691868777852612</v>
      </c>
      <c r="E70" s="33">
        <v>0.39744659715347813</v>
      </c>
      <c r="F70" s="33">
        <v>1.6997388210900103E-3</v>
      </c>
      <c r="G70" s="35">
        <f t="shared" si="34"/>
        <v>7.4394385531250254E-3</v>
      </c>
      <c r="H70" s="35">
        <f t="shared" si="35"/>
        <v>7.4781182095306781E-3</v>
      </c>
      <c r="J70" s="33">
        <f t="shared" si="36"/>
        <v>8.7571460361003844E-12</v>
      </c>
      <c r="K70" s="35">
        <f t="shared" si="37"/>
        <v>8.8085631219349436E-12</v>
      </c>
      <c r="L70" s="35">
        <f t="shared" si="38"/>
        <v>6.8959391828783413E-10</v>
      </c>
      <c r="M70" s="35">
        <f t="shared" si="39"/>
        <v>8.7571460361003844E-12</v>
      </c>
      <c r="N70" s="33">
        <f t="shared" si="40"/>
        <v>21.142096027400157</v>
      </c>
      <c r="O70" s="33">
        <f t="shared" si="48"/>
        <v>-25.461151059028666</v>
      </c>
      <c r="Q70" s="33">
        <f t="shared" si="41"/>
        <v>-5.1842680636108363E-12</v>
      </c>
      <c r="R70" s="33">
        <f t="shared" si="42"/>
        <v>-5.2147869730066915E-12</v>
      </c>
      <c r="S70" s="33">
        <f t="shared" si="43"/>
        <v>-4.0719023664846982E-10</v>
      </c>
      <c r="T70" s="33">
        <f t="shared" si="44"/>
        <v>-5.1842680636108363E-12</v>
      </c>
      <c r="U70" s="33" t="e">
        <f t="shared" si="49"/>
        <v>#NUM!</v>
      </c>
      <c r="V70" s="33">
        <f t="shared" ref="V70:V132" si="53">IFERROR(O70-U70,5)</f>
        <v>5</v>
      </c>
      <c r="X70" s="35">
        <f t="shared" si="45"/>
        <v>2.2744165452784341E-11</v>
      </c>
      <c r="Y70" s="35">
        <f t="shared" si="46"/>
        <v>2.2878057234368782E-11</v>
      </c>
      <c r="Z70" s="35">
        <f t="shared" si="47"/>
        <v>1.786404947126046E-9</v>
      </c>
      <c r="AA70" s="35">
        <f t="shared" si="50"/>
        <v>2.2744165452784341E-11</v>
      </c>
      <c r="AB70" s="33">
        <f t="shared" si="51"/>
        <v>-24.506712467037879</v>
      </c>
      <c r="AC70" s="33">
        <f t="shared" si="52"/>
        <v>0.95443859199078673</v>
      </c>
    </row>
    <row r="71" spans="1:29" s="50" customFormat="1" x14ac:dyDescent="0.3">
      <c r="A71" s="50">
        <v>78</v>
      </c>
      <c r="B71" s="50">
        <v>370</v>
      </c>
      <c r="C71" s="50">
        <v>7200</v>
      </c>
      <c r="D71" s="50">
        <v>0.33419144756413716</v>
      </c>
      <c r="E71" s="50">
        <v>4.358239241691769</v>
      </c>
      <c r="F71" s="50">
        <v>2.1656467160890199E-3</v>
      </c>
      <c r="G71" s="51">
        <f t="shared" si="34"/>
        <v>7.6049391854209249E-3</v>
      </c>
      <c r="H71" s="51">
        <f t="shared" si="35"/>
        <v>7.6542211514706486E-3</v>
      </c>
      <c r="J71" s="50">
        <f t="shared" si="36"/>
        <v>3.0177882421261991E-11</v>
      </c>
      <c r="K71" s="51">
        <f t="shared" si="37"/>
        <v>3.0357356538231986E-11</v>
      </c>
      <c r="L71" s="51">
        <f t="shared" si="38"/>
        <v>2.3466407634520515E-9</v>
      </c>
      <c r="M71" s="51">
        <f t="shared" si="39"/>
        <v>3.0177882421261991E-11</v>
      </c>
      <c r="N71" s="50">
        <f t="shared" si="40"/>
        <v>15.552099533437014</v>
      </c>
      <c r="O71" s="50">
        <f t="shared" si="48"/>
        <v>-24.223911830018647</v>
      </c>
      <c r="Q71" s="50">
        <f t="shared" si="41"/>
        <v>2.318437271292001E-11</v>
      </c>
      <c r="R71" s="50">
        <f t="shared" si="42"/>
        <v>2.3322609482016025E-11</v>
      </c>
      <c r="S71" s="50">
        <f t="shared" si="43"/>
        <v>1.79823524903671E-9</v>
      </c>
      <c r="T71" s="50">
        <f t="shared" si="44"/>
        <v>2.318437271292001E-11</v>
      </c>
      <c r="U71" s="50">
        <f t="shared" si="49"/>
        <v>-24.48754265418027</v>
      </c>
      <c r="V71" s="50">
        <v>5</v>
      </c>
      <c r="X71" s="51">
        <f t="shared" si="45"/>
        <v>3.9292396857247769E-11</v>
      </c>
      <c r="Y71" s="51">
        <f t="shared" si="46"/>
        <v>3.9526853898299247E-11</v>
      </c>
      <c r="Z71" s="51">
        <f t="shared" si="47"/>
        <v>3.0454875506805261E-9</v>
      </c>
      <c r="AA71" s="51">
        <f t="shared" si="50"/>
        <v>3.9292396857247769E-11</v>
      </c>
      <c r="AB71" s="50">
        <f t="shared" si="51"/>
        <v>-23.959990079962111</v>
      </c>
      <c r="AC71" s="50">
        <f t="shared" si="52"/>
        <v>0.26392175005653584</v>
      </c>
    </row>
    <row r="72" spans="1:29" s="33" customFormat="1" x14ac:dyDescent="0.3">
      <c r="A72" s="33">
        <v>79</v>
      </c>
      <c r="B72" s="33">
        <v>199.98</v>
      </c>
      <c r="C72" s="33">
        <v>3600</v>
      </c>
      <c r="D72" s="33">
        <v>0.33584357098715134</v>
      </c>
      <c r="E72" s="33">
        <v>0.39739387716171587</v>
      </c>
      <c r="F72" s="33">
        <v>2.1656467160890199E-3</v>
      </c>
      <c r="G72" s="35">
        <f t="shared" si="34"/>
        <v>7.6425352946284204E-3</v>
      </c>
      <c r="H72" s="35">
        <f t="shared" si="35"/>
        <v>7.6918172606781441E-3</v>
      </c>
      <c r="J72" s="33">
        <f t="shared" si="36"/>
        <v>1.3895868280207616E-11</v>
      </c>
      <c r="K72" s="35">
        <f t="shared" si="37"/>
        <v>1.3979629782116973E-11</v>
      </c>
      <c r="L72" s="35">
        <f t="shared" si="38"/>
        <v>1.0662628762463623E-9</v>
      </c>
      <c r="M72" s="35">
        <f t="shared" si="39"/>
        <v>1.3895868280207616E-11</v>
      </c>
      <c r="N72" s="33">
        <f t="shared" si="40"/>
        <v>21.142543025075057</v>
      </c>
      <c r="O72" s="33">
        <f t="shared" si="48"/>
        <v>-24.999429566006487</v>
      </c>
      <c r="Q72" s="33">
        <f t="shared" si="41"/>
        <v>-4.3331605917639355E-12</v>
      </c>
      <c r="R72" s="33">
        <f t="shared" si="42"/>
        <v>-4.3593649380133437E-12</v>
      </c>
      <c r="S72" s="33">
        <f t="shared" si="43"/>
        <v>-3.3143069820719389E-10</v>
      </c>
      <c r="T72" s="33">
        <f t="shared" si="44"/>
        <v>-4.3331605917639355E-12</v>
      </c>
      <c r="U72" s="33" t="e">
        <f t="shared" si="49"/>
        <v>#NUM!</v>
      </c>
      <c r="V72" s="33">
        <f t="shared" si="53"/>
        <v>5</v>
      </c>
      <c r="X72" s="35">
        <f t="shared" si="45"/>
        <v>3.2214723924437204E-11</v>
      </c>
      <c r="Y72" s="35">
        <f t="shared" si="46"/>
        <v>3.2409541344973763E-11</v>
      </c>
      <c r="Z72" s="35">
        <f t="shared" si="47"/>
        <v>2.4640094045519036E-9</v>
      </c>
      <c r="AA72" s="35">
        <f t="shared" si="50"/>
        <v>3.2214723924437204E-11</v>
      </c>
      <c r="AB72" s="33">
        <f t="shared" si="51"/>
        <v>-24.158597503157772</v>
      </c>
      <c r="AC72" s="33">
        <f t="shared" si="52"/>
        <v>0.84083206284871537</v>
      </c>
    </row>
    <row r="73" spans="1:29" s="50" customFormat="1" x14ac:dyDescent="0.3">
      <c r="A73" s="50">
        <v>80</v>
      </c>
      <c r="B73" s="50">
        <v>380.01</v>
      </c>
      <c r="C73" s="50">
        <v>7200</v>
      </c>
      <c r="D73" s="50">
        <v>0.34174656609045484</v>
      </c>
      <c r="E73" s="50">
        <v>4.6973074625763118</v>
      </c>
      <c r="F73" s="50">
        <v>1.5965659234599436E-3</v>
      </c>
      <c r="G73" s="51">
        <f t="shared" si="34"/>
        <v>7.7768652396335066E-3</v>
      </c>
      <c r="H73" s="51">
        <f t="shared" si="35"/>
        <v>7.8131970693135541E-3</v>
      </c>
      <c r="J73" s="50">
        <f t="shared" si="36"/>
        <v>2.5104709614124465E-11</v>
      </c>
      <c r="K73" s="51">
        <f t="shared" si="37"/>
        <v>2.525775720048086E-11</v>
      </c>
      <c r="L73" s="51">
        <f t="shared" si="38"/>
        <v>1.905030134573228E-9</v>
      </c>
      <c r="M73" s="51">
        <f t="shared" si="39"/>
        <v>2.5104709614124465E-11</v>
      </c>
      <c r="N73" s="50">
        <f t="shared" si="40"/>
        <v>15.313701168435399</v>
      </c>
      <c r="O73" s="50">
        <f t="shared" si="48"/>
        <v>-24.407965653363011</v>
      </c>
      <c r="Q73" s="50">
        <f t="shared" si="41"/>
        <v>1.5945281792009669E-11</v>
      </c>
      <c r="R73" s="50">
        <f t="shared" si="42"/>
        <v>1.6042801419053228E-11</v>
      </c>
      <c r="S73" s="50">
        <f t="shared" si="43"/>
        <v>1.2061568704226726E-9</v>
      </c>
      <c r="T73" s="50">
        <f t="shared" si="44"/>
        <v>1.5945281792009669E-11</v>
      </c>
      <c r="U73" s="50">
        <f t="shared" si="49"/>
        <v>-24.861858142872002</v>
      </c>
      <c r="V73" s="50">
        <v>5</v>
      </c>
      <c r="X73" s="51">
        <f t="shared" si="45"/>
        <v>3.1969859064674102E-11</v>
      </c>
      <c r="Y73" s="51">
        <f t="shared" si="46"/>
        <v>3.2165224531491454E-11</v>
      </c>
      <c r="Z73" s="51">
        <f t="shared" si="47"/>
        <v>2.420322407716244E-9</v>
      </c>
      <c r="AA73" s="51">
        <f t="shared" si="50"/>
        <v>3.1969859064674102E-11</v>
      </c>
      <c r="AB73" s="50">
        <f t="shared" si="51"/>
        <v>-24.16622756122829</v>
      </c>
      <c r="AC73" s="50">
        <f t="shared" si="52"/>
        <v>0.24173809213472097</v>
      </c>
    </row>
    <row r="74" spans="1:29" s="33" customFormat="1" x14ac:dyDescent="0.3">
      <c r="A74" s="33">
        <v>81</v>
      </c>
      <c r="B74" s="33">
        <v>199.89999999999901</v>
      </c>
      <c r="C74" s="33">
        <v>3600</v>
      </c>
      <c r="D74" s="33">
        <v>0.34297376669511165</v>
      </c>
      <c r="E74" s="33">
        <v>0.39697229511531862</v>
      </c>
      <c r="F74" s="33">
        <v>1.5965659234599436E-3</v>
      </c>
      <c r="G74" s="35">
        <f t="shared" si="34"/>
        <v>7.8047917052410255E-3</v>
      </c>
      <c r="H74" s="35">
        <f t="shared" si="35"/>
        <v>7.8411235349210729E-3</v>
      </c>
      <c r="J74" s="33">
        <f t="shared" si="36"/>
        <v>1.0548105968642941E-11</v>
      </c>
      <c r="K74" s="35">
        <f t="shared" si="37"/>
        <v>1.0613090851741887E-11</v>
      </c>
      <c r="L74" s="35">
        <f t="shared" si="38"/>
        <v>7.9215559012751246E-10</v>
      </c>
      <c r="M74" s="35">
        <f t="shared" si="39"/>
        <v>1.0548105968642941E-11</v>
      </c>
      <c r="N74" s="33">
        <f t="shared" si="40"/>
        <v>21.146119687037473</v>
      </c>
      <c r="O74" s="33">
        <f t="shared" si="48"/>
        <v>-25.275074801162322</v>
      </c>
      <c r="Q74" s="33">
        <f t="shared" si="41"/>
        <v>-3.1821929324563311E-12</v>
      </c>
      <c r="R74" s="33">
        <f t="shared" si="42"/>
        <v>-3.2018438102784394E-12</v>
      </c>
      <c r="S74" s="33">
        <f t="shared" si="43"/>
        <v>-2.3842895615130763E-10</v>
      </c>
      <c r="T74" s="33">
        <f t="shared" si="44"/>
        <v>-3.1821929324563311E-12</v>
      </c>
      <c r="U74" s="33" t="e">
        <f t="shared" si="49"/>
        <v>#NUM!</v>
      </c>
      <c r="V74" s="33">
        <f t="shared" si="53"/>
        <v>5</v>
      </c>
      <c r="X74" s="35">
        <f t="shared" si="45"/>
        <v>2.4327595015675415E-11</v>
      </c>
      <c r="Y74" s="35">
        <f t="shared" si="46"/>
        <v>2.4477825264650696E-11</v>
      </c>
      <c r="Z74" s="35">
        <f t="shared" si="47"/>
        <v>1.8227691439163908E-9</v>
      </c>
      <c r="AA74" s="35">
        <f t="shared" si="50"/>
        <v>2.4327595015675415E-11</v>
      </c>
      <c r="AB74" s="33">
        <f t="shared" si="51"/>
        <v>-24.439409812532087</v>
      </c>
      <c r="AC74" s="33">
        <f t="shared" si="52"/>
        <v>0.83566498863023497</v>
      </c>
    </row>
    <row r="75" spans="1:29" s="50" customFormat="1" x14ac:dyDescent="0.3">
      <c r="A75" s="50">
        <v>82</v>
      </c>
      <c r="B75" s="50">
        <v>390</v>
      </c>
      <c r="C75" s="50">
        <v>7200</v>
      </c>
      <c r="D75" s="50">
        <v>0.35037584626378238</v>
      </c>
      <c r="E75" s="50">
        <v>5.0517580173368444</v>
      </c>
      <c r="F75" s="50">
        <v>1.8268809580923636E-3</v>
      </c>
      <c r="G75" s="51">
        <f t="shared" si="34"/>
        <v>7.9732351689373367E-3</v>
      </c>
      <c r="H75" s="51">
        <f t="shared" si="35"/>
        <v>8.0148081017175198E-3</v>
      </c>
      <c r="J75" s="50">
        <f t="shared" si="36"/>
        <v>3.221229963239914E-11</v>
      </c>
      <c r="K75" s="51">
        <f t="shared" si="37"/>
        <v>3.2413279383473423E-11</v>
      </c>
      <c r="L75" s="51">
        <f t="shared" si="38"/>
        <v>2.3892503782718789E-9</v>
      </c>
      <c r="M75" s="51">
        <f t="shared" si="39"/>
        <v>3.221229963239914E-11</v>
      </c>
      <c r="N75" s="50">
        <f t="shared" si="40"/>
        <v>15.082956259426847</v>
      </c>
      <c r="O75" s="50">
        <f t="shared" si="48"/>
        <v>-24.158672760151042</v>
      </c>
      <c r="Q75" s="50">
        <f t="shared" si="41"/>
        <v>2.5322555108882903E-11</v>
      </c>
      <c r="R75" s="50">
        <f t="shared" si="42"/>
        <v>2.5480912177019209E-11</v>
      </c>
      <c r="S75" s="50">
        <f t="shared" si="43"/>
        <v>1.8739436013768754E-9</v>
      </c>
      <c r="T75" s="50">
        <f t="shared" si="44"/>
        <v>2.5322555108882903E-11</v>
      </c>
      <c r="U75" s="50">
        <f t="shared" si="49"/>
        <v>-24.399325611070815</v>
      </c>
      <c r="V75" s="50">
        <v>5</v>
      </c>
      <c r="X75" s="51">
        <f t="shared" si="45"/>
        <v>4.026832552783656E-11</v>
      </c>
      <c r="Y75" s="51">
        <f t="shared" si="46"/>
        <v>4.0520240520139592E-11</v>
      </c>
      <c r="Z75" s="51">
        <f t="shared" si="47"/>
        <v>2.9789951940575331E-9</v>
      </c>
      <c r="AA75" s="51">
        <f t="shared" si="50"/>
        <v>4.026832552783656E-11</v>
      </c>
      <c r="AB75" s="50">
        <f t="shared" si="51"/>
        <v>-23.935455923061152</v>
      </c>
      <c r="AC75" s="50">
        <f t="shared" si="52"/>
        <v>0.22321683708988971</v>
      </c>
    </row>
    <row r="76" spans="1:29" s="33" customFormat="1" x14ac:dyDescent="0.3">
      <c r="A76" s="33">
        <v>83</v>
      </c>
      <c r="B76" s="33">
        <v>199.89</v>
      </c>
      <c r="C76" s="33">
        <v>3600</v>
      </c>
      <c r="D76" s="33">
        <v>0.35140208024382463</v>
      </c>
      <c r="E76" s="33">
        <v>0.39691961959192285</v>
      </c>
      <c r="F76" s="33">
        <v>1.8268809580923636E-3</v>
      </c>
      <c r="G76" s="35">
        <f t="shared" si="34"/>
        <v>7.9965883907660799E-3</v>
      </c>
      <c r="H76" s="35">
        <f t="shared" si="35"/>
        <v>8.038161323546263E-3</v>
      </c>
      <c r="J76" s="33">
        <f t="shared" si="36"/>
        <v>9.0404863277757345E-12</v>
      </c>
      <c r="K76" s="35">
        <f t="shared" si="37"/>
        <v>9.0975802633339207E-12</v>
      </c>
      <c r="L76" s="35">
        <f t="shared" si="38"/>
        <v>6.6256162884180431E-10</v>
      </c>
      <c r="M76" s="35">
        <f t="shared" si="39"/>
        <v>9.0404863277757345E-12</v>
      </c>
      <c r="N76" s="33">
        <f t="shared" si="40"/>
        <v>21.146566854871111</v>
      </c>
      <c r="O76" s="33">
        <f t="shared" si="48"/>
        <v>-25.429308145651163</v>
      </c>
      <c r="Q76" s="33">
        <f t="shared" si="41"/>
        <v>-7.0715654630991055E-12</v>
      </c>
      <c r="R76" s="33">
        <f t="shared" si="42"/>
        <v>-7.1163420099972696E-12</v>
      </c>
      <c r="S76" s="33">
        <f t="shared" si="43"/>
        <v>-5.1692800273596055E-10</v>
      </c>
      <c r="T76" s="33">
        <f t="shared" si="44"/>
        <v>-7.0715654630991055E-12</v>
      </c>
      <c r="U76" s="33" t="e">
        <f t="shared" si="49"/>
        <v>#NUM!</v>
      </c>
      <c r="V76" s="33">
        <f t="shared" si="53"/>
        <v>5</v>
      </c>
      <c r="X76" s="35">
        <f t="shared" si="45"/>
        <v>2.5199606832841358E-11</v>
      </c>
      <c r="Y76" s="35">
        <f t="shared" si="46"/>
        <v>2.5359169431144189E-11</v>
      </c>
      <c r="Z76" s="35">
        <f t="shared" si="47"/>
        <v>1.8420790279184659E-9</v>
      </c>
      <c r="AA76" s="35">
        <f t="shared" si="50"/>
        <v>2.5199606832841358E-11</v>
      </c>
      <c r="AB76" s="33">
        <f t="shared" si="51"/>
        <v>-24.404192723404257</v>
      </c>
      <c r="AC76" s="33">
        <f t="shared" si="52"/>
        <v>1.0251154222469054</v>
      </c>
    </row>
    <row r="77" spans="1:29" s="50" customFormat="1" x14ac:dyDescent="0.3">
      <c r="A77" s="50">
        <v>84</v>
      </c>
      <c r="B77" s="50">
        <v>400</v>
      </c>
      <c r="C77" s="50">
        <v>7200</v>
      </c>
      <c r="D77" s="50">
        <v>0.36246565851858492</v>
      </c>
      <c r="E77" s="50">
        <v>5.4228256994756618</v>
      </c>
      <c r="F77" s="50">
        <v>2.5014728199829169E-3</v>
      </c>
      <c r="G77" s="51">
        <f t="shared" si="34"/>
        <v>8.2483537802335912E-3</v>
      </c>
      <c r="H77" s="51">
        <f t="shared" si="35"/>
        <v>8.30527788409266E-3</v>
      </c>
      <c r="J77" s="50">
        <f t="shared" si="36"/>
        <v>4.9571158877915903E-11</v>
      </c>
      <c r="K77" s="51">
        <f t="shared" si="37"/>
        <v>4.9889676031683533E-11</v>
      </c>
      <c r="L77" s="51">
        <f t="shared" si="38"/>
        <v>3.571953001359542E-9</v>
      </c>
      <c r="M77" s="51">
        <f t="shared" si="39"/>
        <v>4.9571158877915903E-11</v>
      </c>
      <c r="N77" s="50">
        <f t="shared" si="40"/>
        <v>14.858841010401189</v>
      </c>
      <c r="O77" s="50">
        <f t="shared" si="48"/>
        <v>-23.727611925554939</v>
      </c>
      <c r="Q77" s="50">
        <f t="shared" si="41"/>
        <v>4.1491598625383099E-11</v>
      </c>
      <c r="R77" s="50">
        <f t="shared" si="42"/>
        <v>4.1758881447778017E-11</v>
      </c>
      <c r="S77" s="50">
        <f t="shared" si="43"/>
        <v>2.9821943018178925E-9</v>
      </c>
      <c r="T77" s="50">
        <f t="shared" si="44"/>
        <v>4.1491598625383099E-11</v>
      </c>
      <c r="U77" s="50">
        <f t="shared" si="49"/>
        <v>-23.905530151948049</v>
      </c>
      <c r="V77" s="50">
        <v>5</v>
      </c>
      <c r="X77" s="51">
        <f t="shared" si="45"/>
        <v>6.0992165025906538E-11</v>
      </c>
      <c r="Y77" s="51">
        <f t="shared" si="46"/>
        <v>6.138546616956201E-11</v>
      </c>
      <c r="Z77" s="51">
        <f t="shared" si="47"/>
        <v>4.3796965434460299E-9</v>
      </c>
      <c r="AA77" s="51">
        <f t="shared" si="50"/>
        <v>6.0992165025906538E-11</v>
      </c>
      <c r="AB77" s="50">
        <f t="shared" si="51"/>
        <v>-23.520275702202895</v>
      </c>
      <c r="AC77" s="50">
        <f t="shared" si="52"/>
        <v>0.20733622335204416</v>
      </c>
    </row>
    <row r="78" spans="1:29" s="33" customFormat="1" x14ac:dyDescent="0.3">
      <c r="A78" s="33">
        <v>85</v>
      </c>
      <c r="B78" s="33">
        <v>199.97</v>
      </c>
      <c r="C78" s="33">
        <v>3600</v>
      </c>
      <c r="D78" s="33">
        <v>0.36285972720868076</v>
      </c>
      <c r="E78" s="33">
        <v>0.39734116211183346</v>
      </c>
      <c r="F78" s="33">
        <v>2.5014728199829169E-3</v>
      </c>
      <c r="G78" s="35">
        <f t="shared" si="34"/>
        <v>8.2573213000336956E-3</v>
      </c>
      <c r="H78" s="35">
        <f t="shared" si="35"/>
        <v>8.3142454038927643E-3</v>
      </c>
      <c r="J78" s="33">
        <f t="shared" si="36"/>
        <v>3.5879840771058837E-12</v>
      </c>
      <c r="K78" s="35">
        <f t="shared" si="37"/>
        <v>3.6114093006797081E-12</v>
      </c>
      <c r="L78" s="35">
        <f t="shared" si="38"/>
        <v>2.5448906818428997E-10</v>
      </c>
      <c r="M78" s="35">
        <f t="shared" si="39"/>
        <v>3.5879840771058837E-12</v>
      </c>
      <c r="N78" s="33">
        <f t="shared" si="40"/>
        <v>21.142990041651689</v>
      </c>
      <c r="O78" s="33">
        <f t="shared" si="48"/>
        <v>-26.353430609560718</v>
      </c>
      <c r="Q78" s="33">
        <f t="shared" si="41"/>
        <v>-1.9254028218875383E-11</v>
      </c>
      <c r="R78" s="33">
        <f t="shared" si="42"/>
        <v>-1.9380170975075898E-11</v>
      </c>
      <c r="S78" s="33">
        <f t="shared" si="43"/>
        <v>-1.3609980159937215E-9</v>
      </c>
      <c r="T78" s="33">
        <f t="shared" si="44"/>
        <v>-1.9254028218875383E-11</v>
      </c>
      <c r="U78" s="33" t="e">
        <f t="shared" si="49"/>
        <v>#NUM!</v>
      </c>
      <c r="V78" s="33">
        <f t="shared" si="53"/>
        <v>5</v>
      </c>
      <c r="X78" s="35">
        <f t="shared" si="45"/>
        <v>2.6454744561483629E-11</v>
      </c>
      <c r="Y78" s="35">
        <f t="shared" si="46"/>
        <v>2.6628063224035842E-11</v>
      </c>
      <c r="Z78" s="35">
        <f t="shared" si="47"/>
        <v>1.8699907603092631E-9</v>
      </c>
      <c r="AA78" s="35">
        <f t="shared" si="50"/>
        <v>2.6454744561483629E-11</v>
      </c>
      <c r="AB78" s="33">
        <f t="shared" si="51"/>
        <v>-24.355585595204644</v>
      </c>
      <c r="AC78" s="33">
        <f t="shared" si="52"/>
        <v>1.9978450143560735</v>
      </c>
    </row>
    <row r="79" spans="1:29" s="50" customFormat="1" x14ac:dyDescent="0.3">
      <c r="A79" s="50">
        <v>86</v>
      </c>
      <c r="B79" s="50">
        <v>395</v>
      </c>
      <c r="C79" s="50">
        <v>7200</v>
      </c>
      <c r="D79" s="50">
        <v>0.3703875227358373</v>
      </c>
      <c r="E79" s="50">
        <v>5.2352464716869385</v>
      </c>
      <c r="F79" s="50">
        <v>1.7774161616049132E-3</v>
      </c>
      <c r="G79" s="51">
        <f t="shared" si="34"/>
        <v>8.4286255856507661E-3</v>
      </c>
      <c r="H79" s="51">
        <f t="shared" si="35"/>
        <v>8.4690728858875432E-3</v>
      </c>
      <c r="J79" s="50">
        <f t="shared" si="36"/>
        <v>3.4644473081757271E-11</v>
      </c>
      <c r="K79" s="51">
        <f t="shared" si="37"/>
        <v>3.4873156592745068E-11</v>
      </c>
      <c r="L79" s="51">
        <f t="shared" si="38"/>
        <v>2.4309414220716445E-9</v>
      </c>
      <c r="M79" s="51">
        <f t="shared" si="39"/>
        <v>3.4644473081757271E-11</v>
      </c>
      <c r="N79" s="50">
        <f t="shared" si="40"/>
        <v>14.970059880239521</v>
      </c>
      <c r="O79" s="50">
        <f t="shared" si="48"/>
        <v>-24.085882910035227</v>
      </c>
      <c r="Q79" s="50">
        <f t="shared" si="41"/>
        <v>2.3211092839568398E-11</v>
      </c>
      <c r="R79" s="50">
        <f t="shared" si="42"/>
        <v>2.3364829631066526E-11</v>
      </c>
      <c r="S79" s="50">
        <f t="shared" si="43"/>
        <v>1.6231905760079175E-9</v>
      </c>
      <c r="T79" s="50">
        <f t="shared" si="44"/>
        <v>2.3211092839568398E-11</v>
      </c>
      <c r="U79" s="50">
        <f t="shared" si="49"/>
        <v>-24.486390811892047</v>
      </c>
      <c r="V79" s="50">
        <v>5</v>
      </c>
      <c r="X79" s="51">
        <f t="shared" si="45"/>
        <v>4.2928318200857107E-11</v>
      </c>
      <c r="Y79" s="51">
        <f t="shared" si="46"/>
        <v>4.3212379472380012E-11</v>
      </c>
      <c r="Z79" s="51">
        <f t="shared" si="47"/>
        <v>3.0049814463158217E-9</v>
      </c>
      <c r="AA79" s="51">
        <f t="shared" si="50"/>
        <v>4.2928318200857107E-11</v>
      </c>
      <c r="AB79" s="50">
        <f t="shared" si="51"/>
        <v>-23.871489409841306</v>
      </c>
      <c r="AC79" s="50">
        <f t="shared" si="52"/>
        <v>0.21439350019392123</v>
      </c>
    </row>
    <row r="80" spans="1:29" s="33" customFormat="1" x14ac:dyDescent="0.3">
      <c r="A80" s="33">
        <v>87</v>
      </c>
      <c r="B80" s="33">
        <v>199.98</v>
      </c>
      <c r="C80" s="33">
        <v>3600</v>
      </c>
      <c r="D80" s="33">
        <v>0.37145966331091718</v>
      </c>
      <c r="E80" s="33">
        <v>0.39739387716171587</v>
      </c>
      <c r="F80" s="33">
        <v>1.7774161616049132E-3</v>
      </c>
      <c r="G80" s="35">
        <f t="shared" si="34"/>
        <v>8.4530234687538036E-3</v>
      </c>
      <c r="H80" s="35">
        <f t="shared" si="35"/>
        <v>8.4934707689905808E-3</v>
      </c>
      <c r="J80" s="33">
        <f t="shared" si="36"/>
        <v>9.9841681116083195E-12</v>
      </c>
      <c r="K80" s="35">
        <f t="shared" si="37"/>
        <v>1.0050848636253462E-11</v>
      </c>
      <c r="L80" s="35">
        <f t="shared" si="38"/>
        <v>6.9251831292297827E-10</v>
      </c>
      <c r="M80" s="35">
        <f t="shared" si="39"/>
        <v>9.9841681116083195E-12</v>
      </c>
      <c r="N80" s="33">
        <f t="shared" si="40"/>
        <v>21.142543025075057</v>
      </c>
      <c r="O80" s="33">
        <f t="shared" si="48"/>
        <v>-25.330020466341441</v>
      </c>
      <c r="Q80" s="33">
        <f t="shared" si="41"/>
        <v>-6.5835221265913539E-12</v>
      </c>
      <c r="R80" s="33">
        <f t="shared" si="42"/>
        <v>-6.6275971230162348E-12</v>
      </c>
      <c r="S80" s="33">
        <f t="shared" si="43"/>
        <v>-4.5556173556812905E-10</v>
      </c>
      <c r="T80" s="33">
        <f t="shared" si="44"/>
        <v>-6.5835221265913539E-12</v>
      </c>
      <c r="U80" s="33" t="e">
        <f t="shared" si="49"/>
        <v>#NUM!</v>
      </c>
      <c r="V80" s="33">
        <f t="shared" si="53"/>
        <v>5</v>
      </c>
      <c r="X80" s="35">
        <f t="shared" si="45"/>
        <v>2.6599701145725022E-11</v>
      </c>
      <c r="Y80" s="35">
        <f t="shared" si="46"/>
        <v>2.6777780165035348E-11</v>
      </c>
      <c r="Z80" s="35">
        <f t="shared" si="47"/>
        <v>1.8406266114992362E-9</v>
      </c>
      <c r="AA80" s="35">
        <f t="shared" si="50"/>
        <v>2.6599701145725022E-11</v>
      </c>
      <c r="AB80" s="33">
        <f t="shared" si="51"/>
        <v>-24.350121135327129</v>
      </c>
      <c r="AC80" s="33">
        <f t="shared" si="52"/>
        <v>0.97989933101431248</v>
      </c>
    </row>
    <row r="81" spans="1:29" s="50" customFormat="1" x14ac:dyDescent="0.3">
      <c r="A81" s="50">
        <v>88</v>
      </c>
      <c r="B81" s="50">
        <v>390</v>
      </c>
      <c r="C81" s="50">
        <v>7200</v>
      </c>
      <c r="D81" s="50">
        <v>0.3763413246527702</v>
      </c>
      <c r="E81" s="50">
        <v>5.0517580173368444</v>
      </c>
      <c r="F81" s="50">
        <v>1.2048254908030435E-3</v>
      </c>
      <c r="G81" s="51">
        <f t="shared" si="34"/>
        <v>8.5641117024569946E-3</v>
      </c>
      <c r="H81" s="51">
        <f t="shared" si="35"/>
        <v>8.5915289947108408E-3</v>
      </c>
      <c r="J81" s="50">
        <f t="shared" si="36"/>
        <v>2.2912336855391927E-11</v>
      </c>
      <c r="K81" s="51">
        <f t="shared" si="37"/>
        <v>2.3066599195437607E-11</v>
      </c>
      <c r="L81" s="51">
        <f t="shared" si="38"/>
        <v>1.5766919650527952E-9</v>
      </c>
      <c r="M81" s="51">
        <f t="shared" si="39"/>
        <v>2.2912336855391927E-11</v>
      </c>
      <c r="N81" s="50">
        <f t="shared" si="40"/>
        <v>15.082956259426847</v>
      </c>
      <c r="O81" s="50">
        <f t="shared" si="48"/>
        <v>-24.499345623120124</v>
      </c>
      <c r="Q81" s="50">
        <f t="shared" si="41"/>
        <v>1.4604570338333574E-11</v>
      </c>
      <c r="R81" s="50">
        <f t="shared" si="42"/>
        <v>1.4703133431046471E-11</v>
      </c>
      <c r="S81" s="50">
        <f t="shared" si="43"/>
        <v>1.0026378157605039E-9</v>
      </c>
      <c r="T81" s="50">
        <f t="shared" si="44"/>
        <v>1.4604570338333574E-11</v>
      </c>
      <c r="U81" s="50">
        <f t="shared" si="49"/>
        <v>-24.949686599327915</v>
      </c>
      <c r="V81" s="50">
        <v>5</v>
      </c>
      <c r="X81" s="51">
        <f t="shared" si="45"/>
        <v>2.8613275655304804E-11</v>
      </c>
      <c r="Y81" s="51">
        <f t="shared" si="46"/>
        <v>2.8806235054628277E-11</v>
      </c>
      <c r="Z81" s="51">
        <f t="shared" si="47"/>
        <v>1.9658568884633901E-9</v>
      </c>
      <c r="AA81" s="51">
        <f t="shared" si="50"/>
        <v>2.8613275655304804E-11</v>
      </c>
      <c r="AB81" s="50">
        <f t="shared" si="51"/>
        <v>-24.277150322050776</v>
      </c>
      <c r="AC81" s="50">
        <f t="shared" si="52"/>
        <v>0.22219530106934826</v>
      </c>
    </row>
    <row r="82" spans="1:29" s="44" customFormat="1" x14ac:dyDescent="0.3">
      <c r="A82" s="44">
        <v>89</v>
      </c>
      <c r="B82" s="44">
        <v>0</v>
      </c>
      <c r="C82" s="44">
        <v>157500.0000004191</v>
      </c>
      <c r="D82" s="44">
        <v>0.41172742480980429</v>
      </c>
      <c r="E82" s="44">
        <v>0.21063967161528199</v>
      </c>
      <c r="F82" s="44" t="str">
        <v>-</v>
      </c>
      <c r="G82" s="46">
        <f t="shared" si="34"/>
        <v>9.3693661207401302E-3</v>
      </c>
      <c r="H82" s="46" t="e">
        <f t="shared" si="35"/>
        <v>#VALUE!</v>
      </c>
      <c r="J82" s="44">
        <f t="shared" si="36"/>
        <v>8.0013717816831049E-12</v>
      </c>
      <c r="K82" s="46">
        <f t="shared" si="37"/>
        <v>8.0582044837976255E-12</v>
      </c>
      <c r="L82" s="46">
        <f t="shared" si="38"/>
        <v>5.2271457068296905E-10</v>
      </c>
      <c r="M82" s="46">
        <f t="shared" si="39"/>
        <v>8.0013717816831049E-12</v>
      </c>
      <c r="N82" s="44">
        <f t="shared" si="40"/>
        <v>36.630036630036628</v>
      </c>
      <c r="O82" s="44">
        <f t="shared" si="48"/>
        <v>-25.55140811623809</v>
      </c>
      <c r="Q82" s="44">
        <f t="shared" si="41"/>
        <v>7.740757436544925E-12</v>
      </c>
      <c r="R82" s="44">
        <f t="shared" si="42"/>
        <v>7.7958211302350763E-12</v>
      </c>
      <c r="S82" s="44">
        <f t="shared" si="43"/>
        <v>5.049241741843191E-10</v>
      </c>
      <c r="T82" s="44">
        <f t="shared" si="44"/>
        <v>7.740757436544925E-12</v>
      </c>
      <c r="U82" s="44">
        <f t="shared" si="49"/>
        <v>-25.584521573096168</v>
      </c>
      <c r="V82" s="44">
        <f t="shared" si="53"/>
        <v>3.3113456858078649E-2</v>
      </c>
      <c r="X82" s="46" t="e">
        <f t="shared" si="45"/>
        <v>#VALUE!</v>
      </c>
      <c r="Y82" s="46" t="e">
        <f t="shared" si="46"/>
        <v>#VALUE!</v>
      </c>
      <c r="Z82" s="46" t="e">
        <f t="shared" si="47"/>
        <v>#VALUE!</v>
      </c>
      <c r="AA82" s="46" t="e">
        <f t="shared" si="50"/>
        <v>#VALUE!</v>
      </c>
      <c r="AB82" s="44" t="e">
        <f t="shared" si="51"/>
        <v>#VALUE!</v>
      </c>
      <c r="AC82" s="44" t="e">
        <f t="shared" si="52"/>
        <v>#VALUE!</v>
      </c>
    </row>
    <row r="83" spans="1:29" s="50" customFormat="1" x14ac:dyDescent="0.3">
      <c r="A83" s="50">
        <v>90</v>
      </c>
      <c r="B83" s="50">
        <v>384.99</v>
      </c>
      <c r="C83" s="50">
        <v>7800</v>
      </c>
      <c r="D83" s="50">
        <v>0.41819460635080619</v>
      </c>
      <c r="E83" s="50">
        <v>5.2779811590851349</v>
      </c>
      <c r="F83" s="50">
        <v>1.5117367983885522E-3</v>
      </c>
      <c r="G83" s="51">
        <f t="shared" si="34"/>
        <v>9.5165348250228956E-3</v>
      </c>
      <c r="H83" s="51">
        <f t="shared" si="35"/>
        <v>9.5509362631802912E-3</v>
      </c>
      <c r="J83" s="50">
        <f t="shared" si="36"/>
        <v>3.1096101343304517E-11</v>
      </c>
      <c r="K83" s="51">
        <f t="shared" si="37"/>
        <v>3.1328646669506123E-11</v>
      </c>
      <c r="L83" s="51">
        <f t="shared" si="38"/>
        <v>1.9299303055831882E-9</v>
      </c>
      <c r="M83" s="51">
        <f t="shared" si="39"/>
        <v>3.1096101343304517E-11</v>
      </c>
      <c r="N83" s="50">
        <f t="shared" si="40"/>
        <v>15.197799358652867</v>
      </c>
      <c r="O83" s="50">
        <f t="shared" si="48"/>
        <v>-24.193938663337612</v>
      </c>
      <c r="Q83" s="50" t="e">
        <f t="shared" si="41"/>
        <v>#VALUE!</v>
      </c>
      <c r="R83" s="50" t="e">
        <f t="shared" si="42"/>
        <v>#VALUE!</v>
      </c>
      <c r="S83" s="50" t="e">
        <f t="shared" si="43"/>
        <v>#VALUE!</v>
      </c>
      <c r="T83" s="50" t="e">
        <f t="shared" si="44"/>
        <v>#VALUE!</v>
      </c>
      <c r="U83" s="50" t="e">
        <f t="shared" si="49"/>
        <v>#VALUE!</v>
      </c>
      <c r="V83" s="50">
        <f t="shared" si="53"/>
        <v>5</v>
      </c>
      <c r="X83" s="51">
        <f t="shared" si="45"/>
        <v>3.8434857614095755E-11</v>
      </c>
      <c r="Y83" s="51">
        <f t="shared" si="46"/>
        <v>3.872281519189911E-11</v>
      </c>
      <c r="Z83" s="51">
        <f t="shared" si="47"/>
        <v>2.3811027455209452E-9</v>
      </c>
      <c r="AA83" s="51">
        <f t="shared" si="50"/>
        <v>3.8434857614095755E-11</v>
      </c>
      <c r="AB83" s="50">
        <f t="shared" si="51"/>
        <v>-23.982056317723991</v>
      </c>
      <c r="AC83" s="50">
        <f t="shared" si="52"/>
        <v>0.21188234561362052</v>
      </c>
    </row>
    <row r="84" spans="1:29" s="33" customFormat="1" x14ac:dyDescent="0.3">
      <c r="A84" s="33">
        <v>91</v>
      </c>
      <c r="B84" s="33">
        <v>199.91999999999899</v>
      </c>
      <c r="C84" s="33">
        <v>3600</v>
      </c>
      <c r="D84" s="33">
        <v>0.41819460635080619</v>
      </c>
      <c r="E84" s="33">
        <v>0.39707766098229286</v>
      </c>
      <c r="F84" s="33">
        <v>1.5117367983885522E-3</v>
      </c>
      <c r="G84" s="35">
        <f t="shared" si="34"/>
        <v>9.5165348250228956E-3</v>
      </c>
      <c r="H84" s="35">
        <f t="shared" si="35"/>
        <v>9.5509362631802912E-3</v>
      </c>
      <c r="J84" s="33">
        <f t="shared" si="36"/>
        <v>0</v>
      </c>
      <c r="K84" s="35">
        <f t="shared" si="37"/>
        <v>0</v>
      </c>
      <c r="L84" s="35">
        <f t="shared" si="38"/>
        <v>0</v>
      </c>
      <c r="M84" s="35">
        <f t="shared" si="39"/>
        <v>0</v>
      </c>
      <c r="N84" s="33">
        <f t="shared" si="40"/>
        <v>21.145225408102895</v>
      </c>
      <c r="O84" s="33" t="e">
        <f t="shared" si="48"/>
        <v>#NUM!</v>
      </c>
      <c r="Q84" s="33">
        <f t="shared" si="41"/>
        <v>-1.590063858671434E-11</v>
      </c>
      <c r="R84" s="33">
        <f t="shared" si="42"/>
        <v>-1.6020698465187467E-11</v>
      </c>
      <c r="S84" s="33">
        <f t="shared" si="43"/>
        <v>-9.7754028653361172E-10</v>
      </c>
      <c r="T84" s="33">
        <f t="shared" si="44"/>
        <v>-1.590063858671434E-11</v>
      </c>
      <c r="U84" s="33" t="e">
        <f t="shared" si="49"/>
        <v>#NUM!</v>
      </c>
      <c r="V84" s="33">
        <f t="shared" si="53"/>
        <v>5</v>
      </c>
      <c r="X84" s="35">
        <f t="shared" si="45"/>
        <v>1.590063858671434E-11</v>
      </c>
      <c r="Y84" s="35">
        <f t="shared" si="46"/>
        <v>1.6020698465187467E-11</v>
      </c>
      <c r="Z84" s="35">
        <f t="shared" si="47"/>
        <v>9.7754028653624278E-10</v>
      </c>
      <c r="AA84" s="35">
        <f t="shared" si="50"/>
        <v>1.590063858671434E-11</v>
      </c>
      <c r="AB84" s="33">
        <f t="shared" si="51"/>
        <v>-24.864661844822425</v>
      </c>
      <c r="AC84" s="33" t="e">
        <f t="shared" si="52"/>
        <v>#NUM!</v>
      </c>
    </row>
    <row r="85" spans="1:29" s="50" customFormat="1" x14ac:dyDescent="0.3">
      <c r="A85" s="50">
        <v>92</v>
      </c>
      <c r="B85" s="50">
        <v>380</v>
      </c>
      <c r="C85" s="50">
        <v>8400</v>
      </c>
      <c r="D85" s="50">
        <v>0.42256943803110975</v>
      </c>
      <c r="E85" s="50">
        <v>5.479787516952741</v>
      </c>
      <c r="F85" s="50">
        <v>9.765712466825692E-4</v>
      </c>
      <c r="G85" s="51">
        <f t="shared" si="34"/>
        <v>9.6160895237372493E-3</v>
      </c>
      <c r="H85" s="51">
        <f t="shared" si="35"/>
        <v>9.6383126087245651E-3</v>
      </c>
      <c r="J85" s="50">
        <f t="shared" si="36"/>
        <v>1.9788113507150634E-11</v>
      </c>
      <c r="K85" s="51">
        <f t="shared" si="37"/>
        <v>1.9938042332472441E-11</v>
      </c>
      <c r="L85" s="51">
        <f t="shared" si="38"/>
        <v>1.2124318250666597E-9</v>
      </c>
      <c r="M85" s="51">
        <f t="shared" si="39"/>
        <v>1.9788113507150634E-11</v>
      </c>
      <c r="N85" s="50">
        <f t="shared" si="40"/>
        <v>15.313935681470138</v>
      </c>
      <c r="O85" s="50">
        <f t="shared" si="48"/>
        <v>-24.6459396864187</v>
      </c>
      <c r="Q85" s="50">
        <f t="shared" si="41"/>
        <v>1.2973554112844486E-11</v>
      </c>
      <c r="R85" s="50">
        <f t="shared" si="42"/>
        <v>1.307202870453479E-11</v>
      </c>
      <c r="S85" s="50">
        <f t="shared" si="43"/>
        <v>7.9348598797913515E-10</v>
      </c>
      <c r="T85" s="50">
        <f t="shared" si="44"/>
        <v>1.2973554112844486E-11</v>
      </c>
      <c r="U85" s="50">
        <f t="shared" si="49"/>
        <v>-25.068108129475725</v>
      </c>
      <c r="V85" s="50">
        <v>5</v>
      </c>
      <c r="X85" s="51">
        <f t="shared" si="45"/>
        <v>2.423342778981248E-11</v>
      </c>
      <c r="Y85" s="51">
        <f t="shared" si="46"/>
        <v>2.4417253375077286E-11</v>
      </c>
      <c r="Z85" s="51">
        <f t="shared" si="47"/>
        <v>1.4830934046071075E-9</v>
      </c>
      <c r="AA85" s="51">
        <f t="shared" si="50"/>
        <v>2.423342778981248E-11</v>
      </c>
      <c r="AB85" s="50">
        <f t="shared" si="51"/>
        <v>-24.443288122273344</v>
      </c>
      <c r="AC85" s="50">
        <f t="shared" si="52"/>
        <v>0.20265156414535568</v>
      </c>
    </row>
    <row r="86" spans="1:29" x14ac:dyDescent="0.3">
      <c r="A86">
        <v>93</v>
      </c>
      <c r="B86">
        <v>410.01</v>
      </c>
      <c r="C86">
        <v>7200</v>
      </c>
      <c r="D86">
        <v>0.43792610469777632</v>
      </c>
      <c r="E86">
        <v>5.8107395803193809</v>
      </c>
      <c r="F86">
        <v>3.1921633691190335E-3</v>
      </c>
      <c r="G86" s="17">
        <f t="shared" si="34"/>
        <v>9.9655494424216347E-3</v>
      </c>
      <c r="H86" s="17">
        <f t="shared" si="35"/>
        <v>1.0038191062873096E-2</v>
      </c>
      <c r="J86">
        <f t="shared" si="36"/>
        <v>8.293947578026541E-11</v>
      </c>
      <c r="K86" s="17">
        <f t="shared" si="37"/>
        <v>8.3582822838728116E-11</v>
      </c>
      <c r="L86" s="17">
        <f t="shared" si="38"/>
        <v>4.9663598668542411E-9</v>
      </c>
      <c r="M86" s="17">
        <f t="shared" si="39"/>
        <v>8.293947578026541E-11</v>
      </c>
      <c r="N86">
        <f t="shared" si="40"/>
        <v>14.641074069193717</v>
      </c>
      <c r="O86">
        <f t="shared" si="48"/>
        <v>-23.212909981599719</v>
      </c>
      <c r="Q86">
        <f t="shared" si="41"/>
        <v>7.7753275783826577E-11</v>
      </c>
      <c r="R86">
        <f t="shared" si="42"/>
        <v>7.835707662235656E-11</v>
      </c>
      <c r="S86">
        <f t="shared" si="43"/>
        <v>4.6505880240554006E-9</v>
      </c>
      <c r="T86">
        <f t="shared" si="44"/>
        <v>7.7753275783826577E-11</v>
      </c>
      <c r="U86">
        <f t="shared" si="49"/>
        <v>-23.277480433488879</v>
      </c>
      <c r="V86">
        <f t="shared" si="53"/>
        <v>6.4570451889160552E-2</v>
      </c>
      <c r="X86" s="17">
        <f t="shared" si="45"/>
        <v>1.005515947819722E-10</v>
      </c>
      <c r="Y86" s="17">
        <f t="shared" si="46"/>
        <v>1.013345123357971E-10</v>
      </c>
      <c r="Z86" s="17">
        <f t="shared" si="47"/>
        <v>5.9989284518032331E-9</v>
      </c>
      <c r="AA86" s="17">
        <f t="shared" si="50"/>
        <v>1.005515947819722E-10</v>
      </c>
      <c r="AB86">
        <f t="shared" si="51"/>
        <v>-23.020350139249167</v>
      </c>
      <c r="AC86">
        <f t="shared" si="52"/>
        <v>0.19255984235055124</v>
      </c>
    </row>
    <row r="87" spans="1:29" s="33" customFormat="1" x14ac:dyDescent="0.3">
      <c r="A87" s="33">
        <v>94</v>
      </c>
      <c r="B87" s="33">
        <v>199.11</v>
      </c>
      <c r="C87" s="33">
        <v>3600</v>
      </c>
      <c r="D87" s="33">
        <v>0.44376277136444298</v>
      </c>
      <c r="E87" s="33">
        <v>0.392826129303123</v>
      </c>
      <c r="F87" s="33">
        <v>3.1921633691190335E-3</v>
      </c>
      <c r="G87" s="35">
        <f t="shared" si="34"/>
        <v>1.0098370001921604E-2</v>
      </c>
      <c r="H87" s="35">
        <f t="shared" si="35"/>
        <v>1.0171011622373065E-2</v>
      </c>
      <c r="J87" s="33">
        <f t="shared" si="36"/>
        <v>6.4599023334294666E-11</v>
      </c>
      <c r="K87" s="35">
        <f t="shared" si="37"/>
        <v>6.5112509273137238E-11</v>
      </c>
      <c r="L87" s="35">
        <f t="shared" si="38"/>
        <v>3.776086076976012E-9</v>
      </c>
      <c r="M87" s="35">
        <f t="shared" si="39"/>
        <v>6.4599023334294666E-11</v>
      </c>
      <c r="N87" s="33">
        <f t="shared" si="40"/>
        <v>21.181504310436125</v>
      </c>
      <c r="O87" s="33">
        <f t="shared" si="48"/>
        <v>-23.46282182391845</v>
      </c>
      <c r="Q87" s="33">
        <f t="shared" si="41"/>
        <v>2.9374785330881073E-11</v>
      </c>
      <c r="R87" s="33">
        <f t="shared" si="42"/>
        <v>2.9609130278997736E-11</v>
      </c>
      <c r="S87" s="33">
        <f t="shared" si="43"/>
        <v>1.7109489070787946E-9</v>
      </c>
      <c r="T87" s="33">
        <f t="shared" si="44"/>
        <v>2.9374785330881073E-11</v>
      </c>
      <c r="U87" s="33">
        <f t="shared" si="49"/>
        <v>-24.250884451375828</v>
      </c>
      <c r="V87" s="33">
        <f t="shared" si="53"/>
        <v>0.78806262745737854</v>
      </c>
      <c r="X87" s="35">
        <f t="shared" si="45"/>
        <v>1.002910241542009E-10</v>
      </c>
      <c r="Y87" s="35">
        <f t="shared" si="46"/>
        <v>1.0109114755880984E-10</v>
      </c>
      <c r="Z87" s="35">
        <f t="shared" si="47"/>
        <v>5.8415003478819418E-9</v>
      </c>
      <c r="AA87" s="35">
        <f t="shared" si="50"/>
        <v>1.002910241542009E-10</v>
      </c>
      <c r="AB87" s="33">
        <f t="shared" si="51"/>
        <v>-23.022944914953154</v>
      </c>
      <c r="AC87" s="33">
        <f t="shared" si="52"/>
        <v>0.43987690896529585</v>
      </c>
    </row>
    <row r="88" spans="1:29" s="50" customFormat="1" x14ac:dyDescent="0.3">
      <c r="A88" s="50">
        <v>95</v>
      </c>
      <c r="B88" s="50">
        <v>420.01</v>
      </c>
      <c r="C88" s="50">
        <v>7200</v>
      </c>
      <c r="D88" s="50">
        <v>0.469262771364443</v>
      </c>
      <c r="E88" s="50">
        <v>6.2148905212548717</v>
      </c>
      <c r="F88" s="50">
        <v>4.889843784076961E-3</v>
      </c>
      <c r="G88" s="51">
        <f t="shared" si="34"/>
        <v>1.0678653999737005E-2</v>
      </c>
      <c r="H88" s="51">
        <f t="shared" si="35"/>
        <v>1.0789928435020024E-2</v>
      </c>
      <c r="J88" s="50">
        <f t="shared" si="36"/>
        <v>1.4612980723364088E-10</v>
      </c>
      <c r="K88" s="51">
        <f t="shared" si="37"/>
        <v>1.4733332904841447E-10</v>
      </c>
      <c r="L88" s="51">
        <f t="shared" si="38"/>
        <v>8.2517039241337388E-9</v>
      </c>
      <c r="M88" s="51">
        <f t="shared" si="39"/>
        <v>1.4612980723364088E-10</v>
      </c>
      <c r="N88" s="50">
        <f t="shared" si="40"/>
        <v>14.429806207702631</v>
      </c>
      <c r="O88" s="50">
        <f t="shared" si="48"/>
        <v>-22.646525798585806</v>
      </c>
      <c r="Q88" s="50">
        <f t="shared" si="41"/>
        <v>1.2828380682368775E-10</v>
      </c>
      <c r="R88" s="50">
        <f t="shared" si="42"/>
        <v>1.2934400990557283E-10</v>
      </c>
      <c r="S88" s="50">
        <f t="shared" si="43"/>
        <v>7.2189967886804616E-9</v>
      </c>
      <c r="T88" s="50">
        <f t="shared" si="44"/>
        <v>1.2828380682368775E-10</v>
      </c>
      <c r="U88" s="50">
        <f t="shared" si="49"/>
        <v>-22.776776065649873</v>
      </c>
      <c r="V88" s="50">
        <v>5</v>
      </c>
      <c r="X88" s="51">
        <f t="shared" si="45"/>
        <v>1.7508414547267051E-10</v>
      </c>
      <c r="Y88" s="51">
        <f t="shared" si="46"/>
        <v>1.7653408402608728E-10</v>
      </c>
      <c r="Z88" s="51">
        <f t="shared" si="47"/>
        <v>9.83459198104497E-9</v>
      </c>
      <c r="AA88" s="51">
        <f t="shared" si="50"/>
        <v>1.7508414547267051E-10</v>
      </c>
      <c r="AB88" s="50">
        <f t="shared" si="51"/>
        <v>-22.465754426294946</v>
      </c>
      <c r="AC88" s="50">
        <f t="shared" si="52"/>
        <v>0.18077137229085949</v>
      </c>
    </row>
    <row r="89" spans="1:29" s="33" customFormat="1" x14ac:dyDescent="0.3">
      <c r="A89" s="33">
        <v>96</v>
      </c>
      <c r="B89" s="33">
        <v>199.909999999999</v>
      </c>
      <c r="C89" s="33">
        <v>3600</v>
      </c>
      <c r="D89" s="33">
        <v>0.47145010469777632</v>
      </c>
      <c r="E89" s="33">
        <v>0.39702497557869798</v>
      </c>
      <c r="F89" s="33">
        <v>4.889843784076961E-3</v>
      </c>
      <c r="G89" s="35">
        <f t="shared" si="34"/>
        <v>1.0728429471549615E-2</v>
      </c>
      <c r="H89" s="35">
        <f t="shared" si="35"/>
        <v>1.0839703906832634E-2</v>
      </c>
      <c r="J89" s="33">
        <f t="shared" si="36"/>
        <v>2.5829604654871107E-11</v>
      </c>
      <c r="K89" s="35">
        <f t="shared" si="37"/>
        <v>2.6048791003775259E-11</v>
      </c>
      <c r="L89" s="35">
        <f t="shared" si="38"/>
        <v>1.4160763999210537E-9</v>
      </c>
      <c r="M89" s="35">
        <f t="shared" si="39"/>
        <v>2.5829604654871107E-11</v>
      </c>
      <c r="N89" s="33">
        <f t="shared" si="40"/>
        <v>21.145672538115118</v>
      </c>
      <c r="O89" s="33">
        <f t="shared" si="48"/>
        <v>-24.379499814595263</v>
      </c>
      <c r="Q89" s="33">
        <f t="shared" si="41"/>
        <v>-3.2079071823188168E-11</v>
      </c>
      <c r="R89" s="33">
        <f t="shared" si="42"/>
        <v>-3.2352718951587919E-11</v>
      </c>
      <c r="S89" s="33">
        <f t="shared" si="43"/>
        <v>-1.7496997138947408E-9</v>
      </c>
      <c r="T89" s="33">
        <f t="shared" si="44"/>
        <v>-3.2079071823188168E-11</v>
      </c>
      <c r="U89" s="33" t="e">
        <f t="shared" si="49"/>
        <v>#NUM!</v>
      </c>
      <c r="V89" s="33">
        <f t="shared" si="53"/>
        <v>5</v>
      </c>
      <c r="X89" s="35">
        <f t="shared" si="45"/>
        <v>8.4006806705356949E-11</v>
      </c>
      <c r="Y89" s="35">
        <f t="shared" si="46"/>
        <v>8.472342950213066E-11</v>
      </c>
      <c r="Z89" s="35">
        <f t="shared" si="47"/>
        <v>4.5820118096008088E-9</v>
      </c>
      <c r="AA89" s="35">
        <f t="shared" si="50"/>
        <v>8.4006806705356949E-11</v>
      </c>
      <c r="AB89" s="33">
        <f t="shared" si="51"/>
        <v>-23.200123288161535</v>
      </c>
      <c r="AC89" s="33">
        <f t="shared" si="52"/>
        <v>1.1793765264337281</v>
      </c>
    </row>
    <row r="90" spans="1:29" s="50" customFormat="1" x14ac:dyDescent="0.3">
      <c r="A90" s="50">
        <v>97</v>
      </c>
      <c r="B90" s="50">
        <v>430</v>
      </c>
      <c r="C90" s="50">
        <v>7200</v>
      </c>
      <c r="D90" s="50">
        <v>0.52619076404896836</v>
      </c>
      <c r="E90" s="50">
        <v>6.635380404896293</v>
      </c>
      <c r="F90" s="50">
        <v>9.7137469732532442E-3</v>
      </c>
      <c r="G90" s="51">
        <f t="shared" si="34"/>
        <v>1.1974120791210822E-2</v>
      </c>
      <c r="H90" s="51">
        <f t="shared" si="35"/>
        <v>1.2195169102089513E-2</v>
      </c>
      <c r="J90" s="50">
        <f t="shared" si="36"/>
        <v>3.4276775460441687E-10</v>
      </c>
      <c r="K90" s="51">
        <f t="shared" si="37"/>
        <v>3.4585737101278986E-10</v>
      </c>
      <c r="L90" s="51">
        <f t="shared" si="38"/>
        <v>1.7731123030791783E-8</v>
      </c>
      <c r="M90" s="51">
        <f t="shared" si="39"/>
        <v>3.4276775460441687E-10</v>
      </c>
      <c r="N90" s="50">
        <f t="shared" si="40"/>
        <v>14.22475106685633</v>
      </c>
      <c r="O90" s="50">
        <f t="shared" si="48"/>
        <v>-21.793967998377198</v>
      </c>
      <c r="Q90" s="50">
        <f t="shared" si="41"/>
        <v>3.1367915357917394E-10</v>
      </c>
      <c r="R90" s="50">
        <f t="shared" si="42"/>
        <v>3.1652005176361945E-10</v>
      </c>
      <c r="S90" s="50">
        <f t="shared" si="43"/>
        <v>1.6148155325953862E-8</v>
      </c>
      <c r="T90" s="50">
        <f t="shared" si="44"/>
        <v>3.1367915357917394E-10</v>
      </c>
      <c r="U90" s="50">
        <f t="shared" si="49"/>
        <v>-21.882650456305758</v>
      </c>
      <c r="V90" s="50">
        <v>5</v>
      </c>
      <c r="X90" s="51">
        <f t="shared" si="45"/>
        <v>4.0752166007255652E-10</v>
      </c>
      <c r="Y90" s="51">
        <f t="shared" si="46"/>
        <v>4.1123244421601886E-10</v>
      </c>
      <c r="Z90" s="51">
        <f t="shared" si="47"/>
        <v>2.0879851602308064E-8</v>
      </c>
      <c r="AA90" s="51">
        <f t="shared" si="50"/>
        <v>4.0752166007255652E-10</v>
      </c>
      <c r="AB90" s="50">
        <f t="shared" si="51"/>
        <v>-21.620927031107946</v>
      </c>
      <c r="AC90" s="50">
        <f t="shared" si="52"/>
        <v>0.17304096726925167</v>
      </c>
    </row>
    <row r="91" spans="1:29" s="33" customFormat="1" x14ac:dyDescent="0.3">
      <c r="A91" s="33">
        <v>98</v>
      </c>
      <c r="B91" s="33">
        <v>199.89999999999901</v>
      </c>
      <c r="C91" s="33">
        <v>3600</v>
      </c>
      <c r="D91" s="33">
        <v>0.52959154606791747</v>
      </c>
      <c r="E91" s="33">
        <v>0.39697229511531862</v>
      </c>
      <c r="F91" s="33">
        <v>9.7137469732532442E-3</v>
      </c>
      <c r="G91" s="35">
        <f t="shared" si="34"/>
        <v>1.2051509786726686E-2</v>
      </c>
      <c r="H91" s="35">
        <f t="shared" si="35"/>
        <v>1.2272558097605376E-2</v>
      </c>
      <c r="J91" s="33">
        <f t="shared" si="36"/>
        <v>4.5071174547208576E-11</v>
      </c>
      <c r="K91" s="35">
        <f t="shared" si="37"/>
        <v>4.5500923012299705E-11</v>
      </c>
      <c r="L91" s="35">
        <f t="shared" si="38"/>
        <v>2.2045789301916774E-9</v>
      </c>
      <c r="M91" s="35">
        <f t="shared" si="39"/>
        <v>4.5071174547208576E-11</v>
      </c>
      <c r="N91" s="33">
        <f t="shared" si="40"/>
        <v>21.146119687037473</v>
      </c>
      <c r="O91" s="33">
        <f t="shared" si="48"/>
        <v>-23.822778219055053</v>
      </c>
      <c r="Q91" s="33">
        <f t="shared" si="41"/>
        <v>-8.4436636389070687E-11</v>
      </c>
      <c r="R91" s="33">
        <f t="shared" si="42"/>
        <v>-8.524922339411704E-11</v>
      </c>
      <c r="S91" s="33">
        <f t="shared" si="43"/>
        <v>-4.0928782128425265E-9</v>
      </c>
      <c r="T91" s="33">
        <f t="shared" si="44"/>
        <v>-8.4436636389070687E-11</v>
      </c>
      <c r="U91" s="33" t="e">
        <f t="shared" si="49"/>
        <v>#NUM!</v>
      </c>
      <c r="V91" s="33">
        <f t="shared" si="53"/>
        <v>5</v>
      </c>
      <c r="X91" s="35">
        <f t="shared" si="45"/>
        <v>1.754083420300856E-10</v>
      </c>
      <c r="Y91" s="35">
        <f t="shared" si="46"/>
        <v>1.7709647406609293E-10</v>
      </c>
      <c r="Z91" s="35">
        <f t="shared" si="47"/>
        <v>8.502529427297386E-9</v>
      </c>
      <c r="AA91" s="35">
        <f t="shared" si="50"/>
        <v>1.754083420300856E-10</v>
      </c>
      <c r="AB91" s="33">
        <f t="shared" si="51"/>
        <v>-22.463904477086711</v>
      </c>
      <c r="AC91" s="33">
        <f t="shared" si="52"/>
        <v>1.3588737419683419</v>
      </c>
    </row>
    <row r="92" spans="1:29" s="50" customFormat="1" x14ac:dyDescent="0.3">
      <c r="A92" s="50">
        <v>99</v>
      </c>
      <c r="B92" s="50">
        <v>440.01</v>
      </c>
      <c r="C92" s="50">
        <v>7200</v>
      </c>
      <c r="D92" s="50">
        <v>0.64190219961207851</v>
      </c>
      <c r="E92" s="50">
        <v>7.0736358042140841</v>
      </c>
      <c r="F92" s="50">
        <v>1.8491502810595962E-2</v>
      </c>
      <c r="G92" s="51">
        <f t="shared" si="34"/>
        <v>1.4607277435192028E-2</v>
      </c>
      <c r="H92" s="51">
        <f t="shared" si="35"/>
        <v>1.5028074422507611E-2</v>
      </c>
      <c r="J92" s="50">
        <f t="shared" si="36"/>
        <v>8.2580333466437214E-10</v>
      </c>
      <c r="K92" s="51">
        <f t="shared" si="37"/>
        <v>8.3457781118497634E-10</v>
      </c>
      <c r="L92" s="51">
        <f t="shared" si="38"/>
        <v>3.6451648938624785E-8</v>
      </c>
      <c r="M92" s="51">
        <f t="shared" si="39"/>
        <v>8.2580333466437214E-10</v>
      </c>
      <c r="N92" s="50">
        <f t="shared" si="40"/>
        <v>14.025048737044362</v>
      </c>
      <c r="O92" s="50">
        <f t="shared" si="48"/>
        <v>-20.914664464383026</v>
      </c>
      <c r="Q92" s="50">
        <f t="shared" si="41"/>
        <v>7.6063475092293365E-10</v>
      </c>
      <c r="R92" s="50">
        <f t="shared" si="42"/>
        <v>7.6878003565805233E-10</v>
      </c>
      <c r="S92" s="50">
        <f t="shared" si="43"/>
        <v>3.3302673690070955E-8</v>
      </c>
      <c r="T92" s="50">
        <f t="shared" si="44"/>
        <v>7.6063475092293365E-10</v>
      </c>
      <c r="U92" s="50">
        <f t="shared" si="49"/>
        <v>-20.996867832649624</v>
      </c>
      <c r="V92" s="50">
        <v>5</v>
      </c>
      <c r="X92" s="51">
        <f t="shared" si="45"/>
        <v>9.7694965728057959E-10</v>
      </c>
      <c r="Y92" s="51">
        <f t="shared" si="46"/>
        <v>9.8750632236699695E-10</v>
      </c>
      <c r="Z92" s="51">
        <f t="shared" si="47"/>
        <v>4.2462331264234915E-8</v>
      </c>
      <c r="AA92" s="51">
        <f t="shared" si="50"/>
        <v>9.7694965728057959E-10</v>
      </c>
      <c r="AB92" s="50">
        <f t="shared" si="51"/>
        <v>-20.746585993073577</v>
      </c>
      <c r="AC92" s="50">
        <f t="shared" si="52"/>
        <v>0.16807847130944964</v>
      </c>
    </row>
    <row r="93" spans="1:29" s="33" customFormat="1" ht="16.2" customHeight="1" x14ac:dyDescent="0.3">
      <c r="A93" s="33">
        <v>100</v>
      </c>
      <c r="B93" s="33">
        <v>199.89</v>
      </c>
      <c r="C93" s="33">
        <v>3600</v>
      </c>
      <c r="D93" s="33">
        <v>0.64627705974440808</v>
      </c>
      <c r="E93" s="33">
        <v>0.39691961959192285</v>
      </c>
      <c r="F93" s="33">
        <v>1.8491502810595962E-2</v>
      </c>
      <c r="G93" s="35">
        <f t="shared" si="34"/>
        <v>1.4706832781367378E-2</v>
      </c>
      <c r="H93" s="35">
        <f t="shared" si="35"/>
        <v>1.5127629768682961E-2</v>
      </c>
      <c r="J93" s="33">
        <f t="shared" si="36"/>
        <v>7.0743440035423119E-11</v>
      </c>
      <c r="K93" s="35">
        <f t="shared" si="37"/>
        <v>7.1568373410963235E-11</v>
      </c>
      <c r="L93" s="35">
        <f t="shared" si="38"/>
        <v>2.8436420631441147E-9</v>
      </c>
      <c r="M93" s="35">
        <f t="shared" si="39"/>
        <v>7.0743440035423119E-11</v>
      </c>
      <c r="N93" s="33">
        <f t="shared" si="40"/>
        <v>21.146566854871111</v>
      </c>
      <c r="O93" s="33">
        <f t="shared" si="48"/>
        <v>-23.371961304051375</v>
      </c>
      <c r="Q93" s="33">
        <f t="shared" si="41"/>
        <v>-2.3154920519699171E-10</v>
      </c>
      <c r="R93" s="33">
        <f t="shared" si="42"/>
        <v>-2.3428864895307949E-10</v>
      </c>
      <c r="S93" s="33">
        <f t="shared" si="43"/>
        <v>-9.1777225880687936E-9</v>
      </c>
      <c r="T93" s="33">
        <f t="shared" si="44"/>
        <v>-2.3154920519699171E-10</v>
      </c>
      <c r="U93" s="33" t="e">
        <f t="shared" si="49"/>
        <v>#NUM!</v>
      </c>
      <c r="V93" s="33">
        <f t="shared" si="53"/>
        <v>5</v>
      </c>
      <c r="X93" s="35">
        <f t="shared" si="45"/>
        <v>3.7506709533222894E-10</v>
      </c>
      <c r="Y93" s="35">
        <f t="shared" si="46"/>
        <v>3.7950477775446367E-10</v>
      </c>
      <c r="Z93" s="35">
        <f t="shared" si="47"/>
        <v>1.4866221628677712E-8</v>
      </c>
      <c r="AA93" s="35">
        <f t="shared" si="50"/>
        <v>3.7506709533222894E-10</v>
      </c>
      <c r="AB93" s="33">
        <f t="shared" si="51"/>
        <v>-21.703916185076626</v>
      </c>
      <c r="AC93" s="33">
        <f t="shared" si="52"/>
        <v>1.6680451189747494</v>
      </c>
    </row>
    <row r="94" spans="1:29" s="50" customFormat="1" x14ac:dyDescent="0.3">
      <c r="A94" s="50">
        <v>101</v>
      </c>
      <c r="B94" s="50">
        <v>450.01</v>
      </c>
      <c r="C94" s="50">
        <v>7200</v>
      </c>
      <c r="D94" s="50">
        <v>0.79118079471531111</v>
      </c>
      <c r="E94" s="50">
        <v>7.5284942527052392</v>
      </c>
      <c r="F94" s="50">
        <v>2.219558283456536E-2</v>
      </c>
      <c r="G94" s="51">
        <f t="shared" si="34"/>
        <v>1.800429625694773E-2</v>
      </c>
      <c r="H94" s="51">
        <f t="shared" si="35"/>
        <v>1.8509384160519671E-2</v>
      </c>
      <c r="J94" s="50">
        <f t="shared" si="36"/>
        <v>1.3073455817715187E-9</v>
      </c>
      <c r="K94" s="51">
        <f t="shared" si="37"/>
        <v>1.3244419983363678E-9</v>
      </c>
      <c r="L94" s="51">
        <f t="shared" si="38"/>
        <v>4.717479473892472E-8</v>
      </c>
      <c r="M94" s="51">
        <f t="shared" si="39"/>
        <v>1.3073455817715187E-9</v>
      </c>
      <c r="N94" s="50">
        <f t="shared" si="40"/>
        <v>13.831067343466895</v>
      </c>
      <c r="O94" s="50">
        <f t="shared" si="48"/>
        <v>-20.455267028859637</v>
      </c>
      <c r="Q94" s="50">
        <f t="shared" si="41"/>
        <v>1.1551837541231158E-9</v>
      </c>
      <c r="R94" s="50">
        <f t="shared" si="42"/>
        <v>1.1704737961645955E-9</v>
      </c>
      <c r="S94" s="50">
        <f t="shared" si="43"/>
        <v>4.1163504956158602E-8</v>
      </c>
      <c r="T94" s="50">
        <f t="shared" si="44"/>
        <v>1.1551837541231158E-9</v>
      </c>
      <c r="U94" s="50">
        <f t="shared" si="49"/>
        <v>-20.579006411147951</v>
      </c>
      <c r="V94" s="50">
        <v>5</v>
      </c>
      <c r="X94" s="51">
        <f t="shared" si="45"/>
        <v>1.5308764233788477E-9</v>
      </c>
      <c r="Y94" s="51">
        <f t="shared" si="46"/>
        <v>1.551230172875829E-9</v>
      </c>
      <c r="Z94" s="51">
        <f t="shared" si="47"/>
        <v>5.4414766151532367E-8</v>
      </c>
      <c r="AA94" s="51">
        <f t="shared" si="50"/>
        <v>1.5308764233788477E-9</v>
      </c>
      <c r="AB94" s="50">
        <f t="shared" si="51"/>
        <v>-20.297425439806293</v>
      </c>
      <c r="AC94" s="50">
        <f t="shared" si="52"/>
        <v>0.15784158905334422</v>
      </c>
    </row>
    <row r="95" spans="1:29" ht="15" customHeight="1" x14ac:dyDescent="0.3">
      <c r="A95">
        <v>102</v>
      </c>
      <c r="B95">
        <v>445</v>
      </c>
      <c r="C95">
        <v>7200</v>
      </c>
      <c r="D95">
        <v>0.87370104340905763</v>
      </c>
      <c r="E95">
        <v>7.2984737824893209</v>
      </c>
      <c r="F95">
        <v>1.310162613094697E-2</v>
      </c>
      <c r="G95" s="17">
        <f t="shared" si="34"/>
        <v>1.9882146445682179E-2</v>
      </c>
      <c r="H95" s="17">
        <f t="shared" si="35"/>
        <v>2.0180290131531144E-2</v>
      </c>
      <c r="J95">
        <f t="shared" si="36"/>
        <v>8.6230250417007284E-10</v>
      </c>
      <c r="K95" s="17">
        <f t="shared" si="37"/>
        <v>8.7535869224186803E-10</v>
      </c>
      <c r="L95" s="17">
        <f t="shared" si="38"/>
        <v>2.6936098407421212E-8</v>
      </c>
      <c r="M95" s="17">
        <f t="shared" si="39"/>
        <v>8.6230250417007284E-10</v>
      </c>
      <c r="N95">
        <f t="shared" si="40"/>
        <v>13.927576601671309</v>
      </c>
      <c r="O95">
        <f t="shared" si="48"/>
        <v>-20.871414973915488</v>
      </c>
      <c r="Q95">
        <f t="shared" si="41"/>
        <v>6.3877166256274389E-10</v>
      </c>
      <c r="R95">
        <f t="shared" si="42"/>
        <v>6.485705177024312E-10</v>
      </c>
      <c r="S95">
        <f t="shared" si="43"/>
        <v>1.9696126994812552E-8</v>
      </c>
      <c r="T95">
        <f t="shared" si="44"/>
        <v>6.3877166256274389E-10</v>
      </c>
      <c r="U95">
        <f t="shared" si="49"/>
        <v>-21.171474060993145</v>
      </c>
      <c r="V95">
        <f t="shared" si="53"/>
        <v>0.30005908707765627</v>
      </c>
      <c r="X95" s="17">
        <f t="shared" si="45"/>
        <v>1.007072263036643E-9</v>
      </c>
      <c r="Y95" s="17">
        <f t="shared" si="46"/>
        <v>1.0224466413561728E-9</v>
      </c>
      <c r="Z95" s="17">
        <f t="shared" si="47"/>
        <v>3.1217452390673333E-8</v>
      </c>
      <c r="AA95" s="17">
        <f t="shared" si="50"/>
        <v>1.007072263036643E-9</v>
      </c>
      <c r="AB95">
        <f t="shared" si="51"/>
        <v>-20.716218465073002</v>
      </c>
      <c r="AC95">
        <f t="shared" si="52"/>
        <v>0.15519650884248648</v>
      </c>
    </row>
    <row r="96" spans="1:29" x14ac:dyDescent="0.3">
      <c r="A96">
        <v>103</v>
      </c>
      <c r="B96">
        <v>440</v>
      </c>
      <c r="C96">
        <v>7200</v>
      </c>
      <c r="D96">
        <v>0.92465366658167347</v>
      </c>
      <c r="E96">
        <v>7.0731894903436974</v>
      </c>
      <c r="F96">
        <v>8.3897634436781356E-3</v>
      </c>
      <c r="G96" s="17">
        <f t="shared" si="34"/>
        <v>2.1041636323085595E-2</v>
      </c>
      <c r="H96" s="17">
        <f t="shared" si="35"/>
        <v>2.1232555753353168E-2</v>
      </c>
      <c r="J96">
        <f t="shared" si="36"/>
        <v>5.7511885726882918E-10</v>
      </c>
      <c r="K96" s="17">
        <f t="shared" si="37"/>
        <v>5.8453224318400812E-10</v>
      </c>
      <c r="L96" s="17">
        <f t="shared" si="38"/>
        <v>1.6657638528825383E-8</v>
      </c>
      <c r="M96" s="17">
        <f t="shared" si="39"/>
        <v>5.7511885726882918E-10</v>
      </c>
      <c r="N96">
        <f t="shared" si="40"/>
        <v>14.025245441795231</v>
      </c>
      <c r="O96">
        <f t="shared" si="48"/>
        <v>-21.276444388198797</v>
      </c>
      <c r="Q96">
        <f t="shared" si="41"/>
        <v>4.3034909840225907E-10</v>
      </c>
      <c r="R96">
        <f t="shared" si="42"/>
        <v>4.3744429406972156E-10</v>
      </c>
      <c r="S96">
        <f t="shared" si="43"/>
        <v>1.2376284545571275E-8</v>
      </c>
      <c r="T96">
        <f t="shared" si="44"/>
        <v>4.3034909840225907E-10</v>
      </c>
      <c r="U96">
        <f t="shared" si="49"/>
        <v>-21.566424379868931</v>
      </c>
      <c r="V96">
        <f t="shared" si="53"/>
        <v>0.28997999167013333</v>
      </c>
      <c r="X96" s="17">
        <f t="shared" si="45"/>
        <v>6.7294170951763875E-10</v>
      </c>
      <c r="Y96" s="17">
        <f t="shared" si="46"/>
        <v>6.8400961472666038E-10</v>
      </c>
      <c r="Z96" s="17">
        <f t="shared" si="47"/>
        <v>1.9402345712091041E-8</v>
      </c>
      <c r="AA96" s="17">
        <f t="shared" si="50"/>
        <v>6.7294170951763875E-10</v>
      </c>
      <c r="AB96">
        <f t="shared" si="51"/>
        <v>-21.119362402935916</v>
      </c>
      <c r="AC96">
        <f t="shared" si="52"/>
        <v>0.15708198526288086</v>
      </c>
    </row>
    <row r="97" spans="1:29" x14ac:dyDescent="0.3">
      <c r="A97">
        <v>104</v>
      </c>
      <c r="B97">
        <v>435</v>
      </c>
      <c r="C97">
        <v>7800</v>
      </c>
      <c r="D97">
        <v>0.95516736664250546</v>
      </c>
      <c r="E97">
        <v>7.4231770843737106</v>
      </c>
      <c r="F97">
        <v>4.7505618574748085E-3</v>
      </c>
      <c r="G97" s="17">
        <f t="shared" si="34"/>
        <v>2.1736013258749895E-2</v>
      </c>
      <c r="H97" s="17">
        <f t="shared" si="35"/>
        <v>2.1844118161750869E-2</v>
      </c>
      <c r="J97">
        <f t="shared" si="36"/>
        <v>3.3232650082571273E-10</v>
      </c>
      <c r="K97" s="17">
        <f t="shared" si="37"/>
        <v>3.380159736695445E-10</v>
      </c>
      <c r="L97" s="17">
        <f t="shared" si="38"/>
        <v>9.2170254406036846E-9</v>
      </c>
      <c r="M97" s="17">
        <f t="shared" si="39"/>
        <v>3.3232650082571273E-10</v>
      </c>
      <c r="N97">
        <f t="shared" si="40"/>
        <v>14.124293785310735</v>
      </c>
      <c r="O97">
        <f t="shared" si="48"/>
        <v>-21.824903194046627</v>
      </c>
      <c r="Q97">
        <f t="shared" si="41"/>
        <v>2.4202848336527311E-10</v>
      </c>
      <c r="R97">
        <f t="shared" si="42"/>
        <v>2.4619070763017321E-10</v>
      </c>
      <c r="S97">
        <f t="shared" si="43"/>
        <v>6.683449579127149E-9</v>
      </c>
      <c r="T97">
        <f t="shared" si="44"/>
        <v>2.4202848336527311E-10</v>
      </c>
      <c r="U97">
        <f t="shared" si="49"/>
        <v>-22.141965696841446</v>
      </c>
      <c r="V97">
        <f t="shared" si="53"/>
        <v>0.31706250279481907</v>
      </c>
      <c r="X97" s="17">
        <f t="shared" si="45"/>
        <v>3.8503573378139806E-10</v>
      </c>
      <c r="Y97" s="17">
        <f t="shared" si="46"/>
        <v>3.9164477065046129E-10</v>
      </c>
      <c r="Z97" s="17">
        <f t="shared" si="47"/>
        <v>1.0652577593364062E-8</v>
      </c>
      <c r="AA97" s="17">
        <f t="shared" si="50"/>
        <v>3.8503573378139806E-10</v>
      </c>
      <c r="AB97">
        <f t="shared" si="51"/>
        <v>-21.677684970931193</v>
      </c>
      <c r="AC97">
        <f t="shared" si="52"/>
        <v>0.1472182231154342</v>
      </c>
    </row>
    <row r="98" spans="1:29" x14ac:dyDescent="0.3">
      <c r="A98">
        <v>105</v>
      </c>
      <c r="B98">
        <v>430</v>
      </c>
      <c r="C98">
        <v>8400</v>
      </c>
      <c r="D98">
        <v>0.9738970963722352</v>
      </c>
      <c r="E98">
        <v>7.7412771390456747</v>
      </c>
      <c r="F98">
        <v>2.7783651885851953E-3</v>
      </c>
      <c r="G98" s="17">
        <f t="shared" si="34"/>
        <v>2.2162231393870271E-2</v>
      </c>
      <c r="H98" s="17">
        <f t="shared" si="35"/>
        <v>2.2225456525596675E-2</v>
      </c>
      <c r="J98">
        <f t="shared" si="36"/>
        <v>1.9437802493506174E-10</v>
      </c>
      <c r="K98" s="17">
        <f t="shared" si="37"/>
        <v>1.9779448142646162E-10</v>
      </c>
      <c r="L98" s="17">
        <f t="shared" si="38"/>
        <v>5.2564368691348146E-9</v>
      </c>
      <c r="M98" s="17">
        <f t="shared" si="39"/>
        <v>1.9437802493506174E-10</v>
      </c>
      <c r="N98">
        <f t="shared" si="40"/>
        <v>14.22475106685633</v>
      </c>
      <c r="O98">
        <f t="shared" si="48"/>
        <v>-22.361216270749264</v>
      </c>
      <c r="Q98">
        <f t="shared" si="41"/>
        <v>1.4543373719049679E-10</v>
      </c>
      <c r="R98">
        <f t="shared" si="42"/>
        <v>1.4799631280133243E-10</v>
      </c>
      <c r="S98">
        <f t="shared" si="43"/>
        <v>3.9234241558583034E-9</v>
      </c>
      <c r="T98">
        <f t="shared" si="44"/>
        <v>1.4543373719049679E-10</v>
      </c>
      <c r="U98">
        <f t="shared" si="49"/>
        <v>-22.651300547547983</v>
      </c>
      <c r="V98">
        <f t="shared" si="53"/>
        <v>0.29008427679871929</v>
      </c>
      <c r="X98" s="17">
        <f t="shared" si="45"/>
        <v>2.2353351546479599E-10</v>
      </c>
      <c r="Y98" s="17">
        <f t="shared" si="46"/>
        <v>2.2746822913357976E-10</v>
      </c>
      <c r="Z98" s="17">
        <f t="shared" si="47"/>
        <v>6.036371033015729E-9</v>
      </c>
      <c r="AA98" s="17">
        <f t="shared" si="50"/>
        <v>2.2353351546479599E-10</v>
      </c>
      <c r="AB98">
        <f t="shared" si="51"/>
        <v>-22.221459755780508</v>
      </c>
      <c r="AC98">
        <f t="shared" si="52"/>
        <v>0.13975651496875585</v>
      </c>
    </row>
    <row r="99" spans="1:29" x14ac:dyDescent="0.3">
      <c r="A99">
        <v>106</v>
      </c>
      <c r="B99">
        <v>425</v>
      </c>
      <c r="C99">
        <v>9000</v>
      </c>
      <c r="D99">
        <v>0.98876736664250542</v>
      </c>
      <c r="E99">
        <v>8.0285302813123032</v>
      </c>
      <c r="F99">
        <v>2.1157012455090053E-3</v>
      </c>
      <c r="G99" s="17">
        <f t="shared" si="34"/>
        <v>2.2500622761753717E-2</v>
      </c>
      <c r="H99" s="17">
        <f t="shared" si="35"/>
        <v>2.2548768156927326E-2</v>
      </c>
      <c r="J99">
        <f t="shared" si="36"/>
        <v>1.4654486711800028E-10</v>
      </c>
      <c r="K99" s="17">
        <f t="shared" si="37"/>
        <v>1.4916631457578237E-10</v>
      </c>
      <c r="L99" s="17">
        <f t="shared" si="38"/>
        <v>3.89659591083333E-9</v>
      </c>
      <c r="M99" s="17">
        <f t="shared" si="39"/>
        <v>1.4654486711800028E-10</v>
      </c>
      <c r="N99">
        <f t="shared" si="40"/>
        <v>14.326647564469914</v>
      </c>
      <c r="O99">
        <f t="shared" si="48"/>
        <v>-22.643689474168376</v>
      </c>
      <c r="Q99">
        <f t="shared" si="41"/>
        <v>1.1933307595691496E-10</v>
      </c>
      <c r="R99">
        <f t="shared" si="42"/>
        <v>1.2147081671581031E-10</v>
      </c>
      <c r="S99">
        <f t="shared" si="43"/>
        <v>3.1686573578760098E-9</v>
      </c>
      <c r="T99">
        <f t="shared" si="44"/>
        <v>1.1933307595691496E-10</v>
      </c>
      <c r="U99">
        <f>LN(T99)</f>
        <v>-22.849102574983913</v>
      </c>
      <c r="V99">
        <f>IFERROR(O99-U99,5)</f>
        <v>0.20541310081553732</v>
      </c>
      <c r="X99" s="17">
        <f t="shared" si="45"/>
        <v>1.6757531596259863E-10</v>
      </c>
      <c r="Y99" s="17">
        <f t="shared" si="46"/>
        <v>1.705762775254142E-10</v>
      </c>
      <c r="Z99" s="17">
        <f t="shared" si="47"/>
        <v>4.4511024946421088E-9</v>
      </c>
      <c r="AA99" s="17">
        <f t="shared" si="50"/>
        <v>1.6757531596259863E-10</v>
      </c>
      <c r="AB99">
        <f t="shared" si="51"/>
        <v>-22.509588218186686</v>
      </c>
      <c r="AC99">
        <f t="shared" si="52"/>
        <v>0.13410125598169031</v>
      </c>
    </row>
    <row r="100" spans="1:29" x14ac:dyDescent="0.3">
      <c r="A100">
        <v>107</v>
      </c>
      <c r="B100">
        <v>420</v>
      </c>
      <c r="C100">
        <v>9600</v>
      </c>
      <c r="D100">
        <v>0.9978501044167295</v>
      </c>
      <c r="E100">
        <v>8.2859706916673996</v>
      </c>
      <c r="F100">
        <v>1.2466064109496768E-3</v>
      </c>
      <c r="G100" s="17">
        <f t="shared" ref="G100:G131" si="54">D100/$D$141</f>
        <v>2.2707311678880609E-2</v>
      </c>
      <c r="H100" s="17">
        <f t="shared" ref="H100:H131" si="55">(D100+F100)/$D$141</f>
        <v>2.2735679747580537E-2</v>
      </c>
      <c r="J100">
        <f t="shared" ref="J100:J131" si="56">((G100^2-G99^2)*PI())/(36*C100)</f>
        <v>8.4939166172069351E-11</v>
      </c>
      <c r="K100" s="17">
        <f t="shared" ref="K100:K131" si="57">(1/(PI()*PI()*C100))*(-(G100-G99)*PI()*PI()/3-2*PI()*(SQRT(1-PI()/3*G100)-SQRT(1-PI()/3*G99)))</f>
        <v>8.6477486591972288E-11</v>
      </c>
      <c r="L100" s="17">
        <f t="shared" ref="L100:L131" si="58">(1/(PI()^2*C100))*LN((1-G99)/(1-G100))</f>
        <v>2.2319046716094631E-9</v>
      </c>
      <c r="M100" s="17">
        <f t="shared" ref="M100:M131" si="59">(G100&lt;0.05)*J100+((G100&gt;=0.05)*(G100&lt;0.9))*K100+(G100&gt;=0.9)*L100</f>
        <v>8.4939166172069351E-11</v>
      </c>
      <c r="N100">
        <f t="shared" ref="N100:N131" si="60">10000/(273+B100)</f>
        <v>14.430014430014429</v>
      </c>
      <c r="O100">
        <f t="shared" si="48"/>
        <v>-23.18908580776138</v>
      </c>
      <c r="Q100">
        <f t="shared" ref="Q100:Q131" si="61">((G100^2-H99^2)*PI())/(36*C100)</f>
        <v>6.5223120380258417E-11</v>
      </c>
      <c r="R100">
        <f t="shared" ref="R100:R131" si="62">(1/(PI()*PI()*C100))*(-(G100-H99)*PI()*PI()/3-2*PI()*(SQRT(1-PI()/3*G100)-SQRT(1-PI()/3*H99)))</f>
        <v>6.6405646326693587E-11</v>
      </c>
      <c r="S100">
        <f t="shared" ref="S100:S131" si="63">(1/(PI()^2*C100))*LN((1-H99)/(1-G100))</f>
        <v>1.7120547492866313E-9</v>
      </c>
      <c r="T100">
        <f t="shared" ref="T100:T131" si="64">(G100&lt;0.05)*Q100+((G100&gt;=0.05)*(G100&lt;0.9))*R100+(G100&gt;=0.9)*S100</f>
        <v>6.5223120380258417E-11</v>
      </c>
      <c r="U100">
        <f t="shared" si="49"/>
        <v>-23.453207102794988</v>
      </c>
      <c r="V100">
        <f t="shared" si="53"/>
        <v>0.26412129503360759</v>
      </c>
      <c r="X100" s="17">
        <f t="shared" ref="X100:X131" si="65">((H100^2-G99^2)*PI())/(36*C100)</f>
        <v>9.6657687676397563E-11</v>
      </c>
      <c r="Y100" s="17">
        <f t="shared" ref="Y100:Y131" si="66">(1/(PI()*PI()*C100))*(-(H100-G99)*PI()*PI()/3-2*PI()*(SQRT(1-PI()/3*H100)-SQRT(1-PI()/3*G99)))</f>
        <v>9.8409364815216576E-11</v>
      </c>
      <c r="Z100" s="17">
        <f t="shared" ref="Z100:Z131" si="67">(1/(PI()^2*C100))*LN((1-G99)/(1-H100))</f>
        <v>2.5382705861865333E-9</v>
      </c>
      <c r="AA100" s="17">
        <f t="shared" si="50"/>
        <v>9.6657687676397563E-11</v>
      </c>
      <c r="AB100">
        <f t="shared" si="51"/>
        <v>-23.059845372036552</v>
      </c>
      <c r="AC100">
        <f t="shared" si="52"/>
        <v>0.12924043572482802</v>
      </c>
    </row>
    <row r="101" spans="1:29" x14ac:dyDescent="0.3">
      <c r="A101">
        <v>108</v>
      </c>
      <c r="B101">
        <v>415.01</v>
      </c>
      <c r="C101">
        <v>10200</v>
      </c>
      <c r="D101">
        <v>1.0040471625261509</v>
      </c>
      <c r="E101">
        <v>8.5151982736132137</v>
      </c>
      <c r="F101">
        <v>8.2460340816023102E-4</v>
      </c>
      <c r="G101" s="17">
        <f t="shared" si="54"/>
        <v>2.2848333390819014E-2</v>
      </c>
      <c r="H101" s="17">
        <f t="shared" si="55"/>
        <v>2.28670982599288E-2</v>
      </c>
      <c r="J101">
        <f t="shared" si="56"/>
        <v>5.4963626951845865E-11</v>
      </c>
      <c r="K101" s="17">
        <f t="shared" si="57"/>
        <v>5.5966872828891305E-11</v>
      </c>
      <c r="L101" s="17">
        <f t="shared" si="58"/>
        <v>1.433483675760782E-9</v>
      </c>
      <c r="M101" s="17">
        <f t="shared" si="59"/>
        <v>5.4963626951845865E-11</v>
      </c>
      <c r="N101">
        <f t="shared" si="60"/>
        <v>14.534672461156088</v>
      </c>
      <c r="O101">
        <f t="shared" si="48"/>
        <v>-23.624349477618253</v>
      </c>
      <c r="Q101">
        <f t="shared" si="61"/>
        <v>4.3934430241889908E-11</v>
      </c>
      <c r="R101">
        <f t="shared" si="62"/>
        <v>4.4736869795248547E-11</v>
      </c>
      <c r="S101">
        <f t="shared" si="63"/>
        <v>1.1451392855692651E-9</v>
      </c>
      <c r="T101">
        <f t="shared" si="64"/>
        <v>4.3934430241889908E-11</v>
      </c>
      <c r="U101">
        <f t="shared" si="49"/>
        <v>-23.848322815270361</v>
      </c>
      <c r="V101">
        <f>IFERROR(O101-U101,5)</f>
        <v>0.22397333765210803</v>
      </c>
      <c r="X101" s="17">
        <f t="shared" si="65"/>
        <v>6.2302942569802085E-11</v>
      </c>
      <c r="Y101" s="17">
        <f t="shared" si="66"/>
        <v>6.3440631306073511E-11</v>
      </c>
      <c r="Z101" s="17">
        <f t="shared" si="67"/>
        <v>1.6242438960336346E-9</v>
      </c>
      <c r="AA101" s="17">
        <f t="shared" si="50"/>
        <v>6.2302942569802085E-11</v>
      </c>
      <c r="AB101">
        <f t="shared" si="51"/>
        <v>-23.499012458990482</v>
      </c>
      <c r="AC101">
        <f t="shared" si="52"/>
        <v>0.12533701862777136</v>
      </c>
    </row>
    <row r="102" spans="1:29" x14ac:dyDescent="0.3">
      <c r="A102">
        <v>109</v>
      </c>
      <c r="B102">
        <v>410</v>
      </c>
      <c r="C102">
        <v>10800</v>
      </c>
      <c r="D102">
        <v>1.0088727367256836</v>
      </c>
      <c r="E102">
        <v>8.7155156584749864</v>
      </c>
      <c r="F102">
        <v>6.2543767819745843E-4</v>
      </c>
      <c r="G102" s="17">
        <f t="shared" si="54"/>
        <v>2.2958145292319394E-2</v>
      </c>
      <c r="H102" s="17">
        <f t="shared" si="55"/>
        <v>2.2972377899232684E-2</v>
      </c>
      <c r="J102">
        <f t="shared" si="56"/>
        <v>4.064432687890002E-11</v>
      </c>
      <c r="K102" s="17">
        <f t="shared" si="57"/>
        <v>4.1390371263051422E-11</v>
      </c>
      <c r="L102" s="17">
        <f t="shared" si="58"/>
        <v>1.0543585834463857E-9</v>
      </c>
      <c r="M102" s="17">
        <f t="shared" si="59"/>
        <v>4.064432687890002E-11</v>
      </c>
      <c r="N102">
        <f t="shared" si="60"/>
        <v>14.641288433382138</v>
      </c>
      <c r="O102">
        <f t="shared" si="48"/>
        <v>-23.926161849848818</v>
      </c>
      <c r="Q102">
        <f t="shared" si="61"/>
        <v>3.3712751017496916E-11</v>
      </c>
      <c r="R102">
        <f t="shared" si="62"/>
        <v>3.4331821590158131E-11</v>
      </c>
      <c r="S102">
        <f t="shared" si="63"/>
        <v>8.7419615318811957E-10</v>
      </c>
      <c r="T102">
        <f t="shared" si="64"/>
        <v>3.3712751017496916E-11</v>
      </c>
      <c r="U102">
        <f t="shared" si="49"/>
        <v>-24.113144981661812</v>
      </c>
      <c r="V102">
        <f t="shared" si="53"/>
        <v>0.18698313181299397</v>
      </c>
      <c r="X102" s="17">
        <f t="shared" si="65"/>
        <v>4.5926461478924633E-11</v>
      </c>
      <c r="Y102" s="17">
        <f t="shared" si="66"/>
        <v>4.676972950299597E-11</v>
      </c>
      <c r="Z102" s="17">
        <f t="shared" si="67"/>
        <v>1.1910215830182707E-9</v>
      </c>
      <c r="AA102" s="17">
        <f t="shared" si="50"/>
        <v>4.5926461478924633E-11</v>
      </c>
      <c r="AB102">
        <f t="shared" si="51"/>
        <v>-23.803979662167137</v>
      </c>
      <c r="AC102">
        <f t="shared" si="52"/>
        <v>0.12218218768168043</v>
      </c>
    </row>
    <row r="103" spans="1:29" x14ac:dyDescent="0.3">
      <c r="A103">
        <v>110</v>
      </c>
      <c r="B103">
        <v>405.01</v>
      </c>
      <c r="C103">
        <v>11400</v>
      </c>
      <c r="D103">
        <v>1.0123507934025406</v>
      </c>
      <c r="E103">
        <v>8.8902666719645982</v>
      </c>
      <c r="F103">
        <v>4.4080343814171597E-4</v>
      </c>
      <c r="G103" s="17">
        <f t="shared" si="54"/>
        <v>2.3037292768126265E-2</v>
      </c>
      <c r="H103" s="17">
        <f t="shared" si="55"/>
        <v>2.3047323794845313E-2</v>
      </c>
      <c r="J103">
        <f t="shared" si="56"/>
        <v>2.786726508473975E-11</v>
      </c>
      <c r="K103" s="17">
        <f t="shared" si="57"/>
        <v>2.8380933812533198E-11</v>
      </c>
      <c r="L103" s="17">
        <f t="shared" si="58"/>
        <v>7.2000729166077333E-10</v>
      </c>
      <c r="M103" s="17">
        <f t="shared" si="59"/>
        <v>2.786726508473975E-11</v>
      </c>
      <c r="N103">
        <f t="shared" si="60"/>
        <v>14.749044999336293</v>
      </c>
      <c r="O103">
        <f t="shared" si="48"/>
        <v>-24.303568410403805</v>
      </c>
      <c r="Q103">
        <f t="shared" si="61"/>
        <v>2.2863137568926955E-11</v>
      </c>
      <c r="R103">
        <f t="shared" si="62"/>
        <v>2.3284699690479747E-11</v>
      </c>
      <c r="S103">
        <f t="shared" si="63"/>
        <v>5.9053708153945263E-10</v>
      </c>
      <c r="T103">
        <f t="shared" si="64"/>
        <v>2.2863137568926955E-11</v>
      </c>
      <c r="U103">
        <f t="shared" si="49"/>
        <v>-24.501495215495886</v>
      </c>
      <c r="V103">
        <f t="shared" si="53"/>
        <v>0.19792680509208083</v>
      </c>
      <c r="X103" s="17">
        <f t="shared" si="65"/>
        <v>3.1405966226589032E-11</v>
      </c>
      <c r="Y103" s="17">
        <f t="shared" si="66"/>
        <v>3.1984991741417022E-11</v>
      </c>
      <c r="Z103" s="17">
        <f t="shared" si="67"/>
        <v>8.1126404925824843E-10</v>
      </c>
      <c r="AA103" s="17">
        <f t="shared" si="50"/>
        <v>3.1405966226589032E-11</v>
      </c>
      <c r="AB103">
        <f t="shared" si="51"/>
        <v>-24.184023233847213</v>
      </c>
      <c r="AC103">
        <f t="shared" si="52"/>
        <v>0.11954517655659203</v>
      </c>
    </row>
    <row r="104" spans="1:29" x14ac:dyDescent="0.3">
      <c r="A104">
        <v>111</v>
      </c>
      <c r="B104">
        <v>399.98</v>
      </c>
      <c r="C104">
        <v>12360</v>
      </c>
      <c r="D104">
        <v>1.0177694831900266</v>
      </c>
      <c r="E104">
        <v>9.307882033924038</v>
      </c>
      <c r="F104">
        <v>6.5223480128382447E-4</v>
      </c>
      <c r="G104" s="17">
        <f t="shared" si="54"/>
        <v>2.3160601747451905E-2</v>
      </c>
      <c r="H104" s="17">
        <f t="shared" si="55"/>
        <v>2.3175444156001056E-2</v>
      </c>
      <c r="J104">
        <f t="shared" si="56"/>
        <v>4.0220344580563501E-11</v>
      </c>
      <c r="K104" s="17">
        <f t="shared" si="57"/>
        <v>4.096504542311072E-11</v>
      </c>
      <c r="L104" s="17">
        <f t="shared" si="58"/>
        <v>1.0347273052684095E-9</v>
      </c>
      <c r="M104" s="17">
        <f t="shared" si="59"/>
        <v>4.0220344580563501E-11</v>
      </c>
      <c r="N104">
        <f t="shared" si="60"/>
        <v>14.859282593836369</v>
      </c>
      <c r="O104">
        <f t="shared" si="48"/>
        <v>-23.936648164227318</v>
      </c>
      <c r="Q104">
        <f t="shared" si="61"/>
        <v>3.6956494012838431E-11</v>
      </c>
      <c r="R104">
        <f t="shared" si="62"/>
        <v>3.7640914323654761E-11</v>
      </c>
      <c r="S104">
        <f t="shared" si="63"/>
        <v>9.505584511737484E-10</v>
      </c>
      <c r="T104">
        <f t="shared" si="64"/>
        <v>3.6956494012838431E-11</v>
      </c>
      <c r="U104">
        <f t="shared" si="49"/>
        <v>-24.02127973261446</v>
      </c>
      <c r="V104">
        <f t="shared" si="53"/>
        <v>8.4631568387141698E-2</v>
      </c>
      <c r="X104" s="17">
        <f t="shared" si="65"/>
        <v>4.5076049125065561E-11</v>
      </c>
      <c r="Y104" s="17">
        <f t="shared" si="66"/>
        <v>4.5910930087804544E-11</v>
      </c>
      <c r="Z104" s="17">
        <f t="shared" si="67"/>
        <v>1.1592837769884218E-9</v>
      </c>
      <c r="AA104" s="17">
        <f t="shared" si="50"/>
        <v>4.5076049125065561E-11</v>
      </c>
      <c r="AB104">
        <f t="shared" si="51"/>
        <v>-23.822670072011512</v>
      </c>
      <c r="AC104">
        <f t="shared" si="52"/>
        <v>0.11397809221580602</v>
      </c>
    </row>
    <row r="105" spans="1:29" x14ac:dyDescent="0.3">
      <c r="A105">
        <v>112</v>
      </c>
      <c r="B105">
        <v>460.01</v>
      </c>
      <c r="C105">
        <v>7200</v>
      </c>
      <c r="D105">
        <v>1.0765428572449633</v>
      </c>
      <c r="E105">
        <v>8.0004980927364411</v>
      </c>
      <c r="F105">
        <v>8.3955988954441153E-3</v>
      </c>
      <c r="G105" s="17">
        <f t="shared" si="54"/>
        <v>2.4498062471440089E-2</v>
      </c>
      <c r="H105" s="17">
        <f t="shared" si="55"/>
        <v>2.4689114694620592E-2</v>
      </c>
      <c r="J105">
        <f t="shared" si="56"/>
        <v>7.725698909845699E-10</v>
      </c>
      <c r="K105" s="17">
        <f t="shared" si="57"/>
        <v>7.8734036871965085E-10</v>
      </c>
      <c r="L105" s="17">
        <f t="shared" si="58"/>
        <v>1.9280713871425366E-8</v>
      </c>
      <c r="M105" s="17">
        <f t="shared" si="59"/>
        <v>7.725698909845699E-10</v>
      </c>
      <c r="N105">
        <f t="shared" si="60"/>
        <v>13.642378685147543</v>
      </c>
      <c r="O105">
        <f t="shared" si="48"/>
        <v>-20.98129863748272</v>
      </c>
      <c r="Q105">
        <f t="shared" si="61"/>
        <v>7.6423426484984142E-10</v>
      </c>
      <c r="R105">
        <f t="shared" si="62"/>
        <v>7.7884993337859693E-10</v>
      </c>
      <c r="S105">
        <f t="shared" si="63"/>
        <v>1.9066891928306231E-8</v>
      </c>
      <c r="T105">
        <f t="shared" si="64"/>
        <v>7.6423426484984142E-10</v>
      </c>
      <c r="U105">
        <f t="shared" si="49"/>
        <v>-20.992146744378601</v>
      </c>
      <c r="V105">
        <f t="shared" si="53"/>
        <v>1.0848106895881671E-2</v>
      </c>
      <c r="X105" s="17">
        <f t="shared" si="65"/>
        <v>8.864686180690577E-10</v>
      </c>
      <c r="Y105" s="17">
        <f t="shared" si="66"/>
        <v>9.0348745447247341E-10</v>
      </c>
      <c r="Z105" s="17">
        <f t="shared" si="67"/>
        <v>2.2037063148771524E-8</v>
      </c>
      <c r="AA105" s="17">
        <f t="shared" si="50"/>
        <v>8.864686180690577E-10</v>
      </c>
      <c r="AB105">
        <f t="shared" si="51"/>
        <v>-20.843775390850173</v>
      </c>
      <c r="AC105">
        <f t="shared" si="52"/>
        <v>0.13752324663254711</v>
      </c>
    </row>
    <row r="106" spans="1:29" x14ac:dyDescent="0.3">
      <c r="A106">
        <v>113</v>
      </c>
      <c r="B106">
        <v>469.99</v>
      </c>
      <c r="C106">
        <v>6000</v>
      </c>
      <c r="D106">
        <v>1.1515270972902083</v>
      </c>
      <c r="E106">
        <v>7.0739603515527332</v>
      </c>
      <c r="F106">
        <v>1.2345197483232847E-2</v>
      </c>
      <c r="G106" s="17">
        <f t="shared" si="54"/>
        <v>2.6204421474836342E-2</v>
      </c>
      <c r="H106" s="17">
        <f t="shared" si="55"/>
        <v>2.6485351692459521E-2</v>
      </c>
      <c r="J106">
        <f t="shared" si="56"/>
        <v>1.2583335211239018E-9</v>
      </c>
      <c r="K106" s="17">
        <f t="shared" si="57"/>
        <v>1.2839655629739157E-9</v>
      </c>
      <c r="L106" s="17">
        <f t="shared" si="58"/>
        <v>2.956455794622094E-8</v>
      </c>
      <c r="M106" s="17">
        <f t="shared" si="59"/>
        <v>1.2583335211239018E-9</v>
      </c>
      <c r="N106">
        <f t="shared" si="60"/>
        <v>13.459131347662822</v>
      </c>
      <c r="O106">
        <f t="shared" si="48"/>
        <v>-20.493477593676005</v>
      </c>
      <c r="Q106">
        <f t="shared" si="61"/>
        <v>1.1216550486225163E-9</v>
      </c>
      <c r="R106">
        <f t="shared" si="62"/>
        <v>1.1445890600705285E-9</v>
      </c>
      <c r="S106">
        <f t="shared" si="63"/>
        <v>2.6256938813406839E-8</v>
      </c>
      <c r="T106">
        <f t="shared" si="64"/>
        <v>1.1216550486225163E-9</v>
      </c>
      <c r="U106">
        <f t="shared" si="49"/>
        <v>-20.608460520411725</v>
      </c>
      <c r="V106">
        <f t="shared" si="53"/>
        <v>0.11498292673572053</v>
      </c>
      <c r="X106" s="17">
        <f t="shared" si="65"/>
        <v>1.4736220579090677E-9</v>
      </c>
      <c r="Y106" s="17">
        <f t="shared" si="66"/>
        <v>1.5038136758718526E-9</v>
      </c>
      <c r="Z106" s="17">
        <f t="shared" si="67"/>
        <v>3.4436950982821133E-8</v>
      </c>
      <c r="AA106" s="17">
        <f t="shared" si="50"/>
        <v>1.4736220579090677E-9</v>
      </c>
      <c r="AB106">
        <f t="shared" si="51"/>
        <v>-20.335542481817313</v>
      </c>
      <c r="AC106">
        <f t="shared" si="52"/>
        <v>0.15793511185869136</v>
      </c>
    </row>
    <row r="107" spans="1:29" x14ac:dyDescent="0.3">
      <c r="A107">
        <v>114</v>
      </c>
      <c r="B107">
        <v>480</v>
      </c>
      <c r="C107">
        <v>4800</v>
      </c>
      <c r="D107">
        <v>1.2247469427085655</v>
      </c>
      <c r="E107">
        <v>5.9972123076551105</v>
      </c>
      <c r="F107">
        <v>1.4652138214378756E-2</v>
      </c>
      <c r="G107" s="17">
        <f t="shared" si="54"/>
        <v>2.7870629499102618E-2</v>
      </c>
      <c r="H107" s="17">
        <f t="shared" si="55"/>
        <v>2.8204057002615697E-2</v>
      </c>
      <c r="J107">
        <f t="shared" si="56"/>
        <v>1.6380693855035685E-9</v>
      </c>
      <c r="K107" s="17">
        <f t="shared" si="57"/>
        <v>1.6737075832481699E-9</v>
      </c>
      <c r="L107" s="17">
        <f t="shared" si="58"/>
        <v>3.6148664280049183E-8</v>
      </c>
      <c r="M107" s="17">
        <f t="shared" si="59"/>
        <v>1.6380693855035685E-9</v>
      </c>
      <c r="N107">
        <f t="shared" si="60"/>
        <v>13.280212483399735</v>
      </c>
      <c r="O107">
        <f t="shared" si="48"/>
        <v>-20.229747492520399</v>
      </c>
      <c r="Q107">
        <f t="shared" si="61"/>
        <v>1.368958714522111E-9</v>
      </c>
      <c r="R107">
        <f t="shared" si="62"/>
        <v>1.3988974421257487E-9</v>
      </c>
      <c r="S107">
        <f t="shared" si="63"/>
        <v>3.0058172984300915E-8</v>
      </c>
      <c r="T107">
        <f t="shared" si="64"/>
        <v>1.368958714522111E-9</v>
      </c>
      <c r="U107">
        <f t="shared" si="49"/>
        <v>-20.409215448492862</v>
      </c>
      <c r="V107">
        <f t="shared" si="53"/>
        <v>0.17946795597246279</v>
      </c>
      <c r="X107" s="17">
        <f t="shared" si="65"/>
        <v>1.9779875786031551E-9</v>
      </c>
      <c r="Y107" s="17">
        <f t="shared" si="66"/>
        <v>2.0212990061037249E-9</v>
      </c>
      <c r="Z107" s="17">
        <f t="shared" si="67"/>
        <v>4.3389869615884182E-8</v>
      </c>
      <c r="AA107" s="17">
        <f t="shared" si="50"/>
        <v>1.9779875786031551E-9</v>
      </c>
      <c r="AB107">
        <f t="shared" si="51"/>
        <v>-20.041185883541566</v>
      </c>
      <c r="AC107">
        <f t="shared" si="52"/>
        <v>0.18856160897883356</v>
      </c>
    </row>
    <row r="108" spans="1:29" x14ac:dyDescent="0.3">
      <c r="A108">
        <v>115</v>
      </c>
      <c r="B108">
        <v>500.01</v>
      </c>
      <c r="C108">
        <v>3600</v>
      </c>
      <c r="D108">
        <v>1.3672247165768845</v>
      </c>
      <c r="E108">
        <v>5.0309059557303195</v>
      </c>
      <c r="F108">
        <v>3.5346340359484987E-2</v>
      </c>
      <c r="G108" s="17">
        <f t="shared" si="54"/>
        <v>3.1112887233226024E-2</v>
      </c>
      <c r="H108" s="17">
        <f t="shared" si="55"/>
        <v>3.1917236868204288E-2</v>
      </c>
      <c r="J108">
        <f t="shared" si="56"/>
        <v>4.6357826812707188E-9</v>
      </c>
      <c r="K108" s="17">
        <f t="shared" si="57"/>
        <v>4.7461175650918476E-9</v>
      </c>
      <c r="L108" s="17">
        <f t="shared" si="58"/>
        <v>9.4025676083708534E-8</v>
      </c>
      <c r="M108" s="17">
        <f t="shared" si="59"/>
        <v>4.6357826812707188E-9</v>
      </c>
      <c r="N108">
        <f t="shared" si="60"/>
        <v>12.936443254291666</v>
      </c>
      <c r="O108">
        <f t="shared" si="48"/>
        <v>-19.189460788911312</v>
      </c>
      <c r="Q108">
        <f t="shared" si="61"/>
        <v>4.182558423804602E-9</v>
      </c>
      <c r="R108">
        <f t="shared" si="62"/>
        <v>4.2826623346178222E-9</v>
      </c>
      <c r="S108">
        <f t="shared" si="63"/>
        <v>8.4370735635929374E-8</v>
      </c>
      <c r="T108">
        <f t="shared" si="64"/>
        <v>4.182558423804602E-9</v>
      </c>
      <c r="U108">
        <f t="shared" si="49"/>
        <v>-19.292342714532829</v>
      </c>
      <c r="V108">
        <f t="shared" si="53"/>
        <v>0.10288192562151721</v>
      </c>
      <c r="X108" s="17">
        <f t="shared" si="65"/>
        <v>5.8647431189734478E-9</v>
      </c>
      <c r="Y108" s="17">
        <f t="shared" si="66"/>
        <v>6.0063603558402955E-9</v>
      </c>
      <c r="Z108" s="17">
        <f t="shared" si="67"/>
        <v>1.1740057691231938E-7</v>
      </c>
      <c r="AA108" s="17">
        <f t="shared" si="50"/>
        <v>5.8647431189734478E-9</v>
      </c>
      <c r="AB108">
        <f t="shared" si="51"/>
        <v>-18.954307154781684</v>
      </c>
      <c r="AC108">
        <f t="shared" si="52"/>
        <v>0.23515363412962742</v>
      </c>
    </row>
    <row r="109" spans="1:29" x14ac:dyDescent="0.3">
      <c r="A109">
        <v>116</v>
      </c>
      <c r="B109">
        <v>495</v>
      </c>
      <c r="C109">
        <v>3600</v>
      </c>
      <c r="D109">
        <v>1.43656003428139</v>
      </c>
      <c r="E109">
        <v>4.8941709811706566</v>
      </c>
      <c r="F109">
        <v>1.7804898151560406E-2</v>
      </c>
      <c r="G109" s="17">
        <f t="shared" si="54"/>
        <v>3.269069803116216E-2</v>
      </c>
      <c r="H109" s="17">
        <f t="shared" si="55"/>
        <v>3.3095870481361513E-2</v>
      </c>
      <c r="J109">
        <f t="shared" si="56"/>
        <v>2.4403093190942183E-9</v>
      </c>
      <c r="K109" s="17">
        <f t="shared" si="57"/>
        <v>2.5032198330501498E-9</v>
      </c>
      <c r="L109" s="17">
        <f t="shared" si="58"/>
        <v>4.5870487731340839E-8</v>
      </c>
      <c r="M109" s="17">
        <f t="shared" si="59"/>
        <v>2.4403093190942183E-9</v>
      </c>
      <c r="N109">
        <f t="shared" si="60"/>
        <v>13.020833333333334</v>
      </c>
      <c r="O109">
        <f t="shared" si="48"/>
        <v>-19.831141035555373</v>
      </c>
      <c r="Q109">
        <f t="shared" si="61"/>
        <v>1.2113488813914894E-9</v>
      </c>
      <c r="R109">
        <f t="shared" si="62"/>
        <v>1.2429770423016892E-9</v>
      </c>
      <c r="S109">
        <f t="shared" si="63"/>
        <v>2.2495586902734882E-8</v>
      </c>
      <c r="T109">
        <f t="shared" si="64"/>
        <v>1.2113488813914894E-9</v>
      </c>
      <c r="U109">
        <f t="shared" si="49"/>
        <v>-20.531531320231867</v>
      </c>
      <c r="V109">
        <f t="shared" si="53"/>
        <v>0.70039028467649445</v>
      </c>
      <c r="X109" s="17">
        <f t="shared" si="65"/>
        <v>3.0864424534713771E-9</v>
      </c>
      <c r="Y109" s="17">
        <f t="shared" si="66"/>
        <v>3.1665396676951188E-9</v>
      </c>
      <c r="Z109" s="17">
        <f t="shared" si="67"/>
        <v>5.7661830623159171E-8</v>
      </c>
      <c r="AA109" s="17">
        <f t="shared" si="50"/>
        <v>3.0864424534713771E-9</v>
      </c>
      <c r="AB109">
        <f t="shared" si="51"/>
        <v>-19.596246718858925</v>
      </c>
      <c r="AC109">
        <f t="shared" si="52"/>
        <v>0.23489431669644745</v>
      </c>
    </row>
    <row r="110" spans="1:29" x14ac:dyDescent="0.3">
      <c r="A110">
        <v>117</v>
      </c>
      <c r="B110">
        <v>484.99</v>
      </c>
      <c r="C110">
        <v>3600</v>
      </c>
      <c r="D110">
        <v>1.4665753209055938</v>
      </c>
      <c r="E110">
        <v>4.6275520537277837</v>
      </c>
      <c r="F110">
        <v>8.2742538713839187E-3</v>
      </c>
      <c r="G110" s="17">
        <f t="shared" si="54"/>
        <v>3.3373732953431497E-2</v>
      </c>
      <c r="H110" s="17">
        <f t="shared" si="55"/>
        <v>3.356202382070312E-2</v>
      </c>
      <c r="J110">
        <f t="shared" si="56"/>
        <v>1.0938442263454497E-9</v>
      </c>
      <c r="K110" s="17">
        <f t="shared" si="57"/>
        <v>1.1230669976219221E-9</v>
      </c>
      <c r="L110" s="17">
        <f t="shared" si="58"/>
        <v>1.9880562833093829E-8</v>
      </c>
      <c r="M110" s="17">
        <f t="shared" si="59"/>
        <v>1.0938442263454497E-9</v>
      </c>
      <c r="N110">
        <f t="shared" si="60"/>
        <v>13.192786184514308</v>
      </c>
      <c r="O110">
        <f t="shared" si="48"/>
        <v>-20.633567532165852</v>
      </c>
      <c r="Q110">
        <f t="shared" si="61"/>
        <v>4.4771109196829063E-10</v>
      </c>
      <c r="R110">
        <f t="shared" si="62"/>
        <v>4.5974716297695008E-10</v>
      </c>
      <c r="S110">
        <f t="shared" si="63"/>
        <v>8.0892199412722555E-9</v>
      </c>
      <c r="T110">
        <f t="shared" si="64"/>
        <v>4.4771109196829063E-10</v>
      </c>
      <c r="U110">
        <f t="shared" si="49"/>
        <v>-21.526872975540041</v>
      </c>
      <c r="V110">
        <f t="shared" si="53"/>
        <v>0.89330544337418871</v>
      </c>
      <c r="X110" s="17">
        <f t="shared" si="65"/>
        <v>1.3993590624388634E-9</v>
      </c>
      <c r="Y110" s="17">
        <f t="shared" si="66"/>
        <v>1.4368544727254783E-9</v>
      </c>
      <c r="Z110" s="17">
        <f t="shared" si="67"/>
        <v>2.5363467808155498E-8</v>
      </c>
      <c r="AA110" s="17">
        <f t="shared" si="50"/>
        <v>1.3993590624388634E-9</v>
      </c>
      <c r="AB110">
        <f t="shared" si="51"/>
        <v>-20.387251517697024</v>
      </c>
      <c r="AC110">
        <f t="shared" si="52"/>
        <v>0.24631601446882812</v>
      </c>
    </row>
    <row r="111" spans="1:29" x14ac:dyDescent="0.3">
      <c r="A111">
        <v>118</v>
      </c>
      <c r="B111">
        <v>475.01</v>
      </c>
      <c r="C111">
        <v>3600</v>
      </c>
      <c r="D111">
        <v>1.4765804164469951</v>
      </c>
      <c r="E111">
        <v>4.3704344531417565</v>
      </c>
      <c r="F111">
        <v>2.968488389404794E-3</v>
      </c>
      <c r="G111" s="17">
        <f t="shared" si="54"/>
        <v>3.3601411260854613E-2</v>
      </c>
      <c r="H111" s="17">
        <f t="shared" si="55"/>
        <v>3.3668962880857453E-2</v>
      </c>
      <c r="J111">
        <f t="shared" si="56"/>
        <v>3.6964103938944482E-10</v>
      </c>
      <c r="K111" s="17">
        <f t="shared" si="57"/>
        <v>3.7965614890653172E-10</v>
      </c>
      <c r="L111" s="17">
        <f t="shared" si="58"/>
        <v>6.6299761673221847E-9</v>
      </c>
      <c r="M111" s="17">
        <f t="shared" si="59"/>
        <v>3.6964103938944482E-10</v>
      </c>
      <c r="N111">
        <f t="shared" si="60"/>
        <v>13.368805229876607</v>
      </c>
      <c r="O111">
        <f t="shared" si="48"/>
        <v>-21.718488745016099</v>
      </c>
      <c r="Q111">
        <f t="shared" si="61"/>
        <v>6.4126203296031127E-11</v>
      </c>
      <c r="R111">
        <f t="shared" si="62"/>
        <v>6.5868673802963224E-11</v>
      </c>
      <c r="S111">
        <f t="shared" si="63"/>
        <v>1.1470711922591442E-9</v>
      </c>
      <c r="T111">
        <f t="shared" si="64"/>
        <v>6.4126203296031127E-11</v>
      </c>
      <c r="U111">
        <f t="shared" si="49"/>
        <v>-23.470168047763284</v>
      </c>
      <c r="V111">
        <f t="shared" si="53"/>
        <v>1.7516793027471849</v>
      </c>
      <c r="X111" s="17">
        <f t="shared" si="65"/>
        <v>4.7979610738553425E-10</v>
      </c>
      <c r="Y111" s="17">
        <f t="shared" si="66"/>
        <v>4.9280931871535444E-10</v>
      </c>
      <c r="Z111" s="17">
        <f t="shared" si="67"/>
        <v>8.5973750232250375E-9</v>
      </c>
      <c r="AA111" s="17">
        <f t="shared" si="50"/>
        <v>4.7979610738553425E-10</v>
      </c>
      <c r="AB111">
        <f t="shared" si="51"/>
        <v>-21.457659878549748</v>
      </c>
      <c r="AC111">
        <f t="shared" si="52"/>
        <v>0.26082886646635117</v>
      </c>
    </row>
    <row r="112" spans="1:29" x14ac:dyDescent="0.3">
      <c r="A112">
        <v>119</v>
      </c>
      <c r="B112">
        <v>465</v>
      </c>
      <c r="C112">
        <v>3600</v>
      </c>
      <c r="D112">
        <v>1.4812191425616448</v>
      </c>
      <c r="E112">
        <v>4.1212361404630133</v>
      </c>
      <c r="F112">
        <v>1.4861823668239204E-3</v>
      </c>
      <c r="G112" s="17">
        <f t="shared" si="54"/>
        <v>3.3706971203387143E-2</v>
      </c>
      <c r="H112" s="17">
        <f t="shared" si="55"/>
        <v>3.3740791118889238E-2</v>
      </c>
      <c r="J112">
        <f t="shared" si="56"/>
        <v>1.7223173245491602E-10</v>
      </c>
      <c r="K112" s="17">
        <f t="shared" si="57"/>
        <v>1.7692211258945221E-10</v>
      </c>
      <c r="L112" s="17">
        <f t="shared" si="58"/>
        <v>3.0744280372205744E-9</v>
      </c>
      <c r="M112" s="17">
        <f t="shared" si="59"/>
        <v>1.7223173245491602E-10</v>
      </c>
      <c r="N112">
        <f t="shared" si="60"/>
        <v>13.550135501355014</v>
      </c>
      <c r="O112">
        <f t="shared" si="48"/>
        <v>-22.482180264170118</v>
      </c>
      <c r="Q112">
        <f t="shared" si="61"/>
        <v>6.2076664458826675E-11</v>
      </c>
      <c r="R112">
        <f t="shared" si="62"/>
        <v>6.3768942780627185E-11</v>
      </c>
      <c r="S112">
        <f t="shared" si="63"/>
        <v>1.1070291813179067E-9</v>
      </c>
      <c r="T112">
        <f t="shared" si="64"/>
        <v>6.2076664458826675E-11</v>
      </c>
      <c r="U112">
        <f t="shared" si="49"/>
        <v>-23.502650971219587</v>
      </c>
      <c r="V112">
        <f t="shared" si="53"/>
        <v>1.0204707070494692</v>
      </c>
      <c r="X112" s="17">
        <f t="shared" si="65"/>
        <v>2.2752661440904036E-10</v>
      </c>
      <c r="Y112" s="17">
        <f t="shared" si="66"/>
        <v>2.3372604985518891E-10</v>
      </c>
      <c r="Z112" s="17">
        <f t="shared" si="67"/>
        <v>4.0595024213804969E-9</v>
      </c>
      <c r="AA112" s="17">
        <f t="shared" si="50"/>
        <v>2.2752661440904036E-10</v>
      </c>
      <c r="AB112">
        <f t="shared" si="51"/>
        <v>-22.203753897966557</v>
      </c>
      <c r="AC112">
        <f t="shared" si="52"/>
        <v>0.27842636620356132</v>
      </c>
    </row>
    <row r="113" spans="1:29" s="24" customFormat="1" x14ac:dyDescent="0.3">
      <c r="A113" s="24">
        <v>120</v>
      </c>
      <c r="B113" s="24">
        <v>455.02</v>
      </c>
      <c r="C113" s="24">
        <v>3600</v>
      </c>
      <c r="D113" s="24">
        <v>1.4866150285857218</v>
      </c>
      <c r="E113" s="24">
        <v>3.8814092116871071</v>
      </c>
      <c r="F113" s="24">
        <v>1.9033029006731397E-3</v>
      </c>
      <c r="G113" s="25">
        <f t="shared" si="54"/>
        <v>3.3829761254909017E-2</v>
      </c>
      <c r="H113" s="25">
        <f t="shared" si="55"/>
        <v>3.3873073263389654E-2</v>
      </c>
      <c r="J113" s="24">
        <f t="shared" si="56"/>
        <v>2.0102408668395914E-10</v>
      </c>
      <c r="K113" s="25">
        <f t="shared" si="57"/>
        <v>2.0651770789346441E-10</v>
      </c>
      <c r="L113" s="25">
        <f t="shared" si="58"/>
        <v>3.5766766884203452E-9</v>
      </c>
      <c r="M113" s="25">
        <f t="shared" si="59"/>
        <v>2.0102408668395914E-10</v>
      </c>
      <c r="N113" s="24">
        <f t="shared" si="60"/>
        <v>13.735886376747892</v>
      </c>
      <c r="O113" s="24">
        <f t="shared" si="48"/>
        <v>-22.327596380800468</v>
      </c>
      <c r="Q113" s="24">
        <f t="shared" si="61"/>
        <v>1.457292047298348E-10</v>
      </c>
      <c r="R113" s="24">
        <f t="shared" si="62"/>
        <v>1.4971377062772923E-10</v>
      </c>
      <c r="S113" s="24">
        <f t="shared" si="63"/>
        <v>2.5916023042575076E-9</v>
      </c>
      <c r="T113" s="24">
        <f t="shared" si="64"/>
        <v>1.457292047298348E-10</v>
      </c>
      <c r="U113" s="24">
        <f t="shared" si="49"/>
        <v>-22.649270978545744</v>
      </c>
      <c r="V113" s="24">
        <f t="shared" si="53"/>
        <v>0.32167459774527529</v>
      </c>
      <c r="X113" s="25">
        <f t="shared" si="65"/>
        <v>2.7210615337707028E-10</v>
      </c>
      <c r="Y113" s="25">
        <f t="shared" si="66"/>
        <v>2.7954723910684857E-10</v>
      </c>
      <c r="Z113" s="25">
        <f t="shared" si="67"/>
        <v>4.8383942740713694E-9</v>
      </c>
      <c r="AA113" s="25">
        <f t="shared" si="50"/>
        <v>2.7210615337707028E-10</v>
      </c>
      <c r="AB113" s="24">
        <f t="shared" si="51"/>
        <v>-22.024828855999349</v>
      </c>
      <c r="AC113" s="24">
        <f t="shared" si="52"/>
        <v>0.30276752480111924</v>
      </c>
    </row>
    <row r="114" spans="1:29" s="24" customFormat="1" x14ac:dyDescent="0.3">
      <c r="A114" s="24">
        <v>121</v>
      </c>
      <c r="B114" s="24">
        <v>445.01</v>
      </c>
      <c r="C114" s="24">
        <v>3600</v>
      </c>
      <c r="D114" s="24">
        <v>1.4888123271954496</v>
      </c>
      <c r="E114" s="24">
        <v>3.6494643138428873</v>
      </c>
      <c r="F114" s="24">
        <v>8.7883243135006631E-4</v>
      </c>
      <c r="G114" s="25">
        <f t="shared" si="54"/>
        <v>3.3879763498895175E-2</v>
      </c>
      <c r="H114" s="25">
        <f t="shared" si="55"/>
        <v>3.3899762416411787E-2</v>
      </c>
      <c r="J114" s="24">
        <f t="shared" si="56"/>
        <v>8.2069942966191261E-11</v>
      </c>
      <c r="K114" s="25">
        <f t="shared" si="57"/>
        <v>8.4318675922946508E-11</v>
      </c>
      <c r="L114" s="25">
        <f t="shared" si="58"/>
        <v>1.4566151792670774E-9</v>
      </c>
      <c r="M114" s="25">
        <f t="shared" si="59"/>
        <v>8.2069942966191261E-11</v>
      </c>
      <c r="N114" s="24">
        <f t="shared" si="60"/>
        <v>13.927382626982912</v>
      </c>
      <c r="O114" s="24">
        <f t="shared" si="48"/>
        <v>-23.22344926922818</v>
      </c>
      <c r="Q114" s="24">
        <f t="shared" si="61"/>
        <v>1.0987876273080088E-11</v>
      </c>
      <c r="R114" s="24">
        <f t="shared" si="62"/>
        <v>1.1289144709558923E-11</v>
      </c>
      <c r="S114" s="24">
        <f t="shared" si="63"/>
        <v>1.9489759360831224E-10</v>
      </c>
      <c r="T114" s="24">
        <f t="shared" si="64"/>
        <v>1.0987876273080088E-11</v>
      </c>
      <c r="U114" s="24">
        <f t="shared" si="49"/>
        <v>-25.234228607944566</v>
      </c>
      <c r="V114" s="24">
        <f t="shared" si="53"/>
        <v>2.0107793387163859</v>
      </c>
      <c r="X114" s="25">
        <f t="shared" si="65"/>
        <v>1.1492860588495216E-10</v>
      </c>
      <c r="Y114" s="25">
        <f t="shared" si="66"/>
        <v>1.1807863193171591E-10</v>
      </c>
      <c r="Z114" s="25">
        <f t="shared" si="67"/>
        <v>2.039224675436309E-9</v>
      </c>
      <c r="AA114" s="25">
        <f t="shared" si="50"/>
        <v>1.1492860588495216E-10</v>
      </c>
      <c r="AB114" s="24">
        <f t="shared" si="51"/>
        <v>-22.88670999874455</v>
      </c>
      <c r="AC114" s="24">
        <f t="shared" si="52"/>
        <v>0.33673927048362984</v>
      </c>
    </row>
    <row r="115" spans="1:29" s="24" customFormat="1" x14ac:dyDescent="0.3">
      <c r="A115" s="24">
        <v>122</v>
      </c>
      <c r="B115" s="24">
        <v>435.01</v>
      </c>
      <c r="C115" s="24">
        <v>3600</v>
      </c>
      <c r="D115" s="24">
        <v>1.4902890482010374</v>
      </c>
      <c r="E115" s="24">
        <v>3.4263006374200771</v>
      </c>
      <c r="F115" s="24">
        <v>6.3719886221353121E-4</v>
      </c>
      <c r="G115" s="25">
        <f t="shared" si="54"/>
        <v>3.3913368109435585E-2</v>
      </c>
      <c r="H115" s="25">
        <f t="shared" si="55"/>
        <v>3.3927868356618672E-2</v>
      </c>
      <c r="J115" s="24">
        <f t="shared" si="56"/>
        <v>5.5224200057755759E-11</v>
      </c>
      <c r="K115" s="25">
        <f t="shared" si="57"/>
        <v>5.6739279640769755E-11</v>
      </c>
      <c r="L115" s="25">
        <f t="shared" si="58"/>
        <v>9.7897814032427822E-10</v>
      </c>
      <c r="M115" s="25">
        <f t="shared" si="59"/>
        <v>5.5224200057755759E-11</v>
      </c>
      <c r="N115" s="24">
        <f t="shared" si="60"/>
        <v>14.124094292453497</v>
      </c>
      <c r="O115" s="24">
        <f t="shared" si="48"/>
        <v>-23.619619851874297</v>
      </c>
      <c r="Q115" s="24">
        <f t="shared" si="61"/>
        <v>2.2365537138994863E-11</v>
      </c>
      <c r="R115" s="24">
        <f t="shared" si="62"/>
        <v>2.2979323632000547E-11</v>
      </c>
      <c r="S115" s="24">
        <f t="shared" si="63"/>
        <v>3.9636864415565571E-10</v>
      </c>
      <c r="T115" s="24">
        <f t="shared" si="64"/>
        <v>2.2365537138994863E-11</v>
      </c>
      <c r="U115" s="24">
        <f t="shared" si="49"/>
        <v>-24.523499862386249</v>
      </c>
      <c r="V115" s="24">
        <f t="shared" si="53"/>
        <v>0.90388001051195133</v>
      </c>
      <c r="X115" s="25">
        <f t="shared" si="65"/>
        <v>7.9070117251829348E-11</v>
      </c>
      <c r="Y115" s="25">
        <f t="shared" si="66"/>
        <v>8.1239889528155754E-11</v>
      </c>
      <c r="Z115" s="25">
        <f t="shared" si="67"/>
        <v>1.4014135804278847E-9</v>
      </c>
      <c r="AA115" s="25">
        <f t="shared" si="50"/>
        <v>7.9070117251829348E-11</v>
      </c>
      <c r="AB115" s="24">
        <f t="shared" si="51"/>
        <v>-23.260686096960391</v>
      </c>
      <c r="AC115" s="24">
        <f t="shared" si="52"/>
        <v>0.358933754913906</v>
      </c>
    </row>
    <row r="116" spans="1:29" x14ac:dyDescent="0.3">
      <c r="A116">
        <v>123</v>
      </c>
      <c r="B116">
        <v>425.02</v>
      </c>
      <c r="C116">
        <v>4800</v>
      </c>
      <c r="D116">
        <v>1.4906961278467359</v>
      </c>
      <c r="E116">
        <v>4.2824440346399761</v>
      </c>
      <c r="F116">
        <v>1.2401723880209681E-4</v>
      </c>
      <c r="G116" s="17">
        <f t="shared" si="54"/>
        <v>3.3922631709601671E-2</v>
      </c>
      <c r="H116" s="17">
        <f t="shared" si="55"/>
        <v>3.3925453875057757E-2</v>
      </c>
      <c r="J116">
        <f t="shared" si="56"/>
        <v>1.142473582788558E-11</v>
      </c>
      <c r="K116" s="17">
        <f t="shared" si="57"/>
        <v>1.1738378461647248E-11</v>
      </c>
      <c r="L116" s="17">
        <f t="shared" si="58"/>
        <v>2.0240667405861191E-10</v>
      </c>
      <c r="M116" s="17">
        <f t="shared" si="59"/>
        <v>1.142473582788558E-11</v>
      </c>
      <c r="N116">
        <f t="shared" si="60"/>
        <v>14.326237070571045</v>
      </c>
      <c r="O116">
        <f t="shared" si="48"/>
        <v>-25.195240301701329</v>
      </c>
      <c r="Q116">
        <f t="shared" si="61"/>
        <v>-6.459702067669609E-12</v>
      </c>
      <c r="R116">
        <f t="shared" si="62"/>
        <v>-6.6370789538912543E-12</v>
      </c>
      <c r="S116">
        <f t="shared" si="63"/>
        <v>-1.1441990602042007E-10</v>
      </c>
      <c r="T116">
        <f t="shared" si="64"/>
        <v>-6.459702067669609E-12</v>
      </c>
      <c r="U116" t="e">
        <f>LN(T116)</f>
        <v>#NUM!</v>
      </c>
      <c r="V116">
        <f t="shared" si="53"/>
        <v>5</v>
      </c>
      <c r="X116" s="17">
        <f t="shared" si="65"/>
        <v>1.4905913619723779E-11</v>
      </c>
      <c r="Y116" s="17">
        <f t="shared" si="66"/>
        <v>1.5315142364999777E-11</v>
      </c>
      <c r="Z116" s="17">
        <f t="shared" si="67"/>
        <v>2.6407046420490635E-10</v>
      </c>
      <c r="AA116" s="17">
        <f t="shared" si="50"/>
        <v>1.4905913619723779E-11</v>
      </c>
      <c r="AB116">
        <f t="shared" si="51"/>
        <v>-24.929263094486256</v>
      </c>
      <c r="AC116">
        <f t="shared" si="52"/>
        <v>0.26597720721507301</v>
      </c>
    </row>
    <row r="117" spans="1:29" s="19" customFormat="1" x14ac:dyDescent="0.3">
      <c r="A117" s="19">
        <v>124</v>
      </c>
      <c r="B117" s="19">
        <v>415.01</v>
      </c>
      <c r="C117" s="19">
        <v>6000</v>
      </c>
      <c r="D117" s="19">
        <v>1.4906961278467359</v>
      </c>
      <c r="E117" s="19">
        <v>5.0089401609489492</v>
      </c>
      <c r="F117" s="19">
        <v>1.2401723880209681E-4</v>
      </c>
      <c r="G117" s="21">
        <f t="shared" si="54"/>
        <v>3.3922631709601671E-2</v>
      </c>
      <c r="H117" s="21">
        <f t="shared" si="55"/>
        <v>3.3925453875057757E-2</v>
      </c>
      <c r="J117" s="19">
        <f t="shared" si="56"/>
        <v>0</v>
      </c>
      <c r="K117" s="21">
        <f t="shared" si="57"/>
        <v>0</v>
      </c>
      <c r="L117" s="21">
        <f t="shared" si="58"/>
        <v>0</v>
      </c>
      <c r="M117" s="21">
        <f t="shared" si="59"/>
        <v>0</v>
      </c>
      <c r="N117" s="19">
        <f t="shared" si="60"/>
        <v>14.534672461156088</v>
      </c>
      <c r="O117" s="19" t="e">
        <f t="shared" si="48"/>
        <v>#NUM!</v>
      </c>
      <c r="Q117" s="19">
        <f t="shared" si="61"/>
        <v>-2.784942233470561E-12</v>
      </c>
      <c r="R117" s="19">
        <f t="shared" si="62"/>
        <v>-2.861411122681968E-12</v>
      </c>
      <c r="S117" s="19">
        <f t="shared" si="63"/>
        <v>-4.9331032118421904E-11</v>
      </c>
      <c r="T117" s="19">
        <f t="shared" si="64"/>
        <v>-2.784942233470561E-12</v>
      </c>
      <c r="U117" s="19" t="e">
        <f t="shared" si="49"/>
        <v>#NUM!</v>
      </c>
      <c r="V117" s="19">
        <f t="shared" si="53"/>
        <v>5</v>
      </c>
      <c r="X117" s="21">
        <f t="shared" si="65"/>
        <v>2.784942233470561E-12</v>
      </c>
      <c r="Y117" s="21">
        <f t="shared" si="66"/>
        <v>2.861411122681968E-12</v>
      </c>
      <c r="Z117" s="21">
        <f t="shared" si="67"/>
        <v>4.9331032119123999E-11</v>
      </c>
      <c r="AA117" s="21">
        <f t="shared" si="50"/>
        <v>2.784942233470561E-12</v>
      </c>
      <c r="AB117" s="19">
        <f t="shared" si="51"/>
        <v>-26.606793984785764</v>
      </c>
      <c r="AC117" s="19" t="e">
        <f t="shared" si="52"/>
        <v>#NUM!</v>
      </c>
    </row>
    <row r="118" spans="1:29" x14ac:dyDescent="0.3">
      <c r="A118">
        <v>125</v>
      </c>
      <c r="B118">
        <v>405.01</v>
      </c>
      <c r="C118">
        <v>7200</v>
      </c>
      <c r="D118">
        <v>1.492192671846736</v>
      </c>
      <c r="E118">
        <v>5.6149052665039569</v>
      </c>
      <c r="F118">
        <v>3.2428487987873995E-4</v>
      </c>
      <c r="G118" s="17">
        <f t="shared" si="54"/>
        <v>3.3956687416865465E-2</v>
      </c>
      <c r="H118" s="17">
        <f t="shared" si="55"/>
        <v>3.3964066919866524E-2</v>
      </c>
      <c r="J118">
        <f t="shared" si="56"/>
        <v>2.8018330701887526E-11</v>
      </c>
      <c r="K118" s="17">
        <f t="shared" si="57"/>
        <v>2.8788022627624466E-11</v>
      </c>
      <c r="L118" s="17">
        <f t="shared" si="58"/>
        <v>4.9608193103574275E-10</v>
      </c>
      <c r="M118" s="17">
        <f t="shared" si="59"/>
        <v>2.8018330701887526E-11</v>
      </c>
      <c r="N118">
        <f t="shared" si="60"/>
        <v>14.749044999336293</v>
      </c>
      <c r="O118">
        <f t="shared" si="48"/>
        <v>-24.298162152030354</v>
      </c>
      <c r="Q118">
        <f t="shared" si="61"/>
        <v>2.5697545507328721E-11</v>
      </c>
      <c r="R118">
        <f t="shared" si="62"/>
        <v>2.6403513358722443E-11</v>
      </c>
      <c r="S118">
        <f t="shared" si="63"/>
        <v>4.5497273760190258E-10</v>
      </c>
      <c r="T118">
        <f t="shared" si="64"/>
        <v>2.5697545507328721E-11</v>
      </c>
      <c r="U118">
        <f t="shared" si="49"/>
        <v>-24.384625634139731</v>
      </c>
      <c r="V118">
        <f t="shared" si="53"/>
        <v>8.6463482109376599E-2</v>
      </c>
      <c r="X118" s="17">
        <f t="shared" si="65"/>
        <v>3.4093305628312264E-11</v>
      </c>
      <c r="Y118" s="17">
        <f t="shared" si="66"/>
        <v>3.5029988253151589E-11</v>
      </c>
      <c r="Z118" s="17">
        <f t="shared" si="67"/>
        <v>6.0357981913467977E-10</v>
      </c>
      <c r="AA118" s="17">
        <f t="shared" si="50"/>
        <v>3.4093305628312264E-11</v>
      </c>
      <c r="AB118">
        <f t="shared" si="51"/>
        <v>-24.101920066796833</v>
      </c>
      <c r="AC118">
        <f t="shared" si="52"/>
        <v>0.19624208523352138</v>
      </c>
    </row>
    <row r="119" spans="1:29" x14ac:dyDescent="0.3">
      <c r="A119">
        <v>126</v>
      </c>
      <c r="B119">
        <v>395.01</v>
      </c>
      <c r="C119">
        <v>9000</v>
      </c>
      <c r="D119">
        <v>1.4940263262598343</v>
      </c>
      <c r="E119">
        <v>6.5445219250658964</v>
      </c>
      <c r="F119">
        <v>3.3071461126500228E-4</v>
      </c>
      <c r="G119" s="17">
        <f t="shared" si="54"/>
        <v>3.3998414487980938E-2</v>
      </c>
      <c r="H119" s="17">
        <f t="shared" si="55"/>
        <v>3.4005940307461749E-2</v>
      </c>
      <c r="J119">
        <f t="shared" si="56"/>
        <v>2.7494437092151538E-11</v>
      </c>
      <c r="K119" s="17">
        <f t="shared" si="57"/>
        <v>2.8250606263385823E-11</v>
      </c>
      <c r="L119" s="17">
        <f t="shared" si="58"/>
        <v>4.8628226211761601E-10</v>
      </c>
      <c r="M119" s="17">
        <f t="shared" si="59"/>
        <v>2.7494437092151538E-11</v>
      </c>
      <c r="N119">
        <f t="shared" si="60"/>
        <v>14.969835780901484</v>
      </c>
      <c r="O119">
        <f t="shared" si="48"/>
        <v>-24.317037419277035</v>
      </c>
      <c r="Q119">
        <f t="shared" si="61"/>
        <v>2.2634457151011745E-11</v>
      </c>
      <c r="R119">
        <f t="shared" si="62"/>
        <v>2.325703376296397E-11</v>
      </c>
      <c r="S119">
        <f t="shared" si="63"/>
        <v>4.0028395163746757E-10</v>
      </c>
      <c r="T119">
        <f t="shared" si="64"/>
        <v>2.2634457151011745E-11</v>
      </c>
      <c r="U119">
        <f t="shared" si="49"/>
        <v>-24.511547718053563</v>
      </c>
      <c r="V119">
        <f t="shared" si="53"/>
        <v>0.19451029877652815</v>
      </c>
      <c r="X119" s="17">
        <f t="shared" si="65"/>
        <v>3.2456878406413452E-11</v>
      </c>
      <c r="Y119" s="17">
        <f t="shared" si="66"/>
        <v>3.3349629670496519E-11</v>
      </c>
      <c r="Z119" s="17">
        <f t="shared" si="67"/>
        <v>5.7398949198051978E-10</v>
      </c>
      <c r="AA119" s="17">
        <f t="shared" si="50"/>
        <v>3.2456878406413452E-11</v>
      </c>
      <c r="AB119">
        <f t="shared" si="51"/>
        <v>-24.151108725859785</v>
      </c>
      <c r="AC119">
        <f t="shared" si="52"/>
        <v>0.16592869341724992</v>
      </c>
    </row>
    <row r="120" spans="1:29" x14ac:dyDescent="0.3">
      <c r="A120">
        <v>127</v>
      </c>
      <c r="B120">
        <v>395.01</v>
      </c>
      <c r="C120">
        <v>9000</v>
      </c>
      <c r="D120">
        <v>1.494976190092314</v>
      </c>
      <c r="E120">
        <v>6.5445219250658964</v>
      </c>
      <c r="F120">
        <v>1.7131573205357123E-4</v>
      </c>
      <c r="G120" s="17">
        <f t="shared" si="54"/>
        <v>3.4020029812768839E-2</v>
      </c>
      <c r="H120" s="17">
        <f t="shared" si="55"/>
        <v>3.4023928313862355E-2</v>
      </c>
      <c r="J120">
        <f t="shared" si="56"/>
        <v>1.4255856749182686E-11</v>
      </c>
      <c r="K120" s="17">
        <f t="shared" si="57"/>
        <v>1.4648306852069906E-11</v>
      </c>
      <c r="L120" s="17">
        <f t="shared" si="58"/>
        <v>2.519106511215009E-10</v>
      </c>
      <c r="M120" s="17">
        <f t="shared" si="59"/>
        <v>1.4255856749182686E-11</v>
      </c>
      <c r="N120">
        <f t="shared" si="60"/>
        <v>14.969835780901484</v>
      </c>
      <c r="O120">
        <f t="shared" si="48"/>
        <v>-24.973853293708586</v>
      </c>
      <c r="Q120">
        <f t="shared" si="61"/>
        <v>9.2934154349207737E-12</v>
      </c>
      <c r="R120">
        <f t="shared" si="62"/>
        <v>9.5492834449591325E-12</v>
      </c>
      <c r="S120">
        <f t="shared" si="63"/>
        <v>1.642034212570512E-10</v>
      </c>
      <c r="T120">
        <f t="shared" si="64"/>
        <v>9.2934154349207737E-12</v>
      </c>
      <c r="U120">
        <f t="shared" si="49"/>
        <v>-25.40171498428273</v>
      </c>
      <c r="V120">
        <f t="shared" si="53"/>
        <v>0.42786169057414369</v>
      </c>
      <c r="X120" s="17">
        <f t="shared" si="65"/>
        <v>1.6827981873097847E-11</v>
      </c>
      <c r="Y120" s="17">
        <f t="shared" si="66"/>
        <v>1.7291267495398802E-11</v>
      </c>
      <c r="Z120" s="17">
        <f t="shared" si="67"/>
        <v>2.9734540298871578E-10</v>
      </c>
      <c r="AA120" s="17">
        <f t="shared" si="50"/>
        <v>1.6827981873097847E-11</v>
      </c>
      <c r="AB120">
        <f t="shared" si="51"/>
        <v>-24.807978027387815</v>
      </c>
      <c r="AC120">
        <f t="shared" si="52"/>
        <v>0.16587526632077143</v>
      </c>
    </row>
    <row r="121" spans="1:29" x14ac:dyDescent="0.3">
      <c r="A121">
        <v>128</v>
      </c>
      <c r="B121">
        <v>395.01</v>
      </c>
      <c r="C121">
        <v>9000</v>
      </c>
      <c r="D121">
        <v>1.4971994043891708</v>
      </c>
      <c r="E121">
        <v>6.5445219250658964</v>
      </c>
      <c r="F121">
        <v>4.0097493109477193E-4</v>
      </c>
      <c r="G121" s="17">
        <f t="shared" si="54"/>
        <v>3.4070621800226894E-2</v>
      </c>
      <c r="H121" s="17">
        <f t="shared" si="55"/>
        <v>3.4079746480071574E-2</v>
      </c>
      <c r="J121">
        <f t="shared" si="56"/>
        <v>3.3402124725910222E-11</v>
      </c>
      <c r="K121" s="17">
        <f t="shared" si="57"/>
        <v>3.4322659569538345E-11</v>
      </c>
      <c r="L121" s="17">
        <f t="shared" si="58"/>
        <v>5.8963429768593554E-10</v>
      </c>
      <c r="M121" s="17">
        <f t="shared" si="59"/>
        <v>3.3402124725910222E-11</v>
      </c>
      <c r="N121">
        <f t="shared" si="60"/>
        <v>14.969835780901484</v>
      </c>
      <c r="O121">
        <f t="shared" si="48"/>
        <v>-24.122401603421004</v>
      </c>
      <c r="Q121">
        <f t="shared" si="61"/>
        <v>3.0829999601995061E-11</v>
      </c>
      <c r="R121">
        <f t="shared" si="62"/>
        <v>3.1679698926209604E-11</v>
      </c>
      <c r="S121">
        <f t="shared" si="63"/>
        <v>5.4419954581864161E-10</v>
      </c>
      <c r="T121">
        <f t="shared" si="64"/>
        <v>3.0829999601995061E-11</v>
      </c>
      <c r="U121">
        <f t="shared" si="49"/>
        <v>-24.202532886940155</v>
      </c>
      <c r="V121">
        <f t="shared" si="53"/>
        <v>8.0131283519150998E-2</v>
      </c>
      <c r="X121" s="17">
        <f t="shared" si="65"/>
        <v>3.9431755307771893E-11</v>
      </c>
      <c r="Y121" s="17">
        <f t="shared" si="66"/>
        <v>4.0518611950644426E-11</v>
      </c>
      <c r="Z121" s="17">
        <f t="shared" si="67"/>
        <v>6.9598296617466728E-10</v>
      </c>
      <c r="AA121" s="17">
        <f t="shared" si="50"/>
        <v>3.9431755307771893E-11</v>
      </c>
      <c r="AB121">
        <f t="shared" si="51"/>
        <v>-23.956449651967429</v>
      </c>
      <c r="AC121">
        <f t="shared" si="52"/>
        <v>0.16595195145357522</v>
      </c>
    </row>
    <row r="122" spans="1:29" x14ac:dyDescent="0.3">
      <c r="A122">
        <v>129</v>
      </c>
      <c r="B122">
        <v>395.02</v>
      </c>
      <c r="C122">
        <v>9000</v>
      </c>
      <c r="D122">
        <v>1.4989293954250049</v>
      </c>
      <c r="E122">
        <v>6.5449857809775835</v>
      </c>
      <c r="F122">
        <v>3.1199196971233383E-4</v>
      </c>
      <c r="G122" s="17">
        <f t="shared" si="54"/>
        <v>3.4109989883146841E-2</v>
      </c>
      <c r="H122" s="17">
        <f t="shared" si="55"/>
        <v>3.4117089645792763E-2</v>
      </c>
      <c r="J122">
        <f t="shared" si="56"/>
        <v>2.6026155630914325E-11</v>
      </c>
      <c r="K122" s="17">
        <f t="shared" si="57"/>
        <v>2.6744391594817515E-11</v>
      </c>
      <c r="L122" s="17">
        <f t="shared" si="58"/>
        <v>4.5884445442075208E-10</v>
      </c>
      <c r="M122" s="17">
        <f t="shared" si="59"/>
        <v>2.6026155630914325E-11</v>
      </c>
      <c r="N122">
        <f t="shared" si="60"/>
        <v>14.969611688272806</v>
      </c>
      <c r="O122">
        <f t="shared" si="48"/>
        <v>-24.371919097767289</v>
      </c>
      <c r="Q122">
        <f t="shared" si="61"/>
        <v>1.9996525049052647E-11</v>
      </c>
      <c r="R122">
        <f t="shared" si="62"/>
        <v>2.0548439213711129E-11</v>
      </c>
      <c r="S122">
        <f t="shared" si="63"/>
        <v>3.5249578593444439E-10</v>
      </c>
      <c r="T122">
        <f t="shared" si="64"/>
        <v>1.9996525049052647E-11</v>
      </c>
      <c r="U122">
        <f t="shared" si="49"/>
        <v>-24.635462605017779</v>
      </c>
      <c r="V122">
        <f t="shared" si="53"/>
        <v>0.26354350725048903</v>
      </c>
      <c r="X122" s="17">
        <f t="shared" si="65"/>
        <v>3.0722992473741381E-11</v>
      </c>
      <c r="Y122" s="17">
        <f t="shared" si="66"/>
        <v>3.157093667755496E-11</v>
      </c>
      <c r="Z122" s="17">
        <f t="shared" si="67"/>
        <v>5.4159588242627761E-10</v>
      </c>
      <c r="AA122" s="17">
        <f t="shared" si="50"/>
        <v>3.0722992473741381E-11</v>
      </c>
      <c r="AB122">
        <f t="shared" si="51"/>
        <v>-24.206009801138642</v>
      </c>
      <c r="AC122">
        <f t="shared" si="52"/>
        <v>0.16590929662864795</v>
      </c>
    </row>
    <row r="123" spans="1:29" x14ac:dyDescent="0.3">
      <c r="A123">
        <v>130</v>
      </c>
      <c r="B123">
        <v>400.01</v>
      </c>
      <c r="C123">
        <v>9000</v>
      </c>
      <c r="D123">
        <v>1.5007209985280117</v>
      </c>
      <c r="E123">
        <v>6.779006214721214</v>
      </c>
      <c r="F123">
        <v>3.1001923798645181E-4</v>
      </c>
      <c r="G123" s="17">
        <f t="shared" si="54"/>
        <v>3.4150760024759044E-2</v>
      </c>
      <c r="H123" s="17">
        <f t="shared" si="55"/>
        <v>3.4157814895457807E-2</v>
      </c>
      <c r="J123">
        <f t="shared" si="56"/>
        <v>2.6984733759830726E-11</v>
      </c>
      <c r="K123" s="17">
        <f t="shared" si="57"/>
        <v>2.7730325584521316E-11</v>
      </c>
      <c r="L123" s="17">
        <f t="shared" si="58"/>
        <v>4.7520549805430863E-10</v>
      </c>
      <c r="M123" s="17">
        <f t="shared" si="59"/>
        <v>2.6984733759830726E-11</v>
      </c>
      <c r="N123">
        <f t="shared" si="60"/>
        <v>14.858620228525579</v>
      </c>
      <c r="O123">
        <f t="shared" si="48"/>
        <v>-24.335749826134862</v>
      </c>
      <c r="Q123">
        <f t="shared" si="61"/>
        <v>2.2287896917003666E-11</v>
      </c>
      <c r="R123">
        <f t="shared" si="62"/>
        <v>2.2903780501784023E-11</v>
      </c>
      <c r="S123">
        <f t="shared" si="63"/>
        <v>3.9245407005029926E-10</v>
      </c>
      <c r="T123">
        <f t="shared" si="64"/>
        <v>2.2287896917003666E-11</v>
      </c>
      <c r="U123">
        <f t="shared" si="49"/>
        <v>-24.526977323946497</v>
      </c>
      <c r="V123">
        <f t="shared" si="53"/>
        <v>0.19122749781163506</v>
      </c>
      <c r="X123" s="17">
        <f t="shared" si="65"/>
        <v>3.1657447175628813E-11</v>
      </c>
      <c r="Y123" s="17">
        <f t="shared" si="66"/>
        <v>3.2532239927517191E-11</v>
      </c>
      <c r="Z123" s="17">
        <f t="shared" si="67"/>
        <v>5.5743715614644031E-10</v>
      </c>
      <c r="AA123" s="17">
        <f t="shared" si="50"/>
        <v>3.1657447175628813E-11</v>
      </c>
      <c r="AB123">
        <f t="shared" si="51"/>
        <v>-24.176047697208372</v>
      </c>
      <c r="AC123">
        <f t="shared" si="52"/>
        <v>0.15970212892649016</v>
      </c>
    </row>
    <row r="124" spans="1:29" s="24" customFormat="1" x14ac:dyDescent="0.3">
      <c r="A124" s="24">
        <v>131</v>
      </c>
      <c r="B124" s="24">
        <v>410.02</v>
      </c>
      <c r="C124" s="24">
        <v>24900</v>
      </c>
      <c r="D124" s="24">
        <v>1.5048388143310067</v>
      </c>
      <c r="E124" s="24">
        <v>20.096843275416092</v>
      </c>
      <c r="F124" s="24">
        <v>2.156280880356897E-4</v>
      </c>
      <c r="G124" s="25">
        <f t="shared" si="54"/>
        <v>3.4244466009717062E-2</v>
      </c>
      <c r="H124" s="25">
        <f t="shared" si="55"/>
        <v>3.4249372893205954E-2</v>
      </c>
      <c r="J124" s="24">
        <f t="shared" si="56"/>
        <v>2.2461623530591927E-11</v>
      </c>
      <c r="K124" s="25">
        <f t="shared" si="57"/>
        <v>2.3083501906455018E-11</v>
      </c>
      <c r="L124" s="25">
        <f t="shared" si="58"/>
        <v>3.9480256300953469E-10</v>
      </c>
      <c r="M124" s="25">
        <f t="shared" si="59"/>
        <v>2.2461623530591927E-11</v>
      </c>
      <c r="N124" s="24">
        <f t="shared" si="60"/>
        <v>14.640859711282246</v>
      </c>
      <c r="O124" s="24">
        <f t="shared" si="48"/>
        <v>-24.519212883808102</v>
      </c>
      <c r="Q124" s="24">
        <f t="shared" si="61"/>
        <v>2.0772690970664908E-11</v>
      </c>
      <c r="R124" s="24">
        <f t="shared" si="62"/>
        <v>2.1347870216215655E-11</v>
      </c>
      <c r="S124" s="24">
        <f t="shared" si="63"/>
        <v>3.6508027695172369E-10</v>
      </c>
      <c r="T124" s="24">
        <f t="shared" si="64"/>
        <v>2.0772690970664908E-11</v>
      </c>
      <c r="U124" s="24">
        <f t="shared" si="49"/>
        <v>-24.597381925977057</v>
      </c>
      <c r="V124" s="24">
        <f t="shared" si="53"/>
        <v>7.8169042168955372E-2</v>
      </c>
      <c r="X124" s="25">
        <f t="shared" si="65"/>
        <v>2.3639515006288372E-11</v>
      </c>
      <c r="Y124" s="25">
        <f t="shared" si="66"/>
        <v>2.4294053243061479E-11</v>
      </c>
      <c r="Z124" s="25">
        <f t="shared" si="67"/>
        <v>4.1547732656167592E-10</v>
      </c>
      <c r="AA124" s="25">
        <f t="shared" si="50"/>
        <v>2.3639515006288372E-11</v>
      </c>
      <c r="AB124" s="24">
        <f t="shared" si="51"/>
        <v>-24.468101439409548</v>
      </c>
      <c r="AC124" s="24">
        <f t="shared" si="52"/>
        <v>5.1111444398554085E-2</v>
      </c>
    </row>
    <row r="125" spans="1:29" s="24" customFormat="1" x14ac:dyDescent="0.3">
      <c r="A125" s="24">
        <v>132</v>
      </c>
      <c r="B125" s="24">
        <v>420.01</v>
      </c>
      <c r="C125" s="24">
        <v>7800</v>
      </c>
      <c r="D125" s="24">
        <v>1.5058311146504955</v>
      </c>
      <c r="E125" s="24">
        <v>6.7327980646927781</v>
      </c>
      <c r="F125" s="24">
        <v>1.7309179711042107E-4</v>
      </c>
      <c r="G125" s="25">
        <f t="shared" si="54"/>
        <v>3.4267047029184768E-2</v>
      </c>
      <c r="H125" s="25">
        <f t="shared" si="55"/>
        <v>3.4270985946832463E-2</v>
      </c>
      <c r="J125" s="24">
        <f t="shared" si="56"/>
        <v>1.7308517566940231E-11</v>
      </c>
      <c r="K125" s="25">
        <f t="shared" si="57"/>
        <v>1.7788565354931093E-11</v>
      </c>
      <c r="L125" s="25">
        <f t="shared" si="58"/>
        <v>3.0372956558940291E-10</v>
      </c>
      <c r="M125" s="25">
        <f t="shared" si="59"/>
        <v>1.7308517566940231E-11</v>
      </c>
      <c r="N125" s="24">
        <f t="shared" si="60"/>
        <v>14.429806207702631</v>
      </c>
      <c r="O125" s="24">
        <f t="shared" si="48"/>
        <v>-24.779822390676962</v>
      </c>
      <c r="Q125" s="24">
        <f t="shared" si="61"/>
        <v>1.3548325548370804E-11</v>
      </c>
      <c r="R125" s="24">
        <f t="shared" si="62"/>
        <v>1.3924113011149112E-11</v>
      </c>
      <c r="S125" s="24">
        <f t="shared" si="63"/>
        <v>2.3772935886578949E-10</v>
      </c>
      <c r="T125" s="24">
        <f t="shared" si="64"/>
        <v>1.3548325548370804E-11</v>
      </c>
      <c r="U125" s="24">
        <f t="shared" si="49"/>
        <v>-25.024758152004946</v>
      </c>
      <c r="V125" s="24">
        <f t="shared" si="53"/>
        <v>0.24493576132798367</v>
      </c>
      <c r="X125" s="25">
        <f t="shared" si="65"/>
        <v>2.0328895622994042E-11</v>
      </c>
      <c r="Y125" s="25">
        <f t="shared" si="66"/>
        <v>2.0892746325490036E-11</v>
      </c>
      <c r="Z125" s="25">
        <f t="shared" si="67"/>
        <v>3.5671132641441822E-10</v>
      </c>
      <c r="AA125" s="25">
        <f t="shared" si="50"/>
        <v>2.0328895622994042E-11</v>
      </c>
      <c r="AB125" s="24">
        <f t="shared" si="51"/>
        <v>-24.618977812292393</v>
      </c>
      <c r="AC125" s="24">
        <f t="shared" si="52"/>
        <v>0.16084457838456956</v>
      </c>
    </row>
    <row r="126" spans="1:29" s="24" customFormat="1" x14ac:dyDescent="0.3">
      <c r="A126" s="24">
        <v>133</v>
      </c>
      <c r="B126" s="24">
        <v>430.01</v>
      </c>
      <c r="C126" s="24">
        <v>7200</v>
      </c>
      <c r="D126" s="24">
        <v>1.5079982073022526</v>
      </c>
      <c r="E126" s="24">
        <v>6.6358097470890876</v>
      </c>
      <c r="F126" s="24">
        <v>3.8452196738480922E-4</v>
      </c>
      <c r="G126" s="25">
        <f t="shared" si="54"/>
        <v>3.4316361899286649E-2</v>
      </c>
      <c r="H126" s="25">
        <f t="shared" si="55"/>
        <v>3.4325112171619272E-2</v>
      </c>
      <c r="J126" s="24">
        <f t="shared" si="56"/>
        <v>4.0993201457742479E-11</v>
      </c>
      <c r="K126" s="25">
        <f t="shared" si="57"/>
        <v>4.2131368722558837E-11</v>
      </c>
      <c r="L126" s="25">
        <f t="shared" si="58"/>
        <v>7.1862064496891902E-10</v>
      </c>
      <c r="M126" s="25">
        <f t="shared" si="59"/>
        <v>4.0993201457742479E-11</v>
      </c>
      <c r="N126" s="24">
        <f t="shared" si="60"/>
        <v>14.224548726191662</v>
      </c>
      <c r="O126" s="24">
        <f t="shared" si="48"/>
        <v>-23.917614881077423</v>
      </c>
      <c r="Q126" s="24">
        <f t="shared" si="61"/>
        <v>3.772112523035085E-11</v>
      </c>
      <c r="R126" s="24">
        <f t="shared" si="62"/>
        <v>3.8768506004453511E-11</v>
      </c>
      <c r="S126" s="24">
        <f t="shared" si="63"/>
        <v>6.6122373741007923E-10</v>
      </c>
      <c r="T126" s="24">
        <f t="shared" si="64"/>
        <v>3.772112523035085E-11</v>
      </c>
      <c r="U126" s="24">
        <f t="shared" si="49"/>
        <v>-24.000800827474858</v>
      </c>
      <c r="V126" s="24">
        <f t="shared" si="53"/>
        <v>8.3185946397435373E-2</v>
      </c>
      <c r="X126" s="25">
        <f t="shared" si="65"/>
        <v>4.8273061778576954E-11</v>
      </c>
      <c r="Y126" s="25">
        <f t="shared" si="66"/>
        <v>4.9613529159514128E-11</v>
      </c>
      <c r="Z126" s="25">
        <f t="shared" si="67"/>
        <v>8.4613422012144059E-10</v>
      </c>
      <c r="AA126" s="25">
        <f t="shared" si="50"/>
        <v>4.8273061778576954E-11</v>
      </c>
      <c r="AB126" s="24">
        <f t="shared" si="51"/>
        <v>-23.754147438009277</v>
      </c>
      <c r="AC126" s="24">
        <f t="shared" si="52"/>
        <v>0.16346744306814642</v>
      </c>
    </row>
    <row r="127" spans="1:29" x14ac:dyDescent="0.3">
      <c r="A127">
        <v>134</v>
      </c>
      <c r="B127">
        <v>440.02</v>
      </c>
      <c r="C127">
        <v>35580</v>
      </c>
      <c r="D127">
        <v>1.5183188014587776</v>
      </c>
      <c r="E127">
        <v>34.957755884374336</v>
      </c>
      <c r="F127">
        <v>3.0392450524900622E-4</v>
      </c>
      <c r="G127" s="17">
        <f t="shared" si="54"/>
        <v>3.4551219767403454E-2</v>
      </c>
      <c r="H127" s="17">
        <f t="shared" si="55"/>
        <v>3.4558135944930513E-2</v>
      </c>
      <c r="J127">
        <f t="shared" si="56"/>
        <v>3.9669924617056386E-11</v>
      </c>
      <c r="K127" s="17">
        <f t="shared" si="57"/>
        <v>4.0776061297901163E-11</v>
      </c>
      <c r="L127" s="17">
        <f t="shared" si="58"/>
        <v>6.9265562986598933E-10</v>
      </c>
      <c r="M127" s="17">
        <f t="shared" si="59"/>
        <v>3.9669924617056386E-11</v>
      </c>
      <c r="N127">
        <f t="shared" si="60"/>
        <v>14.024852037811002</v>
      </c>
      <c r="O127">
        <f t="shared" si="48"/>
        <v>-23.950427781654774</v>
      </c>
      <c r="Q127">
        <f t="shared" si="61"/>
        <v>3.8196765698843671E-11</v>
      </c>
      <c r="R127">
        <f t="shared" si="62"/>
        <v>3.9261964750793777E-11</v>
      </c>
      <c r="S127">
        <f t="shared" si="63"/>
        <v>6.6685187098235606E-10</v>
      </c>
      <c r="T127">
        <f t="shared" si="64"/>
        <v>3.8196765698843671E-11</v>
      </c>
      <c r="U127">
        <f t="shared" si="49"/>
        <v>-23.988270271470057</v>
      </c>
      <c r="V127">
        <f t="shared" si="53"/>
        <v>3.7842489815282931E-2</v>
      </c>
      <c r="X127" s="17">
        <f t="shared" si="65"/>
        <v>4.0842239840652714E-11</v>
      </c>
      <c r="Y127" s="17">
        <f t="shared" si="66"/>
        <v>4.1981182987717839E-11</v>
      </c>
      <c r="Z127" s="17">
        <f t="shared" si="67"/>
        <v>7.1305575167664558E-10</v>
      </c>
      <c r="AA127" s="17">
        <f t="shared" si="50"/>
        <v>4.0842239840652714E-11</v>
      </c>
      <c r="AB127">
        <f t="shared" si="51"/>
        <v>-23.921304279849672</v>
      </c>
      <c r="AC127">
        <f t="shared" si="52"/>
        <v>2.9123501805102592E-2</v>
      </c>
    </row>
    <row r="128" spans="1:29" x14ac:dyDescent="0.3">
      <c r="A128">
        <v>135</v>
      </c>
      <c r="B128">
        <v>435.04999999999899</v>
      </c>
      <c r="C128">
        <v>4800</v>
      </c>
      <c r="D128">
        <v>1.5204554686148453</v>
      </c>
      <c r="E128">
        <v>4.5695684626196336</v>
      </c>
      <c r="F128">
        <v>5.9857856165043081E-4</v>
      </c>
      <c r="G128" s="17">
        <f t="shared" si="54"/>
        <v>3.4599842267769097E-2</v>
      </c>
      <c r="H128" s="17">
        <f t="shared" si="55"/>
        <v>3.4613463662308747E-2</v>
      </c>
      <c r="J128">
        <f t="shared" si="56"/>
        <v>6.1128294259186289E-11</v>
      </c>
      <c r="K128" s="17">
        <f t="shared" si="57"/>
        <v>6.2839993923498236E-11</v>
      </c>
      <c r="L128" s="17">
        <f t="shared" si="58"/>
        <v>1.0631095112450317E-9</v>
      </c>
      <c r="M128" s="17">
        <f t="shared" si="59"/>
        <v>6.1128294259186289E-11</v>
      </c>
      <c r="N128">
        <f t="shared" si="60"/>
        <v>14.123296377374498</v>
      </c>
      <c r="O128">
        <f t="shared" si="48"/>
        <v>-23.518046275774914</v>
      </c>
      <c r="Q128">
        <f t="shared" si="61"/>
        <v>5.243850766427848E-11</v>
      </c>
      <c r="R128">
        <f t="shared" si="62"/>
        <v>5.3907029397732144E-11</v>
      </c>
      <c r="S128">
        <f t="shared" si="63"/>
        <v>9.1189360832441063E-10</v>
      </c>
      <c r="T128">
        <f t="shared" si="64"/>
        <v>5.243850766427848E-11</v>
      </c>
      <c r="U128">
        <f t="shared" si="49"/>
        <v>-23.671379915403687</v>
      </c>
      <c r="V128">
        <f t="shared" si="53"/>
        <v>0.153333639628773</v>
      </c>
      <c r="X128" s="17">
        <f t="shared" si="65"/>
        <v>7.826855011440321E-11</v>
      </c>
      <c r="Y128" s="17">
        <f t="shared" si="66"/>
        <v>8.0460652509294173E-11</v>
      </c>
      <c r="Z128" s="17">
        <f t="shared" si="67"/>
        <v>1.3609448922563849E-9</v>
      </c>
      <c r="AA128" s="17">
        <f t="shared" si="50"/>
        <v>7.826855011440321E-11</v>
      </c>
      <c r="AB128">
        <f t="shared" si="51"/>
        <v>-23.270875252438184</v>
      </c>
      <c r="AC128">
        <f t="shared" si="52"/>
        <v>0.24717102333672969</v>
      </c>
    </row>
    <row r="129" spans="1:29" s="24" customFormat="1" x14ac:dyDescent="0.3">
      <c r="A129" s="24">
        <v>136</v>
      </c>
      <c r="B129" s="24">
        <v>453.6</v>
      </c>
      <c r="C129" s="24">
        <v>3600</v>
      </c>
      <c r="D129" s="24">
        <v>1.5231177011545745</v>
      </c>
      <c r="E129" s="24">
        <v>3.8479826892561095</v>
      </c>
      <c r="F129" s="24">
        <v>9.4754165885180502E-4</v>
      </c>
      <c r="G129" s="25">
        <f t="shared" si="54"/>
        <v>3.4660424657622757E-2</v>
      </c>
      <c r="H129" s="25">
        <f t="shared" si="55"/>
        <v>3.468198713848139E-2</v>
      </c>
      <c r="J129" s="24">
        <f t="shared" si="56"/>
        <v>1.0171275867624464E-10</v>
      </c>
      <c r="K129" s="25">
        <f t="shared" si="57"/>
        <v>1.0456553338156132E-10</v>
      </c>
      <c r="L129" s="25">
        <f t="shared" si="58"/>
        <v>1.7662428506035806E-9</v>
      </c>
      <c r="M129" s="25">
        <f t="shared" si="59"/>
        <v>1.0171275867624464E-10</v>
      </c>
      <c r="N129" s="24">
        <f t="shared" si="60"/>
        <v>13.762730525736306</v>
      </c>
      <c r="O129" s="24">
        <f t="shared" si="48"/>
        <v>-23.00886836669903</v>
      </c>
      <c r="Q129" s="24">
        <f t="shared" si="61"/>
        <v>7.8859084202622066E-11</v>
      </c>
      <c r="R129" s="24">
        <f t="shared" si="62"/>
        <v>8.1071321933833407E-11</v>
      </c>
      <c r="S129" s="24">
        <f t="shared" si="63"/>
        <v>1.369129009255002E-9</v>
      </c>
      <c r="T129" s="24">
        <f t="shared" si="64"/>
        <v>7.8859084202622066E-11</v>
      </c>
      <c r="U129" s="24">
        <f t="shared" si="49"/>
        <v>-23.263358600498286</v>
      </c>
      <c r="V129" s="24">
        <f t="shared" si="53"/>
        <v>0.25449023379925606</v>
      </c>
      <c r="X129" s="25">
        <f t="shared" si="65"/>
        <v>1.3795729438375228E-10</v>
      </c>
      <c r="Y129" s="25">
        <f t="shared" si="66"/>
        <v>1.418278759405329E-10</v>
      </c>
      <c r="Z129" s="25">
        <f t="shared" si="67"/>
        <v>2.394910655670329E-9</v>
      </c>
      <c r="AA129" s="25">
        <f t="shared" si="50"/>
        <v>1.3795729438375228E-10</v>
      </c>
      <c r="AB129" s="24">
        <f t="shared" si="51"/>
        <v>-22.704076939651578</v>
      </c>
      <c r="AC129" s="24">
        <f t="shared" si="52"/>
        <v>0.30479142704745144</v>
      </c>
    </row>
    <row r="130" spans="1:29" x14ac:dyDescent="0.3">
      <c r="A130">
        <v>137</v>
      </c>
      <c r="B130">
        <v>470</v>
      </c>
      <c r="C130">
        <v>20700</v>
      </c>
      <c r="D130">
        <v>1.5469264357299801</v>
      </c>
      <c r="E130">
        <v>24.406594611838276</v>
      </c>
      <c r="F130">
        <v>1.0171806266668084E-3</v>
      </c>
      <c r="G130" s="17">
        <f t="shared" si="54"/>
        <v>3.5202221821636175E-2</v>
      </c>
      <c r="H130" s="17">
        <f t="shared" si="55"/>
        <v>3.522536902322608E-2</v>
      </c>
      <c r="J130">
        <f t="shared" si="56"/>
        <v>1.595727711535095E-10</v>
      </c>
      <c r="K130" s="17">
        <f t="shared" si="57"/>
        <v>1.6408861530470571E-10</v>
      </c>
      <c r="L130" s="17">
        <f t="shared" si="58"/>
        <v>2.747947480013965E-9</v>
      </c>
      <c r="M130" s="17">
        <f t="shared" si="59"/>
        <v>1.595727711535095E-10</v>
      </c>
      <c r="N130">
        <f t="shared" si="60"/>
        <v>13.458950201884253</v>
      </c>
      <c r="O130">
        <f t="shared" si="48"/>
        <v>-22.55852105227542</v>
      </c>
      <c r="Q130">
        <f t="shared" si="61"/>
        <v>1.5326937363916036E-10</v>
      </c>
      <c r="R130">
        <f t="shared" si="62"/>
        <v>1.5760820790314621E-10</v>
      </c>
      <c r="S130">
        <f t="shared" si="63"/>
        <v>2.6386139486988352E-9</v>
      </c>
      <c r="T130">
        <f t="shared" si="64"/>
        <v>1.5326937363916036E-10</v>
      </c>
      <c r="U130">
        <f t="shared" si="49"/>
        <v>-22.598824130576045</v>
      </c>
      <c r="V130">
        <f t="shared" si="53"/>
        <v>4.0303078300624406E-2</v>
      </c>
      <c r="X130" s="17">
        <f t="shared" si="65"/>
        <v>1.6644532819164634E-10</v>
      </c>
      <c r="Y130" s="17">
        <f t="shared" si="66"/>
        <v>1.7115728149209296E-10</v>
      </c>
      <c r="Z130" s="17">
        <f t="shared" si="67"/>
        <v>2.8653824167710053E-9</v>
      </c>
      <c r="AA130" s="17">
        <f t="shared" si="50"/>
        <v>1.6644532819164634E-10</v>
      </c>
      <c r="AB130">
        <f t="shared" si="51"/>
        <v>-22.516354219639069</v>
      </c>
      <c r="AC130">
        <f t="shared" si="52"/>
        <v>4.2166832636350904E-2</v>
      </c>
    </row>
    <row r="131" spans="1:29" x14ac:dyDescent="0.3">
      <c r="A131">
        <v>138</v>
      </c>
      <c r="B131">
        <v>480.05999999999898</v>
      </c>
      <c r="C131">
        <v>3600</v>
      </c>
      <c r="D131">
        <v>1.5573154841745711</v>
      </c>
      <c r="E131">
        <v>4.4994551756543659</v>
      </c>
      <c r="F131">
        <v>2.9687616852095682E-3</v>
      </c>
      <c r="G131" s="17">
        <f t="shared" si="54"/>
        <v>3.543863745163324E-2</v>
      </c>
      <c r="H131" s="17">
        <f t="shared" si="55"/>
        <v>3.5506195290819692E-2</v>
      </c>
      <c r="J131">
        <f t="shared" si="56"/>
        <v>4.0483404688576217E-10</v>
      </c>
      <c r="K131" s="17">
        <f t="shared" si="57"/>
        <v>4.1642217294603047E-10</v>
      </c>
      <c r="L131" s="17">
        <f t="shared" si="58"/>
        <v>6.8974865156847465E-9</v>
      </c>
      <c r="M131" s="17">
        <f t="shared" si="59"/>
        <v>4.0483404688576217E-10</v>
      </c>
      <c r="N131">
        <f t="shared" si="60"/>
        <v>13.279154383448878</v>
      </c>
      <c r="O131">
        <f t="shared" si="48"/>
        <v>-21.627543893572792</v>
      </c>
      <c r="Q131">
        <f t="shared" si="61"/>
        <v>3.6531684391647544E-10</v>
      </c>
      <c r="R131">
        <f t="shared" si="62"/>
        <v>3.7577734236854768E-10</v>
      </c>
      <c r="S131">
        <f t="shared" si="63"/>
        <v>6.222235629333445E-9</v>
      </c>
      <c r="T131">
        <f t="shared" si="64"/>
        <v>3.6531684391647544E-10</v>
      </c>
      <c r="U131">
        <f t="shared" si="49"/>
        <v>-21.730256073372445</v>
      </c>
      <c r="V131">
        <f t="shared" si="53"/>
        <v>0.10271217979965286</v>
      </c>
      <c r="X131" s="17">
        <f t="shared" si="65"/>
        <v>5.210167270222552E-10</v>
      </c>
      <c r="Y131" s="17">
        <f t="shared" si="66"/>
        <v>5.3594526797402697E-10</v>
      </c>
      <c r="Z131" s="17">
        <f t="shared" si="67"/>
        <v>8.8688143420042549E-9</v>
      </c>
      <c r="AA131" s="17">
        <f t="shared" si="50"/>
        <v>5.210167270222552E-10</v>
      </c>
      <c r="AB131">
        <f t="shared" si="51"/>
        <v>-21.375238969081622</v>
      </c>
      <c r="AC131">
        <f t="shared" si="52"/>
        <v>0.25230492449117037</v>
      </c>
    </row>
    <row r="132" spans="1:29" x14ac:dyDescent="0.3">
      <c r="A132">
        <v>139</v>
      </c>
      <c r="B132">
        <v>490</v>
      </c>
      <c r="C132">
        <v>3600</v>
      </c>
      <c r="D132">
        <v>1.5777491989228956</v>
      </c>
      <c r="E132">
        <v>4.7598999471487575</v>
      </c>
      <c r="F132">
        <v>5.4346432180515563E-3</v>
      </c>
      <c r="G132" s="17">
        <f t="shared" ref="G132:G140" si="68">D132/$D$141</f>
        <v>3.5903631870628422E-2</v>
      </c>
      <c r="H132" s="17">
        <f t="shared" ref="H132:H140" si="69">(D132+F132)/$D$141</f>
        <v>3.6027303889972398E-2</v>
      </c>
      <c r="J132">
        <f t="shared" ref="J132:J140" si="70">((G132^2-G131^2)*PI())/(36*C132)</f>
        <v>8.0415456414707611E-10</v>
      </c>
      <c r="K132" s="17">
        <f t="shared" ref="K132:K140" si="71">(1/(PI()*PI()*C132))*(-(G132-G131)*PI()*PI()/3-2*PI()*(SQRT(1-PI()/3*G132)-SQRT(1-PI()/3*G131)))</f>
        <v>8.2740917598070387E-10</v>
      </c>
      <c r="L132" s="17">
        <f t="shared" ref="L132:L140" si="72">(1/(PI()^2*C132))*LN((1-G131)/(1-G132))</f>
        <v>1.3571265158242658E-8</v>
      </c>
      <c r="M132" s="17">
        <f t="shared" ref="M132:M163" si="73">(G132&lt;0.05)*J132+((G132&gt;=0.05)*(G132&lt;0.9))*K132+(G132&gt;=0.9)*L132</f>
        <v>8.0415456414707611E-10</v>
      </c>
      <c r="N132">
        <f t="shared" ref="N132:N140" si="74">10000/(273+B132)</f>
        <v>13.106159895150721</v>
      </c>
      <c r="O132">
        <f t="shared" si="48"/>
        <v>-20.94122962126206</v>
      </c>
      <c r="Q132">
        <f t="shared" ref="Q132:Q140" si="75">((G132^2-H131^2)*PI())/(36*C132)</f>
        <v>6.8797188401058308E-10</v>
      </c>
      <c r="R132">
        <f t="shared" ref="R132:R140" si="76">(1/(PI()*PI()*C132))*(-(G132-H131)*PI()*PI()/3-2*PI()*(SQRT(1-PI()/3*G132)-SQRT(1-PI()/3*H131)))</f>
        <v>7.0788608095270737E-10</v>
      </c>
      <c r="S132">
        <f t="shared" ref="S132:S140" si="77">(1/(PI()^2*C132))*LN((1-H131)/(1-G132))</f>
        <v>1.1599937331930819E-8</v>
      </c>
      <c r="T132">
        <f t="shared" ref="T132:T163" si="78">(G132&lt;0.05)*Q132+((G132&gt;=0.05)*(G132&lt;0.9))*R132+(G132&gt;=0.9)*S132</f>
        <v>6.8797188401058308E-10</v>
      </c>
      <c r="U132">
        <f t="shared" si="49"/>
        <v>-21.09727314509394</v>
      </c>
      <c r="V132">
        <f t="shared" si="53"/>
        <v>0.15604352383187958</v>
      </c>
      <c r="X132" s="17">
        <f t="shared" ref="X132:X140" si="79">((H132^2-G131^2)*PI())/(36*C132)</f>
        <v>1.019795909868424E-9</v>
      </c>
      <c r="Y132" s="17">
        <f t="shared" ref="Y132:Y140" si="80">(1/(PI()*PI()*C132))*(-(H132-G131)*PI()*PI()/3-2*PI()*(SQRT(1-PI()/3*H132)-SQRT(1-PI()/3*G131)))</f>
        <v>1.0493394959501199E-9</v>
      </c>
      <c r="Z132" s="17">
        <f t="shared" ref="Z132:Z140" si="81">(1/(PI()^2*C132))*LN((1-G131)/(1-H132))</f>
        <v>1.718184219530088E-8</v>
      </c>
      <c r="AA132" s="17">
        <f t="shared" si="50"/>
        <v>1.019795909868424E-9</v>
      </c>
      <c r="AB132">
        <f t="shared" si="51"/>
        <v>-20.70366331803487</v>
      </c>
      <c r="AC132">
        <f t="shared" si="52"/>
        <v>0.23756630322719019</v>
      </c>
    </row>
    <row r="133" spans="1:29" x14ac:dyDescent="0.3">
      <c r="A133">
        <v>140</v>
      </c>
      <c r="B133">
        <v>497.47</v>
      </c>
      <c r="C133">
        <v>3600</v>
      </c>
      <c r="D133">
        <v>1.6291122121677299</v>
      </c>
      <c r="E133">
        <v>4.961308370081591</v>
      </c>
      <c r="F133">
        <v>1.2966173911822062E-2</v>
      </c>
      <c r="G133" s="17">
        <f t="shared" si="68"/>
        <v>3.707246068104246E-2</v>
      </c>
      <c r="H133" s="17">
        <f t="shared" si="69"/>
        <v>3.7367521984333511E-2</v>
      </c>
      <c r="J133">
        <f t="shared" si="70"/>
        <v>2.0676469485456612E-9</v>
      </c>
      <c r="K133" s="17">
        <f t="shared" si="71"/>
        <v>2.1288585067434257E-9</v>
      </c>
      <c r="L133" s="17">
        <f t="shared" si="72"/>
        <v>3.4142208330134588E-8</v>
      </c>
      <c r="M133" s="17">
        <f t="shared" si="73"/>
        <v>2.0676469485456612E-9</v>
      </c>
      <c r="N133">
        <f t="shared" si="74"/>
        <v>12.979090684906614</v>
      </c>
      <c r="O133">
        <f t="shared" ref="O133:O140" si="82">LN(M133)</f>
        <v>-19.996854616080913</v>
      </c>
      <c r="Q133">
        <f t="shared" si="75"/>
        <v>1.8520056028243134E-9</v>
      </c>
      <c r="R133">
        <f t="shared" si="76"/>
        <v>1.9069281867740098E-9</v>
      </c>
      <c r="S133">
        <f t="shared" si="77"/>
        <v>3.0531631293080087E-8</v>
      </c>
      <c r="T133">
        <f t="shared" si="78"/>
        <v>1.8520056028243134E-9</v>
      </c>
      <c r="U133">
        <f t="shared" ref="U133:U140" si="83">LN(T133)</f>
        <v>-20.106996675443892</v>
      </c>
      <c r="V133">
        <f t="shared" ref="V133:V140" si="84">IFERROR(O133-U133,5)</f>
        <v>0.11014205936297827</v>
      </c>
      <c r="X133" s="17">
        <f t="shared" si="79"/>
        <v>2.6000780186307996E-9</v>
      </c>
      <c r="Y133" s="17">
        <f t="shared" si="80"/>
        <v>2.6773773705840104E-9</v>
      </c>
      <c r="Z133" s="17">
        <f t="shared" si="81"/>
        <v>4.2767681918586357E-8</v>
      </c>
      <c r="AA133" s="17">
        <f t="shared" ref="AA133:AA140" si="85">(H133&lt;0.05)*X133+((H133&gt;=0.05)*(H133&lt;0.9))*Y133+(H133&gt;=0.9)*Z133</f>
        <v>2.6000780186307996E-9</v>
      </c>
      <c r="AB133">
        <f t="shared" ref="AB133:AB140" si="86">LN(AA133)</f>
        <v>-19.76772438520349</v>
      </c>
      <c r="AC133">
        <f t="shared" ref="AC133:AC140" si="87">AB133-O133</f>
        <v>0.22913023087742346</v>
      </c>
    </row>
    <row r="134" spans="1:29" s="19" customFormat="1" x14ac:dyDescent="0.3">
      <c r="A134" s="19">
        <v>141</v>
      </c>
      <c r="B134" s="19">
        <v>24</v>
      </c>
      <c r="C134" s="19">
        <v>60</v>
      </c>
      <c r="D134" s="19">
        <v>2.7840595949986797</v>
      </c>
      <c r="E134" s="19">
        <v>1.8268529538655677E-4</v>
      </c>
      <c r="F134" s="19">
        <v>-1.1551584132868995</v>
      </c>
      <c r="G134" s="21">
        <f t="shared" si="68"/>
        <v>6.3354714978123963E-2</v>
      </c>
      <c r="H134" s="21">
        <f t="shared" si="69"/>
        <v>3.706765842235072E-2</v>
      </c>
      <c r="J134" s="19">
        <f t="shared" si="70"/>
        <v>3.8389281482900222E-6</v>
      </c>
      <c r="K134" s="21">
        <f t="shared" si="71"/>
        <v>4.0012376230891304E-6</v>
      </c>
      <c r="L134" s="21">
        <f t="shared" si="72"/>
        <v>4.6731893677193822E-5</v>
      </c>
      <c r="M134" s="21">
        <f t="shared" si="73"/>
        <v>4.0012376230891304E-6</v>
      </c>
      <c r="N134" s="19">
        <f t="shared" si="74"/>
        <v>33.670033670033668</v>
      </c>
      <c r="O134" s="19">
        <f t="shared" si="82"/>
        <v>-12.428906838928196</v>
      </c>
      <c r="Q134" s="19">
        <f t="shared" si="75"/>
        <v>3.8069822840849132E-6</v>
      </c>
      <c r="R134" s="19">
        <f t="shared" si="76"/>
        <v>3.9683264912586884E-6</v>
      </c>
      <c r="S134" s="19">
        <f t="shared" si="77"/>
        <v>4.6214365261886677E-5</v>
      </c>
      <c r="T134" s="19">
        <f t="shared" si="78"/>
        <v>3.9683264912586884E-6</v>
      </c>
      <c r="U134" s="19">
        <f t="shared" si="83"/>
        <v>-12.437166090863371</v>
      </c>
      <c r="V134" s="19">
        <f t="shared" si="84"/>
        <v>8.2592519351756266E-3</v>
      </c>
      <c r="X134" s="21">
        <f t="shared" si="79"/>
        <v>-5.1783923469364399E-10</v>
      </c>
      <c r="Y134" s="21">
        <f t="shared" si="80"/>
        <v>-5.3342089297699928E-10</v>
      </c>
      <c r="Z134" s="21">
        <f t="shared" si="81"/>
        <v>-8.4217019044306045E-9</v>
      </c>
      <c r="AA134" s="21">
        <f t="shared" si="85"/>
        <v>-5.1783923469364399E-10</v>
      </c>
      <c r="AB134" s="19" t="e">
        <f t="shared" si="86"/>
        <v>#NUM!</v>
      </c>
      <c r="AC134" s="19" t="e">
        <f t="shared" si="87"/>
        <v>#NUM!</v>
      </c>
    </row>
    <row r="135" spans="1:29" s="19" customFormat="1" x14ac:dyDescent="0.3">
      <c r="A135" s="19">
        <v>142</v>
      </c>
      <c r="B135" s="19">
        <v>400</v>
      </c>
      <c r="C135" s="19">
        <v>20640</v>
      </c>
      <c r="D135" s="19">
        <v>4.2089411918814292</v>
      </c>
      <c r="E135" s="19">
        <v>15.545433671830232</v>
      </c>
      <c r="F135" s="19">
        <v>9.7960750365407231E-2</v>
      </c>
      <c r="G135" s="21">
        <f t="shared" si="68"/>
        <v>9.5779655740975536E-2</v>
      </c>
      <c r="H135" s="21">
        <f t="shared" si="69"/>
        <v>9.8008873617486725E-2</v>
      </c>
      <c r="J135" s="19">
        <f t="shared" si="70"/>
        <v>2.1816288163504058E-8</v>
      </c>
      <c r="K135" s="21">
        <f t="shared" si="71"/>
        <v>2.330521144268966E-8</v>
      </c>
      <c r="L135" s="21">
        <f t="shared" si="72"/>
        <v>1.7295080155735569E-7</v>
      </c>
      <c r="M135" s="21">
        <f t="shared" si="73"/>
        <v>2.330521144268966E-8</v>
      </c>
      <c r="N135" s="19">
        <f t="shared" si="74"/>
        <v>14.858841010401189</v>
      </c>
      <c r="O135" s="19">
        <f t="shared" si="82"/>
        <v>-17.57458883431628</v>
      </c>
      <c r="Q135" s="19">
        <f t="shared" si="75"/>
        <v>3.2977468359796834E-8</v>
      </c>
      <c r="R135" s="19">
        <f t="shared" si="76"/>
        <v>3.4938266803102851E-8</v>
      </c>
      <c r="S135" s="19">
        <f t="shared" si="77"/>
        <v>3.0882381138031551E-7</v>
      </c>
      <c r="T135" s="19">
        <f t="shared" si="78"/>
        <v>3.4938266803102851E-8</v>
      </c>
      <c r="U135" s="19">
        <f t="shared" si="83"/>
        <v>-17.16968313841927</v>
      </c>
      <c r="V135" s="19">
        <f t="shared" si="84"/>
        <v>-0.40490569589701053</v>
      </c>
      <c r="X135" s="21">
        <f t="shared" si="79"/>
        <v>2.3642782218485566E-8</v>
      </c>
      <c r="Y135" s="21">
        <f t="shared" si="80"/>
        <v>2.5283612403923704E-8</v>
      </c>
      <c r="Z135" s="21">
        <f t="shared" si="81"/>
        <v>1.8506806915382522E-7</v>
      </c>
      <c r="AA135" s="21">
        <f t="shared" si="85"/>
        <v>2.5283612403923704E-8</v>
      </c>
      <c r="AB135" s="19">
        <f t="shared" si="86"/>
        <v>-17.493109382151545</v>
      </c>
      <c r="AC135" s="19">
        <f t="shared" si="87"/>
        <v>8.1479452164735733E-2</v>
      </c>
    </row>
    <row r="136" spans="1:29" s="19" customFormat="1" x14ac:dyDescent="0.3">
      <c r="A136" s="19">
        <v>143</v>
      </c>
      <c r="B136" s="19">
        <v>400</v>
      </c>
      <c r="C136" s="19">
        <v>10800</v>
      </c>
      <c r="D136" s="19">
        <v>4.2116327004738672</v>
      </c>
      <c r="E136" s="19">
        <v>8.1342385492134941</v>
      </c>
      <c r="F136" s="19">
        <v>3.7726641376947123E-4</v>
      </c>
      <c r="G136" s="21">
        <f t="shared" si="68"/>
        <v>9.5840904343570607E-2</v>
      </c>
      <c r="H136" s="21">
        <f t="shared" si="69"/>
        <v>9.5849489506818597E-2</v>
      </c>
      <c r="J136" s="19">
        <f t="shared" si="70"/>
        <v>9.4833527729099168E-11</v>
      </c>
      <c r="K136" s="21">
        <f t="shared" si="71"/>
        <v>1.0262392247510617E-10</v>
      </c>
      <c r="L136" s="21">
        <f t="shared" si="72"/>
        <v>6.3549643529724463E-10</v>
      </c>
      <c r="M136" s="21">
        <f t="shared" si="73"/>
        <v>1.0262392247510617E-10</v>
      </c>
      <c r="N136" s="19">
        <f t="shared" si="74"/>
        <v>14.858841010401189</v>
      </c>
      <c r="O136" s="19">
        <f t="shared" si="82"/>
        <v>-22.999950047844635</v>
      </c>
      <c r="Q136" s="19">
        <f t="shared" si="75"/>
        <v>-3.3957995551244559E-9</v>
      </c>
      <c r="R136" s="19">
        <f t="shared" si="76"/>
        <v>-3.6783201367720422E-9</v>
      </c>
      <c r="S136" s="19">
        <f t="shared" si="77"/>
        <v>-2.2521948304622735E-8</v>
      </c>
      <c r="T136" s="19">
        <f t="shared" si="78"/>
        <v>-3.6783201367720422E-9</v>
      </c>
      <c r="U136" s="19" t="e">
        <f t="shared" si="83"/>
        <v>#NUM!</v>
      </c>
      <c r="V136" s="19">
        <f t="shared" si="84"/>
        <v>5</v>
      </c>
      <c r="X136" s="21">
        <f t="shared" si="79"/>
        <v>1.0813110503776168E-10</v>
      </c>
      <c r="Y136" s="21">
        <f t="shared" si="80"/>
        <v>1.1701430532265091E-10</v>
      </c>
      <c r="Z136" s="21">
        <f t="shared" si="81"/>
        <v>7.2457685676539838E-10</v>
      </c>
      <c r="AA136" s="21">
        <f t="shared" si="85"/>
        <v>1.1701430532265091E-10</v>
      </c>
      <c r="AB136" s="19">
        <f t="shared" si="86"/>
        <v>-22.868724920889914</v>
      </c>
      <c r="AC136" s="19">
        <f t="shared" si="87"/>
        <v>0.13122512695472111</v>
      </c>
    </row>
    <row r="137" spans="1:29" s="19" customFormat="1" x14ac:dyDescent="0.3">
      <c r="A137" s="19">
        <v>144</v>
      </c>
      <c r="B137" s="19">
        <v>399.97</v>
      </c>
      <c r="C137" s="19">
        <v>10800</v>
      </c>
      <c r="D137" s="19">
        <v>4.2146173294553098</v>
      </c>
      <c r="E137" s="19">
        <v>8.132531971920745</v>
      </c>
      <c r="F137" s="19">
        <v>4.184529411424354E-4</v>
      </c>
      <c r="G137" s="21">
        <f t="shared" si="68"/>
        <v>9.5908823262682269E-2</v>
      </c>
      <c r="H137" s="21">
        <f t="shared" si="69"/>
        <v>9.591834567623457E-2</v>
      </c>
      <c r="J137" s="19">
        <f t="shared" si="70"/>
        <v>1.0523231823473358E-10</v>
      </c>
      <c r="K137" s="21">
        <f t="shared" si="71"/>
        <v>1.1388331832332175E-10</v>
      </c>
      <c r="L137" s="21">
        <f t="shared" si="72"/>
        <v>7.0475590198165022E-10</v>
      </c>
      <c r="M137" s="21">
        <f t="shared" si="73"/>
        <v>1.1388331832332175E-10</v>
      </c>
      <c r="N137" s="19">
        <f t="shared" si="74"/>
        <v>14.859503395396525</v>
      </c>
      <c r="O137" s="19">
        <f t="shared" si="82"/>
        <v>-22.895846715171533</v>
      </c>
      <c r="Q137" s="19">
        <f t="shared" si="75"/>
        <v>9.1934740926071071E-11</v>
      </c>
      <c r="R137" s="19">
        <f t="shared" si="76"/>
        <v>9.9492935475777013E-11</v>
      </c>
      <c r="S137" s="19">
        <f t="shared" si="77"/>
        <v>6.1567548051260601E-10</v>
      </c>
      <c r="T137" s="19">
        <f t="shared" si="78"/>
        <v>9.9492935475777013E-11</v>
      </c>
      <c r="U137" s="19">
        <f t="shared" si="83"/>
        <v>-23.030934474528085</v>
      </c>
      <c r="V137" s="19">
        <f t="shared" si="84"/>
        <v>0.13508775935655137</v>
      </c>
      <c r="X137" s="21">
        <f t="shared" si="79"/>
        <v>1.1999212842273334E-10</v>
      </c>
      <c r="Y137" s="21">
        <f t="shared" si="80"/>
        <v>1.2985704680958945E-10</v>
      </c>
      <c r="Z137" s="21">
        <f t="shared" si="81"/>
        <v>8.0356879031708814E-10</v>
      </c>
      <c r="AA137" s="21">
        <f t="shared" si="85"/>
        <v>1.2985704680958945E-10</v>
      </c>
      <c r="AB137" s="19">
        <f t="shared" si="86"/>
        <v>-22.764586910446781</v>
      </c>
      <c r="AC137" s="19">
        <f t="shared" si="87"/>
        <v>0.13125980472475263</v>
      </c>
    </row>
    <row r="138" spans="1:29" s="19" customFormat="1" x14ac:dyDescent="0.3">
      <c r="A138" s="19">
        <v>145</v>
      </c>
      <c r="B138" s="19">
        <v>400.12</v>
      </c>
      <c r="C138" s="19">
        <v>22560</v>
      </c>
      <c r="D138" s="19">
        <v>4.2221446330714354</v>
      </c>
      <c r="E138" s="19">
        <v>17.005784565893549</v>
      </c>
      <c r="F138" s="19">
        <v>4.7028645082260271E-4</v>
      </c>
      <c r="G138" s="21">
        <f t="shared" si="68"/>
        <v>9.6080116354256215E-2</v>
      </c>
      <c r="H138" s="21">
        <f t="shared" si="69"/>
        <v>9.6090818303346495E-2</v>
      </c>
      <c r="J138" s="19">
        <f t="shared" si="70"/>
        <v>1.2721090267516075E-10</v>
      </c>
      <c r="K138" s="21">
        <f t="shared" si="71"/>
        <v>1.3768298452294596E-10</v>
      </c>
      <c r="L138" s="21">
        <f t="shared" si="72"/>
        <v>8.5100070746229934E-10</v>
      </c>
      <c r="M138" s="21">
        <f t="shared" si="73"/>
        <v>1.3768298452294596E-10</v>
      </c>
      <c r="N138" s="19">
        <f t="shared" si="74"/>
        <v>14.856192060850963</v>
      </c>
      <c r="O138" s="19">
        <f t="shared" si="82"/>
        <v>-22.706067287016271</v>
      </c>
      <c r="Q138" s="19">
        <f t="shared" si="75"/>
        <v>1.2014503609579917E-10</v>
      </c>
      <c r="R138" s="19">
        <f t="shared" si="76"/>
        <v>1.3003598684334971E-10</v>
      </c>
      <c r="S138" s="19">
        <f t="shared" si="77"/>
        <v>8.0369666517356385E-10</v>
      </c>
      <c r="T138" s="19">
        <f t="shared" si="78"/>
        <v>1.3003598684334971E-10</v>
      </c>
      <c r="U138" s="19">
        <f t="shared" si="83"/>
        <v>-22.763209881909148</v>
      </c>
      <c r="V138" s="19">
        <f t="shared" si="84"/>
        <v>5.7142594892876986E-2</v>
      </c>
      <c r="X138" s="21">
        <f t="shared" si="79"/>
        <v>1.3516624476706817E-10</v>
      </c>
      <c r="Y138" s="21">
        <f t="shared" si="80"/>
        <v>1.4629389335380692E-10</v>
      </c>
      <c r="Z138" s="21">
        <f t="shared" si="81"/>
        <v>9.0417438177297423E-10</v>
      </c>
      <c r="AA138" s="21">
        <f t="shared" si="85"/>
        <v>1.4629389335380692E-10</v>
      </c>
      <c r="AB138" s="19">
        <f t="shared" si="86"/>
        <v>-22.645403549349115</v>
      </c>
      <c r="AC138" s="19">
        <f t="shared" si="87"/>
        <v>6.0663737667155715E-2</v>
      </c>
    </row>
    <row r="139" spans="1:29" s="19" customFormat="1" x14ac:dyDescent="0.3">
      <c r="A139" s="19">
        <v>146</v>
      </c>
      <c r="B139" s="19">
        <v>400.01</v>
      </c>
      <c r="C139" s="19">
        <v>10800</v>
      </c>
      <c r="D139" s="19">
        <v>4.2221446330714354</v>
      </c>
      <c r="E139" s="19">
        <v>8.1348074576654561</v>
      </c>
      <c r="F139" s="19">
        <v>0</v>
      </c>
      <c r="G139" s="21">
        <f t="shared" si="68"/>
        <v>9.6080116354256215E-2</v>
      </c>
      <c r="H139" s="21">
        <f t="shared" si="69"/>
        <v>9.6080116354256215E-2</v>
      </c>
      <c r="J139" s="19">
        <f t="shared" si="70"/>
        <v>0</v>
      </c>
      <c r="K139" s="21">
        <f t="shared" si="71"/>
        <v>0</v>
      </c>
      <c r="L139" s="21">
        <f t="shared" si="72"/>
        <v>0</v>
      </c>
      <c r="M139" s="21">
        <f t="shared" si="73"/>
        <v>0</v>
      </c>
      <c r="N139" s="19">
        <f t="shared" si="74"/>
        <v>14.858620228525579</v>
      </c>
      <c r="O139" s="19" t="e">
        <f t="shared" si="82"/>
        <v>#NUM!</v>
      </c>
      <c r="Q139" s="19">
        <f t="shared" si="75"/>
        <v>-1.6617825703095483E-11</v>
      </c>
      <c r="R139" s="19">
        <f t="shared" si="76"/>
        <v>-1.7987231780020527E-11</v>
      </c>
      <c r="S139" s="19">
        <f t="shared" si="77"/>
        <v>-1.1107389744879593E-10</v>
      </c>
      <c r="T139" s="19">
        <f t="shared" si="78"/>
        <v>-1.7987231780020527E-11</v>
      </c>
      <c r="U139" s="19" t="e">
        <f t="shared" si="83"/>
        <v>#NUM!</v>
      </c>
      <c r="V139" s="19">
        <f t="shared" si="84"/>
        <v>5</v>
      </c>
      <c r="X139" s="21">
        <f t="shared" si="79"/>
        <v>0</v>
      </c>
      <c r="Y139" s="21">
        <f t="shared" si="80"/>
        <v>0</v>
      </c>
      <c r="Z139" s="21">
        <f t="shared" si="81"/>
        <v>0</v>
      </c>
      <c r="AA139" s="21">
        <f t="shared" si="85"/>
        <v>0</v>
      </c>
      <c r="AB139" s="19" t="e">
        <f t="shared" si="86"/>
        <v>#NUM!</v>
      </c>
      <c r="AC139" s="19" t="e">
        <f t="shared" si="87"/>
        <v>#NUM!</v>
      </c>
    </row>
    <row r="140" spans="1:29" s="19" customFormat="1" x14ac:dyDescent="0.3">
      <c r="A140" s="19">
        <v>147</v>
      </c>
      <c r="B140" s="19">
        <v>400.01</v>
      </c>
      <c r="C140" s="19">
        <v>10800</v>
      </c>
      <c r="D140" s="19">
        <v>4.2241253360228326</v>
      </c>
      <c r="E140" s="19">
        <v>8.1348074576654561</v>
      </c>
      <c r="F140" s="19">
        <v>2.7761126886042073E-4</v>
      </c>
      <c r="G140" s="21">
        <f t="shared" si="68"/>
        <v>9.6125189696496277E-2</v>
      </c>
      <c r="H140" s="21">
        <f t="shared" si="69"/>
        <v>9.6131507083826964E-2</v>
      </c>
      <c r="J140" s="19">
        <f t="shared" si="70"/>
        <v>7.0001726563762263E-11</v>
      </c>
      <c r="K140" s="21">
        <f t="shared" si="71"/>
        <v>7.5771405684693172E-11</v>
      </c>
      <c r="L140" s="21">
        <f t="shared" si="72"/>
        <v>4.6781823944732513E-10</v>
      </c>
      <c r="M140" s="21">
        <f t="shared" si="73"/>
        <v>7.5771405684693172E-11</v>
      </c>
      <c r="N140" s="19">
        <f t="shared" si="74"/>
        <v>14.858620228525579</v>
      </c>
      <c r="O140" s="19">
        <f t="shared" si="82"/>
        <v>-23.303300128161929</v>
      </c>
      <c r="Q140" s="19">
        <f t="shared" si="75"/>
        <v>7.0001726563762263E-11</v>
      </c>
      <c r="R140" s="19">
        <f t="shared" si="76"/>
        <v>7.5771405684693172E-11</v>
      </c>
      <c r="S140" s="19">
        <f t="shared" si="77"/>
        <v>4.6781823944732513E-10</v>
      </c>
      <c r="T140" s="19">
        <f t="shared" si="78"/>
        <v>7.5771405684693172E-11</v>
      </c>
      <c r="U140" s="19">
        <f t="shared" si="83"/>
        <v>-23.303300128161929</v>
      </c>
      <c r="V140" s="19">
        <f t="shared" si="84"/>
        <v>0</v>
      </c>
      <c r="X140" s="21">
        <f t="shared" si="79"/>
        <v>7.9815648471377412E-11</v>
      </c>
      <c r="Y140" s="21">
        <f t="shared" si="80"/>
        <v>8.6394446462710261E-11</v>
      </c>
      <c r="Z140" s="21">
        <f t="shared" si="81"/>
        <v>5.3338854969309656E-10</v>
      </c>
      <c r="AA140" s="21">
        <f t="shared" si="85"/>
        <v>8.6394446462710261E-11</v>
      </c>
      <c r="AB140" s="19">
        <f t="shared" si="86"/>
        <v>-23.172097719236362</v>
      </c>
      <c r="AC140" s="19">
        <f t="shared" si="87"/>
        <v>0.13120240892556723</v>
      </c>
    </row>
    <row r="141" spans="1:29" x14ac:dyDescent="0.3">
      <c r="A141" s="32" t="s">
        <v>305</v>
      </c>
      <c r="D141">
        <f>(0.8*54.93)</f>
        <v>43.944000000000003</v>
      </c>
      <c r="I141">
        <f>0.0002*8</f>
        <v>1.6000000000000001E-3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Reduced112123SalAspIrr</vt:lpstr>
      <vt:lpstr>Diffusivities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Thyer, Benjamin J.</cp:lastModifiedBy>
  <dcterms:created xsi:type="dcterms:W3CDTF">2025-02-27T01:36:29Z</dcterms:created>
  <dcterms:modified xsi:type="dcterms:W3CDTF">2026-08-01T18:20:17Z</dcterms:modified>
</cp:coreProperties>
</file>