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itories\DissertationBJT\Chapter3\Tables\"/>
    </mc:Choice>
  </mc:AlternateContent>
  <xr:revisionPtr revIDLastSave="0" documentId="13_ncr:1_{63F3D011-027B-4DAD-9BB5-73FDD10B4358}" xr6:coauthVersionLast="47" xr6:coauthVersionMax="47" xr10:uidLastSave="{00000000-0000-0000-0000-000000000000}"/>
  <bookViews>
    <workbookView xWindow="28680" yWindow="-3045" windowWidth="29040" windowHeight="15720" xr2:uid="{096C4AEC-DA9D-4CBA-89D4-9826CEB9125D}"/>
  </bookViews>
  <sheets>
    <sheet name="ReducedBigLVCOPy230707" sheetId="1" r:id="rId1"/>
    <sheet name="Diffusivities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W4" i="1" l="1"/>
  <c r="AA4" i="1" s="1"/>
  <c r="W5" i="1"/>
  <c r="AA5" i="1" s="1"/>
  <c r="W6" i="1"/>
  <c r="AA6" i="1" s="1"/>
  <c r="W7" i="1"/>
  <c r="AA7" i="1" s="1"/>
  <c r="W8" i="1"/>
  <c r="AA8" i="1"/>
  <c r="W9" i="1"/>
  <c r="AA9" i="1" s="1"/>
  <c r="W10" i="1"/>
  <c r="AA10" i="1" s="1"/>
  <c r="W11" i="1"/>
  <c r="AA11" i="1" s="1"/>
  <c r="W12" i="1"/>
  <c r="AA12" i="1"/>
  <c r="W13" i="1"/>
  <c r="AA13" i="1" s="1"/>
  <c r="W14" i="1"/>
  <c r="AA14" i="1" s="1"/>
  <c r="W15" i="1"/>
  <c r="AA15" i="1" s="1"/>
  <c r="W16" i="1"/>
  <c r="AA16" i="1"/>
  <c r="W17" i="1"/>
  <c r="AA17" i="1" s="1"/>
  <c r="W18" i="1"/>
  <c r="AA18" i="1" s="1"/>
  <c r="W19" i="1"/>
  <c r="AA19" i="1" s="1"/>
  <c r="W20" i="1"/>
  <c r="AA20" i="1"/>
  <c r="W21" i="1"/>
  <c r="AA21" i="1" s="1"/>
  <c r="W22" i="1"/>
  <c r="AA22" i="1" s="1"/>
  <c r="W23" i="1"/>
  <c r="AA23" i="1" s="1"/>
  <c r="W24" i="1"/>
  <c r="AA24" i="1"/>
  <c r="W25" i="1"/>
  <c r="AA25" i="1" s="1"/>
  <c r="W26" i="1"/>
  <c r="AA26" i="1" s="1"/>
  <c r="W27" i="1"/>
  <c r="AA27" i="1" s="1"/>
  <c r="W28" i="1"/>
  <c r="AA28" i="1"/>
  <c r="W29" i="1"/>
  <c r="AA29" i="1" s="1"/>
  <c r="W30" i="1"/>
  <c r="AA30" i="1" s="1"/>
  <c r="W31" i="1"/>
  <c r="AA31" i="1" s="1"/>
  <c r="W32" i="1"/>
  <c r="AA32" i="1"/>
  <c r="W33" i="1"/>
  <c r="AA33" i="1" s="1"/>
  <c r="W3" i="1"/>
  <c r="AA3" i="1" s="1"/>
  <c r="G34" i="1"/>
  <c r="D36" i="2"/>
  <c r="C4" i="2" a="1"/>
  <c r="C4" i="2" s="1"/>
  <c r="B4" i="2" a="1"/>
  <c r="B4" i="2" s="1"/>
  <c r="N4" i="2" s="1"/>
  <c r="A4" i="2" a="1"/>
  <c r="A4" i="2" s="1"/>
  <c r="O30" i="1"/>
  <c r="O29" i="1"/>
  <c r="O21" i="1"/>
  <c r="O20" i="1"/>
  <c r="O19" i="1"/>
  <c r="O14" i="1"/>
  <c r="O13" i="1"/>
  <c r="O5" i="1"/>
  <c r="N33" i="1"/>
  <c r="O33" i="1" s="1"/>
  <c r="N32" i="1"/>
  <c r="O32" i="1" s="1"/>
  <c r="N31" i="1"/>
  <c r="O31" i="1" s="1"/>
  <c r="N30" i="1"/>
  <c r="N29" i="1"/>
  <c r="N28" i="1"/>
  <c r="O28" i="1" s="1"/>
  <c r="N27" i="1"/>
  <c r="O27" i="1" s="1"/>
  <c r="N26" i="1"/>
  <c r="O26" i="1" s="1"/>
  <c r="N25" i="1"/>
  <c r="O25" i="1" s="1"/>
  <c r="N24" i="1"/>
  <c r="O24" i="1" s="1"/>
  <c r="N23" i="1"/>
  <c r="O23" i="1" s="1"/>
  <c r="N22" i="1"/>
  <c r="O22" i="1" s="1"/>
  <c r="N21" i="1"/>
  <c r="N20" i="1"/>
  <c r="N19" i="1"/>
  <c r="N18" i="1"/>
  <c r="O18" i="1" s="1"/>
  <c r="N17" i="1"/>
  <c r="O17" i="1" s="1"/>
  <c r="N16" i="1"/>
  <c r="O16" i="1" s="1"/>
  <c r="N15" i="1"/>
  <c r="O15" i="1" s="1"/>
  <c r="N14" i="1"/>
  <c r="N13" i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N4" i="1"/>
  <c r="O4" i="1" s="1"/>
  <c r="S3" i="1"/>
  <c r="T3" i="1" s="1"/>
  <c r="N3" i="1"/>
  <c r="O3" i="1" s="1"/>
  <c r="P3" i="1" s="1"/>
  <c r="N2" i="1"/>
  <c r="O2" i="1" s="1"/>
  <c r="Q2" i="1" s="1"/>
  <c r="V3" i="1" s="1"/>
  <c r="Z3" i="1" s="1"/>
  <c r="N21" i="2" l="1"/>
  <c r="S4" i="1"/>
  <c r="T4" i="1" s="1"/>
  <c r="N20" i="2"/>
  <c r="N5" i="2"/>
  <c r="N12" i="2"/>
  <c r="N13" i="2"/>
  <c r="N6" i="2"/>
  <c r="N14" i="2"/>
  <c r="N22" i="2"/>
  <c r="N30" i="2"/>
  <c r="N28" i="2"/>
  <c r="N29" i="2"/>
  <c r="N7" i="2"/>
  <c r="N15" i="2"/>
  <c r="N23" i="2"/>
  <c r="N31" i="2"/>
  <c r="N8" i="2"/>
  <c r="N16" i="2"/>
  <c r="N24" i="2"/>
  <c r="N32" i="2"/>
  <c r="N19" i="2"/>
  <c r="N9" i="2"/>
  <c r="N17" i="2"/>
  <c r="N25" i="2"/>
  <c r="N33" i="2"/>
  <c r="N10" i="2"/>
  <c r="N18" i="2"/>
  <c r="N26" i="2"/>
  <c r="N34" i="2"/>
  <c r="N11" i="2"/>
  <c r="N27" i="2"/>
  <c r="N35" i="2"/>
  <c r="Q19" i="1"/>
  <c r="P19" i="1"/>
  <c r="P25" i="1"/>
  <c r="Q25" i="1"/>
  <c r="Q31" i="1"/>
  <c r="P31" i="1"/>
  <c r="P17" i="1"/>
  <c r="Q17" i="1"/>
  <c r="Q20" i="1"/>
  <c r="P20" i="1"/>
  <c r="Q26" i="1"/>
  <c r="P26" i="1"/>
  <c r="Q6" i="1"/>
  <c r="P6" i="1"/>
  <c r="P9" i="1"/>
  <c r="Q9" i="1"/>
  <c r="Q32" i="1"/>
  <c r="P32" i="1"/>
  <c r="Q22" i="1"/>
  <c r="P22" i="1"/>
  <c r="Q28" i="1"/>
  <c r="P28" i="1"/>
  <c r="Q14" i="1"/>
  <c r="P14" i="1"/>
  <c r="Q23" i="1"/>
  <c r="P23" i="1"/>
  <c r="Q12" i="1"/>
  <c r="P12" i="1"/>
  <c r="Q15" i="1"/>
  <c r="P15" i="1"/>
  <c r="Q18" i="1"/>
  <c r="P18" i="1"/>
  <c r="P21" i="1"/>
  <c r="Q21" i="1"/>
  <c r="Q16" i="1"/>
  <c r="P16" i="1"/>
  <c r="Q8" i="1"/>
  <c r="P8" i="1"/>
  <c r="Q29" i="1"/>
  <c r="P29" i="1"/>
  <c r="Q4" i="1"/>
  <c r="P4" i="1"/>
  <c r="Q24" i="1"/>
  <c r="P24" i="1"/>
  <c r="Q27" i="1"/>
  <c r="P27" i="1"/>
  <c r="Q30" i="1"/>
  <c r="P30" i="1"/>
  <c r="Q33" i="1"/>
  <c r="X33" i="1" s="1"/>
  <c r="AB33" i="1" s="1"/>
  <c r="P33" i="1"/>
  <c r="P5" i="1"/>
  <c r="Q5" i="1"/>
  <c r="Q11" i="1"/>
  <c r="P11" i="1"/>
  <c r="Q7" i="1"/>
  <c r="P7" i="1"/>
  <c r="Q10" i="1"/>
  <c r="P10" i="1"/>
  <c r="P13" i="1"/>
  <c r="Q13" i="1"/>
  <c r="S5" i="1"/>
  <c r="T5" i="1" s="1"/>
  <c r="P2" i="1"/>
  <c r="Q3" i="1"/>
  <c r="T2" i="1"/>
  <c r="E4" i="2" l="1" a="1"/>
  <c r="E4" i="2" s="1"/>
  <c r="X7" i="1"/>
  <c r="AB7" i="1" s="1"/>
  <c r="V8" i="1"/>
  <c r="Z8" i="1" s="1"/>
  <c r="X30" i="1"/>
  <c r="AB30" i="1" s="1"/>
  <c r="V31" i="1"/>
  <c r="Z31" i="1" s="1"/>
  <c r="X29" i="1"/>
  <c r="AB29" i="1" s="1"/>
  <c r="V30" i="1"/>
  <c r="Z30" i="1" s="1"/>
  <c r="V19" i="1"/>
  <c r="Z19" i="1" s="1"/>
  <c r="X18" i="1"/>
  <c r="AB18" i="1" s="1"/>
  <c r="X14" i="1"/>
  <c r="AB14" i="1" s="1"/>
  <c r="V15" i="1"/>
  <c r="Z15" i="1" s="1"/>
  <c r="X31" i="1"/>
  <c r="AB31" i="1" s="1"/>
  <c r="V32" i="1"/>
  <c r="Z32" i="1" s="1"/>
  <c r="X17" i="1"/>
  <c r="AB17" i="1" s="1"/>
  <c r="V18" i="1"/>
  <c r="Z18" i="1" s="1"/>
  <c r="V9" i="1"/>
  <c r="Z9" i="1" s="1"/>
  <c r="X8" i="1"/>
  <c r="AB8" i="1" s="1"/>
  <c r="V14" i="1"/>
  <c r="Z14" i="1" s="1"/>
  <c r="X13" i="1"/>
  <c r="AB13" i="1" s="1"/>
  <c r="V26" i="1"/>
  <c r="Z26" i="1" s="1"/>
  <c r="X25" i="1"/>
  <c r="AB25" i="1" s="1"/>
  <c r="V4" i="1"/>
  <c r="Z4" i="1" s="1"/>
  <c r="X3" i="1"/>
  <c r="AB3" i="1" s="1"/>
  <c r="X11" i="1"/>
  <c r="AB11" i="1" s="1"/>
  <c r="V12" i="1"/>
  <c r="Z12" i="1" s="1"/>
  <c r="V16" i="1"/>
  <c r="Z16" i="1" s="1"/>
  <c r="X15" i="1"/>
  <c r="AB15" i="1" s="1"/>
  <c r="X6" i="1"/>
  <c r="AB6" i="1" s="1"/>
  <c r="V7" i="1"/>
  <c r="Z7" i="1" s="1"/>
  <c r="X24" i="1"/>
  <c r="AB24" i="1" s="1"/>
  <c r="V25" i="1"/>
  <c r="Z25" i="1" s="1"/>
  <c r="X12" i="1"/>
  <c r="AB12" i="1" s="1"/>
  <c r="V13" i="1"/>
  <c r="Z13" i="1" s="1"/>
  <c r="X22" i="1"/>
  <c r="AB22" i="1" s="1"/>
  <c r="V23" i="1"/>
  <c r="Z23" i="1" s="1"/>
  <c r="X26" i="1"/>
  <c r="AB26" i="1" s="1"/>
  <c r="V27" i="1"/>
  <c r="Z27" i="1" s="1"/>
  <c r="V28" i="1"/>
  <c r="Z28" i="1" s="1"/>
  <c r="X27" i="1"/>
  <c r="AB27" i="1" s="1"/>
  <c r="X28" i="1"/>
  <c r="AB28" i="1" s="1"/>
  <c r="V29" i="1"/>
  <c r="Z29" i="1" s="1"/>
  <c r="X5" i="1"/>
  <c r="AB5" i="1" s="1"/>
  <c r="V6" i="1"/>
  <c r="Z6" i="1" s="1"/>
  <c r="X16" i="1"/>
  <c r="AB16" i="1" s="1"/>
  <c r="V17" i="1"/>
  <c r="Z17" i="1" s="1"/>
  <c r="X21" i="1"/>
  <c r="AB21" i="1" s="1"/>
  <c r="V22" i="1"/>
  <c r="Z22" i="1" s="1"/>
  <c r="X9" i="1"/>
  <c r="AB9" i="1" s="1"/>
  <c r="V10" i="1"/>
  <c r="Z10" i="1" s="1"/>
  <c r="V11" i="1"/>
  <c r="Z11" i="1" s="1"/>
  <c r="X10" i="1"/>
  <c r="AB10" i="1" s="1"/>
  <c r="X4" i="1"/>
  <c r="AB4" i="1" s="1"/>
  <c r="V5" i="1"/>
  <c r="Z5" i="1" s="1"/>
  <c r="V24" i="1"/>
  <c r="Z24" i="1" s="1"/>
  <c r="X23" i="1"/>
  <c r="AB23" i="1" s="1"/>
  <c r="V33" i="1"/>
  <c r="Z33" i="1" s="1"/>
  <c r="X32" i="1"/>
  <c r="AB32" i="1" s="1"/>
  <c r="V21" i="1"/>
  <c r="Z21" i="1" s="1"/>
  <c r="X20" i="1"/>
  <c r="AB20" i="1" s="1"/>
  <c r="X19" i="1"/>
  <c r="AB19" i="1" s="1"/>
  <c r="V20" i="1"/>
  <c r="Z20" i="1" s="1"/>
  <c r="F4" i="2" a="1"/>
  <c r="F4" i="2" s="1"/>
  <c r="S6" i="1"/>
  <c r="T6" i="1" l="1"/>
  <c r="S7" i="1"/>
  <c r="S8" i="1" l="1"/>
  <c r="T7" i="1"/>
  <c r="T8" i="1" l="1"/>
  <c r="S9" i="1"/>
  <c r="T9" i="1" l="1"/>
  <c r="S10" i="1"/>
  <c r="T10" i="1" l="1"/>
  <c r="S11" i="1"/>
  <c r="S12" i="1" l="1"/>
  <c r="T11" i="1"/>
  <c r="T12" i="1" l="1"/>
  <c r="S13" i="1"/>
  <c r="T13" i="1" l="1"/>
  <c r="S14" i="1"/>
  <c r="T14" i="1" l="1"/>
  <c r="S15" i="1"/>
  <c r="S16" i="1" l="1"/>
  <c r="T15" i="1"/>
  <c r="T16" i="1" l="1"/>
  <c r="S17" i="1"/>
  <c r="T17" i="1" l="1"/>
  <c r="S18" i="1"/>
  <c r="T18" i="1" l="1"/>
  <c r="S19" i="1"/>
  <c r="S20" i="1" l="1"/>
  <c r="T19" i="1"/>
  <c r="T20" i="1" l="1"/>
  <c r="S21" i="1"/>
  <c r="T21" i="1" l="1"/>
  <c r="S22" i="1"/>
  <c r="T22" i="1" l="1"/>
  <c r="S23" i="1"/>
  <c r="T23" i="1" l="1"/>
  <c r="S24" i="1"/>
  <c r="T24" i="1" l="1"/>
  <c r="S25" i="1"/>
  <c r="T25" i="1" l="1"/>
  <c r="S26" i="1"/>
  <c r="T26" i="1" l="1"/>
  <c r="S27" i="1"/>
  <c r="T27" i="1" l="1"/>
  <c r="S28" i="1"/>
  <c r="T28" i="1" l="1"/>
  <c r="S29" i="1"/>
  <c r="T29" i="1" l="1"/>
  <c r="S30" i="1"/>
  <c r="T30" i="1" l="1"/>
  <c r="S31" i="1"/>
  <c r="S32" i="1" l="1"/>
  <c r="T31" i="1"/>
  <c r="T32" i="1" l="1"/>
  <c r="S33" i="1"/>
  <c r="T33" i="1" s="1"/>
  <c r="D4" i="2" s="1" a="1"/>
  <c r="H35" i="2" l="1"/>
  <c r="H31" i="2"/>
  <c r="H27" i="2"/>
  <c r="H23" i="2"/>
  <c r="H19" i="2"/>
  <c r="S20" i="2" s="1"/>
  <c r="H15" i="2"/>
  <c r="H11" i="2"/>
  <c r="H7" i="2"/>
  <c r="S8" i="2" s="1"/>
  <c r="H33" i="2"/>
  <c r="H24" i="2"/>
  <c r="H12" i="2"/>
  <c r="S13" i="2" s="1"/>
  <c r="H34" i="2"/>
  <c r="H30" i="2"/>
  <c r="S31" i="2" s="1"/>
  <c r="H26" i="2"/>
  <c r="S27" i="2" s="1"/>
  <c r="H22" i="2"/>
  <c r="H18" i="2"/>
  <c r="S19" i="2" s="1"/>
  <c r="H14" i="2"/>
  <c r="H10" i="2"/>
  <c r="H6" i="2"/>
  <c r="H25" i="2"/>
  <c r="H17" i="2"/>
  <c r="H13" i="2"/>
  <c r="S14" i="2" s="1"/>
  <c r="H28" i="2"/>
  <c r="S29" i="2" s="1"/>
  <c r="H20" i="2"/>
  <c r="H29" i="2"/>
  <c r="H21" i="2"/>
  <c r="H9" i="2"/>
  <c r="H5" i="2"/>
  <c r="H32" i="2"/>
  <c r="S33" i="2" s="1"/>
  <c r="H16" i="2"/>
  <c r="S17" i="2" s="1"/>
  <c r="H8" i="2"/>
  <c r="S9" i="2" s="1"/>
  <c r="G23" i="2"/>
  <c r="G13" i="2"/>
  <c r="G9" i="2"/>
  <c r="G14" i="2"/>
  <c r="G11" i="2"/>
  <c r="G29" i="2"/>
  <c r="G5" i="2"/>
  <c r="G7" i="2"/>
  <c r="G6" i="2"/>
  <c r="G20" i="2"/>
  <c r="G31" i="2"/>
  <c r="G27" i="2"/>
  <c r="G32" i="2"/>
  <c r="G17" i="2"/>
  <c r="G34" i="2"/>
  <c r="G16" i="2"/>
  <c r="G21" i="2"/>
  <c r="G19" i="2"/>
  <c r="G26" i="2"/>
  <c r="G24" i="2"/>
  <c r="D4" i="2"/>
  <c r="G10" i="2"/>
  <c r="G15" i="2"/>
  <c r="G22" i="2"/>
  <c r="G12" i="2"/>
  <c r="G33" i="2"/>
  <c r="G8" i="2"/>
  <c r="G30" i="2"/>
  <c r="G35" i="2"/>
  <c r="G18" i="2"/>
  <c r="G25" i="2"/>
  <c r="G28" i="2"/>
  <c r="Q21" i="2" l="1"/>
  <c r="R21" i="2"/>
  <c r="S16" i="2"/>
  <c r="S21" i="2"/>
  <c r="S18" i="2"/>
  <c r="Q12" i="2"/>
  <c r="R12" i="2"/>
  <c r="Q23" i="2"/>
  <c r="R23" i="2"/>
  <c r="Z17" i="2"/>
  <c r="Q16" i="2"/>
  <c r="R16" i="2"/>
  <c r="S12" i="2"/>
  <c r="Z16" i="2"/>
  <c r="Q15" i="2"/>
  <c r="R15" i="2"/>
  <c r="Z18" i="2"/>
  <c r="Q17" i="2"/>
  <c r="R17" i="2"/>
  <c r="Q35" i="2"/>
  <c r="R35" i="2"/>
  <c r="Z33" i="2"/>
  <c r="Q32" i="2"/>
  <c r="R32" i="2"/>
  <c r="Q11" i="2"/>
  <c r="R11" i="2"/>
  <c r="S6" i="2"/>
  <c r="S26" i="2"/>
  <c r="S35" i="2"/>
  <c r="S24" i="2"/>
  <c r="Q22" i="2"/>
  <c r="R22" i="2"/>
  <c r="S23" i="2"/>
  <c r="Q25" i="2"/>
  <c r="R25" i="2"/>
  <c r="Q34" i="2"/>
  <c r="R34" i="2"/>
  <c r="Q18" i="2"/>
  <c r="R18" i="2"/>
  <c r="Q24" i="2"/>
  <c r="R24" i="2"/>
  <c r="S7" i="2"/>
  <c r="S28" i="2"/>
  <c r="Q6" i="2"/>
  <c r="R6" i="2"/>
  <c r="T6" i="2" s="1"/>
  <c r="Q10" i="2"/>
  <c r="R10" i="2"/>
  <c r="Q29" i="2"/>
  <c r="R29" i="2"/>
  <c r="Q30" i="2"/>
  <c r="R30" i="2"/>
  <c r="Q27" i="2"/>
  <c r="R27" i="2"/>
  <c r="Q14" i="2"/>
  <c r="R14" i="2"/>
  <c r="S10" i="2"/>
  <c r="Q31" i="2"/>
  <c r="R31" i="2"/>
  <c r="S11" i="2"/>
  <c r="S32" i="2"/>
  <c r="Q28" i="2"/>
  <c r="R28" i="2"/>
  <c r="Q7" i="2"/>
  <c r="R7" i="2"/>
  <c r="Q8" i="2"/>
  <c r="R8" i="2"/>
  <c r="Q26" i="2"/>
  <c r="R26" i="2"/>
  <c r="Q9" i="2"/>
  <c r="R9" i="2"/>
  <c r="S22" i="2"/>
  <c r="S25" i="2"/>
  <c r="Q33" i="2"/>
  <c r="R33" i="2"/>
  <c r="Q19" i="2"/>
  <c r="R19" i="2"/>
  <c r="T19" i="2" s="1"/>
  <c r="Q20" i="2"/>
  <c r="R20" i="2"/>
  <c r="Q13" i="2"/>
  <c r="R13" i="2"/>
  <c r="S30" i="2"/>
  <c r="S15" i="2"/>
  <c r="S34" i="2"/>
  <c r="Z34" i="2"/>
  <c r="X7" i="2"/>
  <c r="Y7" i="2"/>
  <c r="Z22" i="2"/>
  <c r="X6" i="2"/>
  <c r="Y6" i="2"/>
  <c r="Z23" i="2"/>
  <c r="Y10" i="2"/>
  <c r="X10" i="2"/>
  <c r="Z26" i="2"/>
  <c r="Z6" i="2"/>
  <c r="X19" i="2"/>
  <c r="Y19" i="2"/>
  <c r="Z30" i="2"/>
  <c r="X8" i="2"/>
  <c r="Y8" i="2"/>
  <c r="X21" i="2"/>
  <c r="Y21" i="2"/>
  <c r="Y18" i="2"/>
  <c r="X18" i="2"/>
  <c r="X23" i="2"/>
  <c r="Y23" i="2"/>
  <c r="Z21" i="2"/>
  <c r="Z24" i="2"/>
  <c r="X16" i="2"/>
  <c r="Y16" i="2"/>
  <c r="X29" i="2"/>
  <c r="Y29" i="2"/>
  <c r="X22" i="2"/>
  <c r="Y22" i="2"/>
  <c r="X27" i="2"/>
  <c r="Y27" i="2"/>
  <c r="Z14" i="2"/>
  <c r="X34" i="2"/>
  <c r="Y34" i="2"/>
  <c r="Y20" i="2"/>
  <c r="X20" i="2"/>
  <c r="X24" i="2"/>
  <c r="Y24" i="2"/>
  <c r="Z28" i="2"/>
  <c r="X32" i="2"/>
  <c r="Y32" i="2"/>
  <c r="X13" i="2"/>
  <c r="Y13" i="2"/>
  <c r="Y26" i="2"/>
  <c r="X26" i="2"/>
  <c r="X33" i="2"/>
  <c r="Y33" i="2"/>
  <c r="Y31" i="2"/>
  <c r="X31" i="2"/>
  <c r="Z20" i="2"/>
  <c r="X25" i="2"/>
  <c r="Y25" i="2"/>
  <c r="Z13" i="2"/>
  <c r="Z7" i="2"/>
  <c r="X11" i="2"/>
  <c r="Y11" i="2"/>
  <c r="Z29" i="2"/>
  <c r="Z8" i="2"/>
  <c r="X28" i="2"/>
  <c r="Y28" i="2"/>
  <c r="X12" i="2"/>
  <c r="Y12" i="2"/>
  <c r="X15" i="2"/>
  <c r="Y15" i="2"/>
  <c r="Z35" i="2"/>
  <c r="X9" i="2"/>
  <c r="Y9" i="2"/>
  <c r="X14" i="2"/>
  <c r="Y14" i="2"/>
  <c r="Z19" i="2"/>
  <c r="Z11" i="2"/>
  <c r="Z12" i="2"/>
  <c r="Z31" i="2"/>
  <c r="Z25" i="2"/>
  <c r="Z15" i="2"/>
  <c r="Z9" i="2"/>
  <c r="Z27" i="2"/>
  <c r="Z32" i="2"/>
  <c r="Z10" i="2"/>
  <c r="X17" i="2"/>
  <c r="Y17" i="2"/>
  <c r="X30" i="2"/>
  <c r="Y30" i="2"/>
  <c r="X35" i="2"/>
  <c r="Y35" i="2"/>
  <c r="G4" i="2"/>
  <c r="K5" i="2" s="1"/>
  <c r="H4" i="2"/>
  <c r="S5" i="2" s="1"/>
  <c r="J28" i="2"/>
  <c r="K28" i="2"/>
  <c r="L29" i="2"/>
  <c r="K22" i="2"/>
  <c r="J22" i="2"/>
  <c r="L23" i="2"/>
  <c r="L17" i="2"/>
  <c r="K16" i="2"/>
  <c r="J16" i="2"/>
  <c r="K7" i="2"/>
  <c r="J7" i="2"/>
  <c r="J25" i="2"/>
  <c r="K25" i="2"/>
  <c r="L26" i="2"/>
  <c r="J15" i="2"/>
  <c r="K15" i="2"/>
  <c r="L16" i="2"/>
  <c r="L35" i="2"/>
  <c r="K34" i="2"/>
  <c r="J34" i="2"/>
  <c r="J6" i="2"/>
  <c r="L6" i="2"/>
  <c r="K18" i="2"/>
  <c r="L19" i="2"/>
  <c r="J18" i="2"/>
  <c r="K10" i="2"/>
  <c r="J10" i="2"/>
  <c r="L11" i="2"/>
  <c r="J17" i="2"/>
  <c r="K17" i="2"/>
  <c r="L18" i="2"/>
  <c r="L30" i="2"/>
  <c r="K29" i="2"/>
  <c r="J29" i="2"/>
  <c r="J35" i="2"/>
  <c r="K35" i="2"/>
  <c r="L33" i="2"/>
  <c r="K32" i="2"/>
  <c r="J32" i="2"/>
  <c r="L12" i="2"/>
  <c r="K11" i="2"/>
  <c r="J11" i="2"/>
  <c r="L31" i="2"/>
  <c r="J30" i="2"/>
  <c r="K30" i="2"/>
  <c r="L24" i="2"/>
  <c r="J24" i="2"/>
  <c r="K24" i="2"/>
  <c r="L25" i="2"/>
  <c r="J27" i="2"/>
  <c r="L28" i="2"/>
  <c r="K27" i="2"/>
  <c r="J14" i="2"/>
  <c r="L15" i="2"/>
  <c r="K14" i="2"/>
  <c r="L8" i="2"/>
  <c r="L9" i="2"/>
  <c r="K8" i="2"/>
  <c r="J8" i="2"/>
  <c r="J26" i="2"/>
  <c r="K26" i="2"/>
  <c r="L27" i="2"/>
  <c r="L32" i="2"/>
  <c r="J31" i="2"/>
  <c r="K31" i="2"/>
  <c r="J9" i="2"/>
  <c r="K9" i="2"/>
  <c r="L10" i="2"/>
  <c r="J33" i="2"/>
  <c r="L34" i="2"/>
  <c r="K33" i="2"/>
  <c r="J19" i="2"/>
  <c r="K19" i="2"/>
  <c r="L20" i="2"/>
  <c r="K20" i="2"/>
  <c r="J20" i="2"/>
  <c r="L21" i="2"/>
  <c r="J13" i="2"/>
  <c r="L14" i="2"/>
  <c r="K13" i="2"/>
  <c r="K12" i="2"/>
  <c r="L13" i="2"/>
  <c r="J12" i="2"/>
  <c r="K21" i="2"/>
  <c r="L22" i="2"/>
  <c r="J21" i="2"/>
  <c r="L7" i="2"/>
  <c r="K6" i="2"/>
  <c r="K23" i="2"/>
  <c r="J23" i="2"/>
  <c r="T12" i="2" l="1"/>
  <c r="T35" i="2"/>
  <c r="T34" i="2"/>
  <c r="T14" i="2"/>
  <c r="T9" i="2"/>
  <c r="U9" i="2" s="1"/>
  <c r="T27" i="2"/>
  <c r="U27" i="2" s="1"/>
  <c r="T26" i="2"/>
  <c r="U26" i="2" s="1"/>
  <c r="T30" i="2"/>
  <c r="U30" i="2" s="1"/>
  <c r="T11" i="2"/>
  <c r="U11" i="2" s="1"/>
  <c r="T16" i="2"/>
  <c r="U16" i="2" s="1"/>
  <c r="T8" i="2"/>
  <c r="U8" i="2" s="1"/>
  <c r="T13" i="2"/>
  <c r="T22" i="2"/>
  <c r="U22" i="2" s="1"/>
  <c r="AA10" i="2"/>
  <c r="AB10" i="2" s="1"/>
  <c r="T7" i="2"/>
  <c r="U7" i="2" s="1"/>
  <c r="T29" i="2"/>
  <c r="U29" i="2" s="1"/>
  <c r="T28" i="2"/>
  <c r="U28" i="2" s="1"/>
  <c r="T24" i="2"/>
  <c r="U24" i="2" s="1"/>
  <c r="T17" i="2"/>
  <c r="U17" i="2" s="1"/>
  <c r="T10" i="2"/>
  <c r="T32" i="2"/>
  <c r="U32" i="2" s="1"/>
  <c r="AA18" i="2"/>
  <c r="AB18" i="2" s="1"/>
  <c r="T33" i="2"/>
  <c r="U33" i="2" s="1"/>
  <c r="T18" i="2"/>
  <c r="U18" i="2" s="1"/>
  <c r="R5" i="2"/>
  <c r="T25" i="2"/>
  <c r="U25" i="2" s="1"/>
  <c r="Q5" i="2"/>
  <c r="T21" i="2"/>
  <c r="U21" i="2" s="1"/>
  <c r="T20" i="2"/>
  <c r="U20" i="2" s="1"/>
  <c r="T31" i="2"/>
  <c r="U31" i="2" s="1"/>
  <c r="T15" i="2"/>
  <c r="U15" i="2" s="1"/>
  <c r="T23" i="2"/>
  <c r="U23" i="2" s="1"/>
  <c r="AA15" i="2"/>
  <c r="AB15" i="2" s="1"/>
  <c r="S4" i="2"/>
  <c r="Q4" i="2"/>
  <c r="T4" i="2" s="1"/>
  <c r="R4" i="2"/>
  <c r="AA17" i="2"/>
  <c r="AB17" i="2" s="1"/>
  <c r="AA33" i="2"/>
  <c r="AB33" i="2" s="1"/>
  <c r="M30" i="2"/>
  <c r="O30" i="2" s="1"/>
  <c r="AA12" i="2"/>
  <c r="AB12" i="2" s="1"/>
  <c r="AA35" i="2"/>
  <c r="AB35" i="2" s="1"/>
  <c r="AA14" i="2"/>
  <c r="AB14" i="2" s="1"/>
  <c r="AA20" i="2"/>
  <c r="AB20" i="2" s="1"/>
  <c r="AC20" i="2" s="1"/>
  <c r="Z5" i="2"/>
  <c r="AA22" i="2"/>
  <c r="AB22" i="2" s="1"/>
  <c r="AA30" i="2"/>
  <c r="AB30" i="2" s="1"/>
  <c r="AA28" i="2"/>
  <c r="AB28" i="2" s="1"/>
  <c r="AC28" i="2" s="1"/>
  <c r="AA21" i="2"/>
  <c r="AB21" i="2" s="1"/>
  <c r="X5" i="2"/>
  <c r="AA32" i="2"/>
  <c r="AB32" i="2" s="1"/>
  <c r="L4" i="2"/>
  <c r="AA13" i="2"/>
  <c r="AB13" i="2" s="1"/>
  <c r="AA16" i="2"/>
  <c r="AB16" i="2" s="1"/>
  <c r="AA23" i="2"/>
  <c r="AB23" i="2" s="1"/>
  <c r="AA7" i="2"/>
  <c r="AB7" i="2" s="1"/>
  <c r="AA25" i="2"/>
  <c r="AB25" i="2" s="1"/>
  <c r="AA6" i="2"/>
  <c r="AB6" i="2" s="1"/>
  <c r="AA11" i="2"/>
  <c r="AB11" i="2" s="1"/>
  <c r="AA9" i="2"/>
  <c r="AB9" i="2" s="1"/>
  <c r="Y5" i="2"/>
  <c r="AA31" i="2"/>
  <c r="AB31" i="2" s="1"/>
  <c r="AA34" i="2"/>
  <c r="AB34" i="2" s="1"/>
  <c r="AA8" i="2"/>
  <c r="AB8" i="2" s="1"/>
  <c r="L5" i="2"/>
  <c r="K4" i="2"/>
  <c r="J4" i="2"/>
  <c r="M4" i="2" s="1"/>
  <c r="J5" i="2"/>
  <c r="U6" i="2"/>
  <c r="U13" i="2"/>
  <c r="U14" i="2"/>
  <c r="AA29" i="2"/>
  <c r="AB29" i="2" s="1"/>
  <c r="AA26" i="2"/>
  <c r="AB26" i="2" s="1"/>
  <c r="AA24" i="2"/>
  <c r="AB24" i="2" s="1"/>
  <c r="AA27" i="2"/>
  <c r="AB27" i="2" s="1"/>
  <c r="AA19" i="2"/>
  <c r="AB19" i="2" s="1"/>
  <c r="U12" i="2"/>
  <c r="U35" i="2"/>
  <c r="X4" i="2"/>
  <c r="Z4" i="2"/>
  <c r="Y4" i="2"/>
  <c r="U10" i="2"/>
  <c r="U34" i="2"/>
  <c r="U19" i="2"/>
  <c r="M28" i="2"/>
  <c r="O28" i="2" s="1"/>
  <c r="M19" i="2"/>
  <c r="O19" i="2" s="1"/>
  <c r="M22" i="2"/>
  <c r="O22" i="2" s="1"/>
  <c r="M21" i="2"/>
  <c r="O21" i="2" s="1"/>
  <c r="M23" i="2"/>
  <c r="O23" i="2" s="1"/>
  <c r="M15" i="2"/>
  <c r="O15" i="2" s="1"/>
  <c r="M9" i="2"/>
  <c r="M24" i="2"/>
  <c r="O24" i="2" s="1"/>
  <c r="M11" i="2"/>
  <c r="M5" i="2"/>
  <c r="M33" i="2"/>
  <c r="M26" i="2"/>
  <c r="M20" i="2"/>
  <c r="O20" i="2" s="1"/>
  <c r="M27" i="2"/>
  <c r="M16" i="2"/>
  <c r="M12" i="2"/>
  <c r="M13" i="2"/>
  <c r="M10" i="2"/>
  <c r="M35" i="2"/>
  <c r="M8" i="2"/>
  <c r="M34" i="2"/>
  <c r="M18" i="2"/>
  <c r="M14" i="2"/>
  <c r="M17" i="2"/>
  <c r="M25" i="2"/>
  <c r="M29" i="2"/>
  <c r="M7" i="2"/>
  <c r="M6" i="2"/>
  <c r="M32" i="2"/>
  <c r="M31" i="2"/>
  <c r="AC15" i="2" l="1"/>
  <c r="T5" i="2"/>
  <c r="U5" i="2" s="1"/>
  <c r="V21" i="2"/>
  <c r="V30" i="2"/>
  <c r="AA5" i="2"/>
  <c r="AB5" i="2" s="1"/>
  <c r="V20" i="2"/>
  <c r="AA4" i="2"/>
  <c r="AB4" i="2" s="1"/>
  <c r="AC23" i="2"/>
  <c r="AC30" i="2"/>
  <c r="V24" i="2"/>
  <c r="AC16" i="2"/>
  <c r="AC22" i="2"/>
  <c r="AC24" i="2"/>
  <c r="V22" i="2"/>
  <c r="AC19" i="2"/>
  <c r="AC21" i="2"/>
  <c r="U4" i="2"/>
  <c r="V11" i="2"/>
  <c r="V28" i="2"/>
  <c r="V19" i="2"/>
  <c r="V15" i="2"/>
  <c r="V23" i="2"/>
  <c r="O11" i="2"/>
  <c r="AC11" i="2" s="1"/>
  <c r="O9" i="2"/>
  <c r="V9" i="2" s="1"/>
  <c r="O27" i="2"/>
  <c r="V27" i="2" s="1"/>
  <c r="O14" i="2"/>
  <c r="O8" i="2"/>
  <c r="V8" i="2" s="1"/>
  <c r="O10" i="2"/>
  <c r="O34" i="2"/>
  <c r="V34" i="2" s="1"/>
  <c r="O29" i="2"/>
  <c r="V29" i="2" s="1"/>
  <c r="O12" i="2"/>
  <c r="AC12" i="2" s="1"/>
  <c r="O25" i="2"/>
  <c r="V25" i="2" s="1"/>
  <c r="O5" i="2"/>
  <c r="O33" i="2"/>
  <c r="O26" i="2"/>
  <c r="V26" i="2" s="1"/>
  <c r="O16" i="2"/>
  <c r="V16" i="2" s="1"/>
  <c r="O13" i="2"/>
  <c r="V13" i="2" s="1"/>
  <c r="O17" i="2"/>
  <c r="O18" i="2"/>
  <c r="AC18" i="2" s="1"/>
  <c r="O35" i="2"/>
  <c r="O4" i="2"/>
  <c r="O32" i="2"/>
  <c r="V32" i="2" s="1"/>
  <c r="O6" i="2"/>
  <c r="V6" i="2" s="1"/>
  <c r="O7" i="2"/>
  <c r="V7" i="2" s="1"/>
  <c r="O31" i="2"/>
  <c r="V31" i="2" s="1"/>
  <c r="V5" i="2" l="1"/>
  <c r="AC34" i="2"/>
  <c r="AC26" i="2"/>
  <c r="AC7" i="2"/>
  <c r="AC6" i="2"/>
  <c r="V4" i="2"/>
  <c r="V35" i="2"/>
  <c r="AC35" i="2"/>
  <c r="AC9" i="2"/>
  <c r="V10" i="2"/>
  <c r="AC10" i="2"/>
  <c r="V12" i="2"/>
  <c r="AC31" i="2"/>
  <c r="AC25" i="2"/>
  <c r="V18" i="2"/>
  <c r="V17" i="2"/>
  <c r="AC17" i="2"/>
  <c r="AC27" i="2"/>
  <c r="AC13" i="2"/>
  <c r="AC5" i="2"/>
  <c r="AC32" i="2"/>
  <c r="AC29" i="2"/>
  <c r="V33" i="2"/>
  <c r="AC33" i="2"/>
  <c r="V14" i="2"/>
  <c r="AC14" i="2"/>
  <c r="AC8" i="2"/>
  <c r="AC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<sst xmlns="http://schemas.openxmlformats.org/spreadsheetml/2006/main" count="121" uniqueCount="109">
  <si>
    <t>Reference File</t>
  </si>
  <si>
    <t>Metadata</t>
  </si>
  <si>
    <t>Timestamp</t>
  </si>
  <si>
    <t>3He (cps)</t>
  </si>
  <si>
    <t>3He (pccSTP)</t>
  </si>
  <si>
    <t>(3) +/-</t>
  </si>
  <si>
    <t>Sensitivity 3He (pccSTP/cps)</t>
  </si>
  <si>
    <t>Heated Time (s)</t>
  </si>
  <si>
    <t>Target Temp (C)</t>
  </si>
  <si>
    <t>Recorded Av Temp (C)</t>
  </si>
  <si>
    <t>He27318.txt</t>
  </si>
  <si>
    <t>BigLVCOPy230707: 654_60.0_25.0 26.99</t>
  </si>
  <si>
    <t>He27322.txt</t>
  </si>
  <si>
    <t>BigLVCOPy230707: 656_60.0_300.0 300.00</t>
  </si>
  <si>
    <t>He27325.txt</t>
  </si>
  <si>
    <t>BigLVCOPy230707: 659_120.0_300.0 300.00</t>
  </si>
  <si>
    <t>He27328.txt</t>
  </si>
  <si>
    <t>BigLVCOPy230707: 662_180.0_300.0 300.00</t>
  </si>
  <si>
    <t>He27331.txt</t>
  </si>
  <si>
    <t>BigLVCOPy230707: 665_60.0_25.0 39.30</t>
  </si>
  <si>
    <t>He27334.txt</t>
  </si>
  <si>
    <t>BigLVCOPy230707: 668_60.0_350.0 350.03</t>
  </si>
  <si>
    <t>He27338.txt</t>
  </si>
  <si>
    <t>BigLVCOPy230707: 671_60.0_360.0 360.02</t>
  </si>
  <si>
    <t>He27341.txt</t>
  </si>
  <si>
    <t>BigLVCOPy230707: 674_60.0_370.0 370.01</t>
  </si>
  <si>
    <t>He27344.txt</t>
  </si>
  <si>
    <t>BigLVCOPy230707: 677_60.0_380.0 380.04</t>
  </si>
  <si>
    <t>He27347.txt</t>
  </si>
  <si>
    <t>BigLVCOPy230707: 680_60.0_390.0 390.04</t>
  </si>
  <si>
    <t>He27350.txt</t>
  </si>
  <si>
    <t>BigLVCOPy230707: 683_60.0_405.0 405.05</t>
  </si>
  <si>
    <t>He27353.txt</t>
  </si>
  <si>
    <t>BigLVCOPy230707: 686_70.0_395.0 395.04</t>
  </si>
  <si>
    <t>He27356.txt</t>
  </si>
  <si>
    <t>BigLVCOPy230707: 689_80.0_385.0 385.04</t>
  </si>
  <si>
    <t>He27360.txt</t>
  </si>
  <si>
    <t>BigLVCOPy230707: 692_90.0_375.0 375.03</t>
  </si>
  <si>
    <t>He27364.txt</t>
  </si>
  <si>
    <t>BigLVCOPy230707: 695_100.0_365.0 365.02</t>
  </si>
  <si>
    <t>He27367.txt</t>
  </si>
  <si>
    <t>BigLVCOPy230707: 699_110.0_355.0 355.02</t>
  </si>
  <si>
    <t>He27371.txt</t>
  </si>
  <si>
    <t>BigLVCOPy230707: 702_160.0_400.0 400.01</t>
  </si>
  <si>
    <t>He27379.txt</t>
  </si>
  <si>
    <t>BigLVCOPy230707: 706_140.0_420.0 420.02</t>
  </si>
  <si>
    <t>He27383.txt</t>
  </si>
  <si>
    <t>BigLVCOPy230707: 710_120.0_440.0 440.03</t>
  </si>
  <si>
    <t>He27386.txt</t>
  </si>
  <si>
    <t>BigLVCOPy230707: 713_100.0_460.0 460.03</t>
  </si>
  <si>
    <t>He27390.txt</t>
  </si>
  <si>
    <t>BigLVCOPy230707: 714_80.0_480.0 480.04</t>
  </si>
  <si>
    <t>He27393.txt</t>
  </si>
  <si>
    <t>BigLVCOPy230707: 716_60.0_500.0 500.05</t>
  </si>
  <si>
    <t>He27396.txt</t>
  </si>
  <si>
    <t>BigLVCOPy230707: 718_60.0_510.0 510.05</t>
  </si>
  <si>
    <t>He27398.txt</t>
  </si>
  <si>
    <t>BigLVCOPy230707: 720_70.0_490.0 490.04</t>
  </si>
  <si>
    <t>He27404.txt</t>
  </si>
  <si>
    <t>BigLVCOPy230707: 721_90.0_470.0 470.04</t>
  </si>
  <si>
    <t>He27408.txt</t>
  </si>
  <si>
    <t>BigLVCOPy230707: 723_110.0_450.0 450.03</t>
  </si>
  <si>
    <t>He27411.txt</t>
  </si>
  <si>
    <t>BigLVCOPy230707: 725_130.0_430.0 430.02</t>
  </si>
  <si>
    <t>He27417.txt</t>
  </si>
  <si>
    <t>BigLVCOPy230707: 727_150.0_410.0 410.02</t>
  </si>
  <si>
    <t>He27422.txt</t>
  </si>
  <si>
    <t>BigLVCOPy230707: 729_160.0_450.0 450.02</t>
  </si>
  <si>
    <t>He27426.txt</t>
  </si>
  <si>
    <t>BigLVCOPy230707: 732_140.0_470.0 470.02</t>
  </si>
  <si>
    <t>He27429.txt</t>
  </si>
  <si>
    <t>BigLVCOPy230707: 736_120.0_490.0 490.03</t>
  </si>
  <si>
    <t>He27433.txt</t>
  </si>
  <si>
    <t>BigLVCOPy230707: 739_100.0_510.0 510.03</t>
  </si>
  <si>
    <t>CONSTANTS</t>
  </si>
  <si>
    <t>ID (cm)</t>
  </si>
  <si>
    <t>OD (cm)</t>
  </si>
  <si>
    <t>G (cm^-1)</t>
  </si>
  <si>
    <t>R (cm^3 * atm  * atoms^-1 * K^1)</t>
  </si>
  <si>
    <t>K (atoms/(s*atm*cm))</t>
  </si>
  <si>
    <t>λ = KGRT</t>
  </si>
  <si>
    <t xml:space="preserve">λt </t>
  </si>
  <si>
    <t>nt UB</t>
  </si>
  <si>
    <t>Prev. Cum Yield</t>
  </si>
  <si>
    <t>Cum Yield</t>
  </si>
  <si>
    <t>Cum 3He</t>
  </si>
  <si>
    <t>D&lt;10%</t>
  </si>
  <si>
    <t>D&lt;90%</t>
  </si>
  <si>
    <t>D&gt;90%</t>
  </si>
  <si>
    <t>D/a^2</t>
  </si>
  <si>
    <t>10000/TK</t>
  </si>
  <si>
    <t>ln(d/a^2)</t>
  </si>
  <si>
    <t>Step</t>
  </si>
  <si>
    <t>Temp ©</t>
  </si>
  <si>
    <t>Seconds</t>
  </si>
  <si>
    <r>
      <t>n</t>
    </r>
    <r>
      <rPr>
        <vertAlign val="subscript"/>
        <sz val="11"/>
        <color theme="1"/>
        <rFont val="Aptos Narrow"/>
        <family val="2"/>
        <scheme val="minor"/>
      </rPr>
      <t>t</t>
    </r>
    <r>
      <rPr>
        <vertAlign val="superscript"/>
        <sz val="11"/>
        <color theme="1"/>
        <rFont val="Aptos Narrow"/>
        <family val="2"/>
        <scheme val="minor"/>
      </rPr>
      <t>UB</t>
    </r>
  </si>
  <si>
    <t>FiUP</t>
  </si>
  <si>
    <t>Fim</t>
  </si>
  <si>
    <t>LB</t>
  </si>
  <si>
    <t>m</t>
  </si>
  <si>
    <t>UB</t>
  </si>
  <si>
    <t>Δln(d/a^2)</t>
  </si>
  <si>
    <r>
      <t>F</t>
    </r>
    <r>
      <rPr>
        <vertAlign val="subscript"/>
        <sz val="11"/>
        <color theme="1"/>
        <rFont val="Aptos Narrow"/>
        <family val="2"/>
        <scheme val="minor"/>
      </rPr>
      <t>LB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</si>
  <si>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</si>
  <si>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UB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</si>
  <si>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LB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</si>
  <si>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</si>
  <si>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UB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</si>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</sst>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1" fontId="0" fillId="0" borderId="0" xfId="0" applyNumberFormat="1"/>
    <xf numFmtId="0" fontId="18" fillId="0" borderId="0" xfId="0" applyFont="1"/>
    <xf numFmtId="2" fontId="0" fillId="0" borderId="0" xfId="0" applyNumberFormat="1"/>
    <xf numFmtId="2" fontId="18" fillId="0" borderId="0" xfId="0" applyNumberFormat="1" applyFont="1"/>
    <xf numFmtId="0" fontId="0" fillId="33" borderId="0" xfId="0" applyFill="1"/>
    <xf numFmtId="11" fontId="0" fillId="33" borderId="0" xfId="0" applyNumberFormat="1" applyFill="1"/>
    <xf numFmtId="2" fontId="0" fillId="33" borderId="0" xfId="0" applyNumberFormat="1" applyFill="1"/>
    <xf numFmtId="164" fontId="0" fillId="33" borderId="0" xfId="0" applyNumberFormat="1" applyFill="1"/>
    <xf numFmtId="22" fontId="0" fillId="33" borderId="0" xfId="0" applyNumberFormat="1" applyFill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0" xfId="0" applyFill="1"/>
    <xf numFmtId="0" fontId="0" fillId="0" borderId="14" xfId="0" applyFill="1" applyBorder="1"/>
    <xf numFmtId="0" fontId="0" fillId="0" borderId="15" xfId="0" applyFill="1" applyBorder="1" applyAlignment="1">
      <alignment wrapText="1"/>
    </xf>
    <xf numFmtId="11" fontId="0" fillId="0" borderId="16" xfId="0" applyNumberFormat="1" applyFill="1" applyBorder="1"/>
    <xf numFmtId="0" fontId="0" fillId="0" borderId="16" xfId="0" applyFill="1" applyBorder="1"/>
    <xf numFmtId="0" fontId="0" fillId="0" borderId="17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LVCOPy Apparent Diffusivities a ~ 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>
                  <a:alpha val="49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Diffusivities!$AC$20:$AC$35</c:f>
                <c:numCache>
                  <c:formatCode>General</c:formatCode>
                  <c:ptCount val="16"/>
                  <c:pt idx="0">
                    <c:v>0.40632454339401747</c:v>
                  </c:pt>
                  <c:pt idx="1">
                    <c:v>0.41070484060664825</c:v>
                  </c:pt>
                  <c:pt idx="2">
                    <c:v>0.42517800818029983</c:v>
                  </c:pt>
                  <c:pt idx="3">
                    <c:v>0.45901705736904219</c:v>
                  </c:pt>
                  <c:pt idx="4">
                    <c:v>0.52384745770122976</c:v>
                  </c:pt>
                  <c:pt idx="5">
                    <c:v>0.66645227408428198</c:v>
                  </c:pt>
                  <c:pt idx="6">
                    <c:v>0.61740842274555163</c:v>
                  </c:pt>
                  <c:pt idx="7">
                    <c:v>0.56838500673710257</c:v>
                  </c:pt>
                  <c:pt idx="8">
                    <c:v>0.47129464129313448</c:v>
                  </c:pt>
                  <c:pt idx="9">
                    <c:v>0.42440125263761885</c:v>
                  </c:pt>
                  <c:pt idx="10">
                    <c:v>0.40301644033414874</c:v>
                  </c:pt>
                  <c:pt idx="11">
                    <c:v>0.39733020409778774</c:v>
                  </c:pt>
                  <c:pt idx="12">
                    <c:v>0.27154186358501065</c:v>
                  </c:pt>
                  <c:pt idx="13">
                    <c:v>0.27639826121396638</c:v>
                  </c:pt>
                  <c:pt idx="14">
                    <c:v>0.2911187475702306</c:v>
                  </c:pt>
                  <c:pt idx="15">
                    <c:v>0.31953203573113598</c:v>
                  </c:pt>
                </c:numCache>
              </c:numRef>
            </c:plus>
            <c:minus>
              <c:numRef>
                <c:f>Diffusivities!$V$20:$V$35</c:f>
                <c:numCache>
                  <c:formatCode>General</c:formatCode>
                  <c:ptCount val="16"/>
                  <c:pt idx="0">
                    <c:v>0.12000460639670152</c:v>
                  </c:pt>
                  <c:pt idx="1">
                    <c:v>0.2889382451091258</c:v>
                  </c:pt>
                  <c:pt idx="2">
                    <c:v>0.51337561644493235</c:v>
                  </c:pt>
                  <c:pt idx="3">
                    <c:v>0.58205180196934592</c:v>
                  </c:pt>
                  <c:pt idx="4">
                    <c:v>0.87709101964873426</c:v>
                  </c:pt>
                  <c:pt idx="5">
                    <c:v>0.89761254932471246</c:v>
                  </c:pt>
                  <c:pt idx="6">
                    <c:v>1.9787041949576363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1.8817757734166278</c:v>
                  </c:pt>
                  <c:pt idx="11">
                    <c:v>0</c:v>
                  </c:pt>
                  <c:pt idx="12">
                    <c:v>6.5742806848032131E-2</c:v>
                  </c:pt>
                  <c:pt idx="13">
                    <c:v>0.18898232712069785</c:v>
                  </c:pt>
                  <c:pt idx="14">
                    <c:v>0.15432104943955594</c:v>
                  </c:pt>
                  <c:pt idx="15">
                    <c:v>0.21122222851965233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Diffusivities!$N$20:$N$35</c:f>
              <c:numCache>
                <c:formatCode>General</c:formatCode>
                <c:ptCount val="16"/>
                <c:pt idx="0">
                  <c:v>14.858620228525579</c:v>
                </c:pt>
                <c:pt idx="1">
                  <c:v>14.429597991399961</c:v>
                </c:pt>
                <c:pt idx="2">
                  <c:v>14.024655344094919</c:v>
                </c:pt>
                <c:pt idx="3">
                  <c:v>13.642006466311065</c:v>
                </c:pt>
                <c:pt idx="4">
                  <c:v>13.279507064697775</c:v>
                </c:pt>
                <c:pt idx="5">
                  <c:v>12.935773882672548</c:v>
                </c:pt>
                <c:pt idx="6">
                  <c:v>12.770576591533123</c:v>
                </c:pt>
                <c:pt idx="7">
                  <c:v>13.10547284546028</c:v>
                </c:pt>
                <c:pt idx="8">
                  <c:v>13.45822566752801</c:v>
                </c:pt>
                <c:pt idx="9">
                  <c:v>13.830684757202329</c:v>
                </c:pt>
                <c:pt idx="10">
                  <c:v>14.224346391283321</c:v>
                </c:pt>
                <c:pt idx="11">
                  <c:v>14.640859711282246</c:v>
                </c:pt>
                <c:pt idx="12">
                  <c:v>13.830876047688861</c:v>
                </c:pt>
                <c:pt idx="13">
                  <c:v>13.458587924954914</c:v>
                </c:pt>
                <c:pt idx="14">
                  <c:v>13.105644601129708</c:v>
                </c:pt>
                <c:pt idx="15">
                  <c:v>12.770902775117174</c:v>
                </c:pt>
              </c:numCache>
            </c:numRef>
          </c:xVal>
          <c:yVal>
            <c:numRef>
              <c:f>Diffusivities!$O$20:$O$35</c:f>
              <c:numCache>
                <c:formatCode>General</c:formatCode>
                <c:ptCount val="16"/>
                <c:pt idx="0">
                  <c:v>-26.029211945477591</c:v>
                </c:pt>
                <c:pt idx="1">
                  <c:v>-25.203716356967451</c:v>
                </c:pt>
                <c:pt idx="2">
                  <c:v>-24.814597418541943</c:v>
                </c:pt>
                <c:pt idx="3">
                  <c:v>-24.449267823710795</c:v>
                </c:pt>
                <c:pt idx="4">
                  <c:v>-24.228680649901843</c:v>
                </c:pt>
                <c:pt idx="5">
                  <c:v>-23.790747200013634</c:v>
                </c:pt>
                <c:pt idx="6">
                  <c:v>-23.696081162731229</c:v>
                </c:pt>
                <c:pt idx="7">
                  <c:v>-24.667771806440598</c:v>
                </c:pt>
                <c:pt idx="8">
                  <c:v>-25.682012611219445</c:v>
                </c:pt>
                <c:pt idx="9">
                  <c:v>-26.58649781759491</c:v>
                </c:pt>
                <c:pt idx="10">
                  <c:v>-27.225682235756071</c:v>
                </c:pt>
                <c:pt idx="11">
                  <c:v>-28.886796221187367</c:v>
                </c:pt>
                <c:pt idx="12">
                  <c:v>-26.914391560604088</c:v>
                </c:pt>
                <c:pt idx="13">
                  <c:v>-26.186552503476786</c:v>
                </c:pt>
                <c:pt idx="14">
                  <c:v>-25.232045487948675</c:v>
                </c:pt>
                <c:pt idx="15">
                  <c:v>-24.476062482868429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71-4C37-8D21-FB43A58B8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172559"/>
        <c:axId val="766169199"/>
      </c:scatterChart>
      <c:valAx>
        <c:axId val="76617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10000/T</a:t>
                </a:r>
                <a:r>
                  <a:rPr lang="en-US" baseline="0"/>
                  <a:t> (K)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69199"/>
        <c:crosses val="autoZero"/>
        <c:crossBetween val="midCat"/>
      </c:valAx>
      <c:valAx>
        <c:axId val="766169199"/>
        <c:scaling>
          <c:orientation val="minMax"/>
          <c:max val="-2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ln(D/a^2) (sec^-1)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72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251460</xdr:colOff>
      <xdr:row>2</xdr:row>
      <xdr:rowOff>163830</xdr:rowOff>
    </xdr:from>
    <xdr:to>
      <xdr:col>37</xdr:col>
      <xdr:colOff>556260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B0B1E-E6E8-BD99-9B0B-D24311F44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FCA7-11F9-48CA-96DE-6D89739B6C33}">
  <dimension ref="A1:AB39"/>
  <sheetViews>
    <sheetView tabSelected="1" workbookViewId="0">
      <selection activeCell="H8" sqref="H8"/>
    </sheetView>
  </sheetViews>
  <sheetFormatPr defaultRowHeight="14.4" x14ac:dyDescent="0.3"/>
  <cols>
    <col min="22" max="22" width="10" bestFit="1" customWidth="1"/>
  </cols>
  <sheetData>
    <row r="1" spans="1:28" ht="15.6" x14ac:dyDescent="0.35">
      <c r="B1" t="s">
        <v>0</v>
      </c>
      <c r="C1" t="s">
        <v>1</v>
      </c>
      <c r="D1" t="s">
        <v>2</v>
      </c>
      <c r="E1">
        <v>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N1" s="2" t="s">
        <v>79</v>
      </c>
      <c r="O1" s="2" t="s">
        <v>80</v>
      </c>
      <c r="P1" s="3" t="s">
        <v>81</v>
      </c>
      <c r="Q1" s="4" t="s">
        <v>82</v>
      </c>
      <c r="S1" t="s">
        <v>83</v>
      </c>
      <c r="T1" t="s">
        <v>84</v>
      </c>
      <c r="V1" t="s">
        <v>102</v>
      </c>
      <c r="W1" t="s">
        <v>103</v>
      </c>
      <c r="X1" t="s">
        <v>104</v>
      </c>
      <c r="Z1" t="s">
        <v>105</v>
      </c>
      <c r="AA1" t="s">
        <v>106</v>
      </c>
      <c r="AB1" t="s">
        <v>107</v>
      </c>
    </row>
    <row r="2" spans="1:28" s="5" customFormat="1" x14ac:dyDescent="0.3">
      <c r="A2" s="5">
        <v>0</v>
      </c>
      <c r="B2" s="5" t="s">
        <v>10</v>
      </c>
      <c r="C2" s="5" t="s">
        <v>11</v>
      </c>
      <c r="D2" s="9">
        <v>45114.748611111114</v>
      </c>
      <c r="E2" s="5">
        <v>0</v>
      </c>
      <c r="F2" s="5">
        <v>7.1500000000000003E-4</v>
      </c>
      <c r="G2" s="6">
        <v>3.81082510102662E-6</v>
      </c>
      <c r="H2" s="6">
        <v>1.5987120731922901E-7</v>
      </c>
      <c r="I2" s="5">
        <v>5.3298253161211404E-3</v>
      </c>
      <c r="J2" s="5">
        <v>3600</v>
      </c>
      <c r="K2" s="5">
        <v>25</v>
      </c>
      <c r="L2" s="5">
        <v>26.99</v>
      </c>
      <c r="N2" s="5">
        <f>(0.000304*EXP(-5580/(1.987*(L2+273))))*(199000000000000000*EXP(680/(1.987*(L2+273))))*1.17*EXP(-57/(1.987*(273+L2)))</f>
        <v>17310967080.687035</v>
      </c>
      <c r="O2" s="6">
        <f>N2*$C$38*$C$39*(L2+273)</f>
        <v>1.4044751250921535E-6</v>
      </c>
      <c r="P2" s="7">
        <f>O2*J2</f>
        <v>5.0561104503317527E-3</v>
      </c>
      <c r="Q2" s="7">
        <f>G2/((O2*J2)-1)</f>
        <v>-3.8301909696148561E-6</v>
      </c>
      <c r="S2" s="5">
        <v>0</v>
      </c>
      <c r="T2" s="8">
        <f>S3</f>
        <v>3.81082510102662E-6</v>
      </c>
    </row>
    <row r="3" spans="1:28" s="5" customFormat="1" x14ac:dyDescent="0.3">
      <c r="A3" s="5">
        <v>1</v>
      </c>
      <c r="B3" s="5" t="s">
        <v>12</v>
      </c>
      <c r="C3" s="5" t="s">
        <v>13</v>
      </c>
      <c r="D3" s="9">
        <v>45114.852777777778</v>
      </c>
      <c r="E3" s="5">
        <v>0</v>
      </c>
      <c r="F3" s="5">
        <v>19.3</v>
      </c>
      <c r="G3" s="5">
        <v>0.10272510625461501</v>
      </c>
      <c r="H3" s="5">
        <v>4.2751774126167002E-3</v>
      </c>
      <c r="I3" s="5">
        <v>5.3225443655241303E-3</v>
      </c>
      <c r="J3" s="5">
        <v>3600</v>
      </c>
      <c r="K3" s="5">
        <v>300</v>
      </c>
      <c r="L3" s="5">
        <v>300</v>
      </c>
      <c r="N3" s="5">
        <f t="shared" ref="N3" si="0">(0.000304*EXP(-5580/(1.987*(L3+273))))*(199000000000000000*EXP(680/(1.987*(L3+273))))*1.17*EXP(-57/(1.987*(273+L3)))</f>
        <v>910102088167.78455</v>
      </c>
      <c r="O3" s="6">
        <f>N3*$C$38*$C$39*(L3+273)</f>
        <v>1.4103622532175551E-4</v>
      </c>
      <c r="P3" s="7">
        <f>O3*J3</f>
        <v>0.50773041115831985</v>
      </c>
      <c r="Q3" s="7">
        <f>G3/((O3*J3)-1)</f>
        <v>-0.20867652315538965</v>
      </c>
      <c r="S3" s="8">
        <f>G2+S2</f>
        <v>3.81082510102662E-6</v>
      </c>
      <c r="T3" s="8">
        <f t="shared" ref="T3:T33" si="1">S3+G3</f>
        <v>0.10272891707971603</v>
      </c>
      <c r="V3" s="5">
        <f>(G3-Q2)/($G$34-(S3+Q2))</f>
        <v>4.4956227697523444E-4</v>
      </c>
      <c r="W3" s="5">
        <f>(G3)/($G$34-(S3))</f>
        <v>4.4954552283218134E-4</v>
      </c>
      <c r="X3" s="5">
        <f>(G3+Q3)/($G$34-(S3))</f>
        <v>-4.6366450074447439E-4</v>
      </c>
      <c r="Z3" s="5">
        <f>-LN(1-V3)/J3</f>
        <v>1.2490648899787145E-7</v>
      </c>
      <c r="AA3" s="5">
        <f>-LN(1-W3)/J3</f>
        <v>1.2490183297610736E-7</v>
      </c>
      <c r="AB3" s="5">
        <f>-LN(1-X3)/J3</f>
        <v>-1.2876584488202535E-7</v>
      </c>
    </row>
    <row r="4" spans="1:28" s="5" customFormat="1" x14ac:dyDescent="0.3">
      <c r="A4" s="5">
        <v>2</v>
      </c>
      <c r="B4" s="5" t="s">
        <v>14</v>
      </c>
      <c r="C4" s="5" t="s">
        <v>15</v>
      </c>
      <c r="D4" s="9">
        <v>45114.954861111109</v>
      </c>
      <c r="E4" s="5">
        <v>0</v>
      </c>
      <c r="F4" s="5">
        <v>30.5</v>
      </c>
      <c r="G4" s="5">
        <v>0.162744738564471</v>
      </c>
      <c r="H4" s="5">
        <v>6.6903743909430399E-3</v>
      </c>
      <c r="I4" s="5">
        <v>5.3358930676875799E-3</v>
      </c>
      <c r="J4" s="5">
        <v>7200</v>
      </c>
      <c r="K4" s="5">
        <v>300</v>
      </c>
      <c r="L4" s="5">
        <v>300</v>
      </c>
      <c r="N4" s="5">
        <f t="shared" ref="N4:N33" si="2">(0.000304*EXP(-5580/(1.987*(L4+273))))*(199000000000000000*EXP(680/(1.987*(L4+273))))*1.17*EXP(-57/(1.987*(273+L4)))</f>
        <v>910102088167.78455</v>
      </c>
      <c r="O4" s="6">
        <f t="shared" ref="O4:O33" si="3">N4*$C$38*$C$39*(L4+273)</f>
        <v>1.4103622532175551E-4</v>
      </c>
      <c r="P4" s="7">
        <f t="shared" ref="P4:P33" si="4">O4*J4</f>
        <v>1.0154608223166397</v>
      </c>
      <c r="Q4" s="7">
        <f t="shared" ref="Q4:Q33" si="5">G4/((O4*J4)-1)</f>
        <v>10.526266664957211</v>
      </c>
      <c r="S4" s="8">
        <f t="shared" ref="S4:S33" si="6">G3+S3</f>
        <v>0.10272891707971603</v>
      </c>
      <c r="T4" s="8">
        <f t="shared" si="1"/>
        <v>0.26547365564418701</v>
      </c>
      <c r="V4" s="5">
        <f t="shared" ref="V4:V33" si="7">(G4-Q3)/($G$34-(S4+Q3))</f>
        <v>1.6246601131780607E-3</v>
      </c>
      <c r="W4" s="5">
        <f t="shared" ref="W4:W33" si="8">(G4)/($G$34-(S4))</f>
        <v>7.1252369866030534E-4</v>
      </c>
      <c r="X4" s="5">
        <f t="shared" ref="X4:X33" si="9">(G4+Q4)/($G$34-(S4))</f>
        <v>4.6798280592292817E-2</v>
      </c>
      <c r="Z4" s="5">
        <f t="shared" ref="Z4:Z33" si="10">-LN(1-V4)/J4</f>
        <v>2.2583073675069494E-7</v>
      </c>
      <c r="AA4" s="5">
        <f t="shared" ref="AA4:AA33" si="11">-LN(1-W4)/J4</f>
        <v>9.8996897821625287E-8</v>
      </c>
      <c r="AB4" s="5">
        <f t="shared" ref="AB4:AB33" si="12">-LN(1-X4)/J4</f>
        <v>6.6567680461632545E-6</v>
      </c>
    </row>
    <row r="5" spans="1:28" s="5" customFormat="1" x14ac:dyDescent="0.3">
      <c r="A5" s="5">
        <v>3</v>
      </c>
      <c r="B5" s="5" t="s">
        <v>16</v>
      </c>
      <c r="C5" s="5" t="s">
        <v>17</v>
      </c>
      <c r="D5" s="9">
        <v>45115.097916666666</v>
      </c>
      <c r="E5" s="5">
        <v>0</v>
      </c>
      <c r="F5" s="5">
        <v>19.399999999999999</v>
      </c>
      <c r="G5" s="5">
        <v>0.104198718013507</v>
      </c>
      <c r="H5" s="5">
        <v>4.1695219454650802E-3</v>
      </c>
      <c r="I5" s="5">
        <v>5.3710679388406001E-3</v>
      </c>
      <c r="J5" s="5">
        <v>10800</v>
      </c>
      <c r="K5" s="5">
        <v>300</v>
      </c>
      <c r="L5" s="5">
        <v>300</v>
      </c>
      <c r="N5" s="5">
        <f t="shared" si="2"/>
        <v>910102088167.78455</v>
      </c>
      <c r="O5" s="6">
        <f t="shared" si="3"/>
        <v>1.4103622532175551E-4</v>
      </c>
      <c r="P5" s="7">
        <f t="shared" si="4"/>
        <v>1.5231912334749595</v>
      </c>
      <c r="Q5" s="7">
        <f t="shared" si="5"/>
        <v>0.19915990816863344</v>
      </c>
      <c r="S5" s="8">
        <f t="shared" si="6"/>
        <v>0.26547365564418701</v>
      </c>
      <c r="T5" s="8">
        <f t="shared" si="1"/>
        <v>0.36967237365769401</v>
      </c>
      <c r="V5" s="5">
        <f t="shared" si="7"/>
        <v>-4.7869780908720808E-2</v>
      </c>
      <c r="W5" s="5">
        <f t="shared" si="8"/>
        <v>4.5652470844339193E-4</v>
      </c>
      <c r="X5" s="5">
        <f t="shared" si="9"/>
        <v>1.329101845126707E-3</v>
      </c>
      <c r="Z5" s="5">
        <f t="shared" si="10"/>
        <v>-4.3295669741189919E-6</v>
      </c>
      <c r="AA5" s="5">
        <f t="shared" si="11"/>
        <v>4.2280458108745312E-8</v>
      </c>
      <c r="AB5" s="5">
        <f t="shared" si="12"/>
        <v>1.2314684114719266E-7</v>
      </c>
    </row>
    <row r="6" spans="1:28" s="5" customFormat="1" x14ac:dyDescent="0.3">
      <c r="A6" s="5">
        <v>4</v>
      </c>
      <c r="B6" s="5" t="s">
        <v>18</v>
      </c>
      <c r="C6" s="5" t="s">
        <v>19</v>
      </c>
      <c r="D6" s="9">
        <v>45115.176388888889</v>
      </c>
      <c r="E6" s="5">
        <v>0</v>
      </c>
      <c r="F6" s="5">
        <v>0</v>
      </c>
      <c r="G6" s="5">
        <v>0</v>
      </c>
      <c r="H6" s="5">
        <v>0</v>
      </c>
      <c r="I6" s="5">
        <v>5.3844831329517796E-3</v>
      </c>
      <c r="J6" s="5">
        <v>3600</v>
      </c>
      <c r="K6" s="5">
        <v>25</v>
      </c>
      <c r="L6" s="5">
        <v>39.299999999999997</v>
      </c>
      <c r="N6" s="5">
        <f t="shared" si="2"/>
        <v>24025931825.42234</v>
      </c>
      <c r="O6" s="6">
        <f t="shared" si="3"/>
        <v>2.0292622104695723E-6</v>
      </c>
      <c r="P6" s="7">
        <f t="shared" si="4"/>
        <v>7.3053439576904605E-3</v>
      </c>
      <c r="Q6" s="7">
        <f t="shared" si="5"/>
        <v>0</v>
      </c>
      <c r="S6" s="8">
        <f t="shared" si="6"/>
        <v>0.36967237365769401</v>
      </c>
      <c r="T6" s="8">
        <f t="shared" si="1"/>
        <v>0.36967237365769401</v>
      </c>
      <c r="V6" s="5">
        <f t="shared" si="7"/>
        <v>-8.7373842403485778E-4</v>
      </c>
      <c r="W6" s="5">
        <f t="shared" si="8"/>
        <v>0</v>
      </c>
      <c r="X6" s="5">
        <f t="shared" si="9"/>
        <v>0</v>
      </c>
      <c r="Z6" s="5">
        <f t="shared" si="10"/>
        <v>-2.4259914911536186E-7</v>
      </c>
      <c r="AA6" s="5">
        <f t="shared" si="11"/>
        <v>0</v>
      </c>
      <c r="AB6" s="5">
        <f t="shared" si="12"/>
        <v>0</v>
      </c>
    </row>
    <row r="7" spans="1:28" s="5" customFormat="1" x14ac:dyDescent="0.3">
      <c r="A7" s="5">
        <v>5</v>
      </c>
      <c r="B7" s="5" t="s">
        <v>20</v>
      </c>
      <c r="C7" s="5" t="s">
        <v>21</v>
      </c>
      <c r="D7" s="9">
        <v>45115.25277777778</v>
      </c>
      <c r="E7" s="5">
        <v>0</v>
      </c>
      <c r="F7" s="5">
        <v>15</v>
      </c>
      <c r="G7" s="5">
        <v>8.0922908771294697E-2</v>
      </c>
      <c r="H7" s="5">
        <v>3.1478073552865101E-3</v>
      </c>
      <c r="I7" s="5">
        <v>5.39486058475298E-3</v>
      </c>
      <c r="J7" s="5">
        <v>3600</v>
      </c>
      <c r="K7" s="5">
        <v>350</v>
      </c>
      <c r="L7" s="5">
        <v>350.03</v>
      </c>
      <c r="N7" s="5">
        <f t="shared" si="2"/>
        <v>1290997043011.0896</v>
      </c>
      <c r="O7" s="6">
        <f t="shared" si="3"/>
        <v>2.1753049594127276E-4</v>
      </c>
      <c r="P7" s="7">
        <f t="shared" si="4"/>
        <v>0.78310978538858189</v>
      </c>
      <c r="Q7" s="7">
        <f t="shared" si="5"/>
        <v>-0.37310539305001239</v>
      </c>
      <c r="S7" s="8">
        <f t="shared" si="6"/>
        <v>0.36967237365769401</v>
      </c>
      <c r="T7" s="8">
        <f t="shared" si="1"/>
        <v>0.45059528242898872</v>
      </c>
      <c r="V7" s="5">
        <f t="shared" si="7"/>
        <v>3.5470859213520921E-4</v>
      </c>
      <c r="W7" s="5">
        <f t="shared" si="8"/>
        <v>3.5470859213520921E-4</v>
      </c>
      <c r="X7" s="5">
        <f t="shared" si="9"/>
        <v>-1.2807206169266536E-3</v>
      </c>
      <c r="Z7" s="5">
        <f t="shared" si="10"/>
        <v>9.8547643363345932E-8</v>
      </c>
      <c r="AA7" s="5">
        <f t="shared" si="11"/>
        <v>9.8547643363345932E-8</v>
      </c>
      <c r="AB7" s="5">
        <f t="shared" si="12"/>
        <v>-3.5552810939930883E-7</v>
      </c>
    </row>
    <row r="8" spans="1:28" s="5" customFormat="1" x14ac:dyDescent="0.3">
      <c r="A8" s="5">
        <v>6</v>
      </c>
      <c r="B8" s="5" t="s">
        <v>22</v>
      </c>
      <c r="C8" s="5" t="s">
        <v>23</v>
      </c>
      <c r="D8" s="9">
        <v>45115.354861111111</v>
      </c>
      <c r="E8" s="5">
        <v>0</v>
      </c>
      <c r="F8" s="5">
        <v>13</v>
      </c>
      <c r="G8" s="5">
        <v>7.0197779872993804E-2</v>
      </c>
      <c r="H8" s="5">
        <v>2.60942455627738E-3</v>
      </c>
      <c r="I8" s="5">
        <v>5.39982922099952E-3</v>
      </c>
      <c r="J8" s="5">
        <v>3600</v>
      </c>
      <c r="K8" s="5">
        <v>360</v>
      </c>
      <c r="L8" s="5">
        <v>360.02</v>
      </c>
      <c r="N8" s="5">
        <f t="shared" si="2"/>
        <v>1375210124734.7908</v>
      </c>
      <c r="O8" s="6">
        <f t="shared" si="3"/>
        <v>2.3543576436269107E-4</v>
      </c>
      <c r="P8" s="7">
        <f t="shared" si="4"/>
        <v>0.84756875170568791</v>
      </c>
      <c r="Q8" s="7">
        <f t="shared" si="5"/>
        <v>-0.46052092768706404</v>
      </c>
      <c r="S8" s="8">
        <f t="shared" si="6"/>
        <v>0.45059528242898872</v>
      </c>
      <c r="T8" s="8">
        <f t="shared" si="1"/>
        <v>0.52079306230198252</v>
      </c>
      <c r="V8" s="5">
        <f t="shared" si="7"/>
        <v>1.9406410299373166E-3</v>
      </c>
      <c r="W8" s="5">
        <f t="shared" si="8"/>
        <v>3.0780642143494579E-4</v>
      </c>
      <c r="X8" s="5">
        <f t="shared" si="9"/>
        <v>-1.7115067107427656E-3</v>
      </c>
      <c r="Z8" s="5">
        <f t="shared" si="10"/>
        <v>5.3959069819451267E-7</v>
      </c>
      <c r="AA8" s="5">
        <f t="shared" si="11"/>
        <v>8.5514945431863911E-8</v>
      </c>
      <c r="AB8" s="5">
        <f t="shared" si="12"/>
        <v>-4.7501215337130906E-7</v>
      </c>
    </row>
    <row r="9" spans="1:28" s="5" customFormat="1" x14ac:dyDescent="0.3">
      <c r="A9" s="5">
        <v>7</v>
      </c>
      <c r="B9" s="5" t="s">
        <v>24</v>
      </c>
      <c r="C9" s="5" t="s">
        <v>25</v>
      </c>
      <c r="D9" s="9">
        <v>45115.431250000001</v>
      </c>
      <c r="E9" s="5">
        <v>0</v>
      </c>
      <c r="F9" s="5">
        <v>8.3000000000000007</v>
      </c>
      <c r="G9" s="5">
        <v>4.4772338106800001E-2</v>
      </c>
      <c r="H9" s="5">
        <v>1.5449633289017399E-3</v>
      </c>
      <c r="I9" s="5">
        <v>5.3942576032289203E-3</v>
      </c>
      <c r="J9" s="5">
        <v>3600</v>
      </c>
      <c r="K9" s="5">
        <v>370</v>
      </c>
      <c r="L9" s="5">
        <v>370.01</v>
      </c>
      <c r="N9" s="5">
        <f t="shared" si="2"/>
        <v>1462042925664.0278</v>
      </c>
      <c r="O9" s="6">
        <f t="shared" si="3"/>
        <v>2.5425165820066329E-4</v>
      </c>
      <c r="P9" s="7">
        <f t="shared" si="4"/>
        <v>0.91530596952238785</v>
      </c>
      <c r="Q9" s="7">
        <f t="shared" si="5"/>
        <v>-0.52863629058998474</v>
      </c>
      <c r="S9" s="8">
        <f t="shared" si="6"/>
        <v>0.52079306230198252</v>
      </c>
      <c r="T9" s="8">
        <f t="shared" si="1"/>
        <v>0.56556540040878256</v>
      </c>
      <c r="V9" s="5">
        <f t="shared" si="7"/>
        <v>2.2118473273402385E-3</v>
      </c>
      <c r="W9" s="5">
        <f t="shared" si="8"/>
        <v>1.9638023380341615E-4</v>
      </c>
      <c r="X9" s="5">
        <f t="shared" si="9"/>
        <v>-2.1223219544851302E-3</v>
      </c>
      <c r="Z9" s="5">
        <f t="shared" si="10"/>
        <v>6.150825207271969E-7</v>
      </c>
      <c r="AA9" s="5">
        <f t="shared" si="11"/>
        <v>5.4555421923995565E-8</v>
      </c>
      <c r="AB9" s="5">
        <f t="shared" si="12"/>
        <v>-5.889091696311683E-7</v>
      </c>
    </row>
    <row r="10" spans="1:28" s="5" customFormat="1" x14ac:dyDescent="0.3">
      <c r="A10" s="5">
        <v>8</v>
      </c>
      <c r="B10" s="5" t="s">
        <v>26</v>
      </c>
      <c r="C10" s="5" t="s">
        <v>27</v>
      </c>
      <c r="D10" s="9">
        <v>45115.508333333331</v>
      </c>
      <c r="E10" s="5">
        <v>0</v>
      </c>
      <c r="F10" s="5">
        <v>5.89</v>
      </c>
      <c r="G10" s="5">
        <v>3.1718244218480997E-2</v>
      </c>
      <c r="H10" s="5">
        <v>9.7020897253983303E-4</v>
      </c>
      <c r="I10" s="5">
        <v>5.3851008859899796E-3</v>
      </c>
      <c r="J10" s="5">
        <v>3600</v>
      </c>
      <c r="K10" s="5">
        <v>380</v>
      </c>
      <c r="L10" s="5">
        <v>380.039999999999</v>
      </c>
      <c r="N10" s="5">
        <f t="shared" si="2"/>
        <v>1551812339405.0815</v>
      </c>
      <c r="O10" s="6">
        <f t="shared" si="3"/>
        <v>2.7407216320305262E-4</v>
      </c>
      <c r="P10" s="7">
        <f t="shared" si="4"/>
        <v>0.98665978753098948</v>
      </c>
      <c r="Q10" s="7">
        <f t="shared" si="5"/>
        <v>-2.377641607445375</v>
      </c>
      <c r="S10" s="8">
        <f t="shared" si="6"/>
        <v>0.56556540040878256</v>
      </c>
      <c r="T10" s="8">
        <f t="shared" si="1"/>
        <v>0.59728364462726358</v>
      </c>
      <c r="V10" s="5">
        <f t="shared" si="7"/>
        <v>2.452619364586065E-3</v>
      </c>
      <c r="W10" s="5">
        <f t="shared" si="8"/>
        <v>1.3914975048150816E-4</v>
      </c>
      <c r="X10" s="5">
        <f t="shared" si="9"/>
        <v>-1.029169989338697E-2</v>
      </c>
      <c r="Z10" s="5">
        <f t="shared" si="10"/>
        <v>6.8211998952914782E-7</v>
      </c>
      <c r="AA10" s="5">
        <f t="shared" si="11"/>
        <v>3.8655397973940521E-8</v>
      </c>
      <c r="AB10" s="5">
        <f t="shared" si="12"/>
        <v>-2.8441947029739958E-6</v>
      </c>
    </row>
    <row r="11" spans="1:28" s="5" customFormat="1" x14ac:dyDescent="0.3">
      <c r="A11" s="5">
        <v>9</v>
      </c>
      <c r="B11" s="5" t="s">
        <v>28</v>
      </c>
      <c r="C11" s="5" t="s">
        <v>29</v>
      </c>
      <c r="D11" s="9">
        <v>45115.585416666669</v>
      </c>
      <c r="E11" s="5">
        <v>0</v>
      </c>
      <c r="F11" s="5">
        <v>4.6399999999999997</v>
      </c>
      <c r="G11" s="5">
        <v>2.4905270417832099E-2</v>
      </c>
      <c r="H11" s="5">
        <v>5.8261887408017198E-4</v>
      </c>
      <c r="I11" s="5">
        <v>5.3675151762569298E-3</v>
      </c>
      <c r="J11" s="5">
        <v>3600</v>
      </c>
      <c r="K11" s="5">
        <v>390</v>
      </c>
      <c r="L11" s="5">
        <v>390.039999999999</v>
      </c>
      <c r="N11" s="5">
        <f t="shared" si="2"/>
        <v>1643847106639.2788</v>
      </c>
      <c r="O11" s="6">
        <f t="shared" si="3"/>
        <v>2.9477258787043051E-4</v>
      </c>
      <c r="P11" s="7">
        <f t="shared" si="4"/>
        <v>1.0611813163335497</v>
      </c>
      <c r="Q11" s="7">
        <f t="shared" si="5"/>
        <v>0.40707313785229732</v>
      </c>
      <c r="S11" s="8">
        <f t="shared" si="6"/>
        <v>0.59728364462726358</v>
      </c>
      <c r="T11" s="8">
        <f t="shared" si="1"/>
        <v>0.62218891504509566</v>
      </c>
      <c r="V11" s="5">
        <f t="shared" si="7"/>
        <v>1.0432739861123275E-2</v>
      </c>
      <c r="W11" s="5">
        <f t="shared" si="8"/>
        <v>1.0927605070644332E-4</v>
      </c>
      <c r="X11" s="5">
        <f t="shared" si="9"/>
        <v>1.8953777113946441E-3</v>
      </c>
      <c r="Z11" s="5">
        <f t="shared" si="10"/>
        <v>2.9132062181059903E-6</v>
      </c>
      <c r="AA11" s="5">
        <f t="shared" si="11"/>
        <v>3.0356117158072109E-8</v>
      </c>
      <c r="AB11" s="5">
        <f t="shared" si="12"/>
        <v>5.2699339240219227E-7</v>
      </c>
    </row>
    <row r="12" spans="1:28" s="5" customFormat="1" x14ac:dyDescent="0.3">
      <c r="A12" s="5">
        <v>10</v>
      </c>
      <c r="B12" s="5" t="s">
        <v>30</v>
      </c>
      <c r="C12" s="5" t="s">
        <v>31</v>
      </c>
      <c r="D12" s="9">
        <v>45115.662499999999</v>
      </c>
      <c r="E12" s="5">
        <v>0</v>
      </c>
      <c r="F12" s="5">
        <v>6.68</v>
      </c>
      <c r="G12" s="5">
        <v>3.5772325618235401E-2</v>
      </c>
      <c r="H12" s="5">
        <v>6.5885151411207996E-4</v>
      </c>
      <c r="I12" s="5">
        <v>5.3551385656041102E-3</v>
      </c>
      <c r="J12" s="5">
        <v>3600</v>
      </c>
      <c r="K12" s="5">
        <v>405</v>
      </c>
      <c r="L12" s="5">
        <v>405.04999999999899</v>
      </c>
      <c r="N12" s="5">
        <f t="shared" si="2"/>
        <v>1786629201471.7922</v>
      </c>
      <c r="O12" s="6">
        <f t="shared" si="3"/>
        <v>3.2762881540038068E-4</v>
      </c>
      <c r="P12" s="7">
        <f t="shared" si="4"/>
        <v>1.1794637354413704</v>
      </c>
      <c r="Q12" s="7">
        <f t="shared" si="5"/>
        <v>0.19932899273637364</v>
      </c>
      <c r="S12" s="8">
        <f t="shared" si="6"/>
        <v>0.62218891504509566</v>
      </c>
      <c r="T12" s="8">
        <f t="shared" si="1"/>
        <v>0.65796124066333106</v>
      </c>
      <c r="V12" s="5">
        <f t="shared" si="7"/>
        <v>-1.6322382909024682E-3</v>
      </c>
      <c r="W12" s="5">
        <f t="shared" si="8"/>
        <v>1.5697423138606273E-4</v>
      </c>
      <c r="X12" s="5">
        <f t="shared" si="9"/>
        <v>1.0316591976830289E-3</v>
      </c>
      <c r="Z12" s="5">
        <f t="shared" si="10"/>
        <v>-4.5302989937458802E-7</v>
      </c>
      <c r="AA12" s="5">
        <f t="shared" si="11"/>
        <v>4.3607375869498351E-8</v>
      </c>
      <c r="AB12" s="5">
        <f t="shared" si="12"/>
        <v>2.8671992342275637E-7</v>
      </c>
    </row>
    <row r="13" spans="1:28" s="5" customFormat="1" x14ac:dyDescent="0.3">
      <c r="A13" s="5">
        <v>11</v>
      </c>
      <c r="B13" s="5" t="s">
        <v>32</v>
      </c>
      <c r="C13" s="5" t="s">
        <v>33</v>
      </c>
      <c r="D13" s="9">
        <v>45115.739583333336</v>
      </c>
      <c r="E13" s="5">
        <v>0</v>
      </c>
      <c r="F13" s="5">
        <v>3.95</v>
      </c>
      <c r="G13" s="5">
        <v>2.1107896001769599E-2</v>
      </c>
      <c r="H13" s="5">
        <v>2.9276747330311701E-4</v>
      </c>
      <c r="I13" s="5">
        <v>5.3437711396885097E-3</v>
      </c>
      <c r="J13" s="5">
        <v>4200</v>
      </c>
      <c r="K13" s="5">
        <v>395</v>
      </c>
      <c r="L13" s="5">
        <v>395.039999999999</v>
      </c>
      <c r="N13" s="5">
        <f t="shared" si="2"/>
        <v>1690797553058.1455</v>
      </c>
      <c r="O13" s="6">
        <f t="shared" si="3"/>
        <v>3.0547805815177824E-4</v>
      </c>
      <c r="P13" s="7">
        <f t="shared" si="4"/>
        <v>1.2830078442374686</v>
      </c>
      <c r="Q13" s="7">
        <f t="shared" si="5"/>
        <v>7.4584137618666876E-2</v>
      </c>
      <c r="S13" s="8">
        <f t="shared" si="6"/>
        <v>0.65796124066333106</v>
      </c>
      <c r="T13" s="8">
        <f t="shared" si="1"/>
        <v>0.67906913666510071</v>
      </c>
      <c r="V13" s="5">
        <f t="shared" si="7"/>
        <v>-7.8286806407444967E-4</v>
      </c>
      <c r="W13" s="5">
        <f t="shared" si="8"/>
        <v>9.2639097212472547E-5</v>
      </c>
      <c r="X13" s="5">
        <f t="shared" si="9"/>
        <v>4.1997665727932409E-4</v>
      </c>
      <c r="Z13" s="5">
        <f t="shared" si="10"/>
        <v>-1.8632423397930786E-7</v>
      </c>
      <c r="AA13" s="5">
        <f t="shared" si="11"/>
        <v>2.2057949637776192E-8</v>
      </c>
      <c r="AB13" s="5">
        <f t="shared" si="12"/>
        <v>1.0001544575602931E-7</v>
      </c>
    </row>
    <row r="14" spans="1:28" s="5" customFormat="1" x14ac:dyDescent="0.3">
      <c r="A14" s="5">
        <v>12</v>
      </c>
      <c r="B14" s="5" t="s">
        <v>34</v>
      </c>
      <c r="C14" s="5" t="s">
        <v>35</v>
      </c>
      <c r="D14" s="9">
        <v>45115.816666666666</v>
      </c>
      <c r="E14" s="5">
        <v>0</v>
      </c>
      <c r="F14" s="5">
        <v>2.0099999999999998</v>
      </c>
      <c r="G14" s="5">
        <v>1.071628213615E-2</v>
      </c>
      <c r="H14" s="6">
        <v>9.5828697119808905E-5</v>
      </c>
      <c r="I14" s="5">
        <v>5.3314836498258899E-3</v>
      </c>
      <c r="J14" s="5">
        <v>4800</v>
      </c>
      <c r="K14" s="5">
        <v>385</v>
      </c>
      <c r="L14" s="5">
        <v>385.039999999999</v>
      </c>
      <c r="N14" s="5">
        <f t="shared" si="2"/>
        <v>1597516581672.8962</v>
      </c>
      <c r="O14" s="6">
        <f t="shared" si="3"/>
        <v>2.8430442001207106E-4</v>
      </c>
      <c r="P14" s="7">
        <f t="shared" si="4"/>
        <v>1.364661216057941</v>
      </c>
      <c r="Q14" s="7">
        <f t="shared" si="5"/>
        <v>2.9386953326145028E-2</v>
      </c>
      <c r="S14" s="8">
        <f t="shared" si="6"/>
        <v>0.67906913666510071</v>
      </c>
      <c r="T14" s="8">
        <f t="shared" si="1"/>
        <v>0.68978541880125066</v>
      </c>
      <c r="V14" s="5">
        <f t="shared" si="7"/>
        <v>-2.8042332478849506E-4</v>
      </c>
      <c r="W14" s="5">
        <f t="shared" si="8"/>
        <v>4.7036363935215414E-5</v>
      </c>
      <c r="X14" s="5">
        <f t="shared" si="9"/>
        <v>1.7602283648551211E-4</v>
      </c>
      <c r="Z14" s="5">
        <f t="shared" si="10"/>
        <v>-5.8413336149349243E-8</v>
      </c>
      <c r="AA14" s="5">
        <f t="shared" si="11"/>
        <v>9.7994729540981241E-9</v>
      </c>
      <c r="AB14" s="5">
        <f t="shared" si="12"/>
        <v>3.6674652150673705E-8</v>
      </c>
    </row>
    <row r="15" spans="1:28" s="5" customFormat="1" x14ac:dyDescent="0.3">
      <c r="A15" s="5">
        <v>13</v>
      </c>
      <c r="B15" s="5" t="s">
        <v>36</v>
      </c>
      <c r="C15" s="5" t="s">
        <v>37</v>
      </c>
      <c r="D15" s="9">
        <v>45115.919444444444</v>
      </c>
      <c r="E15" s="5">
        <v>0</v>
      </c>
      <c r="F15" s="5">
        <v>1.04</v>
      </c>
      <c r="G15" s="5">
        <v>5.5421985756510597E-3</v>
      </c>
      <c r="H15" s="6">
        <v>4.2163825344109201E-5</v>
      </c>
      <c r="I15" s="5">
        <v>5.3290370919721703E-3</v>
      </c>
      <c r="J15" s="5">
        <v>5400</v>
      </c>
      <c r="K15" s="5">
        <v>375</v>
      </c>
      <c r="L15" s="5">
        <v>375.03</v>
      </c>
      <c r="N15" s="5">
        <f t="shared" si="2"/>
        <v>1506651124454.2859</v>
      </c>
      <c r="O15" s="6">
        <f t="shared" si="3"/>
        <v>2.6405461054449821E-4</v>
      </c>
      <c r="P15" s="7">
        <f t="shared" si="4"/>
        <v>1.4258948969402903</v>
      </c>
      <c r="Q15" s="7">
        <f t="shared" si="5"/>
        <v>1.3013066405508179E-2</v>
      </c>
      <c r="S15" s="8">
        <f t="shared" si="6"/>
        <v>0.68978541880125066</v>
      </c>
      <c r="T15" s="8">
        <f t="shared" si="1"/>
        <v>0.69532761737690174</v>
      </c>
      <c r="V15" s="5">
        <f t="shared" si="7"/>
        <v>-1.046788433644039E-4</v>
      </c>
      <c r="W15" s="5">
        <f t="shared" si="8"/>
        <v>2.4327199315822347E-5</v>
      </c>
      <c r="X15" s="5">
        <f t="shared" si="9"/>
        <v>8.1447393736073823E-5</v>
      </c>
      <c r="Z15" s="5">
        <f t="shared" si="10"/>
        <v>-1.9383956466056489E-8</v>
      </c>
      <c r="AA15" s="5">
        <f t="shared" si="11"/>
        <v>4.5050917086831795E-9</v>
      </c>
      <c r="AB15" s="5">
        <f t="shared" si="12"/>
        <v>1.5083464954655338E-8</v>
      </c>
    </row>
    <row r="16" spans="1:28" s="5" customFormat="1" x14ac:dyDescent="0.3">
      <c r="A16" s="5">
        <v>14</v>
      </c>
      <c r="B16" s="5" t="s">
        <v>38</v>
      </c>
      <c r="C16" s="5" t="s">
        <v>39</v>
      </c>
      <c r="D16" s="9">
        <v>45116.03125</v>
      </c>
      <c r="E16" s="5">
        <v>0</v>
      </c>
      <c r="F16" s="5">
        <v>0.46300000000000002</v>
      </c>
      <c r="G16" s="5">
        <v>2.4730403346503501E-3</v>
      </c>
      <c r="H16" s="6">
        <v>1.8558267665455099E-5</v>
      </c>
      <c r="I16" s="5">
        <v>5.3413398156595196E-3</v>
      </c>
      <c r="J16" s="5">
        <v>6000</v>
      </c>
      <c r="K16" s="5">
        <v>365</v>
      </c>
      <c r="L16" s="5">
        <v>365.02</v>
      </c>
      <c r="N16" s="5">
        <f t="shared" si="2"/>
        <v>1418345354724.322</v>
      </c>
      <c r="O16" s="6">
        <f t="shared" si="3"/>
        <v>2.4473846208341622E-4</v>
      </c>
      <c r="P16" s="7">
        <f t="shared" si="4"/>
        <v>1.4684307725004973</v>
      </c>
      <c r="Q16" s="7">
        <f t="shared" si="5"/>
        <v>5.2794147605828455E-3</v>
      </c>
      <c r="S16" s="8">
        <f t="shared" si="6"/>
        <v>0.69532761737690174</v>
      </c>
      <c r="T16" s="8">
        <f t="shared" si="1"/>
        <v>0.69780065771155209</v>
      </c>
      <c r="V16" s="5">
        <f t="shared" si="7"/>
        <v>-4.6268677870516756E-5</v>
      </c>
      <c r="W16" s="5">
        <f t="shared" si="8"/>
        <v>1.0855549098065484E-5</v>
      </c>
      <c r="X16" s="5">
        <f t="shared" si="9"/>
        <v>3.4029835962521979E-5</v>
      </c>
      <c r="Z16" s="5">
        <f t="shared" si="10"/>
        <v>-7.7112679180581731E-9</v>
      </c>
      <c r="AA16" s="5">
        <f t="shared" si="11"/>
        <v>1.8092680033293588E-9</v>
      </c>
      <c r="AB16" s="5">
        <f t="shared" si="12"/>
        <v>5.6717358317619889E-9</v>
      </c>
    </row>
    <row r="17" spans="1:28" s="5" customFormat="1" x14ac:dyDescent="0.3">
      <c r="A17" s="5">
        <v>15</v>
      </c>
      <c r="B17" s="5" t="s">
        <v>40</v>
      </c>
      <c r="C17" s="5" t="s">
        <v>41</v>
      </c>
      <c r="D17" s="9">
        <v>45116.126388888886</v>
      </c>
      <c r="E17" s="5">
        <v>0</v>
      </c>
      <c r="F17" s="5">
        <v>0.21199999999999999</v>
      </c>
      <c r="G17" s="5">
        <v>1.1371455745995099E-3</v>
      </c>
      <c r="H17" s="6">
        <v>8.4310602430261008E-6</v>
      </c>
      <c r="I17" s="5">
        <v>5.36389421980904E-3</v>
      </c>
      <c r="J17" s="5">
        <v>6600</v>
      </c>
      <c r="K17" s="5">
        <v>355</v>
      </c>
      <c r="L17" s="5">
        <v>355.02</v>
      </c>
      <c r="N17" s="5">
        <f t="shared" si="2"/>
        <v>1332731174737.3391</v>
      </c>
      <c r="O17" s="6">
        <f t="shared" si="3"/>
        <v>2.2636119317384856E-4</v>
      </c>
      <c r="P17" s="7">
        <f t="shared" si="4"/>
        <v>1.4939838749474006</v>
      </c>
      <c r="Q17" s="7">
        <f t="shared" si="5"/>
        <v>2.3019892597113483E-3</v>
      </c>
      <c r="S17" s="8">
        <f t="shared" si="6"/>
        <v>0.69780065771155209</v>
      </c>
      <c r="T17" s="8">
        <f t="shared" si="1"/>
        <v>0.69893780328615163</v>
      </c>
      <c r="V17" s="5">
        <f t="shared" si="7"/>
        <v>-1.8183341433661633E-5</v>
      </c>
      <c r="W17" s="5">
        <f t="shared" si="8"/>
        <v>4.9916183936796507E-6</v>
      </c>
      <c r="X17" s="5">
        <f t="shared" si="9"/>
        <v>1.5096438908744355E-5</v>
      </c>
      <c r="Z17" s="5">
        <f t="shared" si="10"/>
        <v>-2.7550266846538189E-9</v>
      </c>
      <c r="AA17" s="5">
        <f t="shared" si="11"/>
        <v>7.5630770483384936E-10</v>
      </c>
      <c r="AB17" s="5">
        <f t="shared" si="12"/>
        <v>2.287356494108428E-9</v>
      </c>
    </row>
    <row r="18" spans="1:28" s="5" customFormat="1" x14ac:dyDescent="0.3">
      <c r="A18" s="5">
        <v>16</v>
      </c>
      <c r="B18" s="5" t="s">
        <v>42</v>
      </c>
      <c r="C18" s="5" t="s">
        <v>43</v>
      </c>
      <c r="D18" s="9">
        <v>45116.355555555558</v>
      </c>
      <c r="E18" s="5">
        <v>0</v>
      </c>
      <c r="F18" s="5">
        <v>3.71</v>
      </c>
      <c r="G18" s="5">
        <v>2.01009942771288E-2</v>
      </c>
      <c r="H18" s="5">
        <v>1.4558504310972599E-4</v>
      </c>
      <c r="I18" s="5">
        <v>5.4180577566385101E-3</v>
      </c>
      <c r="J18" s="5">
        <v>9600</v>
      </c>
      <c r="K18" s="5">
        <v>400</v>
      </c>
      <c r="L18" s="5">
        <v>400.01</v>
      </c>
      <c r="N18" s="5">
        <f t="shared" si="2"/>
        <v>1738074256566.0579</v>
      </c>
      <c r="O18" s="6">
        <f t="shared" si="3"/>
        <v>3.1635579014852462E-4</v>
      </c>
      <c r="P18" s="7">
        <f t="shared" si="4"/>
        <v>3.0370155854258365</v>
      </c>
      <c r="Q18" s="7">
        <f t="shared" si="5"/>
        <v>9.8678647433749021E-3</v>
      </c>
      <c r="S18" s="8">
        <f t="shared" si="6"/>
        <v>0.69893780328615163</v>
      </c>
      <c r="T18" s="8">
        <f t="shared" si="1"/>
        <v>0.71903879756328037</v>
      </c>
      <c r="V18" s="5">
        <f t="shared" si="7"/>
        <v>7.8131757353481579E-5</v>
      </c>
      <c r="W18" s="5">
        <f t="shared" si="8"/>
        <v>8.8235838796880476E-5</v>
      </c>
      <c r="X18" s="5">
        <f t="shared" si="9"/>
        <v>1.3155207036043764E-4</v>
      </c>
      <c r="Z18" s="5">
        <f t="shared" si="10"/>
        <v>8.1390426873171239E-9</v>
      </c>
      <c r="AA18" s="5">
        <f t="shared" si="11"/>
        <v>9.1916387299521565E-9</v>
      </c>
      <c r="AB18" s="5">
        <f t="shared" si="12"/>
        <v>1.3704242093018709E-8</v>
      </c>
    </row>
    <row r="19" spans="1:28" s="5" customFormat="1" x14ac:dyDescent="0.3">
      <c r="A19" s="5">
        <v>17</v>
      </c>
      <c r="B19" s="5" t="s">
        <v>44</v>
      </c>
      <c r="C19" s="5" t="s">
        <v>45</v>
      </c>
      <c r="D19" s="9">
        <v>45116.492361111108</v>
      </c>
      <c r="E19" s="5">
        <v>0</v>
      </c>
      <c r="F19" s="5">
        <v>7.11</v>
      </c>
      <c r="G19" s="5">
        <v>3.8559298225781802E-2</v>
      </c>
      <c r="H19" s="5">
        <v>2.7501074747163099E-4</v>
      </c>
      <c r="I19" s="5">
        <v>5.4232486956092597E-3</v>
      </c>
      <c r="J19" s="5">
        <v>8400</v>
      </c>
      <c r="K19" s="5">
        <v>420</v>
      </c>
      <c r="L19" s="5">
        <v>420.02</v>
      </c>
      <c r="N19" s="5">
        <f t="shared" si="2"/>
        <v>1934418182166.918</v>
      </c>
      <c r="O19" s="6">
        <f t="shared" si="3"/>
        <v>3.6256182730166843E-4</v>
      </c>
      <c r="P19" s="7">
        <f t="shared" si="4"/>
        <v>3.0455193493340147</v>
      </c>
      <c r="Q19" s="7">
        <f t="shared" si="5"/>
        <v>1.8850615242694251E-2</v>
      </c>
      <c r="S19" s="8">
        <f t="shared" si="6"/>
        <v>0.71903879756328037</v>
      </c>
      <c r="T19" s="8">
        <f t="shared" si="1"/>
        <v>0.75759809578906223</v>
      </c>
      <c r="V19" s="5">
        <f t="shared" si="7"/>
        <v>1.259612209927179E-4</v>
      </c>
      <c r="W19" s="5">
        <f t="shared" si="8"/>
        <v>1.6927581829068321E-4</v>
      </c>
      <c r="X19" s="5">
        <f t="shared" si="9"/>
        <v>2.520302631928038E-4</v>
      </c>
      <c r="Z19" s="5">
        <f t="shared" si="10"/>
        <v>1.4996327949234327E-8</v>
      </c>
      <c r="AA19" s="5">
        <f t="shared" si="11"/>
        <v>2.0153588935606948E-8</v>
      </c>
      <c r="AB19" s="5">
        <f t="shared" si="12"/>
        <v>3.0007384304382026E-8</v>
      </c>
    </row>
    <row r="20" spans="1:28" s="5" customFormat="1" x14ac:dyDescent="0.3">
      <c r="A20" s="5">
        <v>18</v>
      </c>
      <c r="B20" s="5" t="s">
        <v>46</v>
      </c>
      <c r="C20" s="5" t="s">
        <v>47</v>
      </c>
      <c r="D20" s="9">
        <v>45116.594444444447</v>
      </c>
      <c r="E20" s="5">
        <v>0</v>
      </c>
      <c r="F20" s="5">
        <v>8.52</v>
      </c>
      <c r="G20" s="5">
        <v>4.6127024103280997E-2</v>
      </c>
      <c r="H20" s="5">
        <v>3.2545224450514199E-4</v>
      </c>
      <c r="I20" s="5">
        <v>5.41396996517383E-3</v>
      </c>
      <c r="J20" s="5">
        <v>7200</v>
      </c>
      <c r="K20" s="5">
        <v>440</v>
      </c>
      <c r="L20" s="5">
        <v>440.03</v>
      </c>
      <c r="N20" s="5">
        <f t="shared" si="2"/>
        <v>2140048037573.748</v>
      </c>
      <c r="O20" s="6">
        <f t="shared" si="3"/>
        <v>4.1268365474518884E-4</v>
      </c>
      <c r="P20" s="7">
        <f t="shared" si="4"/>
        <v>2.9713223141653597</v>
      </c>
      <c r="Q20" s="7">
        <f t="shared" si="5"/>
        <v>2.3399027024563847E-2</v>
      </c>
      <c r="S20" s="8">
        <f t="shared" si="6"/>
        <v>0.75759809578906223</v>
      </c>
      <c r="T20" s="8">
        <f t="shared" si="1"/>
        <v>0.80372511989234319</v>
      </c>
      <c r="V20" s="5">
        <f t="shared" si="7"/>
        <v>1.1977397460748065E-4</v>
      </c>
      <c r="W20" s="5">
        <f t="shared" si="8"/>
        <v>2.0253251670075223E-4</v>
      </c>
      <c r="X20" s="5">
        <f t="shared" si="9"/>
        <v>3.0527193949600565E-4</v>
      </c>
      <c r="Z20" s="5">
        <f t="shared" si="10"/>
        <v>1.6636270567054853E-8</v>
      </c>
      <c r="AA20" s="5">
        <f t="shared" si="11"/>
        <v>2.8132365163973271E-8</v>
      </c>
      <c r="AB20" s="5">
        <f t="shared" si="12"/>
        <v>4.24053533971649E-8</v>
      </c>
    </row>
    <row r="21" spans="1:28" s="5" customFormat="1" x14ac:dyDescent="0.3">
      <c r="A21" s="5">
        <v>19</v>
      </c>
      <c r="B21" s="5" t="s">
        <v>48</v>
      </c>
      <c r="C21" s="5" t="s">
        <v>49</v>
      </c>
      <c r="D21" s="9">
        <v>45116.682638888888</v>
      </c>
      <c r="E21" s="5">
        <v>0</v>
      </c>
      <c r="F21" s="5">
        <v>9.65</v>
      </c>
      <c r="G21" s="5">
        <v>5.2111575294479101E-2</v>
      </c>
      <c r="H21" s="5">
        <v>3.63717503572717E-4</v>
      </c>
      <c r="I21" s="5">
        <v>5.4001632429512003E-3</v>
      </c>
      <c r="J21" s="5">
        <v>6000</v>
      </c>
      <c r="K21" s="5">
        <v>460</v>
      </c>
      <c r="L21" s="5">
        <v>460.03</v>
      </c>
      <c r="N21" s="5">
        <f t="shared" si="2"/>
        <v>2354405586436.8511</v>
      </c>
      <c r="O21" s="6">
        <f t="shared" si="3"/>
        <v>4.6675499230335575E-4</v>
      </c>
      <c r="P21" s="7">
        <f t="shared" si="4"/>
        <v>2.8005299538201345</v>
      </c>
      <c r="Q21" s="7">
        <f t="shared" si="5"/>
        <v>2.8942353990787779E-2</v>
      </c>
      <c r="S21" s="8">
        <f t="shared" si="6"/>
        <v>0.80372511989234319</v>
      </c>
      <c r="T21" s="8">
        <f t="shared" si="1"/>
        <v>0.85583669518682226</v>
      </c>
      <c r="V21" s="5">
        <f t="shared" si="7"/>
        <v>1.2610829642892602E-4</v>
      </c>
      <c r="W21" s="5">
        <f t="shared" si="8"/>
        <v>2.2885557259502069E-4</v>
      </c>
      <c r="X21" s="5">
        <f t="shared" si="9"/>
        <v>3.5596013539857977E-4</v>
      </c>
      <c r="Z21" s="5">
        <f t="shared" si="10"/>
        <v>2.101937479144754E-8</v>
      </c>
      <c r="AA21" s="5">
        <f t="shared" si="11"/>
        <v>3.8146960671277705E-8</v>
      </c>
      <c r="AB21" s="5">
        <f t="shared" si="12"/>
        <v>5.9337250707653931E-8</v>
      </c>
    </row>
    <row r="22" spans="1:28" s="5" customFormat="1" x14ac:dyDescent="0.3">
      <c r="A22" s="5">
        <v>20</v>
      </c>
      <c r="B22" s="5" t="s">
        <v>50</v>
      </c>
      <c r="C22" s="5" t="s">
        <v>51</v>
      </c>
      <c r="D22" s="9">
        <v>45116.756944444445</v>
      </c>
      <c r="E22" s="5">
        <v>0</v>
      </c>
      <c r="F22" s="5">
        <v>9.09</v>
      </c>
      <c r="G22" s="5">
        <v>4.8993692257124098E-2</v>
      </c>
      <c r="H22" s="5">
        <v>3.3975165530803403E-4</v>
      </c>
      <c r="I22" s="5">
        <v>5.3898451327969296E-3</v>
      </c>
      <c r="J22" s="5">
        <v>4800</v>
      </c>
      <c r="K22" s="5">
        <v>480</v>
      </c>
      <c r="L22" s="5">
        <v>480.039999999999</v>
      </c>
      <c r="N22" s="5">
        <f t="shared" si="2"/>
        <v>2577246507311.8086</v>
      </c>
      <c r="O22" s="6">
        <f t="shared" si="3"/>
        <v>5.2487990804172885E-4</v>
      </c>
      <c r="P22" s="7">
        <f t="shared" si="4"/>
        <v>2.5194235586002987</v>
      </c>
      <c r="Q22" s="7">
        <f t="shared" si="5"/>
        <v>3.2244920766041928E-2</v>
      </c>
      <c r="S22" s="8">
        <f t="shared" si="6"/>
        <v>0.85583669518682226</v>
      </c>
      <c r="T22" s="8">
        <f t="shared" si="1"/>
        <v>0.90483038744394639</v>
      </c>
      <c r="V22" s="5">
        <f t="shared" si="7"/>
        <v>8.8089728766668082E-5</v>
      </c>
      <c r="W22" s="5">
        <f t="shared" si="8"/>
        <v>2.1521218764688154E-4</v>
      </c>
      <c r="X22" s="5">
        <f t="shared" si="9"/>
        <v>3.56852868699067E-4</v>
      </c>
      <c r="Z22" s="5">
        <f t="shared" si="10"/>
        <v>1.8352835186383558E-8</v>
      </c>
      <c r="AA22" s="5">
        <f t="shared" si="11"/>
        <v>4.4840697731846807E-8</v>
      </c>
      <c r="AB22" s="5">
        <f t="shared" si="12"/>
        <v>7.4357615799106635E-8</v>
      </c>
    </row>
    <row r="23" spans="1:28" s="5" customFormat="1" x14ac:dyDescent="0.3">
      <c r="A23" s="5">
        <v>21</v>
      </c>
      <c r="B23" s="5" t="s">
        <v>52</v>
      </c>
      <c r="C23" s="5" t="s">
        <v>53</v>
      </c>
      <c r="D23" s="9">
        <v>45116.818055555559</v>
      </c>
      <c r="E23" s="5">
        <v>0</v>
      </c>
      <c r="F23" s="5">
        <v>10</v>
      </c>
      <c r="G23" s="5">
        <v>5.3796174653289001E-2</v>
      </c>
      <c r="H23" s="5">
        <v>3.7108276087579798E-4</v>
      </c>
      <c r="I23" s="5">
        <v>5.3796174653289001E-3</v>
      </c>
      <c r="J23" s="5">
        <v>3600</v>
      </c>
      <c r="K23" s="5">
        <v>500</v>
      </c>
      <c r="L23" s="5">
        <v>500.04999999999899</v>
      </c>
      <c r="N23" s="5">
        <f t="shared" si="2"/>
        <v>2808002113167.4023</v>
      </c>
      <c r="O23" s="6">
        <f t="shared" si="3"/>
        <v>5.8707144649841354E-4</v>
      </c>
      <c r="P23" s="7">
        <f t="shared" si="4"/>
        <v>2.1134572073942888</v>
      </c>
      <c r="Q23" s="7">
        <f t="shared" si="5"/>
        <v>4.831454167797139E-2</v>
      </c>
      <c r="S23" s="8">
        <f t="shared" si="6"/>
        <v>0.90483038744394639</v>
      </c>
      <c r="T23" s="8">
        <f t="shared" si="1"/>
        <v>0.9586265620972354</v>
      </c>
      <c r="V23" s="5">
        <f t="shared" si="7"/>
        <v>9.4700929636293101E-5</v>
      </c>
      <c r="W23" s="5">
        <f t="shared" si="8"/>
        <v>2.3635868365944908E-4</v>
      </c>
      <c r="X23" s="5">
        <f t="shared" si="9"/>
        <v>4.4863328396723768E-4</v>
      </c>
      <c r="Z23" s="5">
        <f t="shared" si="10"/>
        <v>2.6307059459005034E-8</v>
      </c>
      <c r="AA23" s="5">
        <f t="shared" si="11"/>
        <v>6.5662950215369933E-8</v>
      </c>
      <c r="AB23" s="5">
        <f t="shared" si="12"/>
        <v>1.2464831944117299E-7</v>
      </c>
    </row>
    <row r="24" spans="1:28" s="5" customFormat="1" x14ac:dyDescent="0.3">
      <c r="A24" s="5">
        <v>22</v>
      </c>
      <c r="B24" s="5" t="s">
        <v>54</v>
      </c>
      <c r="C24" s="5" t="s">
        <v>55</v>
      </c>
      <c r="D24" s="9">
        <v>45116.888888888891</v>
      </c>
      <c r="E24" s="5">
        <v>0</v>
      </c>
      <c r="F24" s="5">
        <v>10.4</v>
      </c>
      <c r="G24" s="5">
        <v>5.58513424969692E-2</v>
      </c>
      <c r="H24" s="5">
        <v>3.83862212988312E-4</v>
      </c>
      <c r="I24" s="5">
        <v>5.3703213939393403E-3</v>
      </c>
      <c r="J24" s="5">
        <v>3600</v>
      </c>
      <c r="K24" s="5">
        <v>510</v>
      </c>
      <c r="L24" s="5">
        <v>510.04999999999899</v>
      </c>
      <c r="N24" s="5">
        <f t="shared" si="2"/>
        <v>2926143268955.2554</v>
      </c>
      <c r="O24" s="6">
        <f t="shared" si="3"/>
        <v>6.1968505626855852E-4</v>
      </c>
      <c r="P24" s="7">
        <f t="shared" si="4"/>
        <v>2.2308662025668107</v>
      </c>
      <c r="Q24" s="7">
        <f t="shared" si="5"/>
        <v>4.5375640650867272E-2</v>
      </c>
      <c r="S24" s="8">
        <f t="shared" si="6"/>
        <v>0.9586265620972354</v>
      </c>
      <c r="T24" s="8">
        <f t="shared" si="1"/>
        <v>1.0144779045942045</v>
      </c>
      <c r="V24" s="5">
        <f t="shared" si="7"/>
        <v>3.3128524116524824E-5</v>
      </c>
      <c r="W24" s="5">
        <f t="shared" si="8"/>
        <v>2.4544627522426712E-4</v>
      </c>
      <c r="X24" s="5">
        <f t="shared" si="9"/>
        <v>4.4485566246101223E-4</v>
      </c>
      <c r="Z24" s="5">
        <f t="shared" si="10"/>
        <v>9.202520243943395E-9</v>
      </c>
      <c r="AA24" s="5">
        <f t="shared" si="11"/>
        <v>6.8187889469740752E-8</v>
      </c>
      <c r="AB24" s="5">
        <f t="shared" si="12"/>
        <v>1.2359851113781609E-7</v>
      </c>
    </row>
    <row r="25" spans="1:28" s="5" customFormat="1" x14ac:dyDescent="0.3">
      <c r="A25" s="5">
        <v>23</v>
      </c>
      <c r="B25" s="5" t="s">
        <v>56</v>
      </c>
      <c r="C25" s="5" t="s">
        <v>57</v>
      </c>
      <c r="D25" s="9">
        <v>45116.957638888889</v>
      </c>
      <c r="E25" s="5">
        <v>0</v>
      </c>
      <c r="F25" s="5">
        <v>4.42</v>
      </c>
      <c r="G25" s="5">
        <v>2.3703567478330401E-2</v>
      </c>
      <c r="H25" s="5">
        <v>1.6267545707444701E-4</v>
      </c>
      <c r="I25" s="5">
        <v>5.3627980720204697E-3</v>
      </c>
      <c r="J25" s="5">
        <v>4200</v>
      </c>
      <c r="K25" s="5">
        <v>490</v>
      </c>
      <c r="L25" s="5">
        <v>490.039999999999</v>
      </c>
      <c r="N25" s="5">
        <f t="shared" si="2"/>
        <v>2691606353606.6875</v>
      </c>
      <c r="O25" s="6">
        <f t="shared" si="3"/>
        <v>5.5544977237003529E-4</v>
      </c>
      <c r="P25" s="7">
        <f t="shared" si="4"/>
        <v>2.3328890439541481</v>
      </c>
      <c r="Q25" s="7">
        <f t="shared" si="5"/>
        <v>1.778360140766962E-2</v>
      </c>
      <c r="S25" s="8">
        <f t="shared" si="6"/>
        <v>1.0144779045942045</v>
      </c>
      <c r="T25" s="8">
        <f t="shared" si="1"/>
        <v>1.0381814720725349</v>
      </c>
      <c r="V25" s="5">
        <f t="shared" si="7"/>
        <v>-9.5283242724749075E-5</v>
      </c>
      <c r="W25" s="5">
        <f t="shared" si="8"/>
        <v>1.041941058572428E-4</v>
      </c>
      <c r="X25" s="5">
        <f t="shared" si="9"/>
        <v>1.823657333680674E-4</v>
      </c>
      <c r="Z25" s="5">
        <f t="shared" si="10"/>
        <v>-2.268540561070218E-8</v>
      </c>
      <c r="AA25" s="5">
        <f t="shared" si="11"/>
        <v>2.4809412961953451E-8</v>
      </c>
      <c r="AB25" s="5">
        <f t="shared" si="12"/>
        <v>4.3424372385795759E-8</v>
      </c>
    </row>
    <row r="26" spans="1:28" s="5" customFormat="1" x14ac:dyDescent="0.3">
      <c r="A26" s="5">
        <v>24</v>
      </c>
      <c r="B26" s="5" t="s">
        <v>58</v>
      </c>
      <c r="C26" s="5" t="s">
        <v>59</v>
      </c>
      <c r="D26" s="9">
        <v>45117.064583333333</v>
      </c>
      <c r="E26" s="5">
        <v>0</v>
      </c>
      <c r="F26" s="5">
        <v>2.0299999999999998</v>
      </c>
      <c r="G26" s="5">
        <v>1.08698859857994E-2</v>
      </c>
      <c r="H26" s="6">
        <v>7.4816862655448604E-5</v>
      </c>
      <c r="I26" s="5">
        <v>5.3546236383248298E-3</v>
      </c>
      <c r="J26" s="5">
        <v>5400</v>
      </c>
      <c r="K26" s="5">
        <v>470</v>
      </c>
      <c r="L26" s="5">
        <v>470.039999999999</v>
      </c>
      <c r="N26" s="5">
        <f t="shared" si="2"/>
        <v>2464863360765.5063</v>
      </c>
      <c r="O26" s="6">
        <f t="shared" si="3"/>
        <v>4.9532584171363555E-4</v>
      </c>
      <c r="P26" s="7">
        <f t="shared" si="4"/>
        <v>2.6747595452536319</v>
      </c>
      <c r="Q26" s="7">
        <f t="shared" si="5"/>
        <v>6.490415902751713E-3</v>
      </c>
      <c r="S26" s="8">
        <f t="shared" si="6"/>
        <v>1.0381814720725349</v>
      </c>
      <c r="T26" s="8">
        <f t="shared" si="1"/>
        <v>1.0490513580583343</v>
      </c>
      <c r="V26" s="5">
        <f t="shared" si="7"/>
        <v>-3.0396259620609887E-5</v>
      </c>
      <c r="W26" s="5">
        <f t="shared" si="8"/>
        <v>4.7785890134487235E-5</v>
      </c>
      <c r="X26" s="5">
        <f t="shared" si="9"/>
        <v>7.6318875821844732E-5</v>
      </c>
      <c r="Z26" s="5">
        <f t="shared" si="10"/>
        <v>-5.6288514192052024E-9</v>
      </c>
      <c r="AA26" s="5">
        <f t="shared" si="11"/>
        <v>8.849450354899107E-9</v>
      </c>
      <c r="AB26" s="5">
        <f t="shared" si="12"/>
        <v>1.4133664491742658E-8</v>
      </c>
    </row>
    <row r="27" spans="1:28" s="5" customFormat="1" x14ac:dyDescent="0.3">
      <c r="A27" s="5">
        <v>25</v>
      </c>
      <c r="B27" s="5" t="s">
        <v>60</v>
      </c>
      <c r="C27" s="5" t="s">
        <v>61</v>
      </c>
      <c r="D27" s="9">
        <v>45117.159722222219</v>
      </c>
      <c r="E27" s="5">
        <v>0</v>
      </c>
      <c r="F27" s="5">
        <v>0.998</v>
      </c>
      <c r="G27" s="5">
        <v>5.3358461142740702E-3</v>
      </c>
      <c r="H27" s="6">
        <v>3.7026675385975798E-5</v>
      </c>
      <c r="I27" s="5">
        <v>5.3465391926593902E-3</v>
      </c>
      <c r="J27" s="5">
        <v>6600</v>
      </c>
      <c r="K27" s="5">
        <v>450</v>
      </c>
      <c r="L27" s="5">
        <v>450.03</v>
      </c>
      <c r="N27" s="5">
        <f t="shared" si="2"/>
        <v>2246151758002.6875</v>
      </c>
      <c r="O27" s="6">
        <f t="shared" si="3"/>
        <v>4.3921923994616902E-4</v>
      </c>
      <c r="P27" s="7">
        <f t="shared" si="4"/>
        <v>2.8988469836447157</v>
      </c>
      <c r="Q27" s="7">
        <f t="shared" si="5"/>
        <v>2.8100453381621378E-3</v>
      </c>
      <c r="S27" s="8">
        <f t="shared" si="6"/>
        <v>1.0490513580583343</v>
      </c>
      <c r="T27" s="8">
        <f t="shared" si="1"/>
        <v>1.0543872041726083</v>
      </c>
      <c r="V27" s="5">
        <f t="shared" si="7"/>
        <v>-5.0760749592351515E-6</v>
      </c>
      <c r="W27" s="5">
        <f t="shared" si="8"/>
        <v>2.3458419109895143E-5</v>
      </c>
      <c r="X27" s="5">
        <f t="shared" si="9"/>
        <v>3.581245253752195E-5</v>
      </c>
      <c r="Z27" s="5">
        <f t="shared" si="10"/>
        <v>-7.6910031454982951E-10</v>
      </c>
      <c r="AA27" s="5">
        <f t="shared" si="11"/>
        <v>3.5543476155918701E-9</v>
      </c>
      <c r="AB27" s="5">
        <f t="shared" si="12"/>
        <v>5.4262263361613447E-9</v>
      </c>
    </row>
    <row r="28" spans="1:28" s="5" customFormat="1" x14ac:dyDescent="0.3">
      <c r="A28" s="5">
        <v>26</v>
      </c>
      <c r="B28" s="5" t="s">
        <v>62</v>
      </c>
      <c r="C28" s="5" t="s">
        <v>63</v>
      </c>
      <c r="D28" s="9">
        <v>45117.268750000003</v>
      </c>
      <c r="E28" s="5">
        <v>0</v>
      </c>
      <c r="F28" s="5">
        <v>0.621</v>
      </c>
      <c r="G28" s="5">
        <v>3.31418995677805E-3</v>
      </c>
      <c r="H28" s="6">
        <v>2.3325924917070699E-5</v>
      </c>
      <c r="I28" s="5">
        <v>5.33685983378108E-3</v>
      </c>
      <c r="J28" s="5">
        <v>7800</v>
      </c>
      <c r="K28" s="5">
        <v>430</v>
      </c>
      <c r="L28" s="5">
        <v>430.02</v>
      </c>
      <c r="N28" s="5">
        <f t="shared" si="2"/>
        <v>2036048741333.4663</v>
      </c>
      <c r="O28" s="6">
        <f t="shared" si="3"/>
        <v>3.8711659931328711E-4</v>
      </c>
      <c r="P28" s="7">
        <f t="shared" si="4"/>
        <v>3.0195094746436393</v>
      </c>
      <c r="Q28" s="7">
        <f t="shared" si="5"/>
        <v>1.6410866095901179E-3</v>
      </c>
      <c r="S28" s="8">
        <f t="shared" si="6"/>
        <v>1.0543872041726083</v>
      </c>
      <c r="T28" s="8">
        <f t="shared" si="1"/>
        <v>1.0577013941293865</v>
      </c>
      <c r="V28" s="5">
        <f t="shared" si="7"/>
        <v>2.2164918273578875E-6</v>
      </c>
      <c r="W28" s="5">
        <f t="shared" si="8"/>
        <v>1.4570787684620591E-5</v>
      </c>
      <c r="X28" s="5">
        <f t="shared" si="9"/>
        <v>2.1785800967582155E-5</v>
      </c>
      <c r="Z28" s="5">
        <f t="shared" si="10"/>
        <v>2.8416593382475642E-10</v>
      </c>
      <c r="AA28" s="5">
        <f t="shared" si="11"/>
        <v>1.8680633127678616E-9</v>
      </c>
      <c r="AB28" s="5">
        <f t="shared" si="12"/>
        <v>2.7930818309711619E-9</v>
      </c>
    </row>
    <row r="29" spans="1:28" s="5" customFormat="1" x14ac:dyDescent="0.3">
      <c r="A29" s="5">
        <v>27</v>
      </c>
      <c r="B29" s="5" t="s">
        <v>64</v>
      </c>
      <c r="C29" s="5" t="s">
        <v>65</v>
      </c>
      <c r="D29" s="9">
        <v>45117.395138888889</v>
      </c>
      <c r="E29" s="5">
        <v>0</v>
      </c>
      <c r="F29" s="5">
        <v>0.13600000000000001</v>
      </c>
      <c r="G29" s="5">
        <v>7.2490805694588195E-4</v>
      </c>
      <c r="H29" s="6">
        <v>5.1632567713622296E-6</v>
      </c>
      <c r="I29" s="5">
        <v>5.3302063010726604E-3</v>
      </c>
      <c r="J29" s="5">
        <v>9000</v>
      </c>
      <c r="K29" s="5">
        <v>410</v>
      </c>
      <c r="L29" s="5">
        <v>410.02</v>
      </c>
      <c r="N29" s="5">
        <f t="shared" si="2"/>
        <v>1835107032782.1711</v>
      </c>
      <c r="O29" s="6">
        <f t="shared" si="3"/>
        <v>3.3898522041060977E-4</v>
      </c>
      <c r="P29" s="7">
        <f t="shared" si="4"/>
        <v>3.0508669836954878</v>
      </c>
      <c r="Q29" s="7">
        <f t="shared" si="5"/>
        <v>3.5346419963310313E-4</v>
      </c>
      <c r="S29" s="8">
        <f t="shared" si="6"/>
        <v>1.0577013941293865</v>
      </c>
      <c r="T29" s="8">
        <f t="shared" si="1"/>
        <v>1.0584263021863323</v>
      </c>
      <c r="V29" s="5">
        <f t="shared" si="7"/>
        <v>-4.0280533646322341E-6</v>
      </c>
      <c r="W29" s="5">
        <f t="shared" si="8"/>
        <v>3.1870941111698448E-6</v>
      </c>
      <c r="X29" s="5">
        <f t="shared" si="9"/>
        <v>4.7411169398113067E-6</v>
      </c>
      <c r="Z29" s="5">
        <f t="shared" si="10"/>
        <v>-4.475605835611254E-10</v>
      </c>
      <c r="AA29" s="5">
        <f t="shared" si="11"/>
        <v>3.5412213221934765E-10</v>
      </c>
      <c r="AB29" s="5">
        <f t="shared" si="12"/>
        <v>5.2679201988354786E-10</v>
      </c>
    </row>
    <row r="30" spans="1:28" s="5" customFormat="1" x14ac:dyDescent="0.3">
      <c r="A30" s="5">
        <v>28</v>
      </c>
      <c r="B30" s="5" t="s">
        <v>66</v>
      </c>
      <c r="C30" s="5" t="s">
        <v>67</v>
      </c>
      <c r="D30" s="9">
        <v>45117.536805555559</v>
      </c>
      <c r="E30" s="5">
        <v>0</v>
      </c>
      <c r="F30" s="5">
        <v>1.04</v>
      </c>
      <c r="G30" s="5">
        <v>5.5415587167776297E-3</v>
      </c>
      <c r="H30" s="6">
        <v>3.9452711777887702E-5</v>
      </c>
      <c r="I30" s="5">
        <v>5.3284218430554101E-3</v>
      </c>
      <c r="J30" s="5">
        <v>9600</v>
      </c>
      <c r="K30" s="5">
        <v>450</v>
      </c>
      <c r="L30" s="5">
        <v>450.02</v>
      </c>
      <c r="N30" s="5">
        <f t="shared" si="2"/>
        <v>2246044570745.8774</v>
      </c>
      <c r="O30" s="6">
        <f t="shared" si="3"/>
        <v>4.3919220581608404E-4</v>
      </c>
      <c r="P30" s="7">
        <f t="shared" si="4"/>
        <v>4.2162451758344064</v>
      </c>
      <c r="Q30" s="7">
        <f t="shared" si="5"/>
        <v>1.7229901371993369E-3</v>
      </c>
      <c r="S30" s="8">
        <f t="shared" si="6"/>
        <v>1.0584263021863323</v>
      </c>
      <c r="T30" s="8">
        <f t="shared" si="1"/>
        <v>1.0639678609031098</v>
      </c>
      <c r="V30" s="5">
        <f t="shared" si="7"/>
        <v>2.2809822183422237E-5</v>
      </c>
      <c r="W30" s="5">
        <f t="shared" si="8"/>
        <v>2.4363814517799125E-5</v>
      </c>
      <c r="X30" s="5">
        <f t="shared" si="9"/>
        <v>3.1939049982078772E-5</v>
      </c>
      <c r="Z30" s="5">
        <f t="shared" si="10"/>
        <v>2.3760502428478572E-9</v>
      </c>
      <c r="AA30" s="5">
        <f t="shared" si="11"/>
        <v>2.5379282625320866E-9</v>
      </c>
      <c r="AB30" s="5">
        <f t="shared" si="12"/>
        <v>3.3270375046279061E-9</v>
      </c>
    </row>
    <row r="31" spans="1:28" s="5" customFormat="1" x14ac:dyDescent="0.3">
      <c r="A31" s="5">
        <v>29</v>
      </c>
      <c r="B31" s="5" t="s">
        <v>68</v>
      </c>
      <c r="C31" s="5" t="s">
        <v>69</v>
      </c>
      <c r="D31" s="9">
        <v>45117.669444444444</v>
      </c>
      <c r="E31" s="5">
        <v>0</v>
      </c>
      <c r="F31" s="5">
        <v>1.87</v>
      </c>
      <c r="G31" s="5">
        <v>9.9672312381539306E-3</v>
      </c>
      <c r="H31" s="6">
        <v>6.3367459892708502E-5</v>
      </c>
      <c r="I31" s="5">
        <v>5.3300701808309797E-3</v>
      </c>
      <c r="J31" s="5">
        <v>8400</v>
      </c>
      <c r="K31" s="5">
        <v>470</v>
      </c>
      <c r="L31" s="5">
        <v>470.02</v>
      </c>
      <c r="N31" s="5">
        <f t="shared" si="2"/>
        <v>2464640613913.5298</v>
      </c>
      <c r="O31" s="6">
        <f t="shared" si="3"/>
        <v>4.9526774848094983E-4</v>
      </c>
      <c r="P31" s="7">
        <f t="shared" si="4"/>
        <v>4.1602490872399782</v>
      </c>
      <c r="Q31" s="7">
        <f t="shared" si="5"/>
        <v>3.1539384912405337E-3</v>
      </c>
      <c r="S31" s="8">
        <f t="shared" si="6"/>
        <v>1.0639678609031098</v>
      </c>
      <c r="T31" s="8">
        <f t="shared" si="1"/>
        <v>1.0739350921412638</v>
      </c>
      <c r="V31" s="5">
        <f t="shared" si="7"/>
        <v>3.6247486819023292E-5</v>
      </c>
      <c r="W31" s="5">
        <f t="shared" si="8"/>
        <v>4.3822632259493758E-5</v>
      </c>
      <c r="X31" s="5">
        <f t="shared" si="9"/>
        <v>5.7689460806786056E-5</v>
      </c>
      <c r="Z31" s="5">
        <f t="shared" si="10"/>
        <v>4.3152552113214328E-9</v>
      </c>
      <c r="AA31" s="5">
        <f t="shared" si="11"/>
        <v>5.2170943451371251E-9</v>
      </c>
      <c r="AB31" s="5">
        <f t="shared" si="12"/>
        <v>6.8679910604403142E-9</v>
      </c>
    </row>
    <row r="32" spans="1:28" s="5" customFormat="1" x14ac:dyDescent="0.3">
      <c r="A32" s="5">
        <v>30</v>
      </c>
      <c r="B32" s="5" t="s">
        <v>70</v>
      </c>
      <c r="C32" s="5" t="s">
        <v>71</v>
      </c>
      <c r="D32" s="9">
        <v>45117.786805555559</v>
      </c>
      <c r="E32" s="5">
        <v>0</v>
      </c>
      <c r="F32" s="5">
        <v>4.0999999999999996</v>
      </c>
      <c r="G32" s="5">
        <v>2.1864832926326301E-2</v>
      </c>
      <c r="H32" s="5">
        <v>1.10574546016139E-4</v>
      </c>
      <c r="I32" s="5">
        <v>5.3328860795917796E-3</v>
      </c>
      <c r="J32" s="5">
        <v>7200</v>
      </c>
      <c r="K32" s="5">
        <v>490</v>
      </c>
      <c r="L32" s="5">
        <v>490.03</v>
      </c>
      <c r="N32" s="5">
        <f t="shared" si="2"/>
        <v>2691491025709.4316</v>
      </c>
      <c r="O32" s="6">
        <f t="shared" si="3"/>
        <v>5.5541869376159788E-4</v>
      </c>
      <c r="P32" s="7">
        <f t="shared" si="4"/>
        <v>3.9990145950835045</v>
      </c>
      <c r="Q32" s="7">
        <f t="shared" si="5"/>
        <v>7.2906723969169271E-3</v>
      </c>
      <c r="S32" s="8">
        <f t="shared" si="6"/>
        <v>1.0739350921412638</v>
      </c>
      <c r="T32" s="8">
        <f t="shared" si="1"/>
        <v>1.0957999250675901</v>
      </c>
      <c r="V32" s="5">
        <f t="shared" si="7"/>
        <v>8.2270385054641367E-5</v>
      </c>
      <c r="W32" s="5">
        <f t="shared" si="8"/>
        <v>9.6136680430172631E-5</v>
      </c>
      <c r="X32" s="5">
        <f t="shared" si="9"/>
        <v>1.2819276998297984E-4</v>
      </c>
      <c r="Z32" s="5">
        <f t="shared" si="10"/>
        <v>1.142691242338168E-8</v>
      </c>
      <c r="AA32" s="5">
        <f t="shared" si="11"/>
        <v>1.3352958591255272E-8</v>
      </c>
      <c r="AB32" s="5">
        <f t="shared" si="12"/>
        <v>1.7805692691446179E-8</v>
      </c>
    </row>
    <row r="33" spans="1:28" s="5" customFormat="1" x14ac:dyDescent="0.3">
      <c r="A33" s="5">
        <v>31</v>
      </c>
      <c r="B33" s="5" t="s">
        <v>72</v>
      </c>
      <c r="C33" s="5" t="s">
        <v>73</v>
      </c>
      <c r="D33" s="9">
        <v>45117.875694444447</v>
      </c>
      <c r="E33" s="5">
        <v>0</v>
      </c>
      <c r="F33" s="5">
        <v>7.08</v>
      </c>
      <c r="G33" s="5">
        <v>3.7766729387843097E-2</v>
      </c>
      <c r="H33" s="5">
        <v>1.66635080682516E-4</v>
      </c>
      <c r="I33" s="5">
        <v>5.3342838118422397E-3</v>
      </c>
      <c r="J33" s="5">
        <v>6000</v>
      </c>
      <c r="K33" s="5">
        <v>510</v>
      </c>
      <c r="L33" s="5">
        <v>510.03</v>
      </c>
      <c r="N33" s="5">
        <f t="shared" si="2"/>
        <v>2925905168038.0649</v>
      </c>
      <c r="O33" s="6">
        <f t="shared" si="3"/>
        <v>6.1961880617705984E-4</v>
      </c>
      <c r="P33" s="7">
        <f t="shared" si="4"/>
        <v>3.7177128370623591</v>
      </c>
      <c r="Q33" s="7">
        <f t="shared" si="5"/>
        <v>1.389651212328454E-2</v>
      </c>
      <c r="S33" s="8">
        <f t="shared" si="6"/>
        <v>1.0957999250675901</v>
      </c>
      <c r="T33" s="8">
        <f t="shared" si="1"/>
        <v>1.1335666544554333</v>
      </c>
      <c r="V33" s="5">
        <f t="shared" si="7"/>
        <v>1.3401623499689657E-4</v>
      </c>
      <c r="W33" s="5">
        <f t="shared" si="8"/>
        <v>1.6607111016256321E-4</v>
      </c>
      <c r="X33" s="5">
        <f t="shared" si="9"/>
        <v>2.2717804828266034E-4</v>
      </c>
      <c r="Z33" s="5">
        <f t="shared" si="10"/>
        <v>2.2337535995816351E-8</v>
      </c>
      <c r="AA33" s="5">
        <f t="shared" si="11"/>
        <v>2.7680816916044466E-8</v>
      </c>
      <c r="AB33" s="5">
        <f t="shared" si="12"/>
        <v>3.7867309520722749E-8</v>
      </c>
    </row>
    <row r="34" spans="1:28" ht="15" thickBot="1" x14ac:dyDescent="0.35">
      <c r="A34" t="s">
        <v>108</v>
      </c>
      <c r="G34" s="1">
        <f>(4.16*54.93)</f>
        <v>228.50880000000001</v>
      </c>
    </row>
    <row r="35" spans="1:28" x14ac:dyDescent="0.3">
      <c r="B35" s="10" t="s">
        <v>74</v>
      </c>
      <c r="C35" s="11"/>
      <c r="D35" s="11"/>
      <c r="E35" s="12"/>
    </row>
    <row r="36" spans="1:28" x14ac:dyDescent="0.3">
      <c r="B36" s="13" t="s">
        <v>75</v>
      </c>
      <c r="C36" s="14">
        <v>0.13</v>
      </c>
      <c r="D36" s="14"/>
      <c r="E36" s="15"/>
    </row>
    <row r="37" spans="1:28" x14ac:dyDescent="0.3">
      <c r="B37" s="13" t="s">
        <v>76</v>
      </c>
      <c r="C37" s="14">
        <v>0.16500000000000001</v>
      </c>
      <c r="D37" s="14"/>
      <c r="E37" s="15"/>
    </row>
    <row r="38" spans="1:28" x14ac:dyDescent="0.3">
      <c r="B38" s="13" t="s">
        <v>77</v>
      </c>
      <c r="C38" s="14">
        <f>2/((LN(C37/C36)*((C36/2)^2)))</f>
        <v>1985.5322720608037</v>
      </c>
      <c r="D38" s="14"/>
      <c r="E38" s="15"/>
    </row>
    <row r="39" spans="1:28" ht="58.2" thickBot="1" x14ac:dyDescent="0.35">
      <c r="B39" s="16" t="s">
        <v>78</v>
      </c>
      <c r="C39" s="17">
        <v>1.3621000000000001E-22</v>
      </c>
      <c r="D39" s="18"/>
      <c r="E3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10CF-49F0-4B21-B8EA-6FD9A5DFAAC8}">
  <dimension ref="A1:AH45"/>
  <sheetViews>
    <sheetView topLeftCell="K1" workbookViewId="0">
      <selection activeCell="D36" sqref="D36"/>
    </sheetView>
  </sheetViews>
  <sheetFormatPr defaultRowHeight="14.4" x14ac:dyDescent="0.3"/>
  <sheetData>
    <row r="1" spans="1:34" ht="16.8" x14ac:dyDescent="0.35">
      <c r="A1">
        <v>3</v>
      </c>
      <c r="D1" t="s">
        <v>85</v>
      </c>
      <c r="E1" s="3" t="s">
        <v>81</v>
      </c>
      <c r="F1" t="s">
        <v>95</v>
      </c>
      <c r="G1" t="s">
        <v>97</v>
      </c>
      <c r="H1" t="s">
        <v>96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Q1" t="s">
        <v>86</v>
      </c>
      <c r="R1" t="s">
        <v>87</v>
      </c>
      <c r="S1" t="s">
        <v>88</v>
      </c>
      <c r="T1" t="s">
        <v>89</v>
      </c>
      <c r="U1" t="s">
        <v>91</v>
      </c>
      <c r="V1" s="2" t="s">
        <v>101</v>
      </c>
      <c r="X1" t="s">
        <v>86</v>
      </c>
      <c r="Y1" t="s">
        <v>87</v>
      </c>
      <c r="Z1" t="s">
        <v>88</v>
      </c>
      <c r="AA1" t="s">
        <v>89</v>
      </c>
      <c r="AB1" t="s">
        <v>91</v>
      </c>
      <c r="AC1" s="2" t="s">
        <v>101</v>
      </c>
    </row>
    <row r="2" spans="1:34" x14ac:dyDescent="0.3">
      <c r="J2" t="s">
        <v>99</v>
      </c>
      <c r="Q2" t="s">
        <v>98</v>
      </c>
      <c r="X2" t="s">
        <v>100</v>
      </c>
    </row>
    <row r="3" spans="1:34" x14ac:dyDescent="0.3">
      <c r="A3" t="s">
        <v>92</v>
      </c>
      <c r="B3" t="s">
        <v>93</v>
      </c>
      <c r="C3" t="s">
        <v>94</v>
      </c>
      <c r="D3">
        <v>0</v>
      </c>
      <c r="E3">
        <v>0</v>
      </c>
      <c r="G3">
        <v>0</v>
      </c>
    </row>
    <row r="4" spans="1:34" s="5" customFormat="1" x14ac:dyDescent="0.3">
      <c r="A4" s="5" t="e" cm="1" vm="1">
        <f t="array" aca="1" ref="A4" ca="1">ReducedBigLVCOPy230707!A2:A33</f>
        <v>#VALUE!</v>
      </c>
      <c r="B4" s="5" cm="1">
        <f t="array" ref="B4:B35">ReducedBigLVCOPy230707!L2:L33</f>
        <v>26.99</v>
      </c>
      <c r="C4" s="5" cm="1">
        <f t="array" ref="C4:C35">ReducedBigLVCOPy230707!J2:J33</f>
        <v>3600</v>
      </c>
      <c r="D4" s="6" cm="1">
        <f t="array" ref="D4:D35">ReducedBigLVCOPy230707!T2:T33</f>
        <v>3.81082510102662E-6</v>
      </c>
      <c r="E4" s="7" cm="1">
        <f t="array" ref="E4:E35">ReducedBigLVCOPy230707!P2:P33</f>
        <v>5.0561104503317527E-3</v>
      </c>
      <c r="F4" s="7" cm="1">
        <f t="array" ref="F4:F35">ReducedBigLVCOPy230707!Q2:Q33</f>
        <v>-3.8301909696148561E-6</v>
      </c>
      <c r="G4" s="6">
        <f>D4/$D$36</f>
        <v>1.6676929295618461E-8</v>
      </c>
      <c r="H4" s="6">
        <f t="shared" ref="H4:H35" si="0">(D4+F4)/$D$36</f>
        <v>-8.474889627111098E-11</v>
      </c>
      <c r="J4" s="5">
        <f t="shared" ref="J4:J35" si="1">((G4^2-G3^2)*PI())/(36*C4)</f>
        <v>6.7418183400100137E-21</v>
      </c>
      <c r="K4" s="6">
        <f t="shared" ref="K4:K35" si="2">(1/(PI()*PI()*C4))*(-(G4-G3)*PI()*PI()/3-2*PI()*(SQRT(1-PI()/3*G4)-SQRT(1-PI()/3*G3)))</f>
        <v>2.4741160149122477E-21</v>
      </c>
      <c r="L4" s="6">
        <f t="shared" ref="L4:L35" si="3">(1/(PI()^2*C4))*LN((1-G3)/(1-G4))</f>
        <v>4.6936839834071622E-13</v>
      </c>
      <c r="M4" s="6">
        <f t="shared" ref="M4:M35" si="4">(G4&lt;0.05)*J4+((G4&gt;=0.05)*(G4&lt;0.9))*K4+(G4&gt;=0.9)*L4</f>
        <v>6.7418183400100137E-21</v>
      </c>
      <c r="N4" s="5">
        <f t="shared" ref="N4:N35" si="5">10000/(273+B4)</f>
        <v>33.334444481482713</v>
      </c>
      <c r="O4" s="5">
        <f t="shared" ref="O4:O35" si="6">LN(M4)</f>
        <v>-46.445957280951461</v>
      </c>
      <c r="Q4" s="6">
        <f t="shared" ref="Q4:Q35" si="7">((G4^2-H3^2)*PI())/(36*C4)</f>
        <v>6.7418183400100137E-21</v>
      </c>
      <c r="R4" s="6">
        <f t="shared" ref="R4:R35" si="8">(1/(PI()*PI()*C4))*(-(G4-H3)*PI()*PI()/3-2*PI()*(SQRT(1-PI()/3*G4)-SQRT(1-PI()/3*H3)))</f>
        <v>2.4741160149122477E-21</v>
      </c>
      <c r="S4" s="6">
        <f t="shared" ref="S4:S35" si="9">(1/(PI()^2*C4))*LN((1-H3)/(1-G4))</f>
        <v>4.6936839834071622E-13</v>
      </c>
      <c r="T4" s="6">
        <f t="shared" ref="T4:T35" si="10">(G4&lt;0.05)*Q4+((G4&gt;=0.05)*(G4&lt;0.9))*R4+(G4&gt;=0.9)*S4</f>
        <v>6.7418183400100137E-21</v>
      </c>
      <c r="U4" s="5">
        <f>LN(T4)</f>
        <v>-46.445957280951461</v>
      </c>
      <c r="V4" s="5">
        <f>O4-U4</f>
        <v>0</v>
      </c>
      <c r="X4" s="6">
        <f t="shared" ref="X4:X35" si="11">((H4^2-G3^2)*PI())/(36*C4)</f>
        <v>1.7410569330395976E-25</v>
      </c>
      <c r="Y4" s="6">
        <f t="shared" ref="Y4:Y35" si="12">(1/(PI()*PI()*C4))*(-(H4-G3)*PI()*PI()/3-2*PI()*(SQRT(1-PI()/3*H4)-SQRT(1-PI()/3*G3)))</f>
        <v>2.4102110335858744E-20</v>
      </c>
      <c r="Z4" s="6">
        <f t="shared" ref="Z4:Z35" si="13">(1/(PI()^2*C4))*LN((1-G3)/(1-H4))</f>
        <v>-2.3852378571244218E-15</v>
      </c>
      <c r="AA4" s="6">
        <f>(H4&lt;0.05)*X4+((H4&gt;=0.05)*(H4&lt;0.9))*Y4+(H4&gt;=0.9)*Z4</f>
        <v>1.7410569330395976E-25</v>
      </c>
      <c r="AB4" s="5">
        <f>LN(AA4)</f>
        <v>-57.010134963255943</v>
      </c>
      <c r="AC4" s="5">
        <f>AB4-O4</f>
        <v>-10.564177682304482</v>
      </c>
      <c r="AF4" s="6"/>
      <c r="AG4" s="6"/>
      <c r="AH4" s="6"/>
    </row>
    <row r="5" spans="1:34" s="5" customFormat="1" x14ac:dyDescent="0.3">
      <c r="A5" s="5">
        <v>1</v>
      </c>
      <c r="B5" s="5">
        <v>300</v>
      </c>
      <c r="C5" s="5">
        <v>3600</v>
      </c>
      <c r="D5" s="6">
        <v>0.10272891707971603</v>
      </c>
      <c r="E5" s="5">
        <v>0.50773041115831985</v>
      </c>
      <c r="F5" s="5">
        <v>-0.20867652315538965</v>
      </c>
      <c r="G5" s="6">
        <f t="shared" ref="G5:G35" si="14">D5/$D$36</f>
        <v>4.4956219226443807E-4</v>
      </c>
      <c r="H5" s="6">
        <f t="shared" si="0"/>
        <v>-4.6364781608267873E-4</v>
      </c>
      <c r="J5" s="6">
        <f t="shared" si="1"/>
        <v>4.8991916777448971E-12</v>
      </c>
      <c r="K5" s="6">
        <f t="shared" si="2"/>
        <v>4.9003452370102855E-12</v>
      </c>
      <c r="L5" s="6">
        <f t="shared" si="3"/>
        <v>1.2655201556235276E-8</v>
      </c>
      <c r="M5" s="6">
        <f t="shared" si="4"/>
        <v>4.8991916777448971E-12</v>
      </c>
      <c r="N5" s="5">
        <f t="shared" si="5"/>
        <v>17.452006980802793</v>
      </c>
      <c r="O5" s="5">
        <f t="shared" si="6"/>
        <v>-26.041950888145511</v>
      </c>
      <c r="Q5" s="6">
        <f t="shared" si="7"/>
        <v>4.8991916844865411E-12</v>
      </c>
      <c r="R5" s="6">
        <f t="shared" si="8"/>
        <v>4.9003452153815199E-12</v>
      </c>
      <c r="S5" s="6">
        <f t="shared" si="9"/>
        <v>1.2655673309874528E-8</v>
      </c>
      <c r="T5" s="6">
        <f t="shared" si="10"/>
        <v>4.8991916844865411E-12</v>
      </c>
      <c r="U5" s="5">
        <f t="shared" ref="U5:U35" si="15">LN(T5)</f>
        <v>-26.041950886769438</v>
      </c>
      <c r="V5" s="5">
        <f t="shared" ref="V5:V35" si="16">O5-U5</f>
        <v>-1.376072589209798E-9</v>
      </c>
      <c r="X5" s="6">
        <f t="shared" si="11"/>
        <v>5.2110028121470604E-12</v>
      </c>
      <c r="Y5" s="6">
        <f t="shared" si="12"/>
        <v>5.2097381553326417E-12</v>
      </c>
      <c r="Z5" s="6">
        <f t="shared" si="13"/>
        <v>-1.3046707816151228E-8</v>
      </c>
      <c r="AA5" s="6">
        <f t="shared" ref="AA5:AA35" si="17">(H5&lt;0.05)*X5+((H5&gt;=0.05)*(H5&lt;0.9))*Y5+(H5&gt;=0.9)*Z5</f>
        <v>5.2110028121470604E-12</v>
      </c>
      <c r="AB5" s="5">
        <f t="shared" ref="AB5:AB35" si="18">LN(AA5)</f>
        <v>-25.980248800345684</v>
      </c>
      <c r="AC5" s="5">
        <f t="shared" ref="AC5:AC35" si="19">AB5-O5</f>
        <v>6.1702087799826444E-2</v>
      </c>
      <c r="AG5" s="6"/>
      <c r="AH5" s="6"/>
    </row>
    <row r="6" spans="1:34" s="5" customFormat="1" x14ac:dyDescent="0.3">
      <c r="A6" s="5">
        <v>2</v>
      </c>
      <c r="B6" s="5">
        <v>300</v>
      </c>
      <c r="C6" s="5">
        <v>7200</v>
      </c>
      <c r="D6" s="6">
        <v>0.26547365564418701</v>
      </c>
      <c r="E6" s="5">
        <v>1.0154608223166397</v>
      </c>
      <c r="F6" s="5">
        <v>10.526266664957211</v>
      </c>
      <c r="G6" s="6">
        <f t="shared" si="14"/>
        <v>1.1617655672087333E-3</v>
      </c>
      <c r="H6" s="6">
        <f t="shared" si="0"/>
        <v>4.7226804046939977E-2</v>
      </c>
      <c r="J6" s="6">
        <f t="shared" si="1"/>
        <v>1.3909220498133053E-11</v>
      </c>
      <c r="K6" s="6">
        <f t="shared" si="2"/>
        <v>1.3918602349902202E-11</v>
      </c>
      <c r="L6" s="6">
        <f t="shared" si="3"/>
        <v>1.0030482864206286E-8</v>
      </c>
      <c r="M6" s="6">
        <f t="shared" si="4"/>
        <v>1.3909220498133053E-11</v>
      </c>
      <c r="N6" s="5">
        <f t="shared" si="5"/>
        <v>17.452006980802793</v>
      </c>
      <c r="O6" s="5">
        <f t="shared" si="6"/>
        <v>-24.998469150518645</v>
      </c>
      <c r="Q6" s="6">
        <f t="shared" si="7"/>
        <v>1.3753314930931972E-11</v>
      </c>
      <c r="R6" s="6">
        <f t="shared" si="8"/>
        <v>1.3763905890728818E-11</v>
      </c>
      <c r="S6" s="6">
        <f t="shared" si="9"/>
        <v>2.2881437550400085E-8</v>
      </c>
      <c r="T6" s="6">
        <f t="shared" si="10"/>
        <v>1.3753314930931972E-11</v>
      </c>
      <c r="U6" s="5">
        <f t="shared" si="15"/>
        <v>-25.009741234986539</v>
      </c>
      <c r="V6" s="5">
        <f t="shared" si="16"/>
        <v>1.1272084467893961E-2</v>
      </c>
      <c r="X6" s="6">
        <f t="shared" si="11"/>
        <v>2.7030410021229044E-8</v>
      </c>
      <c r="Y6" s="6">
        <f t="shared" si="12"/>
        <v>2.7720280308753124E-8</v>
      </c>
      <c r="Z6" s="6">
        <f t="shared" si="13"/>
        <v>6.7447161766975416E-7</v>
      </c>
      <c r="AA6" s="6">
        <f t="shared" si="17"/>
        <v>2.7030410021229044E-8</v>
      </c>
      <c r="AB6" s="5">
        <f t="shared" si="18"/>
        <v>-17.426303307656234</v>
      </c>
      <c r="AC6" s="5">
        <f t="shared" si="19"/>
        <v>7.572165842862411</v>
      </c>
      <c r="AG6" s="6"/>
      <c r="AH6" s="6"/>
    </row>
    <row r="7" spans="1:34" s="5" customFormat="1" x14ac:dyDescent="0.3">
      <c r="A7" s="5">
        <v>3</v>
      </c>
      <c r="B7" s="5">
        <v>300</v>
      </c>
      <c r="C7" s="5">
        <v>10800</v>
      </c>
      <c r="D7" s="6">
        <v>0.36967237365769401</v>
      </c>
      <c r="E7" s="5">
        <v>1.5231912334749595</v>
      </c>
      <c r="F7" s="5">
        <v>0.19915990816863344</v>
      </c>
      <c r="G7" s="6">
        <f t="shared" si="14"/>
        <v>1.6177599009652758E-3</v>
      </c>
      <c r="H7" s="6">
        <f t="shared" si="0"/>
        <v>2.4893233075764581E-3</v>
      </c>
      <c r="J7" s="6">
        <f t="shared" si="1"/>
        <v>1.0241267742827321E-11</v>
      </c>
      <c r="K7" s="6">
        <f t="shared" si="2"/>
        <v>1.0252560485966122E-11</v>
      </c>
      <c r="L7" s="6">
        <f t="shared" si="3"/>
        <v>4.2839060605193157E-9</v>
      </c>
      <c r="M7" s="6">
        <f t="shared" si="4"/>
        <v>1.0241267742827321E-11</v>
      </c>
      <c r="N7" s="5">
        <f t="shared" si="5"/>
        <v>17.452006980802793</v>
      </c>
      <c r="O7" s="5">
        <f t="shared" si="6"/>
        <v>-25.304595700969667</v>
      </c>
      <c r="Q7" s="6">
        <f t="shared" si="7"/>
        <v>-1.8000759266077784E-8</v>
      </c>
      <c r="R7" s="6">
        <f t="shared" si="8"/>
        <v>-1.8460655243782592E-8</v>
      </c>
      <c r="S7" s="6">
        <f t="shared" si="9"/>
        <v>-4.3867685047651195E-7</v>
      </c>
      <c r="T7" s="6">
        <f t="shared" si="10"/>
        <v>-1.8000759266077784E-8</v>
      </c>
      <c r="U7" s="5" t="e">
        <f t="shared" si="15"/>
        <v>#NUM!</v>
      </c>
      <c r="V7" s="5" t="e">
        <f t="shared" si="16"/>
        <v>#NUM!</v>
      </c>
      <c r="X7" s="6">
        <f t="shared" si="11"/>
        <v>3.9165118088420061E-11</v>
      </c>
      <c r="Y7" s="6">
        <f t="shared" si="12"/>
        <v>3.9223848396607273E-11</v>
      </c>
      <c r="Z7" s="6">
        <f t="shared" si="13"/>
        <v>1.2477383706848491E-8</v>
      </c>
      <c r="AA7" s="6">
        <f t="shared" si="17"/>
        <v>3.9165118088420061E-11</v>
      </c>
      <c r="AB7" s="5">
        <f t="shared" si="18"/>
        <v>-23.963234609962097</v>
      </c>
      <c r="AC7" s="5">
        <f t="shared" si="19"/>
        <v>1.3413610910075704</v>
      </c>
      <c r="AG7" s="6"/>
      <c r="AH7" s="6"/>
    </row>
    <row r="8" spans="1:34" s="5" customFormat="1" x14ac:dyDescent="0.3">
      <c r="A8" s="5">
        <v>4</v>
      </c>
      <c r="B8" s="5">
        <v>39.299999999999997</v>
      </c>
      <c r="C8" s="5">
        <v>3600</v>
      </c>
      <c r="D8" s="6">
        <v>0.36967237365769401</v>
      </c>
      <c r="E8" s="5">
        <v>7.3053439576904605E-3</v>
      </c>
      <c r="F8" s="5">
        <v>0</v>
      </c>
      <c r="G8" s="6">
        <f t="shared" si="14"/>
        <v>1.6177599009652758E-3</v>
      </c>
      <c r="H8" s="6">
        <f t="shared" si="0"/>
        <v>1.6177599009652758E-3</v>
      </c>
      <c r="J8" s="6">
        <f t="shared" si="1"/>
        <v>0</v>
      </c>
      <c r="K8" s="6">
        <f t="shared" si="2"/>
        <v>0</v>
      </c>
      <c r="L8" s="6">
        <f t="shared" si="3"/>
        <v>0</v>
      </c>
      <c r="M8" s="6">
        <f t="shared" si="4"/>
        <v>0</v>
      </c>
      <c r="N8" s="5">
        <f t="shared" si="5"/>
        <v>32.020493115593979</v>
      </c>
      <c r="O8" s="5" t="e">
        <f t="shared" si="6"/>
        <v>#NUM!</v>
      </c>
      <c r="Q8" s="6">
        <f t="shared" si="7"/>
        <v>-8.6771551036778219E-11</v>
      </c>
      <c r="R8" s="6">
        <f t="shared" si="8"/>
        <v>-8.691386373192345E-11</v>
      </c>
      <c r="S8" s="6">
        <f t="shared" si="9"/>
        <v>-2.4580432938991954E-8</v>
      </c>
      <c r="T8" s="6">
        <f t="shared" si="10"/>
        <v>-8.6771551036778219E-11</v>
      </c>
      <c r="U8" s="5" t="e">
        <f t="shared" si="15"/>
        <v>#NUM!</v>
      </c>
      <c r="V8" s="5" t="e">
        <f t="shared" si="16"/>
        <v>#NUM!</v>
      </c>
      <c r="X8" s="6">
        <f t="shared" si="11"/>
        <v>0</v>
      </c>
      <c r="Y8" s="6">
        <f t="shared" si="12"/>
        <v>0</v>
      </c>
      <c r="Z8" s="6">
        <f t="shared" si="13"/>
        <v>0</v>
      </c>
      <c r="AA8" s="6">
        <f t="shared" si="17"/>
        <v>0</v>
      </c>
      <c r="AB8" s="5" t="e">
        <f t="shared" si="18"/>
        <v>#NUM!</v>
      </c>
      <c r="AC8" s="5" t="e">
        <f t="shared" si="19"/>
        <v>#NUM!</v>
      </c>
      <c r="AG8" s="6"/>
      <c r="AH8" s="6"/>
    </row>
    <row r="9" spans="1:34" s="5" customFormat="1" x14ac:dyDescent="0.3">
      <c r="A9" s="5">
        <v>5</v>
      </c>
      <c r="B9" s="5">
        <v>350.03</v>
      </c>
      <c r="C9" s="5">
        <v>3600</v>
      </c>
      <c r="D9" s="6">
        <v>0.45059528242898872</v>
      </c>
      <c r="E9" s="5">
        <v>0.78310978538858189</v>
      </c>
      <c r="F9" s="5">
        <v>-0.37310539305001239</v>
      </c>
      <c r="G9" s="6">
        <f t="shared" si="14"/>
        <v>1.9718946597636006E-3</v>
      </c>
      <c r="H9" s="6">
        <f t="shared" si="0"/>
        <v>3.3911118249702559E-4</v>
      </c>
      <c r="J9" s="6">
        <f t="shared" si="1"/>
        <v>3.0815277583277068E-11</v>
      </c>
      <c r="K9" s="6">
        <f t="shared" si="2"/>
        <v>3.0858926196399526E-11</v>
      </c>
      <c r="L9" s="6">
        <f t="shared" si="3"/>
        <v>9.9849638707364607E-9</v>
      </c>
      <c r="M9" s="6">
        <f t="shared" si="4"/>
        <v>3.0815277583277068E-11</v>
      </c>
      <c r="N9" s="5">
        <f t="shared" si="5"/>
        <v>16.050591464295461</v>
      </c>
      <c r="O9" s="5">
        <f t="shared" si="6"/>
        <v>-24.203010523497895</v>
      </c>
      <c r="Q9" s="6">
        <f t="shared" si="7"/>
        <v>3.0815277583277068E-11</v>
      </c>
      <c r="R9" s="6">
        <f t="shared" si="8"/>
        <v>3.0858926196399526E-11</v>
      </c>
      <c r="S9" s="6">
        <f t="shared" si="9"/>
        <v>9.9849638707364607E-9</v>
      </c>
      <c r="T9" s="6">
        <f t="shared" si="10"/>
        <v>3.0815277583277068E-11</v>
      </c>
      <c r="U9" s="5">
        <f t="shared" si="15"/>
        <v>-24.203010523497895</v>
      </c>
      <c r="V9" s="5">
        <f t="shared" si="16"/>
        <v>0</v>
      </c>
      <c r="X9" s="6">
        <f t="shared" si="11"/>
        <v>-6.0653844652470155E-11</v>
      </c>
      <c r="Y9" s="6">
        <f t="shared" si="12"/>
        <v>-6.0707145068962361E-11</v>
      </c>
      <c r="Z9" s="6">
        <f t="shared" si="13"/>
        <v>-3.602252886245479E-8</v>
      </c>
      <c r="AA9" s="6">
        <f t="shared" si="17"/>
        <v>-6.0653844652470155E-11</v>
      </c>
      <c r="AB9" s="5" t="e">
        <f t="shared" si="18"/>
        <v>#NUM!</v>
      </c>
      <c r="AC9" s="5" t="e">
        <f t="shared" si="19"/>
        <v>#NUM!</v>
      </c>
      <c r="AF9" s="6"/>
      <c r="AG9" s="6"/>
      <c r="AH9" s="6"/>
    </row>
    <row r="10" spans="1:34" s="5" customFormat="1" x14ac:dyDescent="0.3">
      <c r="A10" s="5">
        <v>6</v>
      </c>
      <c r="B10" s="5">
        <v>360.02</v>
      </c>
      <c r="C10" s="5">
        <v>3600</v>
      </c>
      <c r="D10" s="6">
        <v>0.52079306230198252</v>
      </c>
      <c r="E10" s="5">
        <v>0.84756875170568791</v>
      </c>
      <c r="F10" s="5">
        <v>-0.46052092768706404</v>
      </c>
      <c r="G10" s="6">
        <f t="shared" si="14"/>
        <v>2.2790941193598781E-3</v>
      </c>
      <c r="H10" s="6">
        <f t="shared" si="0"/>
        <v>2.6376285996389845E-4</v>
      </c>
      <c r="J10" s="6">
        <f t="shared" si="1"/>
        <v>3.1655944595127844E-11</v>
      </c>
      <c r="K10" s="6">
        <f t="shared" si="2"/>
        <v>3.170898046621834E-11</v>
      </c>
      <c r="L10" s="6">
        <f t="shared" si="3"/>
        <v>8.6644754902697455E-9</v>
      </c>
      <c r="M10" s="6">
        <f t="shared" si="4"/>
        <v>3.1655944595127844E-11</v>
      </c>
      <c r="N10" s="5">
        <f t="shared" si="5"/>
        <v>15.797289185175824</v>
      </c>
      <c r="O10" s="5">
        <f t="shared" si="6"/>
        <v>-24.176095162064044</v>
      </c>
      <c r="Q10" s="6">
        <f t="shared" si="7"/>
        <v>1.2312506683087506E-10</v>
      </c>
      <c r="R10" s="6">
        <f t="shared" si="8"/>
        <v>1.2327505173157413E-10</v>
      </c>
      <c r="S10" s="6">
        <f t="shared" si="9"/>
        <v>5.4671968223463972E-8</v>
      </c>
      <c r="T10" s="6">
        <f t="shared" si="10"/>
        <v>1.2312506683087506E-10</v>
      </c>
      <c r="U10" s="5">
        <f>LN(T10)</f>
        <v>-22.817820473647611</v>
      </c>
      <c r="V10" s="5">
        <f t="shared" si="16"/>
        <v>-1.358274688416433</v>
      </c>
      <c r="X10" s="6">
        <f t="shared" si="11"/>
        <v>-9.2570268587970251E-11</v>
      </c>
      <c r="Y10" s="6">
        <f t="shared" si="12"/>
        <v>-9.2667479735950113E-11</v>
      </c>
      <c r="Z10" s="6">
        <f t="shared" si="13"/>
        <v>-4.8128793624078586E-8</v>
      </c>
      <c r="AA10" s="6">
        <f t="shared" si="17"/>
        <v>-9.2570268587970251E-11</v>
      </c>
      <c r="AB10" s="5" t="e">
        <f t="shared" si="18"/>
        <v>#NUM!</v>
      </c>
      <c r="AC10" s="5" t="e">
        <f t="shared" si="19"/>
        <v>#NUM!</v>
      </c>
      <c r="AG10" s="6"/>
      <c r="AH10" s="6"/>
    </row>
    <row r="11" spans="1:34" s="5" customFormat="1" x14ac:dyDescent="0.3">
      <c r="A11" s="5">
        <v>7</v>
      </c>
      <c r="B11" s="5">
        <v>370.01</v>
      </c>
      <c r="C11" s="5">
        <v>3600</v>
      </c>
      <c r="D11" s="6">
        <v>0.56556540040878256</v>
      </c>
      <c r="E11" s="5">
        <v>0.91530596952238785</v>
      </c>
      <c r="F11" s="5">
        <v>-0.52863629058998474</v>
      </c>
      <c r="G11" s="6">
        <f t="shared" si="14"/>
        <v>2.4750267841272744E-3</v>
      </c>
      <c r="H11" s="6">
        <f t="shared" si="0"/>
        <v>1.6160913636060329E-4</v>
      </c>
      <c r="J11" s="6">
        <f t="shared" si="1"/>
        <v>2.2579896061636833E-11</v>
      </c>
      <c r="K11" s="6">
        <f t="shared" si="2"/>
        <v>2.2622163000776002E-11</v>
      </c>
      <c r="L11" s="6">
        <f t="shared" si="3"/>
        <v>5.5276199234475251E-9</v>
      </c>
      <c r="M11" s="6">
        <f t="shared" si="4"/>
        <v>2.2579896061636833E-11</v>
      </c>
      <c r="N11" s="5">
        <f t="shared" si="5"/>
        <v>15.551857669398609</v>
      </c>
      <c r="O11" s="5">
        <f t="shared" si="6"/>
        <v>-24.5139611603338</v>
      </c>
      <c r="Q11" s="6">
        <f t="shared" si="7"/>
        <v>1.4680610924473493E-10</v>
      </c>
      <c r="R11" s="6">
        <f t="shared" si="8"/>
        <v>1.4699862320298412E-10</v>
      </c>
      <c r="S11" s="6">
        <f t="shared" si="9"/>
        <v>6.2320889037793221E-8</v>
      </c>
      <c r="T11" s="6">
        <f t="shared" si="10"/>
        <v>1.4680610924473493E-10</v>
      </c>
      <c r="U11" s="5">
        <f t="shared" si="15"/>
        <v>-22.641908384505509</v>
      </c>
      <c r="V11" s="5">
        <f t="shared" si="16"/>
        <v>-1.8720527758282905</v>
      </c>
      <c r="X11" s="6">
        <f t="shared" si="11"/>
        <v>-1.2527955170777739E-10</v>
      </c>
      <c r="Y11" s="6">
        <f t="shared" si="12"/>
        <v>-1.2542997809441321E-10</v>
      </c>
      <c r="Z11" s="6">
        <f t="shared" si="13"/>
        <v>-5.9668974124857343E-8</v>
      </c>
      <c r="AA11" s="6">
        <f t="shared" si="17"/>
        <v>-1.2527955170777739E-10</v>
      </c>
      <c r="AB11" s="5" t="e">
        <f t="shared" si="18"/>
        <v>#NUM!</v>
      </c>
      <c r="AC11" s="5" t="e">
        <f t="shared" si="19"/>
        <v>#NUM!</v>
      </c>
      <c r="AG11" s="6"/>
      <c r="AH11" s="6"/>
    </row>
    <row r="12" spans="1:34" s="5" customFormat="1" x14ac:dyDescent="0.3">
      <c r="A12" s="5">
        <v>8</v>
      </c>
      <c r="B12" s="5">
        <v>380.039999999999</v>
      </c>
      <c r="C12" s="5">
        <v>3600</v>
      </c>
      <c r="D12" s="6">
        <v>0.59728364462726358</v>
      </c>
      <c r="E12" s="5">
        <v>0.98665978753098948</v>
      </c>
      <c r="F12" s="5">
        <v>-2.377641607445375</v>
      </c>
      <c r="G12" s="6">
        <f t="shared" si="14"/>
        <v>2.6138321352493364E-3</v>
      </c>
      <c r="H12" s="6">
        <f t="shared" si="0"/>
        <v>-7.7912008763693624E-3</v>
      </c>
      <c r="J12" s="6">
        <f t="shared" si="1"/>
        <v>1.7122670172547955E-11</v>
      </c>
      <c r="K12" s="6">
        <f t="shared" si="2"/>
        <v>1.7156972656923419E-11</v>
      </c>
      <c r="L12" s="6">
        <f t="shared" si="3"/>
        <v>3.9166106768860512E-9</v>
      </c>
      <c r="M12" s="6">
        <f t="shared" si="4"/>
        <v>1.7122670172547955E-11</v>
      </c>
      <c r="N12" s="5">
        <f t="shared" si="5"/>
        <v>15.312997672424377</v>
      </c>
      <c r="O12" s="5">
        <f t="shared" si="6"/>
        <v>-24.790617789354037</v>
      </c>
      <c r="Q12" s="6">
        <f t="shared" si="7"/>
        <v>1.6498211794196217E-10</v>
      </c>
      <c r="R12" s="6">
        <f t="shared" si="8"/>
        <v>1.6520911375207296E-10</v>
      </c>
      <c r="S12" s="6">
        <f t="shared" si="9"/>
        <v>6.9113204725188254E-8</v>
      </c>
      <c r="T12" s="6">
        <f t="shared" si="10"/>
        <v>1.6498211794196217E-10</v>
      </c>
      <c r="U12" s="5">
        <f t="shared" si="15"/>
        <v>-22.525184024010404</v>
      </c>
      <c r="V12" s="5">
        <f t="shared" si="16"/>
        <v>-2.2654337653436336</v>
      </c>
      <c r="X12" s="6">
        <f t="shared" si="11"/>
        <v>1.3229851109066654E-9</v>
      </c>
      <c r="Y12" s="6">
        <f t="shared" si="12"/>
        <v>1.3168199616285373E-9</v>
      </c>
      <c r="Z12" s="6">
        <f t="shared" si="13"/>
        <v>-2.8817717381459078E-7</v>
      </c>
      <c r="AA12" s="6">
        <f t="shared" si="17"/>
        <v>1.3229851109066654E-9</v>
      </c>
      <c r="AB12" s="5">
        <f t="shared" si="18"/>
        <v>-20.443375205915721</v>
      </c>
      <c r="AC12" s="5">
        <f t="shared" si="19"/>
        <v>4.3472425834383159</v>
      </c>
      <c r="AG12" s="6"/>
      <c r="AH12" s="6"/>
    </row>
    <row r="13" spans="1:34" s="5" customFormat="1" x14ac:dyDescent="0.3">
      <c r="A13" s="5">
        <v>9</v>
      </c>
      <c r="B13" s="5">
        <v>390.039999999999</v>
      </c>
      <c r="C13" s="5">
        <v>3600</v>
      </c>
      <c r="D13" s="6">
        <v>0.62218891504509566</v>
      </c>
      <c r="E13" s="5">
        <v>1.0611813163335497</v>
      </c>
      <c r="F13" s="5">
        <v>0.40707313785229732</v>
      </c>
      <c r="G13" s="6">
        <f t="shared" si="14"/>
        <v>2.7228225567028298E-3</v>
      </c>
      <c r="H13" s="6">
        <f t="shared" si="0"/>
        <v>4.5042556474735023E-3</v>
      </c>
      <c r="J13" s="6">
        <f t="shared" si="1"/>
        <v>1.4099454352160402E-11</v>
      </c>
      <c r="K13" s="6">
        <f t="shared" si="2"/>
        <v>1.4129075679711063E-11</v>
      </c>
      <c r="L13" s="6">
        <f t="shared" si="3"/>
        <v>3.0757177212407879E-9</v>
      </c>
      <c r="M13" s="6">
        <f t="shared" si="4"/>
        <v>1.4099454352160402E-11</v>
      </c>
      <c r="N13" s="5">
        <f t="shared" si="5"/>
        <v>15.082046332046353</v>
      </c>
      <c r="O13" s="5">
        <f t="shared" si="6"/>
        <v>-24.98488501772157</v>
      </c>
      <c r="Q13" s="6">
        <f t="shared" si="7"/>
        <v>-1.2917629863819569E-9</v>
      </c>
      <c r="R13" s="6">
        <f t="shared" si="8"/>
        <v>-1.2855339132920585E-9</v>
      </c>
      <c r="S13" s="6">
        <f t="shared" si="9"/>
        <v>2.951695022127236E-7</v>
      </c>
      <c r="T13" s="6">
        <f t="shared" si="10"/>
        <v>-1.2917629863819569E-9</v>
      </c>
      <c r="U13" s="5" t="e">
        <f t="shared" si="15"/>
        <v>#NUM!</v>
      </c>
      <c r="V13" s="5" t="e">
        <f t="shared" si="16"/>
        <v>#NUM!</v>
      </c>
      <c r="X13" s="6">
        <f t="shared" si="11"/>
        <v>3.261875050660577E-10</v>
      </c>
      <c r="Y13" s="6">
        <f t="shared" si="12"/>
        <v>3.2712376508851393E-10</v>
      </c>
      <c r="Z13" s="6">
        <f t="shared" si="13"/>
        <v>5.3395594289876095E-8</v>
      </c>
      <c r="AA13" s="6">
        <f t="shared" si="17"/>
        <v>3.261875050660577E-10</v>
      </c>
      <c r="AB13" s="5">
        <f t="shared" si="18"/>
        <v>-21.843548730993795</v>
      </c>
      <c r="AC13" s="5">
        <f t="shared" si="19"/>
        <v>3.1413362867277748</v>
      </c>
      <c r="AG13" s="6"/>
      <c r="AH13" s="6"/>
    </row>
    <row r="14" spans="1:34" s="5" customFormat="1" x14ac:dyDescent="0.3">
      <c r="A14" s="5">
        <v>10</v>
      </c>
      <c r="B14" s="5">
        <v>405.04999999999899</v>
      </c>
      <c r="C14" s="5">
        <v>3600</v>
      </c>
      <c r="D14" s="6">
        <v>0.65796124066333106</v>
      </c>
      <c r="E14" s="5">
        <v>1.1794637354413704</v>
      </c>
      <c r="F14" s="5">
        <v>0.19932899273637364</v>
      </c>
      <c r="G14" s="6">
        <f t="shared" si="14"/>
        <v>2.8793693751108535E-3</v>
      </c>
      <c r="H14" s="6">
        <f t="shared" si="0"/>
        <v>3.7516727294515774E-3</v>
      </c>
      <c r="J14" s="6">
        <f t="shared" si="1"/>
        <v>2.1259208950699956E-11</v>
      </c>
      <c r="K14" s="6">
        <f t="shared" si="2"/>
        <v>2.1306105559537358E-11</v>
      </c>
      <c r="L14" s="6">
        <f t="shared" si="3"/>
        <v>4.4183509386361949E-9</v>
      </c>
      <c r="M14" s="6">
        <f t="shared" si="4"/>
        <v>2.1259208950699956E-11</v>
      </c>
      <c r="N14" s="5">
        <f t="shared" si="5"/>
        <v>14.748174913354493</v>
      </c>
      <c r="O14" s="5">
        <f t="shared" si="6"/>
        <v>-24.574230952046602</v>
      </c>
      <c r="Q14" s="6">
        <f t="shared" si="7"/>
        <v>-2.9082884176319738E-10</v>
      </c>
      <c r="R14" s="6">
        <f t="shared" si="8"/>
        <v>-2.9168858384928378E-10</v>
      </c>
      <c r="S14" s="6">
        <f t="shared" si="9"/>
        <v>-4.5901525630002136E-8</v>
      </c>
      <c r="T14" s="6">
        <f t="shared" si="10"/>
        <v>-2.9082884176319738E-10</v>
      </c>
      <c r="U14" s="5" t="e">
        <f t="shared" si="15"/>
        <v>#NUM!</v>
      </c>
      <c r="V14" s="5" t="e">
        <f t="shared" si="16"/>
        <v>#NUM!</v>
      </c>
      <c r="X14" s="6">
        <f t="shared" si="11"/>
        <v>1.614741194782638E-10</v>
      </c>
      <c r="Y14" s="6">
        <f t="shared" si="12"/>
        <v>1.6188932045195566E-10</v>
      </c>
      <c r="Z14" s="6">
        <f t="shared" si="13"/>
        <v>2.9050802015030761E-8</v>
      </c>
      <c r="AA14" s="6">
        <f t="shared" si="17"/>
        <v>1.614741194782638E-10</v>
      </c>
      <c r="AB14" s="5">
        <f t="shared" si="18"/>
        <v>-22.546676237015969</v>
      </c>
      <c r="AC14" s="5">
        <f t="shared" si="19"/>
        <v>2.0275547150306323</v>
      </c>
      <c r="AG14" s="6"/>
      <c r="AH14" s="6"/>
    </row>
    <row r="15" spans="1:34" s="5" customFormat="1" x14ac:dyDescent="0.3">
      <c r="A15" s="5">
        <v>11</v>
      </c>
      <c r="B15" s="5">
        <v>395.039999999999</v>
      </c>
      <c r="C15" s="5">
        <v>4200</v>
      </c>
      <c r="D15" s="6">
        <v>0.67906913666510071</v>
      </c>
      <c r="E15" s="5">
        <v>1.2830078442374686</v>
      </c>
      <c r="F15" s="5">
        <v>7.4584137618666876E-2</v>
      </c>
      <c r="G15" s="6">
        <f t="shared" si="14"/>
        <v>2.971741730143875E-3</v>
      </c>
      <c r="H15" s="6">
        <f t="shared" si="0"/>
        <v>3.2981367644649468E-3</v>
      </c>
      <c r="J15" s="6">
        <f t="shared" si="1"/>
        <v>1.1229966029439958E-11</v>
      </c>
      <c r="K15" s="6">
        <f t="shared" si="2"/>
        <v>1.1255837639145506E-11</v>
      </c>
      <c r="L15" s="6">
        <f t="shared" si="3"/>
        <v>2.2349375660207929E-9</v>
      </c>
      <c r="M15" s="6">
        <f t="shared" si="4"/>
        <v>1.1229966029439958E-11</v>
      </c>
      <c r="N15" s="5">
        <f t="shared" si="5"/>
        <v>14.969163523142347</v>
      </c>
      <c r="O15" s="5">
        <f t="shared" si="6"/>
        <v>-25.212435372165857</v>
      </c>
      <c r="Q15" s="6">
        <f t="shared" si="7"/>
        <v>-1.0895424299418621E-10</v>
      </c>
      <c r="R15" s="6">
        <f t="shared" si="8"/>
        <v>-1.0924406084007019E-10</v>
      </c>
      <c r="S15" s="6">
        <f t="shared" si="9"/>
        <v>-1.8878591928033132E-8</v>
      </c>
      <c r="T15" s="6">
        <f t="shared" si="10"/>
        <v>-1.0895424299418621E-10</v>
      </c>
      <c r="U15" s="5" t="e">
        <f t="shared" si="15"/>
        <v>#NUM!</v>
      </c>
      <c r="V15" s="5" t="e">
        <f t="shared" si="16"/>
        <v>#NUM!</v>
      </c>
      <c r="X15" s="6">
        <f t="shared" si="11"/>
        <v>5.3750699664543971E-11</v>
      </c>
      <c r="Y15" s="6">
        <f t="shared" si="12"/>
        <v>5.3881647374546489E-11</v>
      </c>
      <c r="Z15" s="6">
        <f t="shared" si="13"/>
        <v>1.013368334651487E-8</v>
      </c>
      <c r="AA15" s="6">
        <f t="shared" si="17"/>
        <v>5.3750699664543971E-11</v>
      </c>
      <c r="AB15" s="5">
        <f t="shared" si="18"/>
        <v>-23.646664431990725</v>
      </c>
      <c r="AC15" s="5">
        <f t="shared" si="19"/>
        <v>1.5657709401751312</v>
      </c>
      <c r="AG15" s="6"/>
      <c r="AH15" s="6"/>
    </row>
    <row r="16" spans="1:34" s="5" customFormat="1" x14ac:dyDescent="0.3">
      <c r="A16" s="5">
        <v>12</v>
      </c>
      <c r="B16" s="5">
        <v>385.039999999999</v>
      </c>
      <c r="C16" s="5">
        <v>4800</v>
      </c>
      <c r="D16" s="6">
        <v>0.68978541880125066</v>
      </c>
      <c r="E16" s="5">
        <v>1.364661216057941</v>
      </c>
      <c r="F16" s="5">
        <v>2.9386953326145028E-2</v>
      </c>
      <c r="G16" s="6">
        <f t="shared" si="14"/>
        <v>3.0186383141535497E-3</v>
      </c>
      <c r="H16" s="6">
        <f t="shared" si="0"/>
        <v>3.1472414722207446E-3</v>
      </c>
      <c r="J16" s="6">
        <f t="shared" si="1"/>
        <v>5.1074217308683612E-12</v>
      </c>
      <c r="K16" s="6">
        <f t="shared" si="2"/>
        <v>5.1194682495884647E-12</v>
      </c>
      <c r="L16" s="6">
        <f t="shared" si="3"/>
        <v>9.9289419878045595E-10</v>
      </c>
      <c r="M16" s="6">
        <f t="shared" si="4"/>
        <v>5.1074217308683612E-12</v>
      </c>
      <c r="N16" s="5">
        <f t="shared" si="5"/>
        <v>15.196644580876564</v>
      </c>
      <c r="O16" s="5">
        <f t="shared" si="6"/>
        <v>-26.000326392689072</v>
      </c>
      <c r="Q16" s="6">
        <f t="shared" si="7"/>
        <v>-3.2098220199847648E-11</v>
      </c>
      <c r="R16" s="6">
        <f t="shared" si="8"/>
        <v>-3.2178115268888542E-11</v>
      </c>
      <c r="S16" s="6">
        <f t="shared" si="9"/>
        <v>-5.9185083591539897E-9</v>
      </c>
      <c r="T16" s="6">
        <f t="shared" si="10"/>
        <v>-3.2098220199847648E-11</v>
      </c>
      <c r="U16" s="5" t="e">
        <f t="shared" si="15"/>
        <v>#NUM!</v>
      </c>
      <c r="V16" s="5" t="e">
        <f t="shared" si="16"/>
        <v>#NUM!</v>
      </c>
      <c r="X16" s="6">
        <f t="shared" si="11"/>
        <v>1.9523688868568262E-11</v>
      </c>
      <c r="Y16" s="6">
        <f t="shared" si="12"/>
        <v>1.9570741291407314E-11</v>
      </c>
      <c r="Z16" s="6">
        <f t="shared" si="13"/>
        <v>3.7159191655780479E-9</v>
      </c>
      <c r="AA16" s="6">
        <f t="shared" si="17"/>
        <v>1.9523688868568262E-11</v>
      </c>
      <c r="AB16" s="5">
        <f t="shared" si="18"/>
        <v>-24.659392573875316</v>
      </c>
      <c r="AC16" s="5">
        <f t="shared" si="19"/>
        <v>1.3409338188137561</v>
      </c>
      <c r="AG16" s="6"/>
      <c r="AH16" s="6"/>
    </row>
    <row r="17" spans="1:34" s="5" customFormat="1" x14ac:dyDescent="0.3">
      <c r="A17" s="5">
        <v>13</v>
      </c>
      <c r="B17" s="5">
        <v>375.03</v>
      </c>
      <c r="C17" s="5">
        <v>5400</v>
      </c>
      <c r="D17" s="6">
        <v>0.69532761737690174</v>
      </c>
      <c r="E17" s="5">
        <v>1.4258948969402903</v>
      </c>
      <c r="F17" s="5">
        <v>1.3013066405508179E-2</v>
      </c>
      <c r="G17" s="6">
        <f t="shared" si="14"/>
        <v>3.0428920784534414E-3</v>
      </c>
      <c r="H17" s="6">
        <f t="shared" si="0"/>
        <v>3.0998398476663035E-3</v>
      </c>
      <c r="J17" s="6">
        <f t="shared" si="1"/>
        <v>2.3758283039780439E-12</v>
      </c>
      <c r="K17" s="6">
        <f t="shared" si="2"/>
        <v>2.3814986445490404E-12</v>
      </c>
      <c r="L17" s="6">
        <f t="shared" si="3"/>
        <v>4.5646122434329079E-10</v>
      </c>
      <c r="M17" s="6">
        <f t="shared" si="4"/>
        <v>2.3758283039780439E-12</v>
      </c>
      <c r="N17" s="5">
        <f t="shared" si="5"/>
        <v>15.431384349489994</v>
      </c>
      <c r="O17" s="5">
        <f t="shared" si="6"/>
        <v>-26.765674979674724</v>
      </c>
      <c r="Q17" s="6">
        <f t="shared" si="7"/>
        <v>-1.0438631373977425E-11</v>
      </c>
      <c r="R17" s="6">
        <f t="shared" si="8"/>
        <v>-1.0464077392621489E-11</v>
      </c>
      <c r="S17" s="6">
        <f t="shared" si="9"/>
        <v>-1.9640054128118224E-9</v>
      </c>
      <c r="T17" s="6">
        <f t="shared" si="10"/>
        <v>-1.0438631373977425E-11</v>
      </c>
      <c r="U17" s="5" t="e">
        <f t="shared" si="15"/>
        <v>#NUM!</v>
      </c>
      <c r="V17" s="5" t="e">
        <f t="shared" si="16"/>
        <v>#NUM!</v>
      </c>
      <c r="X17" s="6">
        <f t="shared" si="11"/>
        <v>8.0289962943538858E-12</v>
      </c>
      <c r="Y17" s="6">
        <f t="shared" si="12"/>
        <v>8.0483405203516875E-12</v>
      </c>
      <c r="Z17" s="6">
        <f t="shared" si="13"/>
        <v>1.528274522633393E-9</v>
      </c>
      <c r="AA17" s="6">
        <f t="shared" si="17"/>
        <v>8.0289962943538858E-12</v>
      </c>
      <c r="AB17" s="5">
        <f t="shared" si="18"/>
        <v>-25.547961590258815</v>
      </c>
      <c r="AC17" s="5">
        <f t="shared" si="19"/>
        <v>1.2177133894159091</v>
      </c>
      <c r="AG17" s="6"/>
      <c r="AH17" s="6"/>
    </row>
    <row r="18" spans="1:34" s="5" customFormat="1" x14ac:dyDescent="0.3">
      <c r="A18" s="5">
        <v>14</v>
      </c>
      <c r="B18" s="5">
        <v>365.02</v>
      </c>
      <c r="C18" s="5">
        <v>6000</v>
      </c>
      <c r="D18" s="6">
        <v>0.69780065771155209</v>
      </c>
      <c r="E18" s="5">
        <v>1.4684307725004973</v>
      </c>
      <c r="F18" s="5">
        <v>5.2794147605828455E-3</v>
      </c>
      <c r="G18" s="6">
        <f t="shared" si="14"/>
        <v>3.0537145952871489E-3</v>
      </c>
      <c r="H18" s="6">
        <f t="shared" si="0"/>
        <v>3.0768183652976817E-3</v>
      </c>
      <c r="J18" s="6">
        <f t="shared" si="1"/>
        <v>9.5964933944196469E-13</v>
      </c>
      <c r="K18" s="6">
        <f t="shared" si="2"/>
        <v>9.619529993246065E-13</v>
      </c>
      <c r="L18" s="6">
        <f t="shared" si="3"/>
        <v>1.8331717562275243E-10</v>
      </c>
      <c r="M18" s="6">
        <f t="shared" si="4"/>
        <v>9.5964933944196469E-13</v>
      </c>
      <c r="N18" s="5">
        <f t="shared" si="5"/>
        <v>15.673489859252062</v>
      </c>
      <c r="O18" s="5">
        <f t="shared" si="6"/>
        <v>-27.672208448591277</v>
      </c>
      <c r="Q18" s="6">
        <f t="shared" si="7"/>
        <v>-4.1282018518962934E-12</v>
      </c>
      <c r="R18" s="6">
        <f t="shared" si="8"/>
        <v>-4.1382046888969749E-12</v>
      </c>
      <c r="S18" s="6">
        <f t="shared" si="9"/>
        <v>-7.8131479283882979E-10</v>
      </c>
      <c r="T18" s="6">
        <f t="shared" si="10"/>
        <v>-4.1282018518962934E-12</v>
      </c>
      <c r="U18" s="5" t="e">
        <f t="shared" si="15"/>
        <v>#NUM!</v>
      </c>
      <c r="V18" s="5" t="e">
        <f t="shared" si="16"/>
        <v>#NUM!</v>
      </c>
      <c r="X18" s="6">
        <f t="shared" si="11"/>
        <v>3.01969670487084E-12</v>
      </c>
      <c r="Y18" s="6">
        <f t="shared" si="12"/>
        <v>3.0269731668968165E-12</v>
      </c>
      <c r="Z18" s="6">
        <f t="shared" si="13"/>
        <v>5.7466698777977969E-10</v>
      </c>
      <c r="AA18" s="6">
        <f t="shared" si="17"/>
        <v>3.01969670487084E-12</v>
      </c>
      <c r="AB18" s="5">
        <f t="shared" si="18"/>
        <v>-26.525864718435798</v>
      </c>
      <c r="AC18" s="5">
        <f t="shared" si="19"/>
        <v>1.1463437301554791</v>
      </c>
      <c r="AG18" s="6"/>
      <c r="AH18" s="6"/>
    </row>
    <row r="19" spans="1:34" s="5" customFormat="1" x14ac:dyDescent="0.3">
      <c r="A19" s="5">
        <v>15</v>
      </c>
      <c r="B19" s="5">
        <v>355.02</v>
      </c>
      <c r="C19" s="5">
        <v>6600</v>
      </c>
      <c r="D19" s="6">
        <v>0.69893780328615163</v>
      </c>
      <c r="E19" s="5">
        <v>1.4939838749474006</v>
      </c>
      <c r="F19" s="5">
        <v>2.3019892597113483E-3</v>
      </c>
      <c r="G19" s="6">
        <f t="shared" si="14"/>
        <v>3.0586909707028859E-3</v>
      </c>
      <c r="H19" s="6">
        <f t="shared" si="0"/>
        <v>3.0687649339800611E-3</v>
      </c>
      <c r="J19" s="6">
        <f t="shared" si="1"/>
        <v>4.0218765395067128E-13</v>
      </c>
      <c r="K19" s="6">
        <f t="shared" si="2"/>
        <v>4.0315562235391462E-13</v>
      </c>
      <c r="L19" s="6">
        <f t="shared" si="3"/>
        <v>7.6629991850245109E-11</v>
      </c>
      <c r="M19" s="6">
        <f t="shared" si="4"/>
        <v>4.0218765395067128E-13</v>
      </c>
      <c r="N19" s="5">
        <f t="shared" si="5"/>
        <v>15.923059775166397</v>
      </c>
      <c r="O19" s="5">
        <f t="shared" si="6"/>
        <v>-28.54185761433698</v>
      </c>
      <c r="Q19" s="6">
        <f t="shared" si="7"/>
        <v>-1.470582678257397E-12</v>
      </c>
      <c r="R19" s="6">
        <f t="shared" si="8"/>
        <v>-1.4741354390752633E-12</v>
      </c>
      <c r="S19" s="6">
        <f t="shared" si="9"/>
        <v>-2.7914256465589326E-10</v>
      </c>
      <c r="T19" s="6">
        <f t="shared" si="10"/>
        <v>-1.470582678257397E-12</v>
      </c>
      <c r="U19" s="5" t="e">
        <f t="shared" si="15"/>
        <v>#NUM!</v>
      </c>
      <c r="V19" s="5" t="e">
        <f t="shared" si="16"/>
        <v>#NUM!</v>
      </c>
      <c r="X19" s="6">
        <f t="shared" si="11"/>
        <v>1.2183639816185168E-12</v>
      </c>
      <c r="Y19" s="6">
        <f t="shared" si="12"/>
        <v>1.2213011406325745E-12</v>
      </c>
      <c r="Z19" s="6">
        <f t="shared" si="13"/>
        <v>2.3175766739517785E-10</v>
      </c>
      <c r="AA19" s="6">
        <f t="shared" si="17"/>
        <v>1.2183639816185168E-12</v>
      </c>
      <c r="AB19" s="5">
        <f t="shared" si="18"/>
        <v>-27.433512155800088</v>
      </c>
      <c r="AC19" s="5">
        <f t="shared" si="19"/>
        <v>1.1083454585368919</v>
      </c>
      <c r="AG19" s="6"/>
      <c r="AH19" s="6"/>
    </row>
    <row r="20" spans="1:34" s="5" customFormat="1" x14ac:dyDescent="0.3">
      <c r="A20" s="5">
        <v>16</v>
      </c>
      <c r="B20" s="5">
        <v>400.01</v>
      </c>
      <c r="C20" s="5">
        <v>9600</v>
      </c>
      <c r="D20" s="6">
        <v>0.71903879756328037</v>
      </c>
      <c r="E20" s="5">
        <v>3.0370155854258365</v>
      </c>
      <c r="F20" s="5">
        <v>9.8678647433749021E-3</v>
      </c>
      <c r="G20" s="6">
        <f t="shared" si="14"/>
        <v>3.1466569233363456E-3</v>
      </c>
      <c r="H20" s="6">
        <f t="shared" si="0"/>
        <v>3.1898406639335342E-3</v>
      </c>
      <c r="J20" s="6">
        <f t="shared" si="1"/>
        <v>4.9620014150700418E-12</v>
      </c>
      <c r="K20" s="6">
        <f t="shared" si="2"/>
        <v>4.9741266438482812E-12</v>
      </c>
      <c r="L20" s="6">
        <f t="shared" si="3"/>
        <v>9.3130771573072196E-10</v>
      </c>
      <c r="M20" s="6">
        <f t="shared" si="4"/>
        <v>4.9620014150700418E-12</v>
      </c>
      <c r="N20" s="5">
        <f t="shared" si="5"/>
        <v>14.858620228525579</v>
      </c>
      <c r="O20" s="5">
        <f t="shared" si="6"/>
        <v>-26.029211945477591</v>
      </c>
      <c r="Q20" s="6">
        <f t="shared" si="7"/>
        <v>4.4008801897983983E-12</v>
      </c>
      <c r="R20" s="6">
        <f t="shared" si="8"/>
        <v>4.4116516000317029E-12</v>
      </c>
      <c r="S20" s="6">
        <f t="shared" si="9"/>
        <v>8.2465743879642118E-10</v>
      </c>
      <c r="T20" s="6">
        <f t="shared" si="10"/>
        <v>4.4008801897983983E-12</v>
      </c>
      <c r="U20" s="5">
        <f t="shared" si="15"/>
        <v>-26.149216551874293</v>
      </c>
      <c r="V20" s="5">
        <f t="shared" si="16"/>
        <v>0.12000460639670152</v>
      </c>
      <c r="X20" s="6">
        <f t="shared" si="11"/>
        <v>7.4494016508581961E-12</v>
      </c>
      <c r="Y20" s="6">
        <f t="shared" si="12"/>
        <v>7.4677336279213392E-12</v>
      </c>
      <c r="Z20" s="6">
        <f t="shared" si="13"/>
        <v>1.3885300297862093E-9</v>
      </c>
      <c r="AA20" s="6">
        <f t="shared" si="17"/>
        <v>7.4494016508581961E-12</v>
      </c>
      <c r="AB20" s="5">
        <f t="shared" si="18"/>
        <v>-25.622887402083574</v>
      </c>
      <c r="AC20" s="5">
        <f t="shared" si="19"/>
        <v>0.40632454339401747</v>
      </c>
      <c r="AG20" s="6"/>
      <c r="AH20" s="6"/>
    </row>
    <row r="21" spans="1:34" s="5" customFormat="1" x14ac:dyDescent="0.3">
      <c r="A21" s="5">
        <v>17</v>
      </c>
      <c r="B21" s="5">
        <v>420.02</v>
      </c>
      <c r="C21" s="5">
        <v>8400</v>
      </c>
      <c r="D21" s="6">
        <v>0.75759809578906223</v>
      </c>
      <c r="E21" s="5">
        <v>3.0455193493340147</v>
      </c>
      <c r="F21" s="5">
        <v>1.8850615242694251E-2</v>
      </c>
      <c r="G21" s="6">
        <f t="shared" si="14"/>
        <v>3.3154000887014512E-3</v>
      </c>
      <c r="H21" s="6">
        <f t="shared" si="0"/>
        <v>3.3978941337565838E-3</v>
      </c>
      <c r="J21" s="6">
        <f t="shared" si="1"/>
        <v>1.1328308375123545E-11</v>
      </c>
      <c r="K21" s="6">
        <f t="shared" si="2"/>
        <v>1.1357143472845186E-11</v>
      </c>
      <c r="L21" s="6">
        <f t="shared" si="3"/>
        <v>2.0419854855965672E-9</v>
      </c>
      <c r="M21" s="6">
        <f t="shared" si="4"/>
        <v>1.1328308375123545E-11</v>
      </c>
      <c r="N21" s="5">
        <f t="shared" si="5"/>
        <v>14.429597991399961</v>
      </c>
      <c r="O21" s="5">
        <f t="shared" si="6"/>
        <v>-25.203716356967451</v>
      </c>
      <c r="Q21" s="6">
        <f t="shared" si="7"/>
        <v>8.4855652485085112E-12</v>
      </c>
      <c r="R21" s="6">
        <f t="shared" si="8"/>
        <v>8.5073069196188333E-12</v>
      </c>
      <c r="S21" s="6">
        <f t="shared" si="9"/>
        <v>1.5194456981034957E-9</v>
      </c>
      <c r="T21" s="6">
        <f t="shared" si="10"/>
        <v>8.4855652485085112E-12</v>
      </c>
      <c r="U21" s="5">
        <f t="shared" si="15"/>
        <v>-25.492654602076577</v>
      </c>
      <c r="V21" s="5">
        <f t="shared" si="16"/>
        <v>0.2889382451091258</v>
      </c>
      <c r="X21" s="6">
        <f t="shared" si="11"/>
        <v>1.7081732191251339E-11</v>
      </c>
      <c r="Y21" s="6">
        <f t="shared" si="12"/>
        <v>1.712578039957767E-11</v>
      </c>
      <c r="Z21" s="6">
        <f t="shared" si="13"/>
        <v>3.0403836957305736E-9</v>
      </c>
      <c r="AA21" s="6">
        <f t="shared" si="17"/>
        <v>1.7081732191251339E-11</v>
      </c>
      <c r="AB21" s="5">
        <f t="shared" si="18"/>
        <v>-24.793011516360803</v>
      </c>
      <c r="AC21" s="5">
        <f t="shared" si="19"/>
        <v>0.41070484060664825</v>
      </c>
      <c r="AG21" s="6"/>
      <c r="AH21" s="6"/>
    </row>
    <row r="22" spans="1:34" s="5" customFormat="1" x14ac:dyDescent="0.3">
      <c r="A22" s="5">
        <v>18</v>
      </c>
      <c r="B22" s="5">
        <v>440.03</v>
      </c>
      <c r="C22" s="5">
        <v>7200</v>
      </c>
      <c r="D22" s="6">
        <v>0.80372511989234319</v>
      </c>
      <c r="E22" s="5">
        <v>2.9713223141653597</v>
      </c>
      <c r="F22" s="5">
        <v>2.3399027024563847E-2</v>
      </c>
      <c r="G22" s="6">
        <f t="shared" si="14"/>
        <v>3.5172611290783689E-3</v>
      </c>
      <c r="H22" s="6">
        <f t="shared" si="0"/>
        <v>3.6196599295821737E-3</v>
      </c>
      <c r="J22" s="6">
        <f t="shared" si="1"/>
        <v>1.6716958736913323E-11</v>
      </c>
      <c r="K22" s="6">
        <f t="shared" si="2"/>
        <v>1.6761960660347297E-11</v>
      </c>
      <c r="L22" s="6">
        <f t="shared" si="3"/>
        <v>2.8504045370706598E-9</v>
      </c>
      <c r="M22" s="6">
        <f t="shared" si="4"/>
        <v>1.6716958736913323E-11</v>
      </c>
      <c r="N22" s="5">
        <f t="shared" si="5"/>
        <v>14.024655344094919</v>
      </c>
      <c r="O22" s="5">
        <f t="shared" si="6"/>
        <v>-24.814597418541943</v>
      </c>
      <c r="Q22" s="6">
        <f t="shared" si="7"/>
        <v>1.0004630951430894E-11</v>
      </c>
      <c r="R22" s="6">
        <f t="shared" si="8"/>
        <v>1.0031884245825307E-11</v>
      </c>
      <c r="S22" s="6">
        <f t="shared" si="9"/>
        <v>1.685606625247317E-9</v>
      </c>
      <c r="T22" s="6">
        <f t="shared" si="10"/>
        <v>1.0004630951430894E-11</v>
      </c>
      <c r="U22" s="5">
        <f t="shared" si="15"/>
        <v>-25.327973034986876</v>
      </c>
      <c r="V22" s="5">
        <f t="shared" si="16"/>
        <v>0.51337561644493235</v>
      </c>
      <c r="X22" s="6">
        <f t="shared" si="11"/>
        <v>2.5574652021991982E-11</v>
      </c>
      <c r="Y22" s="6">
        <f t="shared" si="12"/>
        <v>2.5644558337901476E-11</v>
      </c>
      <c r="Z22" s="6">
        <f t="shared" si="13"/>
        <v>4.2965605989705862E-9</v>
      </c>
      <c r="AA22" s="6">
        <f t="shared" si="17"/>
        <v>2.5574652021991982E-11</v>
      </c>
      <c r="AB22" s="5">
        <f t="shared" si="18"/>
        <v>-24.389419410361644</v>
      </c>
      <c r="AC22" s="5">
        <f t="shared" si="19"/>
        <v>0.42517800818029983</v>
      </c>
      <c r="AG22" s="6"/>
      <c r="AH22" s="6"/>
    </row>
    <row r="23" spans="1:34" s="5" customFormat="1" x14ac:dyDescent="0.3">
      <c r="A23" s="5">
        <v>19</v>
      </c>
      <c r="B23" s="5">
        <v>460.03</v>
      </c>
      <c r="C23" s="5">
        <v>6000</v>
      </c>
      <c r="D23" s="6">
        <v>0.85583669518682226</v>
      </c>
      <c r="E23" s="5">
        <v>2.8005299538201345</v>
      </c>
      <c r="F23" s="5">
        <v>2.8942353990787779E-2</v>
      </c>
      <c r="G23" s="6">
        <f t="shared" si="14"/>
        <v>3.7453117568637278E-3</v>
      </c>
      <c r="H23" s="6">
        <f t="shared" si="0"/>
        <v>3.8719692597292098E-3</v>
      </c>
      <c r="J23" s="6">
        <f t="shared" si="1"/>
        <v>2.4088951519803948E-11</v>
      </c>
      <c r="K23" s="6">
        <f t="shared" si="2"/>
        <v>2.4157894570384611E-11</v>
      </c>
      <c r="L23" s="6">
        <f t="shared" si="3"/>
        <v>3.8650952075742579E-9</v>
      </c>
      <c r="M23" s="6">
        <f t="shared" si="4"/>
        <v>2.4088951519803948E-11</v>
      </c>
      <c r="N23" s="5">
        <f t="shared" si="5"/>
        <v>13.642006466311065</v>
      </c>
      <c r="O23" s="5">
        <f t="shared" si="6"/>
        <v>-24.449267823710795</v>
      </c>
      <c r="Q23" s="6">
        <f t="shared" si="7"/>
        <v>1.3459719577709556E-11</v>
      </c>
      <c r="R23" s="6">
        <f t="shared" si="8"/>
        <v>1.3498777357320513E-11</v>
      </c>
      <c r="S23" s="6">
        <f t="shared" si="9"/>
        <v>2.1297079332926162E-9</v>
      </c>
      <c r="T23" s="6">
        <f t="shared" si="10"/>
        <v>1.3459719577709556E-11</v>
      </c>
      <c r="U23" s="5">
        <f t="shared" si="15"/>
        <v>-25.03131962568014</v>
      </c>
      <c r="V23" s="5">
        <f t="shared" si="16"/>
        <v>0.58205180196934592</v>
      </c>
      <c r="X23" s="6">
        <f t="shared" si="11"/>
        <v>3.8121192061564581E-11</v>
      </c>
      <c r="Y23" s="6">
        <f t="shared" si="12"/>
        <v>3.823225364841648E-11</v>
      </c>
      <c r="Z23" s="6">
        <f t="shared" si="13"/>
        <v>6.0121204757826306E-9</v>
      </c>
      <c r="AA23" s="6">
        <f t="shared" si="17"/>
        <v>3.8121192061564581E-11</v>
      </c>
      <c r="AB23" s="5">
        <f t="shared" si="18"/>
        <v>-23.990250766341752</v>
      </c>
      <c r="AC23" s="5">
        <f t="shared" si="19"/>
        <v>0.45901705736904219</v>
      </c>
      <c r="AG23" s="6"/>
      <c r="AH23" s="6"/>
    </row>
    <row r="24" spans="1:34" s="5" customFormat="1" x14ac:dyDescent="0.3">
      <c r="A24" s="5">
        <v>20</v>
      </c>
      <c r="B24" s="5">
        <v>480.039999999999</v>
      </c>
      <c r="C24" s="5">
        <v>4800</v>
      </c>
      <c r="D24" s="6">
        <v>0.90483038744394639</v>
      </c>
      <c r="E24" s="5">
        <v>2.5194235586002987</v>
      </c>
      <c r="F24" s="5">
        <v>3.2244920766041928E-2</v>
      </c>
      <c r="G24" s="6">
        <f t="shared" si="14"/>
        <v>3.9597179077739955E-3</v>
      </c>
      <c r="H24" s="6">
        <f t="shared" si="0"/>
        <v>4.100828100318186E-3</v>
      </c>
      <c r="J24" s="6">
        <f t="shared" si="1"/>
        <v>3.0034312138034595E-11</v>
      </c>
      <c r="K24" s="6">
        <f t="shared" si="2"/>
        <v>3.0125518996311409E-11</v>
      </c>
      <c r="L24" s="6">
        <f t="shared" si="3"/>
        <v>4.5433125695397242E-9</v>
      </c>
      <c r="M24" s="6">
        <f t="shared" si="4"/>
        <v>3.0034312138034595E-11</v>
      </c>
      <c r="N24" s="5">
        <f t="shared" si="5"/>
        <v>13.279507064697775</v>
      </c>
      <c r="O24" s="5">
        <f t="shared" si="6"/>
        <v>-24.228680649901843</v>
      </c>
      <c r="Q24" s="6">
        <f t="shared" si="7"/>
        <v>1.2494011460833808E-11</v>
      </c>
      <c r="R24" s="6">
        <f t="shared" si="8"/>
        <v>1.2532570148776149E-11</v>
      </c>
      <c r="S24" s="6">
        <f t="shared" si="9"/>
        <v>1.8595309842768959E-9</v>
      </c>
      <c r="T24" s="6">
        <f t="shared" si="10"/>
        <v>1.2494011460833808E-11</v>
      </c>
      <c r="U24" s="5">
        <f t="shared" si="15"/>
        <v>-25.105771669550577</v>
      </c>
      <c r="V24" s="5">
        <f t="shared" si="16"/>
        <v>0.87709101964873426</v>
      </c>
      <c r="X24" s="6">
        <f t="shared" si="11"/>
        <v>5.0713285806183171E-11</v>
      </c>
      <c r="Y24" s="6">
        <f t="shared" si="12"/>
        <v>5.0870187076941018E-11</v>
      </c>
      <c r="Z24" s="6">
        <f t="shared" si="13"/>
        <v>7.534001645588642E-9</v>
      </c>
      <c r="AA24" s="6">
        <f t="shared" si="17"/>
        <v>5.0713285806183171E-11</v>
      </c>
      <c r="AB24" s="5">
        <f t="shared" si="18"/>
        <v>-23.704833192200613</v>
      </c>
      <c r="AC24" s="5">
        <f t="shared" si="19"/>
        <v>0.52384745770122976</v>
      </c>
      <c r="AG24" s="6"/>
      <c r="AH24" s="6"/>
    </row>
    <row r="25" spans="1:34" s="5" customFormat="1" x14ac:dyDescent="0.3">
      <c r="A25" s="5">
        <v>21</v>
      </c>
      <c r="B25" s="5">
        <v>500.04999999999899</v>
      </c>
      <c r="C25" s="5">
        <v>3600</v>
      </c>
      <c r="D25" s="6">
        <v>0.9586265620972354</v>
      </c>
      <c r="E25" s="5">
        <v>2.1134572073942888</v>
      </c>
      <c r="F25" s="5">
        <v>4.831454167797139E-2</v>
      </c>
      <c r="G25" s="6">
        <f t="shared" si="14"/>
        <v>4.1951406777211006E-3</v>
      </c>
      <c r="H25" s="6">
        <f t="shared" si="0"/>
        <v>4.4065747304926845E-3</v>
      </c>
      <c r="J25" s="6">
        <f t="shared" si="1"/>
        <v>4.6538220253248177E-11</v>
      </c>
      <c r="K25" s="6">
        <f t="shared" si="2"/>
        <v>4.6687828651638329E-11</v>
      </c>
      <c r="L25" s="6">
        <f t="shared" si="3"/>
        <v>6.6530478372685477E-9</v>
      </c>
      <c r="M25" s="6">
        <f t="shared" si="4"/>
        <v>4.6538220253248177E-11</v>
      </c>
      <c r="N25" s="5">
        <f t="shared" si="5"/>
        <v>12.935773882672548</v>
      </c>
      <c r="O25" s="5">
        <f t="shared" si="6"/>
        <v>-23.790747200013634</v>
      </c>
      <c r="Q25" s="6">
        <f t="shared" si="7"/>
        <v>1.8966255362383403E-11</v>
      </c>
      <c r="R25" s="6">
        <f t="shared" si="8"/>
        <v>1.9028271210803433E-11</v>
      </c>
      <c r="S25" s="6">
        <f t="shared" si="9"/>
        <v>2.6654624025386698E-9</v>
      </c>
      <c r="T25" s="6">
        <f t="shared" si="10"/>
        <v>1.8966255362383403E-11</v>
      </c>
      <c r="U25" s="5">
        <f t="shared" si="15"/>
        <v>-24.688359749338346</v>
      </c>
      <c r="V25" s="5">
        <f t="shared" si="16"/>
        <v>0.89761254932471246</v>
      </c>
      <c r="X25" s="6">
        <f t="shared" si="11"/>
        <v>9.0624644462904706E-11</v>
      </c>
      <c r="Y25" s="6">
        <f t="shared" si="12"/>
        <v>9.0923763240077594E-11</v>
      </c>
      <c r="Z25" s="6">
        <f t="shared" si="13"/>
        <v>1.262951526480552E-8</v>
      </c>
      <c r="AA25" s="6">
        <f t="shared" si="17"/>
        <v>9.0624644462904706E-11</v>
      </c>
      <c r="AB25" s="5">
        <f t="shared" si="18"/>
        <v>-23.124294925929352</v>
      </c>
      <c r="AC25" s="5">
        <f t="shared" si="19"/>
        <v>0.66645227408428198</v>
      </c>
      <c r="AG25" s="6"/>
      <c r="AH25" s="6"/>
    </row>
    <row r="26" spans="1:34" s="5" customFormat="1" x14ac:dyDescent="0.3">
      <c r="A26" s="5">
        <v>22</v>
      </c>
      <c r="B26" s="5">
        <v>510.04999999999899</v>
      </c>
      <c r="C26" s="5">
        <v>3600</v>
      </c>
      <c r="D26" s="6">
        <v>1.0144779045942045</v>
      </c>
      <c r="E26" s="5">
        <v>2.2308662025668107</v>
      </c>
      <c r="F26" s="5">
        <v>4.5375640650867272E-2</v>
      </c>
      <c r="G26" s="6">
        <f t="shared" si="14"/>
        <v>4.4395572712919787E-3</v>
      </c>
      <c r="H26" s="6">
        <f t="shared" si="0"/>
        <v>4.6381301080968074E-3</v>
      </c>
      <c r="J26" s="6">
        <f t="shared" si="1"/>
        <v>5.1159077925367983E-11</v>
      </c>
      <c r="K26" s="6">
        <f t="shared" si="2"/>
        <v>5.1333253092753761E-11</v>
      </c>
      <c r="L26" s="6">
        <f t="shared" si="3"/>
        <v>6.9088776711500007E-9</v>
      </c>
      <c r="M26" s="6">
        <f t="shared" si="4"/>
        <v>5.1159077925367983E-11</v>
      </c>
      <c r="N26" s="5">
        <f t="shared" si="5"/>
        <v>12.770576591533123</v>
      </c>
      <c r="O26" s="5">
        <f t="shared" si="6"/>
        <v>-23.696081162731229</v>
      </c>
      <c r="Q26" s="6">
        <f t="shared" si="7"/>
        <v>7.0726537157114458E-12</v>
      </c>
      <c r="R26" s="6">
        <f t="shared" si="8"/>
        <v>7.0973185043091577E-12</v>
      </c>
      <c r="S26" s="6">
        <f t="shared" si="9"/>
        <v>9.3241024360996252E-10</v>
      </c>
      <c r="T26" s="6">
        <f t="shared" si="10"/>
        <v>7.0726537157114458E-12</v>
      </c>
      <c r="U26" s="5">
        <f t="shared" si="15"/>
        <v>-25.674785357688865</v>
      </c>
      <c r="V26" s="5">
        <f t="shared" si="16"/>
        <v>1.9787041949576363</v>
      </c>
      <c r="X26" s="6">
        <f t="shared" si="11"/>
        <v>9.485490193310509E-11</v>
      </c>
      <c r="Y26" s="6">
        <f t="shared" si="12"/>
        <v>9.5185488653498458E-11</v>
      </c>
      <c r="Z26" s="6">
        <f t="shared" si="13"/>
        <v>1.2523147444911357E-8</v>
      </c>
      <c r="AA26" s="6">
        <f t="shared" si="17"/>
        <v>9.485490193310509E-11</v>
      </c>
      <c r="AB26" s="5">
        <f t="shared" si="18"/>
        <v>-23.078672739985677</v>
      </c>
      <c r="AC26" s="5">
        <f t="shared" si="19"/>
        <v>0.61740842274555163</v>
      </c>
      <c r="AG26" s="6"/>
      <c r="AH26" s="6"/>
    </row>
    <row r="27" spans="1:34" s="5" customFormat="1" x14ac:dyDescent="0.3">
      <c r="A27" s="5">
        <v>23</v>
      </c>
      <c r="B27" s="5">
        <v>490.039999999999</v>
      </c>
      <c r="C27" s="5">
        <v>4200</v>
      </c>
      <c r="D27" s="6">
        <v>1.0381814720725349</v>
      </c>
      <c r="E27" s="5">
        <v>2.3328890439541481</v>
      </c>
      <c r="F27" s="5">
        <v>1.778360140766962E-2</v>
      </c>
      <c r="G27" s="6">
        <f t="shared" si="14"/>
        <v>4.5432888014489371E-3</v>
      </c>
      <c r="H27" s="6">
        <f t="shared" si="0"/>
        <v>4.621113381542437E-3</v>
      </c>
      <c r="J27" s="6">
        <f t="shared" si="1"/>
        <v>1.9360778822766103E-11</v>
      </c>
      <c r="K27" s="6">
        <f t="shared" si="2"/>
        <v>1.9429346909188906E-11</v>
      </c>
      <c r="L27" s="6">
        <f t="shared" si="3"/>
        <v>2.5137190867737236E-9</v>
      </c>
      <c r="M27" s="6">
        <f t="shared" si="4"/>
        <v>1.9360778822766103E-11</v>
      </c>
      <c r="N27" s="5">
        <f t="shared" si="5"/>
        <v>13.10547284546028</v>
      </c>
      <c r="O27" s="5">
        <f t="shared" si="6"/>
        <v>-24.667771806440598</v>
      </c>
      <c r="Q27" s="6">
        <f t="shared" si="7"/>
        <v>-1.809278461243713E-11</v>
      </c>
      <c r="R27" s="6">
        <f t="shared" si="8"/>
        <v>-1.8158283571446794E-11</v>
      </c>
      <c r="S27" s="6">
        <f t="shared" si="9"/>
        <v>-2.2985121478809986E-9</v>
      </c>
      <c r="T27" s="6">
        <f t="shared" si="10"/>
        <v>-1.809278461243713E-11</v>
      </c>
      <c r="U27" s="5" t="e">
        <f t="shared" si="15"/>
        <v>#NUM!</v>
      </c>
      <c r="V27" s="5" t="e">
        <f t="shared" si="16"/>
        <v>#NUM!</v>
      </c>
      <c r="X27" s="6">
        <f t="shared" si="11"/>
        <v>3.4179782565907017E-11</v>
      </c>
      <c r="Y27" s="6">
        <f t="shared" si="12"/>
        <v>3.4301897507683565E-11</v>
      </c>
      <c r="Z27" s="6">
        <f t="shared" si="13"/>
        <v>4.3998088090562306E-9</v>
      </c>
      <c r="AA27" s="6">
        <f t="shared" si="17"/>
        <v>3.4179782565907017E-11</v>
      </c>
      <c r="AB27" s="5">
        <f t="shared" si="18"/>
        <v>-24.099386799703495</v>
      </c>
      <c r="AC27" s="5">
        <f t="shared" si="19"/>
        <v>0.56838500673710257</v>
      </c>
      <c r="AG27" s="6"/>
      <c r="AH27" s="6"/>
    </row>
    <row r="28" spans="1:34" s="5" customFormat="1" x14ac:dyDescent="0.3">
      <c r="A28" s="5">
        <v>24</v>
      </c>
      <c r="B28" s="5">
        <v>470.039999999999</v>
      </c>
      <c r="C28" s="5">
        <v>5400</v>
      </c>
      <c r="D28" s="6">
        <v>1.0490513580583343</v>
      </c>
      <c r="E28" s="5">
        <v>2.6747595452536319</v>
      </c>
      <c r="F28" s="5">
        <v>6.490415902751713E-3</v>
      </c>
      <c r="G28" s="6">
        <f t="shared" si="14"/>
        <v>4.5908575864839086E-3</v>
      </c>
      <c r="H28" s="6">
        <f t="shared" si="0"/>
        <v>4.6192609385769211E-3</v>
      </c>
      <c r="J28" s="6">
        <f t="shared" si="1"/>
        <v>7.0217221236314605E-12</v>
      </c>
      <c r="K28" s="6">
        <f t="shared" si="2"/>
        <v>7.0470098712792812E-12</v>
      </c>
      <c r="L28" s="6">
        <f t="shared" si="3"/>
        <v>8.9663678454248461E-10</v>
      </c>
      <c r="M28" s="6">
        <f t="shared" si="4"/>
        <v>7.0217221236314605E-12</v>
      </c>
      <c r="N28" s="5">
        <f t="shared" si="5"/>
        <v>13.45822566752801</v>
      </c>
      <c r="O28" s="5">
        <f t="shared" si="6"/>
        <v>-25.682012611219445</v>
      </c>
      <c r="Q28" s="6">
        <f t="shared" si="7"/>
        <v>-4.5041696765892502E-12</v>
      </c>
      <c r="R28" s="6">
        <f t="shared" si="8"/>
        <v>-4.5205294831077396E-12</v>
      </c>
      <c r="S28" s="6">
        <f t="shared" si="9"/>
        <v>-5.7032188834085953E-10</v>
      </c>
      <c r="T28" s="6">
        <f t="shared" si="10"/>
        <v>-4.5041696765892502E-12</v>
      </c>
      <c r="U28" s="5" t="e">
        <f t="shared" si="15"/>
        <v>#NUM!</v>
      </c>
      <c r="V28" s="5" t="e">
        <f t="shared" si="16"/>
        <v>#NUM!</v>
      </c>
      <c r="X28" s="6">
        <f t="shared" si="11"/>
        <v>1.1249268968960278E-11</v>
      </c>
      <c r="Y28" s="6">
        <f t="shared" si="12"/>
        <v>1.1289908685041786E-11</v>
      </c>
      <c r="Z28" s="6">
        <f t="shared" si="13"/>
        <v>1.4320396155048438E-9</v>
      </c>
      <c r="AA28" s="6">
        <f t="shared" si="17"/>
        <v>1.1249268968960278E-11</v>
      </c>
      <c r="AB28" s="5">
        <f t="shared" si="18"/>
        <v>-25.210717969926311</v>
      </c>
      <c r="AC28" s="5">
        <f t="shared" si="19"/>
        <v>0.47129464129313448</v>
      </c>
      <c r="AG28" s="6"/>
      <c r="AH28" s="6"/>
    </row>
    <row r="29" spans="1:34" s="5" customFormat="1" x14ac:dyDescent="0.3">
      <c r="A29" s="5">
        <v>25</v>
      </c>
      <c r="B29" s="5">
        <v>450.03</v>
      </c>
      <c r="C29" s="5">
        <v>6600</v>
      </c>
      <c r="D29" s="6">
        <v>1.0543872041726083</v>
      </c>
      <c r="E29" s="5">
        <v>2.8988469836447157</v>
      </c>
      <c r="F29" s="5">
        <v>2.8100453381621378E-3</v>
      </c>
      <c r="G29" s="6">
        <f t="shared" si="14"/>
        <v>4.6142083113324666E-3</v>
      </c>
      <c r="H29" s="6">
        <f t="shared" si="0"/>
        <v>4.6265056291520078E-3</v>
      </c>
      <c r="J29" s="6">
        <f t="shared" si="1"/>
        <v>2.8420433938593886E-12</v>
      </c>
      <c r="K29" s="6">
        <f t="shared" si="2"/>
        <v>2.852358327789741E-12</v>
      </c>
      <c r="L29" s="6">
        <f t="shared" si="3"/>
        <v>3.6013070748663511E-10</v>
      </c>
      <c r="M29" s="6">
        <f t="shared" si="4"/>
        <v>2.8420433938593886E-12</v>
      </c>
      <c r="N29" s="5">
        <f t="shared" si="5"/>
        <v>13.830684757202329</v>
      </c>
      <c r="O29" s="5">
        <f t="shared" si="6"/>
        <v>-26.58649781759491</v>
      </c>
      <c r="Q29" s="6">
        <f t="shared" si="7"/>
        <v>-6.1685857050055282E-13</v>
      </c>
      <c r="R29" s="6">
        <f t="shared" si="8"/>
        <v>-6.1910433801651698E-13</v>
      </c>
      <c r="S29" s="6">
        <f t="shared" si="9"/>
        <v>-7.7926154210146746E-11</v>
      </c>
      <c r="T29" s="6">
        <f t="shared" si="10"/>
        <v>-6.1685857050055282E-13</v>
      </c>
      <c r="U29" s="5" t="e">
        <f t="shared" si="15"/>
        <v>#NUM!</v>
      </c>
      <c r="V29" s="5" t="e">
        <f t="shared" si="16"/>
        <v>#NUM!</v>
      </c>
      <c r="X29" s="6">
        <f t="shared" si="11"/>
        <v>4.3445602745953879E-12</v>
      </c>
      <c r="Y29" s="6">
        <f t="shared" si="12"/>
        <v>4.360349659365241E-12</v>
      </c>
      <c r="Z29" s="6">
        <f t="shared" si="13"/>
        <v>5.4979167509313086E-10</v>
      </c>
      <c r="AA29" s="6">
        <f t="shared" si="17"/>
        <v>4.3445602745953879E-12</v>
      </c>
      <c r="AB29" s="5">
        <f t="shared" si="18"/>
        <v>-26.162096564957292</v>
      </c>
      <c r="AC29" s="5">
        <f t="shared" si="19"/>
        <v>0.42440125263761885</v>
      </c>
      <c r="AG29" s="6"/>
      <c r="AH29" s="6"/>
    </row>
    <row r="30" spans="1:34" s="5" customFormat="1" x14ac:dyDescent="0.3">
      <c r="A30" s="5">
        <v>26</v>
      </c>
      <c r="B30" s="5">
        <v>430.02</v>
      </c>
      <c r="C30" s="5">
        <v>7800</v>
      </c>
      <c r="D30" s="6">
        <v>1.0577013941293865</v>
      </c>
      <c r="E30" s="5">
        <v>3.0195094746436393</v>
      </c>
      <c r="F30" s="5">
        <v>1.6410866095901179E-3</v>
      </c>
      <c r="G30" s="6">
        <f t="shared" si="14"/>
        <v>4.6287118663674506E-3</v>
      </c>
      <c r="H30" s="6">
        <f t="shared" si="0"/>
        <v>4.6358935880761558E-3</v>
      </c>
      <c r="J30" s="6">
        <f t="shared" si="1"/>
        <v>1.4998106700460868E-12</v>
      </c>
      <c r="K30" s="6">
        <f t="shared" si="2"/>
        <v>1.5052765631577696E-12</v>
      </c>
      <c r="L30" s="6">
        <f t="shared" si="3"/>
        <v>1.8927438596989962E-10</v>
      </c>
      <c r="M30" s="6">
        <f t="shared" si="4"/>
        <v>1.4998106700460868E-12</v>
      </c>
      <c r="N30" s="5">
        <f t="shared" si="5"/>
        <v>14.224346391283321</v>
      </c>
      <c r="O30" s="5">
        <f t="shared" si="6"/>
        <v>-27.225682235756071</v>
      </c>
      <c r="Q30" s="6">
        <f t="shared" si="7"/>
        <v>2.2845023250024112E-13</v>
      </c>
      <c r="R30" s="6">
        <f t="shared" si="8"/>
        <v>2.2928389797824743E-13</v>
      </c>
      <c r="S30" s="6">
        <f t="shared" si="9"/>
        <v>2.8792028764525322E-11</v>
      </c>
      <c r="T30" s="6">
        <f t="shared" si="10"/>
        <v>2.2845023250024112E-13</v>
      </c>
      <c r="U30" s="5">
        <f t="shared" si="15"/>
        <v>-29.107458009172699</v>
      </c>
      <c r="V30" s="5">
        <f t="shared" si="16"/>
        <v>1.8817757734166278</v>
      </c>
      <c r="X30" s="6">
        <f t="shared" si="11"/>
        <v>2.2442139371042761E-12</v>
      </c>
      <c r="Y30" s="6">
        <f t="shared" si="12"/>
        <v>2.2523991166525003E-12</v>
      </c>
      <c r="Z30" s="6">
        <f t="shared" si="13"/>
        <v>2.8299835712510451E-10</v>
      </c>
      <c r="AA30" s="6">
        <f t="shared" si="17"/>
        <v>2.2442139371042761E-12</v>
      </c>
      <c r="AB30" s="5">
        <f t="shared" si="18"/>
        <v>-26.822665795421923</v>
      </c>
      <c r="AC30" s="5">
        <f t="shared" si="19"/>
        <v>0.40301644033414874</v>
      </c>
      <c r="AG30" s="6"/>
      <c r="AH30" s="6"/>
    </row>
    <row r="31" spans="1:34" s="5" customFormat="1" x14ac:dyDescent="0.3">
      <c r="A31" s="5">
        <v>27</v>
      </c>
      <c r="B31" s="5">
        <v>410.02</v>
      </c>
      <c r="C31" s="5">
        <v>9000</v>
      </c>
      <c r="D31" s="6">
        <v>1.0584263021863323</v>
      </c>
      <c r="E31" s="5">
        <v>3.0508669836954878</v>
      </c>
      <c r="F31" s="5">
        <v>3.5346419963310313E-4</v>
      </c>
      <c r="G31" s="6">
        <f t="shared" si="14"/>
        <v>4.6318842083382886E-3</v>
      </c>
      <c r="H31" s="6">
        <f t="shared" si="0"/>
        <v>4.6334310380430213E-3</v>
      </c>
      <c r="J31" s="6">
        <f t="shared" si="1"/>
        <v>2.8485497004830847E-13</v>
      </c>
      <c r="K31" s="6">
        <f t="shared" si="2"/>
        <v>2.8589508950766818E-13</v>
      </c>
      <c r="L31" s="6">
        <f t="shared" si="3"/>
        <v>3.5880073589739839E-11</v>
      </c>
      <c r="M31" s="6">
        <f t="shared" si="4"/>
        <v>2.8485497004830847E-13</v>
      </c>
      <c r="N31" s="5">
        <f t="shared" si="5"/>
        <v>14.640859711282246</v>
      </c>
      <c r="O31" s="5">
        <f t="shared" si="6"/>
        <v>-28.886796221187367</v>
      </c>
      <c r="Q31" s="6">
        <f t="shared" si="7"/>
        <v>-3.6029452806878899E-13</v>
      </c>
      <c r="R31" s="6">
        <f t="shared" si="8"/>
        <v>-3.616111235212321E-13</v>
      </c>
      <c r="S31" s="6">
        <f t="shared" si="9"/>
        <v>-4.5347368078251076E-11</v>
      </c>
      <c r="T31" s="6">
        <f t="shared" si="10"/>
        <v>-3.6029452806878899E-13</v>
      </c>
      <c r="U31" s="5" t="e">
        <f t="shared" si="15"/>
        <v>#NUM!</v>
      </c>
      <c r="V31" s="5" t="e">
        <f t="shared" si="16"/>
        <v>#NUM!</v>
      </c>
      <c r="X31" s="6">
        <f t="shared" si="11"/>
        <v>4.2382065311928146E-13</v>
      </c>
      <c r="Y31" s="6">
        <f t="shared" si="12"/>
        <v>4.2536845047928563E-13</v>
      </c>
      <c r="Z31" s="6">
        <f t="shared" si="13"/>
        <v>5.3375190988570616E-11</v>
      </c>
      <c r="AA31" s="6">
        <f t="shared" si="17"/>
        <v>4.2382065311928146E-13</v>
      </c>
      <c r="AB31" s="5">
        <f t="shared" si="18"/>
        <v>-28.48946601708958</v>
      </c>
      <c r="AC31" s="5">
        <f t="shared" si="19"/>
        <v>0.39733020409778774</v>
      </c>
      <c r="AG31" s="6"/>
      <c r="AH31" s="6"/>
    </row>
    <row r="32" spans="1:34" s="5" customFormat="1" x14ac:dyDescent="0.3">
      <c r="A32" s="5">
        <v>28</v>
      </c>
      <c r="B32" s="5">
        <v>450.02</v>
      </c>
      <c r="C32" s="5">
        <v>9600</v>
      </c>
      <c r="D32" s="6">
        <v>1.0639678609031098</v>
      </c>
      <c r="E32" s="5">
        <v>4.2162451758344064</v>
      </c>
      <c r="F32" s="5">
        <v>1.7229901371993369E-3</v>
      </c>
      <c r="G32" s="6">
        <f t="shared" si="14"/>
        <v>4.656135172488367E-3</v>
      </c>
      <c r="H32" s="6">
        <f t="shared" si="0"/>
        <v>4.663675320339125E-3</v>
      </c>
      <c r="J32" s="6">
        <f t="shared" si="1"/>
        <v>2.0475205131440252E-12</v>
      </c>
      <c r="K32" s="6">
        <f t="shared" si="2"/>
        <v>2.0550190455914708E-12</v>
      </c>
      <c r="L32" s="6">
        <f t="shared" si="3"/>
        <v>2.571458955592883E-10</v>
      </c>
      <c r="M32" s="6">
        <f t="shared" si="4"/>
        <v>2.0475205131440252E-12</v>
      </c>
      <c r="N32" s="5">
        <f t="shared" si="5"/>
        <v>13.830876047688861</v>
      </c>
      <c r="O32" s="5">
        <f t="shared" si="6"/>
        <v>-26.914391560604088</v>
      </c>
      <c r="Q32" s="6">
        <f t="shared" si="7"/>
        <v>1.917240185264988E-12</v>
      </c>
      <c r="R32" s="6">
        <f t="shared" si="8"/>
        <v>1.9242627696805971E-12</v>
      </c>
      <c r="S32" s="6">
        <f t="shared" si="9"/>
        <v>2.407442229996241E-10</v>
      </c>
      <c r="T32" s="6">
        <f t="shared" si="10"/>
        <v>1.917240185264988E-12</v>
      </c>
      <c r="U32" s="5">
        <f t="shared" si="15"/>
        <v>-26.98013436745212</v>
      </c>
      <c r="V32" s="5">
        <f t="shared" si="16"/>
        <v>6.5742806848032131E-2</v>
      </c>
      <c r="X32" s="6">
        <f t="shared" si="11"/>
        <v>2.6863178284939238E-12</v>
      </c>
      <c r="Y32" s="6">
        <f t="shared" si="12"/>
        <v>2.6961638295400857E-12</v>
      </c>
      <c r="Z32" s="6">
        <f t="shared" si="13"/>
        <v>3.3709937799172602E-10</v>
      </c>
      <c r="AA32" s="6">
        <f t="shared" si="17"/>
        <v>2.6863178284939238E-12</v>
      </c>
      <c r="AB32" s="5">
        <f t="shared" si="18"/>
        <v>-26.642849697019077</v>
      </c>
      <c r="AC32" s="5">
        <f t="shared" si="19"/>
        <v>0.27154186358501065</v>
      </c>
      <c r="AG32" s="6"/>
      <c r="AH32" s="6"/>
    </row>
    <row r="33" spans="1:34" s="5" customFormat="1" x14ac:dyDescent="0.3">
      <c r="A33" s="5">
        <v>29</v>
      </c>
      <c r="B33" s="5">
        <v>470.02</v>
      </c>
      <c r="C33" s="5">
        <v>8400</v>
      </c>
      <c r="D33" s="6">
        <v>1.0739350921412638</v>
      </c>
      <c r="E33" s="5">
        <v>4.1602490872399782</v>
      </c>
      <c r="F33" s="5">
        <v>3.1539384912405337E-3</v>
      </c>
      <c r="G33" s="6">
        <f t="shared" si="14"/>
        <v>4.6997537606484471E-3</v>
      </c>
      <c r="H33" s="6">
        <f t="shared" si="0"/>
        <v>4.7135560233676089E-3</v>
      </c>
      <c r="J33" s="6">
        <f t="shared" si="1"/>
        <v>4.2395986741958818E-12</v>
      </c>
      <c r="K33" s="6">
        <f t="shared" si="2"/>
        <v>4.2552391422677966E-12</v>
      </c>
      <c r="L33" s="6">
        <f t="shared" si="3"/>
        <v>5.2860217422229139E-10</v>
      </c>
      <c r="M33" s="6">
        <f t="shared" si="4"/>
        <v>4.2395986741958818E-12</v>
      </c>
      <c r="N33" s="5">
        <f t="shared" si="5"/>
        <v>13.458587924954914</v>
      </c>
      <c r="O33" s="5">
        <f t="shared" si="6"/>
        <v>-26.186552503476786</v>
      </c>
      <c r="Q33" s="6">
        <f t="shared" si="7"/>
        <v>3.5095445995102827E-12</v>
      </c>
      <c r="R33" s="6">
        <f t="shared" si="8"/>
        <v>3.5225022463263589E-12</v>
      </c>
      <c r="S33" s="6">
        <f t="shared" si="9"/>
        <v>4.37226765727648E-10</v>
      </c>
      <c r="T33" s="6">
        <f t="shared" si="10"/>
        <v>3.5095445995102827E-12</v>
      </c>
      <c r="U33" s="5">
        <f t="shared" si="15"/>
        <v>-26.375534830597484</v>
      </c>
      <c r="V33" s="5">
        <f t="shared" si="16"/>
        <v>0.18898232712069785</v>
      </c>
      <c r="X33" s="6">
        <f t="shared" si="11"/>
        <v>5.5893716438463629E-12</v>
      </c>
      <c r="Y33" s="6">
        <f t="shared" si="12"/>
        <v>5.6100222666401448E-12</v>
      </c>
      <c r="Z33" s="6">
        <f t="shared" si="13"/>
        <v>6.9587298349003882E-10</v>
      </c>
      <c r="AA33" s="6">
        <f t="shared" si="17"/>
        <v>5.5893716438463629E-12</v>
      </c>
      <c r="AB33" s="5">
        <f t="shared" si="18"/>
        <v>-25.91015424226282</v>
      </c>
      <c r="AC33" s="5">
        <f t="shared" si="19"/>
        <v>0.27639826121396638</v>
      </c>
      <c r="AG33" s="6"/>
      <c r="AH33" s="6"/>
    </row>
    <row r="34" spans="1:34" s="5" customFormat="1" x14ac:dyDescent="0.3">
      <c r="A34" s="5">
        <v>30</v>
      </c>
      <c r="B34" s="5">
        <v>490.03</v>
      </c>
      <c r="C34" s="5">
        <v>7200</v>
      </c>
      <c r="D34" s="6">
        <v>1.0957999250675901</v>
      </c>
      <c r="E34" s="5">
        <v>3.9990145950835045</v>
      </c>
      <c r="F34" s="5">
        <v>7.2906723969169271E-3</v>
      </c>
      <c r="G34" s="6">
        <f t="shared" si="14"/>
        <v>4.7954386223532314E-3</v>
      </c>
      <c r="H34" s="6">
        <f t="shared" si="0"/>
        <v>4.8273440561786103E-3</v>
      </c>
      <c r="J34" s="6">
        <f t="shared" si="1"/>
        <v>1.1011890328729141E-11</v>
      </c>
      <c r="K34" s="6">
        <f t="shared" si="2"/>
        <v>1.1053123217921309E-11</v>
      </c>
      <c r="L34" s="6">
        <f t="shared" si="3"/>
        <v>1.3529375695912952E-9</v>
      </c>
      <c r="M34" s="6">
        <f t="shared" si="4"/>
        <v>1.1011890328729141E-11</v>
      </c>
      <c r="N34" s="5">
        <f t="shared" si="5"/>
        <v>13.105644601129708</v>
      </c>
      <c r="O34" s="5">
        <f t="shared" si="6"/>
        <v>-25.232045487948675</v>
      </c>
      <c r="Q34" s="6">
        <f t="shared" si="7"/>
        <v>9.4371551974702468E-12</v>
      </c>
      <c r="R34" s="6">
        <f t="shared" si="8"/>
        <v>9.4725429061535694E-12</v>
      </c>
      <c r="S34" s="6">
        <f t="shared" si="9"/>
        <v>1.1577882921130391E-9</v>
      </c>
      <c r="T34" s="6">
        <f t="shared" si="10"/>
        <v>9.4371551974702468E-12</v>
      </c>
      <c r="U34" s="5">
        <f t="shared" si="15"/>
        <v>-25.386366537388231</v>
      </c>
      <c r="V34" s="5">
        <f t="shared" si="16"/>
        <v>0.15432104943955594</v>
      </c>
      <c r="X34" s="6">
        <f t="shared" si="11"/>
        <v>1.4733066296069212E-11</v>
      </c>
      <c r="Y34" s="6">
        <f t="shared" si="12"/>
        <v>1.4788420333277961E-11</v>
      </c>
      <c r="Z34" s="6">
        <f t="shared" si="13"/>
        <v>1.8040938590690686E-9</v>
      </c>
      <c r="AA34" s="6">
        <f t="shared" si="17"/>
        <v>1.4733066296069212E-11</v>
      </c>
      <c r="AB34" s="5">
        <f t="shared" si="18"/>
        <v>-24.940926740378444</v>
      </c>
      <c r="AC34" s="5">
        <f t="shared" si="19"/>
        <v>0.2911187475702306</v>
      </c>
      <c r="AG34" s="6"/>
      <c r="AH34" s="6"/>
    </row>
    <row r="35" spans="1:34" s="5" customFormat="1" x14ac:dyDescent="0.3">
      <c r="A35" s="5">
        <v>31</v>
      </c>
      <c r="B35" s="5">
        <v>510.03</v>
      </c>
      <c r="C35" s="5">
        <v>6000</v>
      </c>
      <c r="D35" s="6">
        <v>1.1335666544554333</v>
      </c>
      <c r="E35" s="5">
        <v>3.7177128370623591</v>
      </c>
      <c r="F35" s="5">
        <v>1.389651212328454E-2</v>
      </c>
      <c r="G35" s="6">
        <f t="shared" si="14"/>
        <v>4.9607133487000639E-3</v>
      </c>
      <c r="H35" s="6">
        <f t="shared" si="0"/>
        <v>5.0215272522490069E-3</v>
      </c>
      <c r="J35" s="6">
        <f t="shared" si="1"/>
        <v>2.3452066931122093E-11</v>
      </c>
      <c r="K35" s="6">
        <f t="shared" si="2"/>
        <v>2.3542310148998973E-11</v>
      </c>
      <c r="L35" s="6">
        <f t="shared" si="3"/>
        <v>2.8046531341227971E-9</v>
      </c>
      <c r="M35" s="6">
        <f t="shared" si="4"/>
        <v>2.3452066931122093E-11</v>
      </c>
      <c r="N35" s="5">
        <f t="shared" si="5"/>
        <v>12.770902775117174</v>
      </c>
      <c r="O35" s="5">
        <f t="shared" si="6"/>
        <v>-24.476062482868429</v>
      </c>
      <c r="Q35" s="6">
        <f t="shared" si="7"/>
        <v>1.8986655770314005E-11</v>
      </c>
      <c r="R35" s="6">
        <f t="shared" si="8"/>
        <v>1.9059953610570075E-11</v>
      </c>
      <c r="S35" s="6">
        <f t="shared" si="9"/>
        <v>2.2632655867524937E-9</v>
      </c>
      <c r="T35" s="6">
        <f t="shared" si="10"/>
        <v>1.8986655770314005E-11</v>
      </c>
      <c r="U35" s="5">
        <f t="shared" si="15"/>
        <v>-24.687284711388081</v>
      </c>
      <c r="V35" s="5">
        <f t="shared" si="16"/>
        <v>0.21122222851965233</v>
      </c>
      <c r="X35" s="6">
        <f t="shared" si="11"/>
        <v>3.2281382433174725E-11</v>
      </c>
      <c r="Y35" s="6">
        <f t="shared" si="12"/>
        <v>3.2406388591212709E-11</v>
      </c>
      <c r="Z35" s="6">
        <f t="shared" si="13"/>
        <v>3.8367606219899726E-9</v>
      </c>
      <c r="AA35" s="6">
        <f t="shared" si="17"/>
        <v>3.2281382433174725E-11</v>
      </c>
      <c r="AB35" s="5">
        <f t="shared" si="18"/>
        <v>-24.156530447137293</v>
      </c>
      <c r="AC35" s="5">
        <f t="shared" si="19"/>
        <v>0.31953203573113598</v>
      </c>
      <c r="AG35" s="6"/>
      <c r="AH35" s="6"/>
    </row>
    <row r="36" spans="1:34" x14ac:dyDescent="0.3">
      <c r="D36" s="1">
        <f>(4.16*54.93)</f>
        <v>228.50880000000001</v>
      </c>
      <c r="G36" s="1"/>
      <c r="J36" s="1"/>
      <c r="K36" s="1"/>
      <c r="L36" s="1"/>
      <c r="M36" s="1"/>
      <c r="Q36" s="1"/>
      <c r="R36" s="1"/>
      <c r="S36" s="1"/>
      <c r="T36" s="1"/>
      <c r="X36" s="1"/>
      <c r="Y36" s="1"/>
      <c r="Z36" s="1"/>
      <c r="AA36" s="1"/>
      <c r="AG36" s="1"/>
      <c r="AH36" s="1"/>
    </row>
    <row r="37" spans="1:34" x14ac:dyDescent="0.3">
      <c r="D37" s="1"/>
      <c r="G37" s="1"/>
      <c r="J37" s="1"/>
      <c r="K37" s="1"/>
      <c r="L37" s="1"/>
      <c r="M37" s="1"/>
      <c r="Q37" s="1"/>
      <c r="R37" s="1"/>
      <c r="S37" s="1"/>
      <c r="T37" s="1"/>
      <c r="X37" s="1"/>
      <c r="Y37" s="1"/>
      <c r="Z37" s="1"/>
      <c r="AA37" s="1"/>
      <c r="AG37" s="1"/>
      <c r="AH37" s="1"/>
    </row>
    <row r="38" spans="1:34" x14ac:dyDescent="0.3">
      <c r="G38" s="1"/>
      <c r="J38" s="1"/>
      <c r="K38" s="1"/>
      <c r="L38" s="1"/>
      <c r="M38" s="1"/>
      <c r="Q38" s="1"/>
      <c r="R38" s="1"/>
      <c r="S38" s="1"/>
      <c r="T38" s="1"/>
      <c r="X38" s="1"/>
      <c r="Y38" s="1"/>
      <c r="Z38" s="1"/>
      <c r="AA38" s="1"/>
      <c r="AG38" s="1"/>
      <c r="AH38" s="1"/>
    </row>
    <row r="39" spans="1:34" x14ac:dyDescent="0.3">
      <c r="G39" s="1"/>
      <c r="J39" s="1"/>
      <c r="K39" s="1"/>
      <c r="L39" s="1"/>
      <c r="M39" s="1"/>
      <c r="Q39" s="1"/>
      <c r="R39" s="1"/>
      <c r="S39" s="1"/>
      <c r="T39" s="1"/>
      <c r="X39" s="1"/>
      <c r="Y39" s="1"/>
      <c r="Z39" s="1"/>
      <c r="AA39" s="1"/>
      <c r="AG39" s="1"/>
      <c r="AH39" s="1"/>
    </row>
    <row r="40" spans="1:34" x14ac:dyDescent="0.3">
      <c r="G40" s="1"/>
      <c r="J40" s="1"/>
      <c r="K40" s="1"/>
      <c r="L40" s="1"/>
      <c r="M40" s="1"/>
      <c r="Q40" s="1"/>
      <c r="R40" s="1"/>
      <c r="S40" s="1"/>
      <c r="T40" s="1"/>
      <c r="X40" s="1"/>
      <c r="Y40" s="1"/>
      <c r="Z40" s="1"/>
      <c r="AA40" s="1"/>
      <c r="AG40" s="1"/>
      <c r="AH40" s="1"/>
    </row>
    <row r="41" spans="1:34" x14ac:dyDescent="0.3">
      <c r="G41" s="1"/>
      <c r="J41" s="1"/>
      <c r="K41" s="1"/>
      <c r="L41" s="1"/>
      <c r="M41" s="1"/>
      <c r="Q41" s="1"/>
      <c r="R41" s="1"/>
      <c r="S41" s="1"/>
      <c r="T41" s="1"/>
      <c r="X41" s="1"/>
      <c r="Y41" s="1"/>
      <c r="Z41" s="1"/>
      <c r="AA41" s="1"/>
      <c r="AG41" s="1"/>
      <c r="AH41" s="1"/>
    </row>
    <row r="42" spans="1:34" x14ac:dyDescent="0.3">
      <c r="G42" s="1"/>
      <c r="J42" s="1"/>
      <c r="K42" s="1"/>
      <c r="L42" s="1"/>
      <c r="M42" s="1"/>
      <c r="Q42" s="1"/>
      <c r="R42" s="1"/>
      <c r="S42" s="1"/>
      <c r="T42" s="1"/>
      <c r="X42" s="1"/>
      <c r="Y42" s="1"/>
      <c r="Z42" s="1"/>
      <c r="AA42" s="1"/>
      <c r="AG42" s="1"/>
      <c r="AH42" s="1"/>
    </row>
    <row r="43" spans="1:34" x14ac:dyDescent="0.3">
      <c r="G43" s="1"/>
      <c r="J43" s="1"/>
      <c r="K43" s="1"/>
      <c r="L43" s="1"/>
      <c r="M43" s="1"/>
      <c r="Q43" s="1"/>
      <c r="R43" s="1"/>
      <c r="S43" s="1"/>
      <c r="T43" s="1"/>
      <c r="X43" s="1"/>
      <c r="Y43" s="1"/>
      <c r="Z43" s="1"/>
      <c r="AA43" s="1"/>
      <c r="AG43" s="1"/>
      <c r="AH43" s="1"/>
    </row>
    <row r="44" spans="1:34" x14ac:dyDescent="0.3">
      <c r="G44" s="1"/>
      <c r="J44" s="1"/>
      <c r="K44" s="1"/>
      <c r="L44" s="1"/>
      <c r="M44" s="1"/>
      <c r="Q44" s="1"/>
      <c r="R44" s="1"/>
      <c r="S44" s="1"/>
      <c r="T44" s="1"/>
      <c r="X44" s="1"/>
      <c r="Y44" s="1"/>
      <c r="Z44" s="1"/>
      <c r="AA44" s="1"/>
      <c r="AG44" s="1"/>
      <c r="AH44" s="1"/>
    </row>
    <row r="45" spans="1:34" x14ac:dyDescent="0.3">
      <c r="G45" s="1"/>
      <c r="J45" s="1"/>
      <c r="K45" s="1"/>
      <c r="L45" s="1"/>
      <c r="M45" s="1"/>
      <c r="Q45" s="1"/>
      <c r="R45" s="1"/>
      <c r="S45" s="1"/>
      <c r="T45" s="1"/>
      <c r="X45" s="1"/>
      <c r="Y45" s="1"/>
      <c r="Z45" s="1"/>
      <c r="AA45" s="1"/>
      <c r="AG45" s="1"/>
      <c r="AH45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E379-0E66-4706-9EDC-D4F58C3718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ReducedBigLVCOPy230707</vt:lpstr>
      <vt:lpstr>Diffusivities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Thyer, Benjamin J.</cp:lastModifiedBy>
  <dcterms:created xsi:type="dcterms:W3CDTF">2025-02-27T22:21:24Z</dcterms:created>
  <dcterms:modified xsi:type="dcterms:W3CDTF">2026-09-05T00:28:58Z</dcterms:modified>
</cp:coreProperties>
</file>