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3\Tables\"/>
    </mc:Choice>
  </mc:AlternateContent>
  <xr:revisionPtr revIDLastSave="0" documentId="13_ncr:1_{D2AEA8B3-C9F4-4524-8964-C4F76C6A8F07}" xr6:coauthVersionLast="47" xr6:coauthVersionMax="47" xr10:uidLastSave="{00000000-0000-0000-0000-000000000000}"/>
  <bookViews>
    <workbookView xWindow="43095" yWindow="-2925" windowWidth="14610" windowHeight="15585" xr2:uid="{31D04844-4B94-4845-B7AE-223E9EAD6A02}"/>
  </bookViews>
  <sheets>
    <sheet name="ReducedCCpTS230630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5" i="1" l="1"/>
  <c r="W4" i="1"/>
  <c r="X3" i="1"/>
  <c r="V3" i="1"/>
  <c r="W3" i="1"/>
  <c r="Z3" i="1"/>
  <c r="AA3" i="1"/>
  <c r="AB3" i="1"/>
  <c r="V4" i="1"/>
  <c r="X4" i="1"/>
  <c r="Z4" i="1"/>
  <c r="AA4" i="1"/>
  <c r="AB4" i="1"/>
  <c r="V5" i="1"/>
  <c r="W5" i="1"/>
  <c r="X5" i="1"/>
  <c r="Z5" i="1"/>
  <c r="AA5" i="1"/>
  <c r="AB5" i="1"/>
  <c r="V6" i="1"/>
  <c r="W6" i="1"/>
  <c r="X6" i="1"/>
  <c r="Z6" i="1"/>
  <c r="AA6" i="1"/>
  <c r="AB6" i="1"/>
  <c r="V7" i="1"/>
  <c r="W7" i="1"/>
  <c r="X7" i="1"/>
  <c r="Z7" i="1"/>
  <c r="AA7" i="1"/>
  <c r="AB7" i="1"/>
  <c r="V8" i="1"/>
  <c r="Z8" i="1" s="1"/>
  <c r="W8" i="1"/>
  <c r="AA8" i="1" s="1"/>
  <c r="X8" i="1"/>
  <c r="AB8" i="1"/>
  <c r="V9" i="1"/>
  <c r="Z9" i="1" s="1"/>
  <c r="W9" i="1"/>
  <c r="AA9" i="1" s="1"/>
  <c r="X9" i="1"/>
  <c r="AB9" i="1" s="1"/>
  <c r="V10" i="1"/>
  <c r="W10" i="1"/>
  <c r="X10" i="1"/>
  <c r="Z10" i="1"/>
  <c r="AA10" i="1"/>
  <c r="AB10" i="1"/>
  <c r="V11" i="1"/>
  <c r="W11" i="1"/>
  <c r="X11" i="1"/>
  <c r="Z11" i="1"/>
  <c r="AA11" i="1"/>
  <c r="AB11" i="1"/>
  <c r="V12" i="1"/>
  <c r="Z12" i="1" s="1"/>
  <c r="W12" i="1"/>
  <c r="AA12" i="1" s="1"/>
  <c r="X12" i="1"/>
  <c r="AB12" i="1"/>
  <c r="V13" i="1"/>
  <c r="W13" i="1"/>
  <c r="AA13" i="1" s="1"/>
  <c r="X13" i="1"/>
  <c r="AB13" i="1" s="1"/>
  <c r="Z13" i="1"/>
  <c r="V14" i="1"/>
  <c r="W14" i="1"/>
  <c r="X14" i="1"/>
  <c r="Z14" i="1"/>
  <c r="AA14" i="1"/>
  <c r="AB14" i="1"/>
  <c r="V15" i="1"/>
  <c r="W15" i="1"/>
  <c r="X15" i="1"/>
  <c r="Z15" i="1"/>
  <c r="AA15" i="1"/>
  <c r="AB15" i="1"/>
  <c r="V16" i="1"/>
  <c r="Z16" i="1" s="1"/>
  <c r="W16" i="1"/>
  <c r="AA16" i="1" s="1"/>
  <c r="X16" i="1"/>
  <c r="AB16" i="1"/>
  <c r="V17" i="1"/>
  <c r="W17" i="1"/>
  <c r="AA17" i="1" s="1"/>
  <c r="X17" i="1"/>
  <c r="AB17" i="1" s="1"/>
  <c r="Z17" i="1"/>
  <c r="V18" i="1"/>
  <c r="W18" i="1"/>
  <c r="X18" i="1"/>
  <c r="Z18" i="1"/>
  <c r="AA18" i="1"/>
  <c r="AB18" i="1"/>
  <c r="V19" i="1"/>
  <c r="W19" i="1"/>
  <c r="X19" i="1"/>
  <c r="Z19" i="1"/>
  <c r="AA19" i="1"/>
  <c r="AB19" i="1"/>
  <c r="V20" i="1"/>
  <c r="Z20" i="1" s="1"/>
  <c r="W20" i="1"/>
  <c r="AA20" i="1" s="1"/>
  <c r="X20" i="1"/>
  <c r="AB20" i="1"/>
  <c r="V21" i="1"/>
  <c r="W21" i="1"/>
  <c r="AA21" i="1" s="1"/>
  <c r="X21" i="1"/>
  <c r="AB21" i="1" s="1"/>
  <c r="Z21" i="1"/>
  <c r="V22" i="1"/>
  <c r="W22" i="1"/>
  <c r="X22" i="1"/>
  <c r="Z22" i="1"/>
  <c r="AA22" i="1"/>
  <c r="AB22" i="1"/>
  <c r="V23" i="1"/>
  <c r="W23" i="1"/>
  <c r="X23" i="1"/>
  <c r="Z23" i="1"/>
  <c r="AA23" i="1"/>
  <c r="AB23" i="1"/>
  <c r="V24" i="1"/>
  <c r="Z24" i="1" s="1"/>
  <c r="W24" i="1"/>
  <c r="AA24" i="1" s="1"/>
  <c r="X24" i="1"/>
  <c r="AB24" i="1"/>
  <c r="V25" i="1"/>
  <c r="W25" i="1"/>
  <c r="AA25" i="1" s="1"/>
  <c r="X25" i="1"/>
  <c r="AB25" i="1" s="1"/>
  <c r="Z25" i="1"/>
  <c r="V26" i="1"/>
  <c r="W26" i="1"/>
  <c r="X26" i="1"/>
  <c r="Z26" i="1"/>
  <c r="AA26" i="1"/>
  <c r="AB26" i="1"/>
  <c r="V27" i="1"/>
  <c r="W27" i="1"/>
  <c r="X27" i="1"/>
  <c r="Z27" i="1"/>
  <c r="AA27" i="1"/>
  <c r="AB27" i="1"/>
  <c r="V28" i="1"/>
  <c r="Z28" i="1" s="1"/>
  <c r="W28" i="1"/>
  <c r="AA28" i="1" s="1"/>
  <c r="X28" i="1"/>
  <c r="AB28" i="1"/>
  <c r="V29" i="1"/>
  <c r="W29" i="1"/>
  <c r="AA29" i="1" s="1"/>
  <c r="X29" i="1"/>
  <c r="AB29" i="1" s="1"/>
  <c r="Z29" i="1"/>
  <c r="V30" i="1"/>
  <c r="W30" i="1"/>
  <c r="X30" i="1"/>
  <c r="Z30" i="1"/>
  <c r="AA30" i="1"/>
  <c r="AB30" i="1"/>
  <c r="V31" i="1"/>
  <c r="W31" i="1"/>
  <c r="X31" i="1"/>
  <c r="Z31" i="1"/>
  <c r="AA31" i="1"/>
  <c r="AB31" i="1"/>
  <c r="V32" i="1"/>
  <c r="Z32" i="1" s="1"/>
  <c r="W32" i="1"/>
  <c r="AA32" i="1" s="1"/>
  <c r="X32" i="1"/>
  <c r="AB32" i="1"/>
  <c r="V33" i="1"/>
  <c r="W33" i="1"/>
  <c r="AA33" i="1" s="1"/>
  <c r="X33" i="1"/>
  <c r="AB33" i="1" s="1"/>
  <c r="Z33" i="1"/>
  <c r="V34" i="1"/>
  <c r="W34" i="1"/>
  <c r="X34" i="1"/>
  <c r="Z34" i="1"/>
  <c r="AA34" i="1"/>
  <c r="AB34" i="1"/>
  <c r="V35" i="1"/>
  <c r="W35" i="1"/>
  <c r="X35" i="1"/>
  <c r="Z35" i="1"/>
  <c r="AA35" i="1"/>
  <c r="AB35" i="1"/>
  <c r="V36" i="1"/>
  <c r="Z36" i="1" s="1"/>
  <c r="W36" i="1"/>
  <c r="AA36" i="1" s="1"/>
  <c r="X36" i="1"/>
  <c r="AB36" i="1"/>
  <c r="V37" i="1"/>
  <c r="W37" i="1"/>
  <c r="AA37" i="1" s="1"/>
  <c r="X37" i="1"/>
  <c r="AB37" i="1" s="1"/>
  <c r="Z37" i="1"/>
  <c r="V38" i="1"/>
  <c r="W38" i="1"/>
  <c r="X38" i="1"/>
  <c r="Z38" i="1"/>
  <c r="AA38" i="1"/>
  <c r="AB38" i="1"/>
  <c r="V39" i="1"/>
  <c r="W39" i="1"/>
  <c r="X39" i="1"/>
  <c r="Z39" i="1"/>
  <c r="AA39" i="1"/>
  <c r="AB39" i="1"/>
  <c r="V40" i="1"/>
  <c r="Z40" i="1" s="1"/>
  <c r="W40" i="1"/>
  <c r="AA40" i="1" s="1"/>
  <c r="X40" i="1"/>
  <c r="AB40" i="1"/>
  <c r="V41" i="1"/>
  <c r="W41" i="1"/>
  <c r="AA41" i="1" s="1"/>
  <c r="X41" i="1"/>
  <c r="AB41" i="1" s="1"/>
  <c r="Z41" i="1"/>
  <c r="V42" i="1"/>
  <c r="W42" i="1"/>
  <c r="X42" i="1"/>
  <c r="Z42" i="1"/>
  <c r="AA42" i="1"/>
  <c r="AB42" i="1"/>
  <c r="V43" i="1"/>
  <c r="W43" i="1"/>
  <c r="X43" i="1"/>
  <c r="Z43" i="1"/>
  <c r="AA43" i="1"/>
  <c r="AB43" i="1"/>
  <c r="V44" i="1"/>
  <c r="Z44" i="1" s="1"/>
  <c r="W44" i="1"/>
  <c r="AA44" i="1" s="1"/>
  <c r="X44" i="1"/>
  <c r="AB44" i="1"/>
  <c r="W45" i="1"/>
  <c r="AA45" i="1" s="1"/>
  <c r="X45" i="1"/>
  <c r="AB45" i="1" s="1"/>
  <c r="Z45" i="1"/>
  <c r="V46" i="1"/>
  <c r="W46" i="1"/>
  <c r="X46" i="1"/>
  <c r="Z46" i="1"/>
  <c r="AA46" i="1"/>
  <c r="AB46" i="1"/>
  <c r="V47" i="1"/>
  <c r="W47" i="1"/>
  <c r="X47" i="1"/>
  <c r="Z47" i="1"/>
  <c r="AA47" i="1"/>
  <c r="AB47" i="1"/>
  <c r="V48" i="1"/>
  <c r="Z48" i="1" s="1"/>
  <c r="W48" i="1"/>
  <c r="AA48" i="1" s="1"/>
  <c r="X48" i="1"/>
  <c r="AB48" i="1" s="1"/>
  <c r="V49" i="1"/>
  <c r="W49" i="1"/>
  <c r="AA49" i="1" s="1"/>
  <c r="X49" i="1"/>
  <c r="AB49" i="1" s="1"/>
  <c r="Z49" i="1"/>
  <c r="V50" i="1"/>
  <c r="W50" i="1"/>
  <c r="X50" i="1"/>
  <c r="Z50" i="1"/>
  <c r="AA50" i="1"/>
  <c r="AB50" i="1"/>
  <c r="Q5" i="3"/>
  <c r="T5" i="3" s="1"/>
  <c r="R5" i="3"/>
  <c r="S5" i="3"/>
  <c r="Q6" i="3"/>
  <c r="T6" i="3" s="1"/>
  <c r="R6" i="3"/>
  <c r="S6" i="3"/>
  <c r="Q7" i="3"/>
  <c r="T7" i="3" s="1"/>
  <c r="R7" i="3"/>
  <c r="S7" i="3"/>
  <c r="Q8" i="3"/>
  <c r="T8" i="3" s="1"/>
  <c r="R8" i="3"/>
  <c r="S8" i="3"/>
  <c r="Q9" i="3"/>
  <c r="T9" i="3" s="1"/>
  <c r="R9" i="3"/>
  <c r="S9" i="3"/>
  <c r="Q10" i="3"/>
  <c r="T10" i="3" s="1"/>
  <c r="R10" i="3"/>
  <c r="S10" i="3"/>
  <c r="Q11" i="3"/>
  <c r="T11" i="3" s="1"/>
  <c r="R11" i="3"/>
  <c r="S11" i="3"/>
  <c r="Q12" i="3"/>
  <c r="T12" i="3" s="1"/>
  <c r="R12" i="3"/>
  <c r="S12" i="3"/>
  <c r="Q13" i="3"/>
  <c r="T13" i="3" s="1"/>
  <c r="R13" i="3"/>
  <c r="S13" i="3"/>
  <c r="Q14" i="3"/>
  <c r="T14" i="3" s="1"/>
  <c r="R14" i="3"/>
  <c r="S14" i="3"/>
  <c r="Q15" i="3"/>
  <c r="T15" i="3" s="1"/>
  <c r="R15" i="3"/>
  <c r="S15" i="3"/>
  <c r="Q16" i="3"/>
  <c r="T16" i="3" s="1"/>
  <c r="R16" i="3"/>
  <c r="S16" i="3"/>
  <c r="Q17" i="3"/>
  <c r="T17" i="3" s="1"/>
  <c r="R17" i="3"/>
  <c r="S17" i="3"/>
  <c r="Q18" i="3"/>
  <c r="T18" i="3" s="1"/>
  <c r="R18" i="3"/>
  <c r="S18" i="3"/>
  <c r="Q19" i="3"/>
  <c r="T19" i="3" s="1"/>
  <c r="R19" i="3"/>
  <c r="S19" i="3"/>
  <c r="Q20" i="3"/>
  <c r="T20" i="3" s="1"/>
  <c r="R20" i="3"/>
  <c r="S20" i="3"/>
  <c r="Q21" i="3"/>
  <c r="T21" i="3" s="1"/>
  <c r="R21" i="3"/>
  <c r="S21" i="3"/>
  <c r="Q22" i="3"/>
  <c r="T22" i="3" s="1"/>
  <c r="R22" i="3"/>
  <c r="S22" i="3"/>
  <c r="Q23" i="3"/>
  <c r="T23" i="3" s="1"/>
  <c r="R23" i="3"/>
  <c r="S23" i="3"/>
  <c r="Q24" i="3"/>
  <c r="T24" i="3" s="1"/>
  <c r="R24" i="3"/>
  <c r="S24" i="3"/>
  <c r="Q25" i="3"/>
  <c r="T25" i="3" s="1"/>
  <c r="R25" i="3"/>
  <c r="S25" i="3"/>
  <c r="Q26" i="3"/>
  <c r="T26" i="3" s="1"/>
  <c r="R26" i="3"/>
  <c r="S26" i="3"/>
  <c r="Q27" i="3"/>
  <c r="T27" i="3" s="1"/>
  <c r="R27" i="3"/>
  <c r="S27" i="3"/>
  <c r="Q28" i="3"/>
  <c r="T28" i="3" s="1"/>
  <c r="R28" i="3"/>
  <c r="S28" i="3"/>
  <c r="Q29" i="3"/>
  <c r="T29" i="3" s="1"/>
  <c r="R29" i="3"/>
  <c r="S29" i="3"/>
  <c r="Q30" i="3"/>
  <c r="T30" i="3" s="1"/>
  <c r="R30" i="3"/>
  <c r="S30" i="3"/>
  <c r="Q31" i="3"/>
  <c r="T31" i="3" s="1"/>
  <c r="R31" i="3"/>
  <c r="S31" i="3"/>
  <c r="Q32" i="3"/>
  <c r="T32" i="3" s="1"/>
  <c r="R32" i="3"/>
  <c r="S32" i="3"/>
  <c r="Q33" i="3"/>
  <c r="T33" i="3" s="1"/>
  <c r="R33" i="3"/>
  <c r="S33" i="3"/>
  <c r="Q34" i="3"/>
  <c r="T34" i="3" s="1"/>
  <c r="R34" i="3"/>
  <c r="S34" i="3"/>
  <c r="Q35" i="3"/>
  <c r="T35" i="3" s="1"/>
  <c r="R35" i="3"/>
  <c r="S35" i="3"/>
  <c r="Q36" i="3"/>
  <c r="T36" i="3" s="1"/>
  <c r="R36" i="3"/>
  <c r="S36" i="3"/>
  <c r="Q37" i="3"/>
  <c r="T37" i="3" s="1"/>
  <c r="R37" i="3"/>
  <c r="S37" i="3"/>
  <c r="Q38" i="3"/>
  <c r="T38" i="3" s="1"/>
  <c r="R38" i="3"/>
  <c r="S38" i="3"/>
  <c r="Q39" i="3"/>
  <c r="T39" i="3" s="1"/>
  <c r="R39" i="3"/>
  <c r="S39" i="3"/>
  <c r="Q40" i="3"/>
  <c r="T40" i="3" s="1"/>
  <c r="R40" i="3"/>
  <c r="S40" i="3"/>
  <c r="Q41" i="3"/>
  <c r="T41" i="3" s="1"/>
  <c r="R41" i="3"/>
  <c r="S41" i="3"/>
  <c r="Q42" i="3"/>
  <c r="T42" i="3" s="1"/>
  <c r="R42" i="3"/>
  <c r="S42" i="3"/>
  <c r="Q43" i="3"/>
  <c r="T43" i="3" s="1"/>
  <c r="R43" i="3"/>
  <c r="S43" i="3"/>
  <c r="Q44" i="3"/>
  <c r="T44" i="3" s="1"/>
  <c r="R44" i="3"/>
  <c r="S44" i="3"/>
  <c r="Q45" i="3"/>
  <c r="T45" i="3" s="1"/>
  <c r="R45" i="3"/>
  <c r="S45" i="3"/>
  <c r="Q46" i="3"/>
  <c r="T46" i="3" s="1"/>
  <c r="R46" i="3"/>
  <c r="S46" i="3"/>
  <c r="Q47" i="3"/>
  <c r="T47" i="3" s="1"/>
  <c r="R47" i="3"/>
  <c r="S47" i="3"/>
  <c r="Q48" i="3"/>
  <c r="T48" i="3" s="1"/>
  <c r="R48" i="3"/>
  <c r="S48" i="3"/>
  <c r="Q49" i="3"/>
  <c r="T49" i="3" s="1"/>
  <c r="R49" i="3"/>
  <c r="S49" i="3"/>
  <c r="Q50" i="3"/>
  <c r="T50" i="3" s="1"/>
  <c r="R50" i="3"/>
  <c r="S50" i="3"/>
  <c r="Q51" i="3"/>
  <c r="T51" i="3" s="1"/>
  <c r="R51" i="3"/>
  <c r="S51" i="3"/>
  <c r="Q52" i="3"/>
  <c r="T52" i="3" s="1"/>
  <c r="R52" i="3"/>
  <c r="S52" i="3"/>
  <c r="G51" i="1"/>
  <c r="AF11" i="3" l="1"/>
  <c r="AG13" i="3" s="1"/>
  <c r="AF10" i="3"/>
  <c r="AF12" i="3"/>
  <c r="AH10" i="3" l="1"/>
  <c r="AG11" i="3" s="1"/>
  <c r="AH11" i="3" s="1"/>
  <c r="AI11" i="3" s="1"/>
  <c r="AJ11" i="3" s="1"/>
  <c r="D53" i="3" l="1"/>
  <c r="C4" i="3" a="1"/>
  <c r="C4" i="3" s="1"/>
  <c r="B4" i="3" a="1"/>
  <c r="B4" i="3" s="1"/>
  <c r="N4" i="3" s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O27" i="1" s="1"/>
  <c r="N26" i="1"/>
  <c r="N25" i="1"/>
  <c r="N24" i="1"/>
  <c r="N23" i="1"/>
  <c r="N22" i="1"/>
  <c r="N21" i="1"/>
  <c r="N20" i="1"/>
  <c r="N19" i="1"/>
  <c r="O19" i="1" s="1"/>
  <c r="N18" i="1"/>
  <c r="N17" i="1"/>
  <c r="N16" i="1"/>
  <c r="N15" i="1"/>
  <c r="N14" i="1"/>
  <c r="N13" i="1"/>
  <c r="N12" i="1"/>
  <c r="N11" i="1"/>
  <c r="O11" i="1" s="1"/>
  <c r="N10" i="1"/>
  <c r="N9" i="1"/>
  <c r="N8" i="1"/>
  <c r="N7" i="1"/>
  <c r="N6" i="1"/>
  <c r="N5" i="1"/>
  <c r="N4" i="1"/>
  <c r="S3" i="1"/>
  <c r="T3" i="1" s="1"/>
  <c r="N3" i="1"/>
  <c r="N2" i="1"/>
  <c r="C55" i="1"/>
  <c r="N32" i="3" l="1"/>
  <c r="N5" i="3"/>
  <c r="N8" i="3"/>
  <c r="N40" i="3"/>
  <c r="O48" i="1"/>
  <c r="Q48" i="1" s="1"/>
  <c r="N10" i="3"/>
  <c r="O2" i="1"/>
  <c r="N15" i="3"/>
  <c r="N44" i="3"/>
  <c r="N36" i="3"/>
  <c r="O3" i="1"/>
  <c r="O50" i="1"/>
  <c r="N20" i="3"/>
  <c r="N48" i="3"/>
  <c r="N52" i="3"/>
  <c r="N22" i="3"/>
  <c r="N25" i="3"/>
  <c r="N28" i="3"/>
  <c r="O28" i="1"/>
  <c r="O13" i="1"/>
  <c r="O21" i="1"/>
  <c r="P21" i="1" s="1"/>
  <c r="O29" i="1"/>
  <c r="O37" i="1"/>
  <c r="Q37" i="1" s="1"/>
  <c r="O45" i="1"/>
  <c r="P45" i="1" s="1"/>
  <c r="O36" i="1"/>
  <c r="O6" i="1"/>
  <c r="O14" i="1"/>
  <c r="O22" i="1"/>
  <c r="O30" i="1"/>
  <c r="O38" i="1"/>
  <c r="O46" i="1"/>
  <c r="P46" i="1" s="1"/>
  <c r="O43" i="1"/>
  <c r="O44" i="1"/>
  <c r="O7" i="1"/>
  <c r="O15" i="1"/>
  <c r="O23" i="1"/>
  <c r="O31" i="1"/>
  <c r="P31" i="1" s="1"/>
  <c r="O39" i="1"/>
  <c r="P39" i="1" s="1"/>
  <c r="O47" i="1"/>
  <c r="P47" i="1" s="1"/>
  <c r="O35" i="1"/>
  <c r="Q35" i="1" s="1"/>
  <c r="O12" i="1"/>
  <c r="P12" i="1" s="1"/>
  <c r="O8" i="1"/>
  <c r="Q8" i="1" s="1"/>
  <c r="O16" i="1"/>
  <c r="O24" i="1"/>
  <c r="O32" i="1"/>
  <c r="O40" i="1"/>
  <c r="P40" i="1" s="1"/>
  <c r="O5" i="1"/>
  <c r="O4" i="1"/>
  <c r="Q4" i="1" s="1"/>
  <c r="O9" i="1"/>
  <c r="Q9" i="1" s="1"/>
  <c r="O17" i="1"/>
  <c r="O25" i="1"/>
  <c r="O33" i="1"/>
  <c r="O41" i="1"/>
  <c r="O20" i="1"/>
  <c r="P20" i="1" s="1"/>
  <c r="S4" i="1"/>
  <c r="O10" i="1"/>
  <c r="O18" i="1"/>
  <c r="O26" i="1"/>
  <c r="O34" i="1"/>
  <c r="P34" i="1" s="1"/>
  <c r="O42" i="1"/>
  <c r="O49" i="1"/>
  <c r="Q49" i="1" s="1"/>
  <c r="N13" i="3"/>
  <c r="N16" i="3"/>
  <c r="N18" i="3"/>
  <c r="N23" i="3"/>
  <c r="N29" i="3"/>
  <c r="N33" i="3"/>
  <c r="N37" i="3"/>
  <c r="N41" i="3"/>
  <c r="N45" i="3"/>
  <c r="N49" i="3"/>
  <c r="N6" i="3"/>
  <c r="N11" i="3"/>
  <c r="N21" i="3"/>
  <c r="N9" i="3"/>
  <c r="N24" i="3"/>
  <c r="N26" i="3"/>
  <c r="N30" i="3"/>
  <c r="N34" i="3"/>
  <c r="N38" i="3"/>
  <c r="N42" i="3"/>
  <c r="N46" i="3"/>
  <c r="N50" i="3"/>
  <c r="N12" i="3"/>
  <c r="N14" i="3"/>
  <c r="N19" i="3"/>
  <c r="N7" i="3"/>
  <c r="N17" i="3"/>
  <c r="N27" i="3"/>
  <c r="N31" i="3"/>
  <c r="N35" i="3"/>
  <c r="N39" i="3"/>
  <c r="N43" i="3"/>
  <c r="N47" i="3"/>
  <c r="N51" i="3"/>
  <c r="Q38" i="1"/>
  <c r="P38" i="1"/>
  <c r="Q36" i="1"/>
  <c r="P36" i="1"/>
  <c r="Q6" i="1"/>
  <c r="P6" i="1"/>
  <c r="P22" i="1"/>
  <c r="Q10" i="1"/>
  <c r="P10" i="1"/>
  <c r="P29" i="1"/>
  <c r="Q11" i="1"/>
  <c r="P11" i="1"/>
  <c r="Q14" i="1"/>
  <c r="P14" i="1"/>
  <c r="Q17" i="1"/>
  <c r="P17" i="1"/>
  <c r="P27" i="1"/>
  <c r="P30" i="1"/>
  <c r="P33" i="1"/>
  <c r="P43" i="1"/>
  <c r="Q7" i="1"/>
  <c r="P7" i="1"/>
  <c r="P23" i="1"/>
  <c r="P42" i="1"/>
  <c r="Q5" i="1"/>
  <c r="P5" i="1"/>
  <c r="P24" i="1"/>
  <c r="P25" i="1"/>
  <c r="Q16" i="1"/>
  <c r="P16" i="1"/>
  <c r="Q15" i="1"/>
  <c r="P15" i="1"/>
  <c r="Q18" i="1"/>
  <c r="Q19" i="1" s="1"/>
  <c r="P18" i="1"/>
  <c r="P37" i="1"/>
  <c r="P50" i="1"/>
  <c r="Q50" i="1"/>
  <c r="P19" i="1"/>
  <c r="P41" i="1"/>
  <c r="P32" i="1"/>
  <c r="Q13" i="1"/>
  <c r="P13" i="1"/>
  <c r="P26" i="1"/>
  <c r="P28" i="1"/>
  <c r="P44" i="1"/>
  <c r="P48" i="1"/>
  <c r="Q2" i="1"/>
  <c r="P2" i="1"/>
  <c r="P3" i="1"/>
  <c r="Q3" i="1"/>
  <c r="T2" i="1"/>
  <c r="P35" i="1" l="1"/>
  <c r="Q12" i="1"/>
  <c r="P4" i="1"/>
  <c r="P9" i="1"/>
  <c r="P8" i="1"/>
  <c r="Q39" i="1"/>
  <c r="Q40" i="1" s="1"/>
  <c r="Q41" i="1" s="1"/>
  <c r="Q42" i="1" s="1"/>
  <c r="Q43" i="1" s="1"/>
  <c r="Q44" i="1" s="1"/>
  <c r="Q45" i="1" s="1"/>
  <c r="Q46" i="1" s="1"/>
  <c r="Q47" i="1" s="1"/>
  <c r="P49" i="1"/>
  <c r="Q20" i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T4" i="1"/>
  <c r="S5" i="1"/>
  <c r="E4" i="3" l="1" a="1"/>
  <c r="E4" i="3" s="1"/>
  <c r="T5" i="1"/>
  <c r="S6" i="1"/>
  <c r="S7" i="1" l="1"/>
  <c r="T6" i="1"/>
  <c r="T7" i="1" l="1"/>
  <c r="S8" i="1"/>
  <c r="T8" i="1" l="1"/>
  <c r="S9" i="1"/>
  <c r="T9" i="1" l="1"/>
  <c r="S10" i="1"/>
  <c r="T10" i="1" l="1"/>
  <c r="S11" i="1"/>
  <c r="T11" i="1" l="1"/>
  <c r="S12" i="1"/>
  <c r="T12" i="1" l="1"/>
  <c r="S13" i="1"/>
  <c r="T13" i="1" l="1"/>
  <c r="S14" i="1"/>
  <c r="S15" i="1" l="1"/>
  <c r="T14" i="1"/>
  <c r="S16" i="1" l="1"/>
  <c r="T15" i="1"/>
  <c r="S17" i="1" l="1"/>
  <c r="T16" i="1"/>
  <c r="T17" i="1" l="1"/>
  <c r="S18" i="1"/>
  <c r="T18" i="1" l="1"/>
  <c r="S19" i="1"/>
  <c r="T19" i="1" l="1"/>
  <c r="S20" i="1"/>
  <c r="S21" i="1" l="1"/>
  <c r="T20" i="1"/>
  <c r="S22" i="1" l="1"/>
  <c r="T21" i="1"/>
  <c r="T22" i="1" l="1"/>
  <c r="S23" i="1"/>
  <c r="T23" i="1" l="1"/>
  <c r="S24" i="1"/>
  <c r="S25" i="1" l="1"/>
  <c r="T24" i="1"/>
  <c r="T25" i="1" l="1"/>
  <c r="S26" i="1"/>
  <c r="T26" i="1" l="1"/>
  <c r="S27" i="1"/>
  <c r="T27" i="1" l="1"/>
  <c r="S28" i="1"/>
  <c r="S29" i="1" l="1"/>
  <c r="T28" i="1"/>
  <c r="T29" i="1" l="1"/>
  <c r="S30" i="1"/>
  <c r="T30" i="1" l="1"/>
  <c r="S31" i="1"/>
  <c r="S32" i="1" l="1"/>
  <c r="T31" i="1"/>
  <c r="S33" i="1" l="1"/>
  <c r="T32" i="1"/>
  <c r="S34" i="1" l="1"/>
  <c r="T33" i="1"/>
  <c r="S35" i="1" l="1"/>
  <c r="T34" i="1"/>
  <c r="T35" i="1" l="1"/>
  <c r="S36" i="1"/>
  <c r="T36" i="1" l="1"/>
  <c r="S37" i="1"/>
  <c r="T37" i="1" l="1"/>
  <c r="S38" i="1"/>
  <c r="T38" i="1" l="1"/>
  <c r="S39" i="1"/>
  <c r="T39" i="1" l="1"/>
  <c r="S40" i="1"/>
  <c r="T40" i="1" l="1"/>
  <c r="S41" i="1"/>
  <c r="T41" i="1" l="1"/>
  <c r="S42" i="1"/>
  <c r="T42" i="1" l="1"/>
  <c r="S43" i="1"/>
  <c r="T43" i="1" l="1"/>
  <c r="S44" i="1"/>
  <c r="T44" i="1" l="1"/>
  <c r="S45" i="1"/>
  <c r="T45" i="1" l="1"/>
  <c r="S46" i="1"/>
  <c r="T46" i="1" l="1"/>
  <c r="S47" i="1"/>
  <c r="T47" i="1" l="1"/>
  <c r="S48" i="1"/>
  <c r="S49" i="1" l="1"/>
  <c r="T48" i="1"/>
  <c r="T49" i="1" l="1"/>
  <c r="S50" i="1"/>
  <c r="T50" i="1" s="1"/>
  <c r="D4" i="3" l="1" a="1"/>
  <c r="D4" i="3" l="1"/>
  <c r="G51" i="3"/>
  <c r="H45" i="3"/>
  <c r="G43" i="3"/>
  <c r="H37" i="3"/>
  <c r="G35" i="3"/>
  <c r="H29" i="3"/>
  <c r="G27" i="3"/>
  <c r="H21" i="3"/>
  <c r="G19" i="3"/>
  <c r="H13" i="3"/>
  <c r="G11" i="3"/>
  <c r="H5" i="3"/>
  <c r="H50" i="3"/>
  <c r="G48" i="3"/>
  <c r="H42" i="3"/>
  <c r="G40" i="3"/>
  <c r="H34" i="3"/>
  <c r="G32" i="3"/>
  <c r="H26" i="3"/>
  <c r="G24" i="3"/>
  <c r="H18" i="3"/>
  <c r="G16" i="3"/>
  <c r="H10" i="3"/>
  <c r="G8" i="3"/>
  <c r="H47" i="3"/>
  <c r="G45" i="3"/>
  <c r="H39" i="3"/>
  <c r="G37" i="3"/>
  <c r="H31" i="3"/>
  <c r="G29" i="3"/>
  <c r="H23" i="3"/>
  <c r="G21" i="3"/>
  <c r="H15" i="3"/>
  <c r="G13" i="3"/>
  <c r="H7" i="3"/>
  <c r="G5" i="3"/>
  <c r="H52" i="3"/>
  <c r="G50" i="3"/>
  <c r="H44" i="3"/>
  <c r="G42" i="3"/>
  <c r="H36" i="3"/>
  <c r="G34" i="3"/>
  <c r="H28" i="3"/>
  <c r="G26" i="3"/>
  <c r="H20" i="3"/>
  <c r="G18" i="3"/>
  <c r="H12" i="3"/>
  <c r="G10" i="3"/>
  <c r="H49" i="3"/>
  <c r="G47" i="3"/>
  <c r="H41" i="3"/>
  <c r="G39" i="3"/>
  <c r="H33" i="3"/>
  <c r="G31" i="3"/>
  <c r="H25" i="3"/>
  <c r="G23" i="3"/>
  <c r="H17" i="3"/>
  <c r="G15" i="3"/>
  <c r="H9" i="3"/>
  <c r="G7" i="3"/>
  <c r="G52" i="3"/>
  <c r="H46" i="3"/>
  <c r="G44" i="3"/>
  <c r="H38" i="3"/>
  <c r="G36" i="3"/>
  <c r="H30" i="3"/>
  <c r="G28" i="3"/>
  <c r="H22" i="3"/>
  <c r="G20" i="3"/>
  <c r="H14" i="3"/>
  <c r="G12" i="3"/>
  <c r="H6" i="3"/>
  <c r="G49" i="3"/>
  <c r="H27" i="3"/>
  <c r="G17" i="3"/>
  <c r="H48" i="3"/>
  <c r="G38" i="3"/>
  <c r="H16" i="3"/>
  <c r="G6" i="3"/>
  <c r="H35" i="3"/>
  <c r="G25" i="3"/>
  <c r="G46" i="3"/>
  <c r="H24" i="3"/>
  <c r="G14" i="3"/>
  <c r="H43" i="3"/>
  <c r="G33" i="3"/>
  <c r="H11" i="3"/>
  <c r="H32" i="3"/>
  <c r="G22" i="3"/>
  <c r="H19" i="3"/>
  <c r="H51" i="3"/>
  <c r="G9" i="3"/>
  <c r="H8" i="3"/>
  <c r="G30" i="3"/>
  <c r="G41" i="3"/>
  <c r="H40" i="3"/>
  <c r="Y6" i="3" l="1"/>
  <c r="X6" i="3"/>
  <c r="J23" i="3"/>
  <c r="K23" i="3"/>
  <c r="M23" i="3" s="1"/>
  <c r="O23" i="3" s="1"/>
  <c r="Z24" i="3"/>
  <c r="L24" i="3"/>
  <c r="K18" i="3"/>
  <c r="J18" i="3"/>
  <c r="L19" i="3"/>
  <c r="Z19" i="3"/>
  <c r="X31" i="3"/>
  <c r="Y31" i="3"/>
  <c r="Y21" i="3"/>
  <c r="X21" i="3"/>
  <c r="J9" i="3"/>
  <c r="L10" i="3"/>
  <c r="Z10" i="3"/>
  <c r="K9" i="3"/>
  <c r="J46" i="3"/>
  <c r="K46" i="3"/>
  <c r="Z47" i="3"/>
  <c r="L47" i="3"/>
  <c r="J38" i="3"/>
  <c r="K38" i="3"/>
  <c r="L39" i="3"/>
  <c r="Z39" i="3"/>
  <c r="X30" i="3"/>
  <c r="Y30" i="3"/>
  <c r="J52" i="3"/>
  <c r="K52" i="3"/>
  <c r="X25" i="3"/>
  <c r="Y25" i="3"/>
  <c r="J47" i="3"/>
  <c r="M47" i="3" s="1"/>
  <c r="O47" i="3" s="1"/>
  <c r="L48" i="3"/>
  <c r="K47" i="3"/>
  <c r="Z48" i="3"/>
  <c r="X20" i="3"/>
  <c r="Y20" i="3"/>
  <c r="J42" i="3"/>
  <c r="Z43" i="3"/>
  <c r="L43" i="3"/>
  <c r="K42" i="3"/>
  <c r="J13" i="3"/>
  <c r="K13" i="3"/>
  <c r="Z14" i="3"/>
  <c r="L14" i="3"/>
  <c r="J8" i="3"/>
  <c r="L9" i="3"/>
  <c r="Z9" i="3"/>
  <c r="K8" i="3"/>
  <c r="X50" i="3"/>
  <c r="Y50" i="3"/>
  <c r="X45" i="3"/>
  <c r="Y45" i="3"/>
  <c r="X46" i="3"/>
  <c r="Y46" i="3"/>
  <c r="J19" i="3"/>
  <c r="Z20" i="3"/>
  <c r="K19" i="3"/>
  <c r="L20" i="3"/>
  <c r="X48" i="3"/>
  <c r="Y48" i="3"/>
  <c r="X49" i="3"/>
  <c r="Y49" i="3"/>
  <c r="X44" i="3"/>
  <c r="Y44" i="3"/>
  <c r="X15" i="3"/>
  <c r="Y15" i="3"/>
  <c r="K37" i="3"/>
  <c r="J37" i="3"/>
  <c r="Z38" i="3"/>
  <c r="L38" i="3"/>
  <c r="X10" i="3"/>
  <c r="Y10" i="3"/>
  <c r="J32" i="3"/>
  <c r="Z33" i="3"/>
  <c r="L33" i="3"/>
  <c r="K32" i="3"/>
  <c r="J27" i="3"/>
  <c r="L28" i="3"/>
  <c r="K27" i="3"/>
  <c r="Z28" i="3"/>
  <c r="X16" i="3"/>
  <c r="Y16" i="3"/>
  <c r="X32" i="3"/>
  <c r="Y32" i="3"/>
  <c r="J28" i="3"/>
  <c r="Z29" i="3"/>
  <c r="L29" i="3"/>
  <c r="K28" i="3"/>
  <c r="J48" i="3"/>
  <c r="Z49" i="3"/>
  <c r="L49" i="3"/>
  <c r="K48" i="3"/>
  <c r="X51" i="3"/>
  <c r="Y51" i="3"/>
  <c r="J31" i="3"/>
  <c r="L32" i="3"/>
  <c r="K31" i="3"/>
  <c r="Z32" i="3"/>
  <c r="X39" i="3"/>
  <c r="Y39" i="3"/>
  <c r="X34" i="3"/>
  <c r="Y34" i="3"/>
  <c r="X29" i="3"/>
  <c r="Y29" i="3"/>
  <c r="J51" i="3"/>
  <c r="L52" i="3"/>
  <c r="K51" i="3"/>
  <c r="Z52" i="3"/>
  <c r="X8" i="3"/>
  <c r="Y8" i="3"/>
  <c r="K29" i="3"/>
  <c r="J29" i="3"/>
  <c r="Z30" i="3"/>
  <c r="L30" i="3"/>
  <c r="X14" i="3"/>
  <c r="Y14" i="3"/>
  <c r="X40" i="3"/>
  <c r="Y40" i="3"/>
  <c r="X35" i="3"/>
  <c r="Y35" i="3"/>
  <c r="X33" i="3"/>
  <c r="Y33" i="3"/>
  <c r="X28" i="3"/>
  <c r="Y28" i="3"/>
  <c r="J50" i="3"/>
  <c r="L51" i="3"/>
  <c r="Z51" i="3"/>
  <c r="K50" i="3"/>
  <c r="J21" i="3"/>
  <c r="L22" i="3"/>
  <c r="K21" i="3"/>
  <c r="Z22" i="3"/>
  <c r="J16" i="3"/>
  <c r="K16" i="3"/>
  <c r="Z17" i="3"/>
  <c r="L17" i="3"/>
  <c r="K11" i="3"/>
  <c r="J11" i="3"/>
  <c r="M11" i="3" s="1"/>
  <c r="O11" i="3" s="1"/>
  <c r="Z12" i="3"/>
  <c r="L12" i="3"/>
  <c r="H4" i="3"/>
  <c r="G4" i="3"/>
  <c r="X24" i="3"/>
  <c r="Y24" i="3"/>
  <c r="K49" i="3"/>
  <c r="J49" i="3"/>
  <c r="L50" i="3"/>
  <c r="Z50" i="3"/>
  <c r="X41" i="3"/>
  <c r="Y41" i="3"/>
  <c r="X36" i="3"/>
  <c r="Y36" i="3"/>
  <c r="X7" i="3"/>
  <c r="Y7" i="3"/>
  <c r="J43" i="3"/>
  <c r="L44" i="3"/>
  <c r="K43" i="3"/>
  <c r="Z44" i="3"/>
  <c r="Y11" i="3"/>
  <c r="X11" i="3"/>
  <c r="J7" i="3"/>
  <c r="Z8" i="3"/>
  <c r="L8" i="3"/>
  <c r="K7" i="3"/>
  <c r="J25" i="3"/>
  <c r="L26" i="3"/>
  <c r="K25" i="3"/>
  <c r="Z26" i="3"/>
  <c r="J36" i="3"/>
  <c r="Z37" i="3"/>
  <c r="K36" i="3"/>
  <c r="L37" i="3"/>
  <c r="K33" i="3"/>
  <c r="J33" i="3"/>
  <c r="L34" i="3"/>
  <c r="Z34" i="3"/>
  <c r="J17" i="3"/>
  <c r="Z18" i="3"/>
  <c r="L18" i="3"/>
  <c r="K17" i="3"/>
  <c r="X38" i="3"/>
  <c r="Y38" i="3"/>
  <c r="K41" i="3"/>
  <c r="J41" i="3"/>
  <c r="L42" i="3"/>
  <c r="Z42" i="3"/>
  <c r="X19" i="3"/>
  <c r="Y19" i="3"/>
  <c r="X43" i="3"/>
  <c r="Y43" i="3"/>
  <c r="X27" i="3"/>
  <c r="Y27" i="3"/>
  <c r="J20" i="3"/>
  <c r="K20" i="3"/>
  <c r="Z21" i="3"/>
  <c r="L21" i="3"/>
  <c r="J15" i="3"/>
  <c r="Z16" i="3"/>
  <c r="K15" i="3"/>
  <c r="L16" i="3"/>
  <c r="J10" i="3"/>
  <c r="K10" i="3"/>
  <c r="L11" i="3"/>
  <c r="Z11" i="3"/>
  <c r="X52" i="3"/>
  <c r="Y52" i="3"/>
  <c r="X23" i="3"/>
  <c r="Y23" i="3"/>
  <c r="K45" i="3"/>
  <c r="J45" i="3"/>
  <c r="Z46" i="3"/>
  <c r="L46" i="3"/>
  <c r="X18" i="3"/>
  <c r="Y18" i="3"/>
  <c r="J40" i="3"/>
  <c r="Z41" i="3"/>
  <c r="L41" i="3"/>
  <c r="K40" i="3"/>
  <c r="X13" i="3"/>
  <c r="Y13" i="3"/>
  <c r="J35" i="3"/>
  <c r="L36" i="3"/>
  <c r="K35" i="3"/>
  <c r="Z36" i="3"/>
  <c r="J22" i="3"/>
  <c r="Z23" i="3"/>
  <c r="L23" i="3"/>
  <c r="K22" i="3"/>
  <c r="J24" i="3"/>
  <c r="L25" i="3"/>
  <c r="K24" i="3"/>
  <c r="Z25" i="3"/>
  <c r="X26" i="3"/>
  <c r="Y26" i="3"/>
  <c r="J12" i="3"/>
  <c r="Z13" i="3"/>
  <c r="L13" i="3"/>
  <c r="K12" i="3"/>
  <c r="X9" i="3"/>
  <c r="Y9" i="3"/>
  <c r="J26" i="3"/>
  <c r="Z27" i="3"/>
  <c r="L27" i="3"/>
  <c r="K26" i="3"/>
  <c r="J30" i="3"/>
  <c r="K30" i="3"/>
  <c r="L31" i="3"/>
  <c r="Z31" i="3"/>
  <c r="J14" i="3"/>
  <c r="K14" i="3"/>
  <c r="L15" i="3"/>
  <c r="Z15" i="3"/>
  <c r="J6" i="3"/>
  <c r="L7" i="3"/>
  <c r="Z7" i="3"/>
  <c r="K6" i="3"/>
  <c r="X22" i="3"/>
  <c r="Y22" i="3"/>
  <c r="J44" i="3"/>
  <c r="Z45" i="3"/>
  <c r="L45" i="3"/>
  <c r="K44" i="3"/>
  <c r="X17" i="3"/>
  <c r="Y17" i="3"/>
  <c r="J39" i="3"/>
  <c r="L40" i="3"/>
  <c r="K39" i="3"/>
  <c r="Z40" i="3"/>
  <c r="X12" i="3"/>
  <c r="Y12" i="3"/>
  <c r="J34" i="3"/>
  <c r="Z35" i="3"/>
  <c r="K34" i="3"/>
  <c r="L35" i="3"/>
  <c r="L6" i="3"/>
  <c r="K5" i="3"/>
  <c r="Z6" i="3"/>
  <c r="X47" i="3"/>
  <c r="Y47" i="3"/>
  <c r="X42" i="3"/>
  <c r="Y42" i="3"/>
  <c r="X37" i="3"/>
  <c r="Y37" i="3"/>
  <c r="AA21" i="3" l="1"/>
  <c r="AB21" i="3" s="1"/>
  <c r="M24" i="3"/>
  <c r="O24" i="3" s="1"/>
  <c r="J5" i="3"/>
  <c r="U48" i="3"/>
  <c r="U16" i="3"/>
  <c r="AA17" i="3"/>
  <c r="AB17" i="3" s="1"/>
  <c r="AC17" i="3" s="1"/>
  <c r="Y5" i="3"/>
  <c r="T4" i="3"/>
  <c r="Q4" i="3"/>
  <c r="S4" i="3"/>
  <c r="R4" i="3"/>
  <c r="M12" i="3"/>
  <c r="O12" i="3" s="1"/>
  <c r="M19" i="3"/>
  <c r="O19" i="3" s="1"/>
  <c r="M42" i="3"/>
  <c r="O42" i="3" s="1"/>
  <c r="M45" i="3"/>
  <c r="O45" i="3" s="1"/>
  <c r="M15" i="3"/>
  <c r="O15" i="3" s="1"/>
  <c r="M44" i="3"/>
  <c r="O44" i="3" s="1"/>
  <c r="M7" i="3"/>
  <c r="O7" i="3" s="1"/>
  <c r="M48" i="3"/>
  <c r="O48" i="3" s="1"/>
  <c r="M35" i="3"/>
  <c r="O35" i="3" s="1"/>
  <c r="M43" i="3"/>
  <c r="O43" i="3" s="1"/>
  <c r="AA13" i="3"/>
  <c r="AB13" i="3" s="1"/>
  <c r="U20" i="3"/>
  <c r="U24" i="3"/>
  <c r="V24" i="3" s="1"/>
  <c r="U12" i="3"/>
  <c r="U26" i="3"/>
  <c r="U38" i="3"/>
  <c r="AA24" i="3"/>
  <c r="AB24" i="3" s="1"/>
  <c r="AC24" i="3" s="1"/>
  <c r="U29" i="3"/>
  <c r="AA46" i="3"/>
  <c r="AB46" i="3" s="1"/>
  <c r="U32" i="3"/>
  <c r="U49" i="3"/>
  <c r="U8" i="3"/>
  <c r="AA22" i="3"/>
  <c r="AB22" i="3" s="1"/>
  <c r="U21" i="3"/>
  <c r="AA12" i="3"/>
  <c r="AB12" i="3" s="1"/>
  <c r="AC12" i="3" s="1"/>
  <c r="U27" i="3"/>
  <c r="U33" i="3"/>
  <c r="AA48" i="3"/>
  <c r="AB48" i="3" s="1"/>
  <c r="AA25" i="3"/>
  <c r="AB25" i="3" s="1"/>
  <c r="AA9" i="3"/>
  <c r="AB9" i="3" s="1"/>
  <c r="AA19" i="3"/>
  <c r="AB19" i="3" s="1"/>
  <c r="U52" i="3"/>
  <c r="U50" i="3"/>
  <c r="AA33" i="3"/>
  <c r="AB33" i="3" s="1"/>
  <c r="AA39" i="3"/>
  <c r="AB39" i="3" s="1"/>
  <c r="AA44" i="3"/>
  <c r="AB44" i="3" s="1"/>
  <c r="AC44" i="3" s="1"/>
  <c r="U6" i="3"/>
  <c r="U22" i="3"/>
  <c r="U46" i="3"/>
  <c r="M16" i="3"/>
  <c r="O16" i="3" s="1"/>
  <c r="AA34" i="3"/>
  <c r="AB34" i="3" s="1"/>
  <c r="U9" i="3"/>
  <c r="AA42" i="3"/>
  <c r="AB42" i="3" s="1"/>
  <c r="M34" i="3"/>
  <c r="O34" i="3" s="1"/>
  <c r="M6" i="3"/>
  <c r="O6" i="3" s="1"/>
  <c r="U19" i="3"/>
  <c r="V19" i="3" s="1"/>
  <c r="AA26" i="3"/>
  <c r="AB26" i="3" s="1"/>
  <c r="AA43" i="3"/>
  <c r="AB43" i="3" s="1"/>
  <c r="AC43" i="3" s="1"/>
  <c r="M17" i="3"/>
  <c r="O17" i="3" s="1"/>
  <c r="M36" i="3"/>
  <c r="O36" i="3" s="1"/>
  <c r="U51" i="3"/>
  <c r="U40" i="3"/>
  <c r="U42" i="3"/>
  <c r="M29" i="3"/>
  <c r="O29" i="3" s="1"/>
  <c r="M51" i="3"/>
  <c r="O51" i="3" s="1"/>
  <c r="M31" i="3"/>
  <c r="O31" i="3" s="1"/>
  <c r="M37" i="3"/>
  <c r="O37" i="3" s="1"/>
  <c r="U23" i="3"/>
  <c r="V23" i="3" s="1"/>
  <c r="U44" i="3"/>
  <c r="V44" i="3" s="1"/>
  <c r="M9" i="3"/>
  <c r="O9" i="3" s="1"/>
  <c r="M18" i="3"/>
  <c r="O18" i="3" s="1"/>
  <c r="AA6" i="3"/>
  <c r="AB6" i="3" s="1"/>
  <c r="AC6" i="3" s="1"/>
  <c r="U30" i="3"/>
  <c r="AA40" i="3"/>
  <c r="AB40" i="3" s="1"/>
  <c r="M26" i="3"/>
  <c r="O26" i="3" s="1"/>
  <c r="M40" i="3"/>
  <c r="O40" i="3" s="1"/>
  <c r="U7" i="3"/>
  <c r="V7" i="3" s="1"/>
  <c r="U13" i="3"/>
  <c r="U15" i="3"/>
  <c r="U37" i="3"/>
  <c r="U18" i="3"/>
  <c r="AA29" i="3"/>
  <c r="AB29" i="3" s="1"/>
  <c r="U45" i="3"/>
  <c r="V45" i="3" s="1"/>
  <c r="AA20" i="3"/>
  <c r="AB20" i="3" s="1"/>
  <c r="M46" i="3"/>
  <c r="O46" i="3" s="1"/>
  <c r="U14" i="3"/>
  <c r="AA37" i="3"/>
  <c r="AB37" i="3" s="1"/>
  <c r="AA23" i="3"/>
  <c r="AB23" i="3" s="1"/>
  <c r="AC23" i="3" s="1"/>
  <c r="M20" i="3"/>
  <c r="O20" i="3" s="1"/>
  <c r="AC19" i="3"/>
  <c r="U39" i="3"/>
  <c r="AA41" i="3"/>
  <c r="AB41" i="3" s="1"/>
  <c r="M49" i="3"/>
  <c r="O49" i="3" s="1"/>
  <c r="M50" i="3"/>
  <c r="O50" i="3" s="1"/>
  <c r="U17" i="3"/>
  <c r="U47" i="3"/>
  <c r="V47" i="3" s="1"/>
  <c r="AA49" i="3"/>
  <c r="AB49" i="3" s="1"/>
  <c r="AC49" i="3" s="1"/>
  <c r="M13" i="3"/>
  <c r="O13" i="3" s="1"/>
  <c r="AA31" i="3"/>
  <c r="AB31" i="3" s="1"/>
  <c r="AC31" i="3" s="1"/>
  <c r="U35" i="3"/>
  <c r="U11" i="3"/>
  <c r="V11" i="3" s="1"/>
  <c r="Z4" i="3"/>
  <c r="X4" i="3"/>
  <c r="Y4" i="3"/>
  <c r="AA18" i="3"/>
  <c r="AB18" i="3" s="1"/>
  <c r="M10" i="3"/>
  <c r="O10" i="3" s="1"/>
  <c r="AA38" i="3"/>
  <c r="AB38" i="3" s="1"/>
  <c r="AC38" i="3" s="1"/>
  <c r="AA14" i="3"/>
  <c r="AB14" i="3" s="1"/>
  <c r="U25" i="3"/>
  <c r="M28" i="3"/>
  <c r="O28" i="3" s="1"/>
  <c r="AA16" i="3"/>
  <c r="AB16" i="3" s="1"/>
  <c r="AC16" i="3" s="1"/>
  <c r="M27" i="3"/>
  <c r="O27" i="3" s="1"/>
  <c r="M32" i="3"/>
  <c r="O32" i="3" s="1"/>
  <c r="M8" i="3"/>
  <c r="O8" i="3" s="1"/>
  <c r="V8" i="3" s="1"/>
  <c r="M52" i="3"/>
  <c r="O52" i="3" s="1"/>
  <c r="U43" i="3"/>
  <c r="AA45" i="3"/>
  <c r="AB45" i="3" s="1"/>
  <c r="AC45" i="3" s="1"/>
  <c r="AA36" i="3"/>
  <c r="AB36" i="3" s="1"/>
  <c r="AA47" i="3"/>
  <c r="AB47" i="3" s="1"/>
  <c r="AC47" i="3" s="1"/>
  <c r="M30" i="3"/>
  <c r="O30" i="3" s="1"/>
  <c r="M22" i="3"/>
  <c r="O22" i="3" s="1"/>
  <c r="V22" i="3" s="1"/>
  <c r="AA52" i="3"/>
  <c r="AB52" i="3" s="1"/>
  <c r="U36" i="3"/>
  <c r="AA27" i="3"/>
  <c r="AB27" i="3" s="1"/>
  <c r="M33" i="3"/>
  <c r="O33" i="3" s="1"/>
  <c r="AA11" i="3"/>
  <c r="AB11" i="3" s="1"/>
  <c r="AC11" i="3" s="1"/>
  <c r="AA28" i="3"/>
  <c r="AB28" i="3" s="1"/>
  <c r="AA51" i="3"/>
  <c r="AB51" i="3" s="1"/>
  <c r="AC51" i="3" s="1"/>
  <c r="AA15" i="3"/>
  <c r="AB15" i="3" s="1"/>
  <c r="U28" i="3"/>
  <c r="AA50" i="3"/>
  <c r="AB50" i="3" s="1"/>
  <c r="AC50" i="3" s="1"/>
  <c r="M38" i="3"/>
  <c r="O38" i="3" s="1"/>
  <c r="V38" i="3" s="1"/>
  <c r="U10" i="3"/>
  <c r="M39" i="3"/>
  <c r="O39" i="3" s="1"/>
  <c r="M14" i="3"/>
  <c r="O14" i="3" s="1"/>
  <c r="V14" i="3" s="1"/>
  <c r="V12" i="3"/>
  <c r="U31" i="3"/>
  <c r="U41" i="3"/>
  <c r="M41" i="3"/>
  <c r="O41" i="3" s="1"/>
  <c r="M25" i="3"/>
  <c r="O25" i="3" s="1"/>
  <c r="AA7" i="3"/>
  <c r="AB7" i="3" s="1"/>
  <c r="AC7" i="3" s="1"/>
  <c r="L5" i="3"/>
  <c r="M5" i="3" s="1"/>
  <c r="O5" i="3" s="1"/>
  <c r="Z5" i="3"/>
  <c r="K4" i="3"/>
  <c r="J4" i="3"/>
  <c r="L4" i="3"/>
  <c r="M21" i="3"/>
  <c r="O21" i="3" s="1"/>
  <c r="AA35" i="3"/>
  <c r="AB35" i="3" s="1"/>
  <c r="AA8" i="3"/>
  <c r="AB8" i="3" s="1"/>
  <c r="AC8" i="3" s="1"/>
  <c r="AA32" i="3"/>
  <c r="AB32" i="3" s="1"/>
  <c r="X5" i="3"/>
  <c r="AA10" i="3"/>
  <c r="AB10" i="3" s="1"/>
  <c r="U34" i="3"/>
  <c r="AA30" i="3"/>
  <c r="AB30" i="3" s="1"/>
  <c r="V34" i="3" l="1"/>
  <c r="V26" i="3"/>
  <c r="V16" i="3"/>
  <c r="V32" i="3"/>
  <c r="V20" i="3"/>
  <c r="AC42" i="3"/>
  <c r="AC15" i="3"/>
  <c r="AC46" i="3"/>
  <c r="V39" i="3"/>
  <c r="AC36" i="3"/>
  <c r="AC26" i="3"/>
  <c r="V48" i="3"/>
  <c r="V49" i="3"/>
  <c r="V15" i="3"/>
  <c r="V18" i="3"/>
  <c r="V42" i="3"/>
  <c r="AC10" i="3"/>
  <c r="AC27" i="3"/>
  <c r="V43" i="3"/>
  <c r="V35" i="3"/>
  <c r="M4" i="3"/>
  <c r="O4" i="3" s="1"/>
  <c r="AC30" i="3"/>
  <c r="AC28" i="3"/>
  <c r="AA4" i="3"/>
  <c r="AB4" i="3" s="1"/>
  <c r="AC48" i="3"/>
  <c r="AC35" i="3"/>
  <c r="AC29" i="3"/>
  <c r="V9" i="3"/>
  <c r="V30" i="3"/>
  <c r="V27" i="3"/>
  <c r="V21" i="3"/>
  <c r="V29" i="3"/>
  <c r="V6" i="3"/>
  <c r="AA5" i="3"/>
  <c r="AB5" i="3" s="1"/>
  <c r="AC5" i="3" s="1"/>
  <c r="V40" i="3"/>
  <c r="V33" i="3"/>
  <c r="V13" i="3"/>
  <c r="V50" i="3"/>
  <c r="V51" i="3"/>
  <c r="V52" i="3"/>
  <c r="V25" i="3"/>
  <c r="V37" i="3"/>
  <c r="V28" i="3"/>
  <c r="V10" i="3"/>
  <c r="U5" i="3"/>
  <c r="V5" i="3" s="1"/>
  <c r="AC34" i="3"/>
  <c r="AC32" i="3"/>
  <c r="AC52" i="3"/>
  <c r="AC18" i="3"/>
  <c r="AC22" i="3"/>
  <c r="AC33" i="3"/>
  <c r="AC13" i="3"/>
  <c r="AC39" i="3"/>
  <c r="AC14" i="3"/>
  <c r="AC41" i="3"/>
  <c r="V46" i="3"/>
  <c r="AC40" i="3"/>
  <c r="V31" i="3"/>
  <c r="V41" i="3"/>
  <c r="U4" i="3"/>
  <c r="AC20" i="3"/>
  <c r="V36" i="3"/>
  <c r="AC21" i="3"/>
  <c r="V17" i="3"/>
  <c r="AC37" i="3"/>
  <c r="AC9" i="3"/>
  <c r="AC25" i="3"/>
  <c r="AC4" i="3" l="1"/>
  <c r="V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<sst xmlns="http://schemas.openxmlformats.org/spreadsheetml/2006/main" count="167" uniqueCount="152">
  <si>
    <t>Reference File</t>
  </si>
  <si>
    <t>Metadata</t>
  </si>
  <si>
    <t>Timestamp</t>
  </si>
  <si>
    <t>3He (cps)</t>
  </si>
  <si>
    <t>3He (pccSTP)</t>
  </si>
  <si>
    <t>(3) +/-</t>
  </si>
  <si>
    <t>Sensitivity 3He (pccSTP/cps)</t>
  </si>
  <si>
    <t>Heated Time (s)</t>
  </si>
  <si>
    <t>Target Temp (C)</t>
  </si>
  <si>
    <t>Recorded Av Temp (C)</t>
  </si>
  <si>
    <t>He27083.txt</t>
  </si>
  <si>
    <t>CCpTS230630: 487_240.0_200.0 199.98</t>
  </si>
  <si>
    <t>He27088.txt</t>
  </si>
  <si>
    <t>CCpTS230630: 490_60.0_0.0 27.00</t>
  </si>
  <si>
    <t>He27094.txt</t>
  </si>
  <si>
    <t>CCpTS230630: 493_60.0_250.0 249.98</t>
  </si>
  <si>
    <t>He27098.txt</t>
  </si>
  <si>
    <t>CCpTS230630: 496_60.0_260.0 260.01</t>
  </si>
  <si>
    <t>He27103.txt</t>
  </si>
  <si>
    <t>CCpTS230630: 499_60.0_270.0 269.99</t>
  </si>
  <si>
    <t>He27107.txt</t>
  </si>
  <si>
    <t>CCpTS230630: 502_60.0_280.0 279.97</t>
  </si>
  <si>
    <t>He27112.txt</t>
  </si>
  <si>
    <t>CCpTS230630: 505_60.0_290.0 289.99</t>
  </si>
  <si>
    <t>He27114.txt</t>
  </si>
  <si>
    <t>CCpTS230630: 508_60.0_0.0 26.04</t>
  </si>
  <si>
    <t>He27116.txt</t>
  </si>
  <si>
    <t>CCpTS230630: 510_60.0_330.0 329.99</t>
  </si>
  <si>
    <t>He27120.txt</t>
  </si>
  <si>
    <t>CCpTS230630: 514_60.0_360.0 360.0</t>
  </si>
  <si>
    <t>He27123.txt</t>
  </si>
  <si>
    <t>CCpTS230630: 518_60.0_390.0 389.88</t>
  </si>
  <si>
    <t>He27126.txt</t>
  </si>
  <si>
    <t>CCpTS230630: 521_60.0_425.0 424.94</t>
  </si>
  <si>
    <t>He27129.txt</t>
  </si>
  <si>
    <t>CCpTS230630: 524_60.0_415.0 414.96</t>
  </si>
  <si>
    <t>He27132.txt</t>
  </si>
  <si>
    <t>CCpTS230630: 527_60.0_405.0 405.01</t>
  </si>
  <si>
    <t>He27136.txt</t>
  </si>
  <si>
    <t>CCpTS230630: 530_80.0_395.0 395.00</t>
  </si>
  <si>
    <t>He27140.txt</t>
  </si>
  <si>
    <t>CCpTS230630: 534_100.0_385.0 385.01</t>
  </si>
  <si>
    <t>He27143.txt</t>
  </si>
  <si>
    <t>CCpTS230630: 537_120.0_375.0 374.94</t>
  </si>
  <si>
    <t>He27146.txt</t>
  </si>
  <si>
    <t>CCpTS230630: 540_110.0_380.0 380.05</t>
  </si>
  <si>
    <t>He27149.txt</t>
  </si>
  <si>
    <t>CCpTS230630: 543_90.0_390.0 389.98</t>
  </si>
  <si>
    <t>He27150.txt</t>
  </si>
  <si>
    <t>CCpTS230630: 545_70.0_400.0 400.07</t>
  </si>
  <si>
    <t>He27152.txt</t>
  </si>
  <si>
    <t>CCpTS230630: 546_60.0_410.0 409.99</t>
  </si>
  <si>
    <t>He27159.txt</t>
  </si>
  <si>
    <t>CCpTS230630: 552_60.0_22.0 29.11</t>
  </si>
  <si>
    <t>He27166.txt</t>
  </si>
  <si>
    <t>CCpTS230630: 556_60.0_300.0 291.83</t>
  </si>
  <si>
    <t>He27170.txt</t>
  </si>
  <si>
    <t>CCpTS230630: 559_60.0_350.0 345.17</t>
  </si>
  <si>
    <t>He27174.txt</t>
  </si>
  <si>
    <t>CCpTS230630: 562_60.0_375.0 374.99</t>
  </si>
  <si>
    <t>He27179.txt</t>
  </si>
  <si>
    <t>CCpTS230630: 565_60.0_400.0 400.02</t>
  </si>
  <si>
    <t>He27184.txt</t>
  </si>
  <si>
    <t>CCpTS230630: 568_60.0_415.0 415.02</t>
  </si>
  <si>
    <t>He27189.txt</t>
  </si>
  <si>
    <t>CCpTS230630: 571_60.0_430.0 429.92</t>
  </si>
  <si>
    <t>He27193.txt</t>
  </si>
  <si>
    <t>CCpTS230630: 574_60.0_420.0 420.02</t>
  </si>
  <si>
    <t>He27198.txt</t>
  </si>
  <si>
    <t>CCpTS230630: 577_60.0_410.0 410.03</t>
  </si>
  <si>
    <t>He27202.txt</t>
  </si>
  <si>
    <t>CCpTS230630: 580_60.0_400.0 400.06</t>
  </si>
  <si>
    <t>He27207.txt</t>
  </si>
  <si>
    <t>CCpTS230630: 583_80.0_390.0 390.04</t>
  </si>
  <si>
    <t>He27212.txt</t>
  </si>
  <si>
    <t>CCpTS230630: 586_100.0_380.0 380.04</t>
  </si>
  <si>
    <t>He27221.txt</t>
  </si>
  <si>
    <t>CCpTS230630: 590_120.0_370.0 370.03</t>
  </si>
  <si>
    <t>He27229.txt</t>
  </si>
  <si>
    <t>CCpTS230630: 594_140.0_360.0 360.02</t>
  </si>
  <si>
    <t>He27236.txt</t>
  </si>
  <si>
    <t>CCpTS230630: 598_150.0_355.0 355.03</t>
  </si>
  <si>
    <t>He27241.txt</t>
  </si>
  <si>
    <t>CCpTS230630: 601_130.0_365.0 365.02</t>
  </si>
  <si>
    <t>He27245.txt</t>
  </si>
  <si>
    <t>CCpTS230630: 605_110.0_375.0 375.03</t>
  </si>
  <si>
    <t>He27249.txt</t>
  </si>
  <si>
    <t>CCpTS230630: 609_90.0_385.0 385.04</t>
  </si>
  <si>
    <t>He27252.txt</t>
  </si>
  <si>
    <t>CCpTS230630: 612_80.0_395.0 395.04</t>
  </si>
  <si>
    <t>He27256.txt</t>
  </si>
  <si>
    <t>CCpTS230630: 615_70.0_405.0 405.05</t>
  </si>
  <si>
    <t>He27260.txt</t>
  </si>
  <si>
    <t>CCpTS230630: 618_60.0_415.0 415.04</t>
  </si>
  <si>
    <t>He27267.txt</t>
  </si>
  <si>
    <t>CCpTS230630: 623_60.0_460.0 459.99</t>
  </si>
  <si>
    <t>He27272.txt</t>
  </si>
  <si>
    <t>CCpTS230630: 625_60.0_470.0 469.73</t>
  </si>
  <si>
    <t>He27274.txt</t>
  </si>
  <si>
    <t>CCpTS230630: 627_60.0_480.0 465.36</t>
  </si>
  <si>
    <t>He27277.txt</t>
  </si>
  <si>
    <t>CCpTS230630: 629_60.0_490.0 473.50</t>
  </si>
  <si>
    <t>He27282.txt</t>
  </si>
  <si>
    <t>CCpTS230630: 631_60.0_500.0 480.00</t>
  </si>
  <si>
    <t>He27286.txt</t>
  </si>
  <si>
    <t>CCpTS230630: 633_60.0_505.0 491.89</t>
  </si>
  <si>
    <t>He27290.txt</t>
  </si>
  <si>
    <t>CCpTS230630: 636_60.0_495.0 491.05</t>
  </si>
  <si>
    <t>CONSTANTS</t>
  </si>
  <si>
    <t>ID (cm)</t>
  </si>
  <si>
    <t>OD (cm)</t>
  </si>
  <si>
    <t>G (cm^-1)</t>
  </si>
  <si>
    <t>R (cm^3 * atm  * atoms^-1 * K^1)</t>
  </si>
  <si>
    <t>K (atoms/(s*atm*cm))</t>
  </si>
  <si>
    <t>λ = KGRT</t>
  </si>
  <si>
    <t xml:space="preserve">λt </t>
  </si>
  <si>
    <t>nt UB</t>
  </si>
  <si>
    <t>Prev. Cum Yield</t>
  </si>
  <si>
    <t>Cum Yield</t>
  </si>
  <si>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</si>
  <si>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</si>
  <si>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</si>
  <si>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</si>
  <si>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</si>
  <si>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</si>
  <si>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</si>
  <si>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</si>
  <si>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</si>
  <si>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</si>
  <si>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t>Total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</si>
  <si>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</si>
  <si>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Fim</t>
  </si>
  <si>
    <t>FiUP</t>
  </si>
  <si>
    <t>Δln(d/a^2)</t>
  </si>
  <si>
    <t>m</t>
  </si>
  <si>
    <t>LB</t>
  </si>
  <si>
    <t>UB</t>
  </si>
  <si>
    <t>Closure Temperature Calculation</t>
  </si>
  <si>
    <t>Do/a2</t>
  </si>
  <si>
    <r>
      <t>Tc (</t>
    </r>
    <r>
      <rPr>
        <sz val="11"/>
        <color theme="1"/>
        <rFont val="Aptos Narrow"/>
        <family val="2"/>
      </rPr>
      <t>°</t>
    </r>
    <r>
      <rPr>
        <sz val="9.35"/>
        <color theme="1"/>
        <rFont val="Aptos Narrow"/>
        <family val="2"/>
      </rPr>
      <t>C)</t>
    </r>
  </si>
  <si>
    <r>
      <t>2</t>
    </r>
    <r>
      <rPr>
        <sz val="11"/>
        <color theme="1"/>
        <rFont val="Aptos Narrow"/>
        <family val="2"/>
      </rPr>
      <t>σ</t>
    </r>
  </si>
  <si>
    <t>Ea (cal)</t>
  </si>
  <si>
    <t>Cool Rate</t>
  </si>
  <si>
    <t>(C/sec)</t>
  </si>
  <si>
    <t/>
  </si>
  <si>
    <t>C/Ma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</si>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</sst>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9.35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11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22" fontId="0" fillId="34" borderId="0" xfId="0" applyNumberFormat="1" applyFill="1"/>
    <xf numFmtId="11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22" fontId="0" fillId="35" borderId="0" xfId="0" applyNumberFormat="1" applyFill="1"/>
    <xf numFmtId="2" fontId="0" fillId="35" borderId="0" xfId="0" applyNumberFormat="1" applyFill="1"/>
    <xf numFmtId="164" fontId="0" fillId="35" borderId="0" xfId="0" applyNumberFormat="1" applyFill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 Helium Diffusivities Chalcopyrite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0070C0">
                  <a:alpha val="44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(Sheet2!$AC$20:$AC$24,Sheet2!$AC$26:$AC$52)</c:f>
                <c:numCache>
                  <c:formatCode>General</c:formatCode>
                  <c:ptCount val="32"/>
                  <c:pt idx="0">
                    <c:v>0.27578324449995506</c:v>
                  </c:pt>
                  <c:pt idx="1">
                    <c:v>0.29709251154510952</c:v>
                  </c:pt>
                  <c:pt idx="2">
                    <c:v>0.3459190098720839</c:v>
                  </c:pt>
                  <c:pt idx="3">
                    <c:v>0.43399075212758476</c:v>
                  </c:pt>
                  <c:pt idx="4">
                    <c:v>0.49374991008839331</c:v>
                  </c:pt>
                  <c:pt idx="5">
                    <c:v>3.6845854408294763</c:v>
                  </c:pt>
                  <c:pt idx="6">
                    <c:v>1.6022418802126648</c:v>
                  </c:pt>
                  <c:pt idx="7">
                    <c:v>0.77028479392416926</c:v>
                  </c:pt>
                  <c:pt idx="8">
                    <c:v>0.60913617405246434</c:v>
                  </c:pt>
                  <c:pt idx="9">
                    <c:v>0.53964457143358935</c:v>
                  </c:pt>
                  <c:pt idx="10">
                    <c:v>0.48240459237819522</c:v>
                  </c:pt>
                  <c:pt idx="11">
                    <c:v>0.52164067393563585</c:v>
                  </c:pt>
                  <c:pt idx="12">
                    <c:v>0.55823117900795083</c:v>
                  </c:pt>
                  <c:pt idx="13">
                    <c:v>0.60287786737725568</c:v>
                  </c:pt>
                  <c:pt idx="14">
                    <c:v>0.43904056214252662</c:v>
                  </c:pt>
                  <c:pt idx="15">
                    <c:v>0.34713293640533927</c:v>
                  </c:pt>
                  <c:pt idx="16">
                    <c:v>0.29139833191104536</c:v>
                  </c:pt>
                  <c:pt idx="17">
                    <c:v>0.26465794886289906</c:v>
                  </c:pt>
                  <c:pt idx="18">
                    <c:v>0.2556805108937148</c:v>
                  </c:pt>
                  <c:pt idx="19">
                    <c:v>0.27615187041941525</c:v>
                  </c:pt>
                  <c:pt idx="20">
                    <c:v>0.31204760059313408</c:v>
                  </c:pt>
                  <c:pt idx="21">
                    <c:v>0.36672028099230225</c:v>
                  </c:pt>
                  <c:pt idx="22">
                    <c:v>0.39363391615902721</c:v>
                  </c:pt>
                  <c:pt idx="23">
                    <c:v>0.43252692510434088</c:v>
                  </c:pt>
                  <c:pt idx="24">
                    <c:v>0.48849779218545208</c:v>
                  </c:pt>
                  <c:pt idx="25">
                    <c:v>0.34094720600163164</c:v>
                  </c:pt>
                  <c:pt idx="26">
                    <c:v>0.31838795481818138</c:v>
                  </c:pt>
                  <c:pt idx="27">
                    <c:v>0.31450647117601882</c:v>
                  </c:pt>
                  <c:pt idx="28">
                    <c:v>0.29778687397085157</c:v>
                  </c:pt>
                  <c:pt idx="29">
                    <c:v>0.28033650392333342</c:v>
                  </c:pt>
                  <c:pt idx="30">
                    <c:v>0.25929250903958767</c:v>
                  </c:pt>
                  <c:pt idx="31">
                    <c:v>0.25998169434869567</c:v>
                  </c:pt>
                </c:numCache>
              </c:numRef>
            </c:plus>
            <c:minus>
              <c:numRef>
                <c:f>(Sheet2!$V$26:$V$52,Sheet2!$V$20:$V$24)</c:f>
                <c:numCache>
                  <c:formatCode>General</c:formatCode>
                  <c:ptCount val="32"/>
                  <c:pt idx="0">
                    <c:v>1.0394396049274661</c:v>
                  </c:pt>
                  <c:pt idx="1">
                    <c:v>5</c:v>
                  </c:pt>
                  <c:pt idx="2">
                    <c:v>5</c:v>
                  </c:pt>
                  <c:pt idx="3">
                    <c:v>0.65119488684460691</c:v>
                  </c:pt>
                  <c:pt idx="4">
                    <c:v>1.0097770090529199</c:v>
                  </c:pt>
                  <c:pt idx="5">
                    <c:v>0.58117605757667157</c:v>
                  </c:pt>
                  <c:pt idx="6">
                    <c:v>0.84734854241362534</c:v>
                  </c:pt>
                  <c:pt idx="7">
                    <c:v>2.7068066779187774</c:v>
                  </c:pt>
                  <c:pt idx="8">
                    <c:v>5</c:v>
                  </c:pt>
                  <c:pt idx="9">
                    <c:v>5</c:v>
                  </c:pt>
                  <c:pt idx="10">
                    <c:v>1.2819733661264916</c:v>
                  </c:pt>
                  <c:pt idx="11">
                    <c:v>0.80385824967580355</c:v>
                  </c:pt>
                  <c:pt idx="12">
                    <c:v>0.88861500568115126</c:v>
                  </c:pt>
                  <c:pt idx="13">
                    <c:v>0.38227493226227338</c:v>
                  </c:pt>
                  <c:pt idx="14">
                    <c:v>0.25913952766571491</c:v>
                  </c:pt>
                  <c:pt idx="15">
                    <c:v>0.28209179020523756</c:v>
                  </c:pt>
                  <c:pt idx="16">
                    <c:v>0.29142894433559619</c:v>
                  </c:pt>
                  <c:pt idx="17">
                    <c:v>0.35608898973725367</c:v>
                  </c:pt>
                  <c:pt idx="18">
                    <c:v>0.53056135421823036</c:v>
                  </c:pt>
                  <c:pt idx="19">
                    <c:v>0.70757244940756081</c:v>
                  </c:pt>
                  <c:pt idx="20">
                    <c:v>1.0369826245712268</c:v>
                  </c:pt>
                  <c:pt idx="21">
                    <c:v>5</c:v>
                  </c:pt>
                  <c:pt idx="22">
                    <c:v>0.3707233231974385</c:v>
                  </c:pt>
                  <c:pt idx="23">
                    <c:v>0.48487361825731412</c:v>
                  </c:pt>
                  <c:pt idx="24">
                    <c:v>0.37288975399120439</c:v>
                  </c:pt>
                  <c:pt idx="25">
                    <c:v>0.42250568104509156</c:v>
                  </c:pt>
                  <c:pt idx="26">
                    <c:v>0.45941756030498837</c:v>
                  </c:pt>
                  <c:pt idx="27">
                    <c:v>0.74907558046736611</c:v>
                  </c:pt>
                  <c:pt idx="28">
                    <c:v>0.48754861738330035</c:v>
                  </c:pt>
                  <c:pt idx="29">
                    <c:v>0.36267271154030922</c:v>
                  </c:pt>
                  <c:pt idx="30">
                    <c:v>0.37574776785670494</c:v>
                  </c:pt>
                  <c:pt idx="31">
                    <c:v>0.74829410434685428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(Sheet2!$N$20:$N$24,Sheet2!$N$26:$N$52)</c:f>
              <c:numCache>
                <c:formatCode>General</c:formatCode>
                <c:ptCount val="32"/>
                <c:pt idx="0">
                  <c:v>15.43352779578356</c:v>
                </c:pt>
                <c:pt idx="1">
                  <c:v>15.312763188117318</c:v>
                </c:pt>
                <c:pt idx="2">
                  <c:v>15.083411264291533</c:v>
                </c:pt>
                <c:pt idx="3">
                  <c:v>14.85729567504125</c:v>
                </c:pt>
                <c:pt idx="4">
                  <c:v>14.641502803847787</c:v>
                </c:pt>
                <c:pt idx="5">
                  <c:v>17.704442044508998</c:v>
                </c:pt>
                <c:pt idx="6">
                  <c:v>16.176779850203015</c:v>
                </c:pt>
                <c:pt idx="7">
                  <c:v>15.43233691877961</c:v>
                </c:pt>
                <c:pt idx="8">
                  <c:v>14.8583994532109</c:v>
                </c:pt>
                <c:pt idx="9">
                  <c:v>14.534461207523037</c:v>
                </c:pt>
                <c:pt idx="10">
                  <c:v>14.226369999430943</c:v>
                </c:pt>
                <c:pt idx="11">
                  <c:v>14.429597991399961</c:v>
                </c:pt>
                <c:pt idx="12">
                  <c:v>14.640645359647454</c:v>
                </c:pt>
                <c:pt idx="13">
                  <c:v>14.857516417555663</c:v>
                </c:pt>
                <c:pt idx="14">
                  <c:v>15.082046332046353</c:v>
                </c:pt>
                <c:pt idx="15">
                  <c:v>15.312997672424377</c:v>
                </c:pt>
                <c:pt idx="16">
                  <c:v>15.551373963889711</c:v>
                </c:pt>
                <c:pt idx="17">
                  <c:v>15.797289185175824</c:v>
                </c:pt>
                <c:pt idx="18">
                  <c:v>15.922806235370922</c:v>
                </c:pt>
                <c:pt idx="19">
                  <c:v>15.673489859252062</c:v>
                </c:pt>
                <c:pt idx="20">
                  <c:v>15.431384349489994</c:v>
                </c:pt>
                <c:pt idx="21">
                  <c:v>15.196644580876564</c:v>
                </c:pt>
                <c:pt idx="22">
                  <c:v>14.969163523142347</c:v>
                </c:pt>
                <c:pt idx="23">
                  <c:v>14.748174913354493</c:v>
                </c:pt>
                <c:pt idx="24">
                  <c:v>14.534038718679167</c:v>
                </c:pt>
                <c:pt idx="25">
                  <c:v>13.642750924296376</c:v>
                </c:pt>
                <c:pt idx="26">
                  <c:v>13.463842850026253</c:v>
                </c:pt>
                <c:pt idx="27">
                  <c:v>13.543528901890676</c:v>
                </c:pt>
                <c:pt idx="28">
                  <c:v>13.395847287340924</c:v>
                </c:pt>
                <c:pt idx="29">
                  <c:v>13.280212483399735</c:v>
                </c:pt>
                <c:pt idx="30">
                  <c:v>13.073775314097452</c:v>
                </c:pt>
                <c:pt idx="31">
                  <c:v>13.088148681369036</c:v>
                </c:pt>
              </c:numCache>
            </c:numRef>
          </c:xVal>
          <c:yVal>
            <c:numRef>
              <c:f>(Sheet2!$O$20:$O$24,Sheet2!$O$26:$O$52)</c:f>
              <c:numCache>
                <c:formatCode>General</c:formatCode>
                <c:ptCount val="32"/>
                <c:pt idx="0">
                  <c:v>-17.571949762573571</c:v>
                </c:pt>
                <c:pt idx="1">
                  <c:v>-17.67976501996645</c:v>
                </c:pt>
                <c:pt idx="2">
                  <c:v>-17.350468463047221</c:v>
                </c:pt>
                <c:pt idx="3">
                  <c:v>-16.821929052556417</c:v>
                </c:pt>
                <c:pt idx="4">
                  <c:v>-16.636796349401649</c:v>
                </c:pt>
                <c:pt idx="5">
                  <c:v>-16.664462406113774</c:v>
                </c:pt>
                <c:pt idx="6">
                  <c:v>-15.578404329708308</c:v>
                </c:pt>
                <c:pt idx="7">
                  <c:v>-14.209294273292663</c:v>
                </c:pt>
                <c:pt idx="8">
                  <c:v>-13.323608671685802</c:v>
                </c:pt>
                <c:pt idx="9">
                  <c:v>-13.046312406747866</c:v>
                </c:pt>
                <c:pt idx="10">
                  <c:v>-12.561974572033455</c:v>
                </c:pt>
                <c:pt idx="11">
                  <c:v>-12.480488921859429</c:v>
                </c:pt>
                <c:pt idx="12">
                  <c:v>-12.790050847663201</c:v>
                </c:pt>
                <c:pt idx="13">
                  <c:v>-13.309080278347606</c:v>
                </c:pt>
                <c:pt idx="14">
                  <c:v>-13.961807297578014</c:v>
                </c:pt>
                <c:pt idx="15">
                  <c:v>-14.455552505080249</c:v>
                </c:pt>
                <c:pt idx="16">
                  <c:v>-14.923858740351916</c:v>
                </c:pt>
                <c:pt idx="17">
                  <c:v>-15.632127816458203</c:v>
                </c:pt>
                <c:pt idx="18">
                  <c:v>-15.748520814550858</c:v>
                </c:pt>
                <c:pt idx="19">
                  <c:v>-15.361522041361114</c:v>
                </c:pt>
                <c:pt idx="20">
                  <c:v>-14.936765656366854</c:v>
                </c:pt>
                <c:pt idx="21">
                  <c:v>-14.365479496414157</c:v>
                </c:pt>
                <c:pt idx="22">
                  <c:v>-13.856553627692419</c:v>
                </c:pt>
                <c:pt idx="23">
                  <c:v>-13.564692619156217</c:v>
                </c:pt>
                <c:pt idx="24">
                  <c:v>-13.345679267756079</c:v>
                </c:pt>
                <c:pt idx="25">
                  <c:v>-13.37016208819335</c:v>
                </c:pt>
                <c:pt idx="26">
                  <c:v>-14.504028976769042</c:v>
                </c:pt>
                <c:pt idx="27">
                  <c:v>-14.313158461600406</c:v>
                </c:pt>
                <c:pt idx="28">
                  <c:v>-14.352010816485762</c:v>
                </c:pt>
                <c:pt idx="29">
                  <c:v>-14.243672037731161</c:v>
                </c:pt>
                <c:pt idx="30">
                  <c:v>-14.306617702622567</c:v>
                </c:pt>
                <c:pt idx="31">
                  <c:v>-14.525244525675262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5-4D61-9A1E-27212759469F}"/>
            </c:ext>
          </c:extLst>
        </c:ser>
        <c:ser>
          <c:idx val="1"/>
          <c:order val="1"/>
          <c:tx>
            <c:v>Regression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Sheet2!$N$35:$N$43</c:f>
              <c:numCache>
                <c:formatCode>General</c:formatCode>
                <c:ptCount val="9"/>
                <c:pt idx="0">
                  <c:v>15.082046332046353</c:v>
                </c:pt>
                <c:pt idx="1">
                  <c:v>15.312997672424377</c:v>
                </c:pt>
                <c:pt idx="2">
                  <c:v>15.551373963889711</c:v>
                </c:pt>
                <c:pt idx="3">
                  <c:v>15.797289185175824</c:v>
                </c:pt>
                <c:pt idx="4">
                  <c:v>15.922806235370922</c:v>
                </c:pt>
                <c:pt idx="5">
                  <c:v>15.673489859252062</c:v>
                </c:pt>
                <c:pt idx="6">
                  <c:v>15.431384349489994</c:v>
                </c:pt>
                <c:pt idx="7">
                  <c:v>15.196644580876564</c:v>
                </c:pt>
                <c:pt idx="8">
                  <c:v>14.969163523142347</c:v>
                </c:pt>
              </c:numCache>
            </c:numRef>
          </c:xVal>
          <c:yVal>
            <c:numRef>
              <c:f>Sheet2!$O$35:$O$43</c:f>
              <c:numCache>
                <c:formatCode>General</c:formatCode>
                <c:ptCount val="9"/>
                <c:pt idx="0">
                  <c:v>-13.961807297578014</c:v>
                </c:pt>
                <c:pt idx="1">
                  <c:v>-14.455552505080249</c:v>
                </c:pt>
                <c:pt idx="2">
                  <c:v>-14.923858740351916</c:v>
                </c:pt>
                <c:pt idx="3">
                  <c:v>-15.632127816458203</c:v>
                </c:pt>
                <c:pt idx="4">
                  <c:v>-15.748520814550858</c:v>
                </c:pt>
                <c:pt idx="5">
                  <c:v>-15.361522041361114</c:v>
                </c:pt>
                <c:pt idx="6">
                  <c:v>-14.936765656366854</c:v>
                </c:pt>
                <c:pt idx="7">
                  <c:v>-14.365479496414157</c:v>
                </c:pt>
                <c:pt idx="8">
                  <c:v>-13.856553627692419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1-4472-BC0D-E5F290CE7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474928"/>
        <c:axId val="348476848"/>
      </c:scatterChart>
      <c:valAx>
        <c:axId val="348474928"/>
        <c:scaling>
          <c:orientation val="minMax"/>
          <c:min val="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76848"/>
        <c:crosses val="autoZero"/>
        <c:crossBetween val="midCat"/>
      </c:valAx>
      <c:valAx>
        <c:axId val="348476848"/>
        <c:scaling>
          <c:orientation val="minMax"/>
          <c:max val="-11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421697287839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7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6</xdr:row>
      <xdr:rowOff>177165</xdr:rowOff>
    </xdr:from>
    <xdr:to>
      <xdr:col>15</xdr:col>
      <xdr:colOff>485775</xdr:colOff>
      <xdr:row>21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1CF3C-BACB-3FBB-1419-0286B2792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1DB-7E58-41E7-89AF-AEA887A1B648}">
  <dimension ref="A1:AB56"/>
  <sheetViews>
    <sheetView tabSelected="1" topLeftCell="O1" workbookViewId="0">
      <selection activeCell="AA3" sqref="AA3:AA50"/>
    </sheetView>
  </sheetViews>
  <sheetFormatPr defaultRowHeight="14.4" x14ac:dyDescent="0.3"/>
  <sheetData>
    <row r="1" spans="1:28" ht="15.6" x14ac:dyDescent="0.35">
      <c r="B1" t="s">
        <v>0</v>
      </c>
      <c r="C1" t="s">
        <v>1</v>
      </c>
      <c r="D1" t="s">
        <v>2</v>
      </c>
      <c r="E1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10" t="s">
        <v>113</v>
      </c>
      <c r="O1" s="10" t="s">
        <v>114</v>
      </c>
      <c r="P1" s="11" t="s">
        <v>115</v>
      </c>
      <c r="Q1" s="12" t="s">
        <v>116</v>
      </c>
      <c r="S1" t="s">
        <v>117</v>
      </c>
      <c r="T1" t="s">
        <v>118</v>
      </c>
      <c r="V1" s="10" t="s">
        <v>146</v>
      </c>
      <c r="W1" s="11" t="s">
        <v>147</v>
      </c>
      <c r="X1" s="12" t="s">
        <v>148</v>
      </c>
      <c r="Z1" t="s">
        <v>149</v>
      </c>
      <c r="AA1" t="s">
        <v>150</v>
      </c>
      <c r="AB1" t="s">
        <v>151</v>
      </c>
    </row>
    <row r="2" spans="1:28" s="21" customFormat="1" x14ac:dyDescent="0.3">
      <c r="A2" s="21">
        <v>0</v>
      </c>
      <c r="B2" s="21" t="s">
        <v>10</v>
      </c>
      <c r="C2" s="21" t="s">
        <v>11</v>
      </c>
      <c r="D2" s="22">
        <v>45108.99722222222</v>
      </c>
      <c r="E2" s="21">
        <v>0</v>
      </c>
      <c r="F2" s="21">
        <v>3.31</v>
      </c>
      <c r="G2" s="21">
        <v>1.7688521615502301E-2</v>
      </c>
      <c r="H2" s="21">
        <v>1.8602935404053101E-4</v>
      </c>
      <c r="I2" s="21">
        <v>5.3439642342907401E-3</v>
      </c>
      <c r="J2" s="21">
        <v>14400</v>
      </c>
      <c r="K2" s="21">
        <v>200</v>
      </c>
      <c r="L2" s="21">
        <v>199.98</v>
      </c>
      <c r="N2" s="21">
        <f>(0.000304*EXP(-5580/(1.987*(L2+273))))*(199000000000000000*EXP(680/(1.987*(L2+273))))*1.17*EXP(-57/(1.987*(273+L2)))</f>
        <v>362445085565.51593</v>
      </c>
      <c r="O2" s="23">
        <f>N2*$C$55*$C$56*(L2+273)</f>
        <v>1.0166915598767507E-4</v>
      </c>
      <c r="P2" s="24">
        <f>O2*J2</f>
        <v>1.4640358462225209</v>
      </c>
      <c r="Q2" s="24">
        <f>G2/((O2*J2)-1)</f>
        <v>3.8118868961300144E-2</v>
      </c>
      <c r="S2" s="21">
        <v>0</v>
      </c>
      <c r="T2" s="25">
        <f>S3</f>
        <v>1.7688521615502301E-2</v>
      </c>
      <c r="V2" s="23"/>
      <c r="W2" s="24"/>
      <c r="X2" s="24"/>
      <c r="AA2" s="25"/>
    </row>
    <row r="3" spans="1:28" s="21" customFormat="1" x14ac:dyDescent="0.3">
      <c r="A3" s="21">
        <v>1</v>
      </c>
      <c r="B3" s="21" t="s">
        <v>12</v>
      </c>
      <c r="C3" s="21" t="s">
        <v>13</v>
      </c>
      <c r="D3" s="22">
        <v>45109.074999999997</v>
      </c>
      <c r="E3" s="21">
        <v>0</v>
      </c>
      <c r="F3" s="21">
        <v>1.46E-2</v>
      </c>
      <c r="G3" s="23">
        <v>7.8026565586765195E-5</v>
      </c>
      <c r="H3" s="23">
        <v>8.2527478942660305E-7</v>
      </c>
      <c r="I3" s="21">
        <v>5.3442853141619897E-3</v>
      </c>
      <c r="J3" s="21">
        <v>3600</v>
      </c>
      <c r="K3" s="21">
        <v>0</v>
      </c>
      <c r="L3" s="21">
        <v>27</v>
      </c>
      <c r="N3" s="21">
        <f t="shared" ref="N3" si="0">(0.000304*EXP(-5580/(1.987*(L3+273))))*(199000000000000000*EXP(680/(1.987*(L3+273))))*1.17*EXP(-57/(1.987*(273+L3)))</f>
        <v>17315766343.622978</v>
      </c>
      <c r="O3" s="23">
        <f>N3*$C$55*$C$56*(L3+273)</f>
        <v>3.080826189059531E-6</v>
      </c>
      <c r="P3" s="24">
        <f t="shared" ref="P3" si="1">O3*J3</f>
        <v>1.1090974280614311E-2</v>
      </c>
      <c r="Q3" s="24">
        <f>G3/((O3*J3)-1)</f>
        <v>-7.8901661889479134E-5</v>
      </c>
      <c r="S3" s="25">
        <f>G2+S2</f>
        <v>1.7688521615502301E-2</v>
      </c>
      <c r="T3" s="25">
        <f>S3+G3</f>
        <v>1.7766548181089067E-2</v>
      </c>
      <c r="V3" s="23">
        <f>(G3-Q2)/($G$51-(S3+Q2))</f>
        <v>-9.9131316671329872E-4</v>
      </c>
      <c r="W3" s="23">
        <f>(G3)/($G$51-(S3))</f>
        <v>2.0312905572129541E-6</v>
      </c>
      <c r="X3" s="23">
        <f>(G3+Q3)/($G$51-(S3))</f>
        <v>-2.2781662155540326E-8</v>
      </c>
      <c r="Z3" s="23">
        <f>-LN(1-V3)/J3</f>
        <v>-2.7522837230456979E-7</v>
      </c>
      <c r="AA3" s="23">
        <f>-LN(1-W3)/J3</f>
        <v>5.6424795007675446E-10</v>
      </c>
      <c r="AB3" s="21">
        <f>-LN(1-X3)/J3</f>
        <v>-6.3282394035651708E-12</v>
      </c>
    </row>
    <row r="4" spans="1:28" s="21" customFormat="1" x14ac:dyDescent="0.3">
      <c r="A4" s="21">
        <v>2</v>
      </c>
      <c r="B4" s="21" t="s">
        <v>14</v>
      </c>
      <c r="C4" s="21" t="s">
        <v>15</v>
      </c>
      <c r="D4" s="22">
        <v>45109.178472222222</v>
      </c>
      <c r="E4" s="21">
        <v>0</v>
      </c>
      <c r="F4" s="21">
        <v>4.5199999999999996</v>
      </c>
      <c r="G4" s="21">
        <v>2.4144802680470302E-2</v>
      </c>
      <c r="H4" s="21">
        <v>2.5401875709831103E-4</v>
      </c>
      <c r="I4" s="21">
        <v>5.3417705045288397E-3</v>
      </c>
      <c r="J4" s="21">
        <v>3600</v>
      </c>
      <c r="K4" s="21">
        <v>250</v>
      </c>
      <c r="L4" s="21">
        <v>249.98</v>
      </c>
      <c r="N4" s="21">
        <f t="shared" ref="N4:N50" si="2">(0.000304*EXP(-5580/(1.987*(L4+273))))*(199000000000000000*EXP(680/(1.987*(L4+273))))*1.17*EXP(-57/(1.987*(273+L4)))</f>
        <v>600128051729.38245</v>
      </c>
      <c r="O4" s="23">
        <f t="shared" ref="O4:O50" si="3">N4*$C$55*$C$56*(L4+273)</f>
        <v>1.8613722456030577E-4</v>
      </c>
      <c r="P4" s="24">
        <f t="shared" ref="P4:P50" si="4">O4*J4</f>
        <v>0.67009400841710076</v>
      </c>
      <c r="Q4" s="24">
        <f t="shared" ref="Q4:Q50" si="5">G4/((O4*J4)-1)</f>
        <v>-7.3186917778070001E-2</v>
      </c>
      <c r="S4" s="25">
        <f t="shared" ref="S4:S50" si="6">G3+S3</f>
        <v>1.7766548181089067E-2</v>
      </c>
      <c r="T4" s="25">
        <f t="shared" ref="T4:T50" si="7">S4+G4</f>
        <v>4.1911350861559366E-2</v>
      </c>
      <c r="V4" s="23">
        <f t="shared" ref="V4:V50" si="8">(G4-Q3)/($G$51-(S4+Q3))</f>
        <v>6.3062343447190851E-4</v>
      </c>
      <c r="W4" s="23">
        <f>(G4)/($G$51-(S4))</f>
        <v>6.2857065342882283E-4</v>
      </c>
      <c r="X4" s="23">
        <f t="shared" ref="X4:X50" si="9">(G4+Q4)/($G$51-(S4))</f>
        <v>-1.2767316734944357E-3</v>
      </c>
      <c r="Z4" s="23">
        <f t="shared" ref="Z4:Z50" si="10">-LN(1-V4)/J4</f>
        <v>1.7522843362951454E-7</v>
      </c>
      <c r="AA4" s="23">
        <f t="shared" ref="AA4:AA50" si="11">-LN(1-W4)/J4</f>
        <v>1.7465785744000176E-7</v>
      </c>
      <c r="AB4" s="21">
        <f t="shared" ref="AB4:AB50" si="12">-LN(1-X4)/J4</f>
        <v>-3.5442148462705008E-7</v>
      </c>
    </row>
    <row r="5" spans="1:28" s="21" customFormat="1" x14ac:dyDescent="0.3">
      <c r="A5" s="21">
        <v>3</v>
      </c>
      <c r="B5" s="21" t="s">
        <v>16</v>
      </c>
      <c r="C5" s="21" t="s">
        <v>17</v>
      </c>
      <c r="D5" s="22">
        <v>45109.254861111112</v>
      </c>
      <c r="E5" s="21">
        <v>0</v>
      </c>
      <c r="F5" s="21">
        <v>8.83</v>
      </c>
      <c r="G5" s="21">
        <v>4.7103582039772197E-2</v>
      </c>
      <c r="H5" s="21">
        <v>4.8729169784226601E-4</v>
      </c>
      <c r="I5" s="21">
        <v>5.3344940022392101E-3</v>
      </c>
      <c r="J5" s="21">
        <v>3600</v>
      </c>
      <c r="K5" s="21">
        <v>260</v>
      </c>
      <c r="L5" s="21">
        <v>260.01</v>
      </c>
      <c r="N5" s="21">
        <f t="shared" si="2"/>
        <v>656489643068.19043</v>
      </c>
      <c r="O5" s="23">
        <f t="shared" si="3"/>
        <v>2.0752358525543717E-4</v>
      </c>
      <c r="P5" s="24">
        <f t="shared" si="4"/>
        <v>0.74708490691957385</v>
      </c>
      <c r="Q5" s="24">
        <f t="shared" si="5"/>
        <v>-0.18624266929294495</v>
      </c>
      <c r="S5" s="25">
        <f t="shared" si="6"/>
        <v>4.1911350861559366E-2</v>
      </c>
      <c r="T5" s="25">
        <f t="shared" si="7"/>
        <v>8.9014932901331556E-2</v>
      </c>
      <c r="V5" s="23">
        <f t="shared" si="8"/>
        <v>3.1275743730484404E-3</v>
      </c>
      <c r="W5" s="23">
        <f t="shared" ref="W4:W50" si="13">(G5)/($G$51-(S5))</f>
        <v>1.2270363984592228E-3</v>
      </c>
      <c r="X5" s="23">
        <f t="shared" si="9"/>
        <v>-3.6245380311815947E-3</v>
      </c>
      <c r="Z5" s="23">
        <f t="shared" si="10"/>
        <v>8.7013207095710214E-7</v>
      </c>
      <c r="AA5" s="23">
        <f t="shared" si="11"/>
        <v>3.4105272889006576E-7</v>
      </c>
      <c r="AB5" s="21">
        <f t="shared" si="12"/>
        <v>-1.0049958951041916E-6</v>
      </c>
    </row>
    <row r="6" spans="1:28" s="21" customFormat="1" x14ac:dyDescent="0.3">
      <c r="A6" s="21">
        <v>4</v>
      </c>
      <c r="B6" s="21" t="s">
        <v>18</v>
      </c>
      <c r="C6" s="21" t="s">
        <v>19</v>
      </c>
      <c r="D6" s="22">
        <v>45109.331944444442</v>
      </c>
      <c r="E6" s="21">
        <v>0</v>
      </c>
      <c r="F6" s="21">
        <v>8.93</v>
      </c>
      <c r="G6" s="21">
        <v>4.75440116583664E-2</v>
      </c>
      <c r="H6" s="21">
        <v>4.7986157599335598E-4</v>
      </c>
      <c r="I6" s="21">
        <v>5.3240774533444999E-3</v>
      </c>
      <c r="J6" s="21">
        <v>3600</v>
      </c>
      <c r="K6" s="21">
        <v>270</v>
      </c>
      <c r="L6" s="21">
        <v>269.99</v>
      </c>
      <c r="N6" s="21">
        <f t="shared" si="2"/>
        <v>715464414651.9209</v>
      </c>
      <c r="O6" s="23">
        <f t="shared" si="3"/>
        <v>2.3040085969274374E-4</v>
      </c>
      <c r="P6" s="24">
        <f t="shared" si="4"/>
        <v>0.82944309489387746</v>
      </c>
      <c r="Q6" s="24">
        <f t="shared" si="5"/>
        <v>-0.27875747175867172</v>
      </c>
      <c r="S6" s="25">
        <f t="shared" si="6"/>
        <v>8.9014932901331556E-2</v>
      </c>
      <c r="T6" s="25">
        <f t="shared" si="7"/>
        <v>0.13655894455969797</v>
      </c>
      <c r="V6" s="23">
        <f t="shared" si="8"/>
        <v>6.0680898857013721E-3</v>
      </c>
      <c r="W6" s="23">
        <f t="shared" si="13"/>
        <v>1.2400310418514799E-3</v>
      </c>
      <c r="X6" s="23">
        <f t="shared" si="9"/>
        <v>-6.0304517397158685E-3</v>
      </c>
      <c r="Z6" s="23">
        <f t="shared" si="10"/>
        <v>1.6907154341399691E-6</v>
      </c>
      <c r="AA6" s="23">
        <f t="shared" si="11"/>
        <v>3.4466681014571756E-7</v>
      </c>
      <c r="AB6" s="21">
        <f t="shared" si="12"/>
        <v>-1.6700948162273563E-6</v>
      </c>
    </row>
    <row r="7" spans="1:28" s="21" customFormat="1" x14ac:dyDescent="0.3">
      <c r="A7" s="21">
        <v>5</v>
      </c>
      <c r="B7" s="21" t="s">
        <v>20</v>
      </c>
      <c r="C7" s="21" t="s">
        <v>21</v>
      </c>
      <c r="D7" s="22">
        <v>45109.408333333333</v>
      </c>
      <c r="E7" s="21">
        <v>0</v>
      </c>
      <c r="F7" s="21">
        <v>10.7</v>
      </c>
      <c r="G7" s="21">
        <v>5.6775059478645203E-2</v>
      </c>
      <c r="H7" s="21">
        <v>5.48167727781093E-4</v>
      </c>
      <c r="I7" s="21">
        <v>5.3060803251070302E-3</v>
      </c>
      <c r="J7" s="21">
        <v>3600</v>
      </c>
      <c r="K7" s="21">
        <v>280</v>
      </c>
      <c r="L7" s="21">
        <v>279.97000000000003</v>
      </c>
      <c r="N7" s="21">
        <f t="shared" si="2"/>
        <v>777319647396.20374</v>
      </c>
      <c r="O7" s="23">
        <f t="shared" si="3"/>
        <v>2.5492089889504998E-4</v>
      </c>
      <c r="P7" s="24">
        <f t="shared" si="4"/>
        <v>0.91771523602217997</v>
      </c>
      <c r="Q7" s="24">
        <f t="shared" si="5"/>
        <v>-0.68998264969136935</v>
      </c>
      <c r="S7" s="25">
        <f t="shared" si="6"/>
        <v>0.13655894455969797</v>
      </c>
      <c r="T7" s="25">
        <f t="shared" si="7"/>
        <v>0.19333400403834317</v>
      </c>
      <c r="V7" s="23">
        <f t="shared" si="8"/>
        <v>8.6988179063922956E-3</v>
      </c>
      <c r="W7" s="23">
        <f t="shared" si="13"/>
        <v>1.4826314354055481E-3</v>
      </c>
      <c r="X7" s="23">
        <f t="shared" si="9"/>
        <v>-1.653566701660427E-2</v>
      </c>
      <c r="Z7" s="23">
        <f t="shared" si="10"/>
        <v>2.4269092988656152E-6</v>
      </c>
      <c r="AA7" s="23">
        <f t="shared" si="11"/>
        <v>4.1214767249251739E-7</v>
      </c>
      <c r="AB7" s="21">
        <f t="shared" si="12"/>
        <v>-4.5556782039578504E-6</v>
      </c>
    </row>
    <row r="8" spans="1:28" s="21" customFormat="1" x14ac:dyDescent="0.3">
      <c r="A8" s="21">
        <v>6</v>
      </c>
      <c r="B8" s="21" t="s">
        <v>22</v>
      </c>
      <c r="C8" s="21" t="s">
        <v>23</v>
      </c>
      <c r="D8" s="22">
        <v>45109.48541666667</v>
      </c>
      <c r="E8" s="21">
        <v>0</v>
      </c>
      <c r="F8" s="21">
        <v>12</v>
      </c>
      <c r="G8" s="21">
        <v>6.3538130696134495E-2</v>
      </c>
      <c r="H8" s="21">
        <v>5.9599824043960901E-4</v>
      </c>
      <c r="I8" s="21">
        <v>5.29484422467787E-3</v>
      </c>
      <c r="J8" s="21">
        <v>3600</v>
      </c>
      <c r="K8" s="21">
        <v>290</v>
      </c>
      <c r="L8" s="21">
        <v>289.99</v>
      </c>
      <c r="N8" s="21">
        <f t="shared" si="2"/>
        <v>842308457511.46948</v>
      </c>
      <c r="O8" s="23">
        <f t="shared" si="3"/>
        <v>2.8123933870588574E-4</v>
      </c>
      <c r="P8" s="24">
        <f t="shared" si="4"/>
        <v>1.0124616193411886</v>
      </c>
      <c r="Q8" s="24">
        <f t="shared" si="5"/>
        <v>5.0987057906772906</v>
      </c>
      <c r="S8" s="25">
        <f t="shared" si="6"/>
        <v>0.19333400403834317</v>
      </c>
      <c r="T8" s="25">
        <f t="shared" si="7"/>
        <v>0.25687213473447768</v>
      </c>
      <c r="V8" s="23">
        <f t="shared" si="8"/>
        <v>1.9357453225597683E-2</v>
      </c>
      <c r="W8" s="23">
        <f t="shared" si="13"/>
        <v>1.6617068732625651E-3</v>
      </c>
      <c r="X8" s="23">
        <f t="shared" si="9"/>
        <v>0.13500768926659643</v>
      </c>
      <c r="Z8" s="23">
        <f t="shared" si="10"/>
        <v>5.4297950540923581E-6</v>
      </c>
      <c r="AA8" s="23">
        <f t="shared" si="11"/>
        <v>4.6196917764201644E-7</v>
      </c>
      <c r="AB8" s="21">
        <f t="shared" si="12"/>
        <v>4.0287405948698067E-5</v>
      </c>
    </row>
    <row r="9" spans="1:28" s="21" customFormat="1" x14ac:dyDescent="0.3">
      <c r="A9" s="21">
        <v>7</v>
      </c>
      <c r="B9" s="21" t="s">
        <v>24</v>
      </c>
      <c r="C9" s="21" t="s">
        <v>25</v>
      </c>
      <c r="D9" s="22">
        <v>45109.545138888891</v>
      </c>
      <c r="E9" s="21">
        <v>0</v>
      </c>
      <c r="F9" s="21">
        <v>0.20200000000000001</v>
      </c>
      <c r="G9" s="21">
        <v>1.0677906909845E-3</v>
      </c>
      <c r="H9" s="23">
        <v>9.7865465335612707E-6</v>
      </c>
      <c r="I9" s="21">
        <v>5.28609252962625E-3</v>
      </c>
      <c r="J9" s="21">
        <v>3600</v>
      </c>
      <c r="K9" s="21">
        <v>0</v>
      </c>
      <c r="L9" s="21">
        <v>26.04</v>
      </c>
      <c r="N9" s="21">
        <f t="shared" si="2"/>
        <v>16859624981.043331</v>
      </c>
      <c r="O9" s="23">
        <f t="shared" si="3"/>
        <v>2.9900704429991644E-6</v>
      </c>
      <c r="P9" s="24">
        <f t="shared" si="4"/>
        <v>1.0764253594796993E-2</v>
      </c>
      <c r="Q9" s="24">
        <f t="shared" si="5"/>
        <v>-1.0794097310623467E-3</v>
      </c>
      <c r="S9" s="25">
        <f t="shared" si="6"/>
        <v>0.25687213473447768</v>
      </c>
      <c r="T9" s="25">
        <f t="shared" si="7"/>
        <v>0.25793992542546218</v>
      </c>
      <c r="V9" s="23">
        <f t="shared" si="8"/>
        <v>-0.15412629095953054</v>
      </c>
      <c r="W9" s="23">
        <f t="shared" si="13"/>
        <v>2.7972313265848557E-5</v>
      </c>
      <c r="X9" s="23">
        <f t="shared" si="9"/>
        <v>-3.0437746990125672E-7</v>
      </c>
      <c r="Z9" s="23">
        <f t="shared" si="10"/>
        <v>-3.9817666575362061E-5</v>
      </c>
      <c r="AA9" s="23">
        <f t="shared" si="11"/>
        <v>7.7701956939863777E-9</v>
      </c>
      <c r="AB9" s="21">
        <f t="shared" si="12"/>
        <v>-8.4549284325663329E-11</v>
      </c>
    </row>
    <row r="10" spans="1:28" s="21" customFormat="1" x14ac:dyDescent="0.3">
      <c r="A10" s="21">
        <v>8</v>
      </c>
      <c r="B10" s="21" t="s">
        <v>26</v>
      </c>
      <c r="C10" s="21" t="s">
        <v>27</v>
      </c>
      <c r="D10" s="22">
        <v>45109.604861111111</v>
      </c>
      <c r="E10" s="21">
        <v>0</v>
      </c>
      <c r="F10" s="21">
        <v>32.6</v>
      </c>
      <c r="G10" s="21">
        <v>0.172174690575193</v>
      </c>
      <c r="H10" s="21">
        <v>1.55826428261624E-3</v>
      </c>
      <c r="I10" s="21">
        <v>5.2814322262329204E-3</v>
      </c>
      <c r="J10" s="21">
        <v>3600</v>
      </c>
      <c r="K10" s="21">
        <v>330</v>
      </c>
      <c r="L10" s="21">
        <v>329.99</v>
      </c>
      <c r="N10" s="21">
        <f t="shared" si="2"/>
        <v>1130136964809.9929</v>
      </c>
      <c r="O10" s="23">
        <f t="shared" si="3"/>
        <v>4.0415263610117593E-4</v>
      </c>
      <c r="P10" s="24">
        <f t="shared" si="4"/>
        <v>1.4549494899642332</v>
      </c>
      <c r="Q10" s="24">
        <f t="shared" si="5"/>
        <v>0.37844792526029397</v>
      </c>
      <c r="S10" s="25">
        <f t="shared" si="6"/>
        <v>0.25793992542546218</v>
      </c>
      <c r="T10" s="25">
        <f t="shared" si="7"/>
        <v>0.43011461600065515</v>
      </c>
      <c r="V10" s="23">
        <f t="shared" si="8"/>
        <v>4.538639018084603E-3</v>
      </c>
      <c r="W10" s="23">
        <f t="shared" si="13"/>
        <v>4.5104898776441539E-3</v>
      </c>
      <c r="X10" s="23">
        <f t="shared" si="9"/>
        <v>1.4424755037055049E-2</v>
      </c>
      <c r="Z10" s="23">
        <f t="shared" si="10"/>
        <v>1.2636027529998386E-6</v>
      </c>
      <c r="AA10" s="23">
        <f t="shared" si="11"/>
        <v>1.2557480080215337E-6</v>
      </c>
      <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>28</v>
      </c>
      <c r="C11" s="21" t="s">
        <v>29</v>
      </c>
      <c r="D11" s="22">
        <v>45109.720833333333</v>
      </c>
      <c r="E11" s="21">
        <v>0</v>
      </c>
      <c r="F11" s="21">
        <v>110</v>
      </c>
      <c r="G11" s="21">
        <v>0.58166397484135401</v>
      </c>
      <c r="H11" s="21">
        <v>5.3325601410911397E-3</v>
      </c>
      <c r="I11" s="21">
        <v>5.2878543167395797E-3</v>
      </c>
      <c r="J11" s="21">
        <v>3600</v>
      </c>
      <c r="K11" s="21">
        <v>360</v>
      </c>
      <c r="L11" s="21">
        <v>360</v>
      </c>
      <c r="N11" s="21">
        <f t="shared" si="2"/>
        <v>1375038897860.562</v>
      </c>
      <c r="O11" s="23">
        <f t="shared" si="3"/>
        <v>5.1620584736788641E-4</v>
      </c>
      <c r="P11" s="24">
        <f t="shared" si="4"/>
        <v>1.8583410505243911</v>
      </c>
      <c r="Q11" s="24">
        <f t="shared" si="5"/>
        <v>0.67766067402461383</v>
      </c>
      <c r="S11" s="25">
        <f t="shared" si="6"/>
        <v>0.43011461600065515</v>
      </c>
      <c r="T11" s="25">
        <f t="shared" si="7"/>
        <v>1.0117785908420092</v>
      </c>
      <c r="V11" s="23">
        <f t="shared" si="8"/>
        <v>5.4016024720994586E-3</v>
      </c>
      <c r="W11" s="23">
        <f t="shared" si="13"/>
        <v>1.5306992875464723E-2</v>
      </c>
      <c r="X11" s="23">
        <f t="shared" si="9"/>
        <v>3.3140222296466015E-2</v>
      </c>
      <c r="Z11" s="23">
        <f t="shared" si="10"/>
        <v>1.5045121875631573E-6</v>
      </c>
      <c r="AA11" s="23">
        <f t="shared" si="11"/>
        <v>4.2848206340146987E-6</v>
      </c>
      <c r="AB11" s="21">
        <f t="shared" si="12"/>
        <v>9.3616115524777196E-6</v>
      </c>
    </row>
    <row r="12" spans="1:28" s="21" customFormat="1" x14ac:dyDescent="0.3">
      <c r="A12" s="21">
        <v>10</v>
      </c>
      <c r="B12" s="21" t="s">
        <v>30</v>
      </c>
      <c r="C12" s="21" t="s">
        <v>31</v>
      </c>
      <c r="D12" s="22">
        <v>45109.79791666667</v>
      </c>
      <c r="E12" s="21">
        <v>0</v>
      </c>
      <c r="F12" s="21">
        <v>307</v>
      </c>
      <c r="G12" s="21">
        <v>1.63090724548725</v>
      </c>
      <c r="H12" s="21">
        <v>1.5692326246025901E-2</v>
      </c>
      <c r="I12" s="21">
        <v>5.31240145109854E-3</v>
      </c>
      <c r="J12" s="21">
        <v>3600</v>
      </c>
      <c r="K12" s="21">
        <v>390</v>
      </c>
      <c r="L12" s="21">
        <v>389.88</v>
      </c>
      <c r="N12" s="21">
        <f t="shared" si="2"/>
        <v>1642354894325.9702</v>
      </c>
      <c r="O12" s="23">
        <f t="shared" si="3"/>
        <v>6.4566337338018212E-4</v>
      </c>
      <c r="P12" s="24">
        <f t="shared" si="4"/>
        <v>2.3243881441686556</v>
      </c>
      <c r="Q12" s="24">
        <f t="shared" si="5"/>
        <v>1.2314420456481829</v>
      </c>
      <c r="S12" s="25">
        <f t="shared" si="6"/>
        <v>1.0117785908420092</v>
      </c>
      <c r="T12" s="25">
        <f t="shared" si="7"/>
        <v>2.6426858363292594</v>
      </c>
      <c r="V12" s="23">
        <f t="shared" si="8"/>
        <v>2.5945346298187781E-2</v>
      </c>
      <c r="W12" s="23">
        <f t="shared" si="13"/>
        <v>4.3585910395198275E-2</v>
      </c>
      <c r="X12" s="23">
        <f t="shared" si="9"/>
        <v>7.6496134325478179E-2</v>
      </c>
      <c r="Z12" s="23">
        <f t="shared" si="10"/>
        <v>7.3021845232387092E-6</v>
      </c>
      <c r="AA12" s="23">
        <f t="shared" si="11"/>
        <v>1.2378975441701737E-5</v>
      </c>
      <c r="AB12" s="21">
        <f t="shared" si="12"/>
        <v>2.2105637071131498E-5</v>
      </c>
    </row>
    <row r="13" spans="1:28" s="21" customFormat="1" x14ac:dyDescent="0.3">
      <c r="A13" s="21">
        <v>11</v>
      </c>
      <c r="B13" s="21" t="s">
        <v>32</v>
      </c>
      <c r="C13" s="21" t="s">
        <v>33</v>
      </c>
      <c r="D13" s="22">
        <v>45109.875</v>
      </c>
      <c r="E13" s="21">
        <v>0</v>
      </c>
      <c r="F13" s="21">
        <v>1200</v>
      </c>
      <c r="G13" s="21">
        <v>6.4015512285287501</v>
      </c>
      <c r="H13" s="21">
        <v>6.4203350217892294E-2</v>
      </c>
      <c r="I13" s="21">
        <v>5.3346260237739597E-3</v>
      </c>
      <c r="J13" s="21">
        <v>3600</v>
      </c>
      <c r="K13" s="21">
        <v>425</v>
      </c>
      <c r="L13" s="21">
        <v>424.94</v>
      </c>
      <c r="N13" s="21">
        <f t="shared" si="2"/>
        <v>1984134005106.5176</v>
      </c>
      <c r="O13" s="23">
        <f t="shared" si="3"/>
        <v>8.2128391141344918E-4</v>
      </c>
      <c r="P13" s="24">
        <f t="shared" si="4"/>
        <v>2.9566220810884172</v>
      </c>
      <c r="Q13" s="24">
        <f t="shared" si="5"/>
        <v>3.271736167348033</v>
      </c>
      <c r="S13" s="25">
        <f t="shared" si="6"/>
        <v>2.6426858363292594</v>
      </c>
      <c r="T13" s="25">
        <f t="shared" si="7"/>
        <v>9.0442370648580095</v>
      </c>
      <c r="V13" s="23">
        <f t="shared" si="8"/>
        <v>0.14961593691580152</v>
      </c>
      <c r="W13" s="23">
        <f t="shared" si="13"/>
        <v>0.17887766595871682</v>
      </c>
      <c r="X13" s="23">
        <f t="shared" si="9"/>
        <v>0.27029933991795779</v>
      </c>
      <c r="Z13" s="23">
        <f t="shared" si="10"/>
        <v>4.501866461768222E-5</v>
      </c>
      <c r="AA13" s="23">
        <f t="shared" si="11"/>
        <v>5.4745326247111966E-5</v>
      </c>
      <c r="AB13" s="21">
        <f t="shared" si="12"/>
        <v>8.7533578782568168E-5</v>
      </c>
    </row>
    <row r="14" spans="1:28" s="21" customFormat="1" x14ac:dyDescent="0.3">
      <c r="A14" s="21">
        <v>12</v>
      </c>
      <c r="B14" s="21" t="s">
        <v>34</v>
      </c>
      <c r="C14" s="21" t="s">
        <v>35</v>
      </c>
      <c r="D14" s="22">
        <v>45109.951388888891</v>
      </c>
      <c r="E14" s="21">
        <v>0</v>
      </c>
      <c r="F14" s="21">
        <v>548</v>
      </c>
      <c r="G14" s="21">
        <v>2.9428488991449702</v>
      </c>
      <c r="H14" s="21">
        <v>3.1411724230372598E-2</v>
      </c>
      <c r="I14" s="21">
        <v>5.3701622247171003E-3</v>
      </c>
      <c r="J14" s="21">
        <v>3600</v>
      </c>
      <c r="K14" s="21">
        <v>415</v>
      </c>
      <c r="L14" s="21">
        <v>414.96</v>
      </c>
      <c r="N14" s="21">
        <f t="shared" si="2"/>
        <v>1883873399037.9331</v>
      </c>
      <c r="O14" s="23">
        <f t="shared" si="3"/>
        <v>7.6863317905164711E-4</v>
      </c>
      <c r="P14" s="24">
        <f t="shared" si="4"/>
        <v>2.7670794445859297</v>
      </c>
      <c r="Q14" s="24">
        <f t="shared" si="5"/>
        <v>1.6653744166180102</v>
      </c>
      <c r="S14" s="25">
        <f t="shared" si="6"/>
        <v>9.0442370648580095</v>
      </c>
      <c r="T14" s="25">
        <f t="shared" si="7"/>
        <v>11.987085964002979</v>
      </c>
      <c r="V14" s="23">
        <f t="shared" si="8"/>
        <v>-1.2594276291723595E-2</v>
      </c>
      <c r="W14" s="23">
        <f t="shared" si="13"/>
        <v>0.10014539713126391</v>
      </c>
      <c r="X14" s="23">
        <f t="shared" si="9"/>
        <v>0.15681822949208088</v>
      </c>
      <c r="Z14" s="23">
        <f t="shared" si="10"/>
        <v>-3.4765633474320368E-6</v>
      </c>
      <c r="AA14" s="23">
        <f t="shared" si="11"/>
        <v>2.9311689188024102E-5</v>
      </c>
      <c r="AB14" s="21">
        <f t="shared" si="12"/>
        <v>4.7381311345929614E-5</v>
      </c>
    </row>
    <row r="15" spans="1:28" s="21" customFormat="1" x14ac:dyDescent="0.3">
      <c r="A15" s="21">
        <v>13</v>
      </c>
      <c r="B15" s="21" t="s">
        <v>36</v>
      </c>
      <c r="C15" s="21" t="s">
        <v>37</v>
      </c>
      <c r="D15" s="22">
        <v>45110.02847222222</v>
      </c>
      <c r="E15" s="21">
        <v>0</v>
      </c>
      <c r="F15" s="21">
        <v>142</v>
      </c>
      <c r="G15" s="21">
        <v>0.76558943059950102</v>
      </c>
      <c r="H15" s="21">
        <v>8.4646785909480004E-3</v>
      </c>
      <c r="I15" s="21">
        <v>5.3914748633767601E-3</v>
      </c>
      <c r="J15" s="21">
        <v>3600</v>
      </c>
      <c r="K15" s="21">
        <v>405</v>
      </c>
      <c r="L15" s="21">
        <v>405.01</v>
      </c>
      <c r="N15" s="21">
        <f t="shared" si="2"/>
        <v>1786241434765.2954</v>
      </c>
      <c r="O15" s="23">
        <f t="shared" si="3"/>
        <v>7.1825802082489242E-4</v>
      </c>
      <c r="P15" s="24">
        <f t="shared" si="4"/>
        <v>2.5857288749696128</v>
      </c>
      <c r="Q15" s="24">
        <f t="shared" si="5"/>
        <v>0.48279970345761153</v>
      </c>
      <c r="S15" s="25">
        <f t="shared" si="6"/>
        <v>11.987085964002979</v>
      </c>
      <c r="T15" s="25">
        <f t="shared" si="7"/>
        <v>12.75267539460248</v>
      </c>
      <c r="V15" s="23">
        <f t="shared" si="8"/>
        <v>-3.6314541307998528E-2</v>
      </c>
      <c r="W15" s="23">
        <f t="shared" si="13"/>
        <v>2.8952536379209037E-2</v>
      </c>
      <c r="X15" s="23">
        <f t="shared" si="9"/>
        <v>4.7210724671179094E-2</v>
      </c>
      <c r="Z15" s="23">
        <f t="shared" si="10"/>
        <v>-9.9085302938511103E-6</v>
      </c>
      <c r="AA15" s="23">
        <f t="shared" si="11"/>
        <v>8.1610918640544073E-6</v>
      </c>
      <c r="AB15" s="21">
        <f t="shared" si="12"/>
        <v>1.3433754710142907E-5</v>
      </c>
    </row>
    <row r="16" spans="1:28" s="21" customFormat="1" x14ac:dyDescent="0.3">
      <c r="A16" s="21">
        <v>14</v>
      </c>
      <c r="B16" s="21" t="s">
        <v>38</v>
      </c>
      <c r="C16" s="21" t="s">
        <v>39</v>
      </c>
      <c r="D16" s="22">
        <v>45110.131249999999</v>
      </c>
      <c r="E16" s="21">
        <v>0</v>
      </c>
      <c r="F16" s="21">
        <v>42.8</v>
      </c>
      <c r="G16" s="21">
        <v>0.231688649175465</v>
      </c>
      <c r="H16" s="21">
        <v>2.6516199992115E-3</v>
      </c>
      <c r="I16" s="21">
        <v>5.4132861956884496E-3</v>
      </c>
      <c r="J16" s="21">
        <v>4800</v>
      </c>
      <c r="K16" s="21">
        <v>395</v>
      </c>
      <c r="L16" s="21">
        <v>395</v>
      </c>
      <c r="N16" s="21">
        <f t="shared" si="2"/>
        <v>1690419506605.4556</v>
      </c>
      <c r="O16" s="23">
        <f t="shared" si="3"/>
        <v>6.6969211247719471E-4</v>
      </c>
      <c r="P16" s="24">
        <f t="shared" si="4"/>
        <v>3.2145221398905348</v>
      </c>
      <c r="Q16" s="24">
        <f t="shared" si="5"/>
        <v>0.10462241266502646</v>
      </c>
      <c r="S16" s="25">
        <f t="shared" si="6"/>
        <v>12.75267539460248</v>
      </c>
      <c r="T16" s="25">
        <f t="shared" si="7"/>
        <v>12.984364043777946</v>
      </c>
      <c r="V16" s="23">
        <f t="shared" si="8"/>
        <v>-9.9668898405308563E-3</v>
      </c>
      <c r="W16" s="23">
        <f t="shared" si="13"/>
        <v>9.023083702683057E-3</v>
      </c>
      <c r="X16" s="23">
        <f t="shared" si="9"/>
        <v>1.3097589683069901E-2</v>
      </c>
      <c r="Z16" s="23">
        <f t="shared" si="10"/>
        <v>-2.0661558291057491E-6</v>
      </c>
      <c r="AA16" s="23">
        <f t="shared" si="11"/>
        <v>1.888341305460647E-6</v>
      </c>
      <c r="AB16" s="21">
        <f t="shared" si="12"/>
        <v>2.7466915616564875E-6</v>
      </c>
    </row>
    <row r="17" spans="1:28" s="21" customFormat="1" x14ac:dyDescent="0.3">
      <c r="A17" s="21">
        <v>15</v>
      </c>
      <c r="B17" s="21" t="s">
        <v>40</v>
      </c>
      <c r="C17" s="21" t="s">
        <v>41</v>
      </c>
      <c r="D17" s="22">
        <v>45110.238194444442</v>
      </c>
      <c r="E17" s="21">
        <v>0</v>
      </c>
      <c r="F17" s="21">
        <v>20.9</v>
      </c>
      <c r="G17" s="21">
        <v>0.113187457834956</v>
      </c>
      <c r="H17" s="21">
        <v>1.30378170169202E-3</v>
      </c>
      <c r="I17" s="21">
        <v>5.4156678389931396E-3</v>
      </c>
      <c r="J17" s="21">
        <v>6000</v>
      </c>
      <c r="K17" s="21">
        <v>385</v>
      </c>
      <c r="L17" s="21">
        <v>385.01</v>
      </c>
      <c r="N17" s="21">
        <f t="shared" si="2"/>
        <v>1597240482337.4172</v>
      </c>
      <c r="O17" s="23">
        <f t="shared" si="3"/>
        <v>6.2331421102027691E-4</v>
      </c>
      <c r="P17" s="24">
        <f t="shared" si="4"/>
        <v>3.7398852661216613</v>
      </c>
      <c r="Q17" s="24">
        <f t="shared" si="5"/>
        <v>4.1311021025042458E-2</v>
      </c>
      <c r="S17" s="25">
        <f t="shared" si="6"/>
        <v>12.984364043777946</v>
      </c>
      <c r="T17" s="25">
        <f t="shared" si="7"/>
        <v>13.097551501612902</v>
      </c>
      <c r="V17" s="23">
        <f t="shared" si="8"/>
        <v>3.3799142071439388E-4</v>
      </c>
      <c r="W17" s="23">
        <f t="shared" si="13"/>
        <v>4.4482070729019848E-3</v>
      </c>
      <c r="X17" s="23">
        <f t="shared" si="9"/>
        <v>6.071708293155076E-3</v>
      </c>
      <c r="Z17" s="23">
        <f t="shared" si="10"/>
        <v>5.6341425448076255E-8</v>
      </c>
      <c r="AA17" s="23">
        <f t="shared" si="11"/>
        <v>7.4302163040471639E-7</v>
      </c>
      <c r="AB17" s="21">
        <f t="shared" si="12"/>
        <v>1.0150360113092078E-6</v>
      </c>
    </row>
    <row r="18" spans="1:28" x14ac:dyDescent="0.3">
      <c r="A18">
        <v>16</v>
      </c>
      <c r="B18" t="s">
        <v>42</v>
      </c>
      <c r="C18" t="s">
        <v>43</v>
      </c>
      <c r="D18" s="13">
        <v>45110.340277777781</v>
      </c>
      <c r="E18">
        <v>0</v>
      </c>
      <c r="F18">
        <v>14.5</v>
      </c>
      <c r="G18">
        <v>7.8205438957621096E-2</v>
      </c>
      <c r="H18">
        <v>9.0386798068224498E-4</v>
      </c>
      <c r="I18">
        <v>5.3934785488014498E-3</v>
      </c>
      <c r="J18">
        <v>7200</v>
      </c>
      <c r="K18">
        <v>375</v>
      </c>
      <c r="L18">
        <v>374.94</v>
      </c>
      <c r="N18">
        <f t="shared" si="2"/>
        <v>1505845689916.9834</v>
      </c>
      <c r="O18" s="14">
        <f t="shared" si="3"/>
        <v>5.7865470357241014E-4</v>
      </c>
      <c r="P18" s="11">
        <f t="shared" si="4"/>
        <v>4.166313865721353</v>
      </c>
      <c r="Q18" s="11">
        <f t="shared" si="5"/>
        <v>2.4699206166601633E-2</v>
      </c>
      <c r="S18" s="15">
        <f t="shared" si="6"/>
        <v>13.097551501612902</v>
      </c>
      <c r="T18" s="15">
        <f t="shared" si="7"/>
        <v>13.175756940570523</v>
      </c>
      <c r="V18" s="14">
        <f t="shared" si="8"/>
        <v>1.4587883983313368E-3</v>
      </c>
      <c r="W18" s="14">
        <f t="shared" si="13"/>
        <v>3.0871646285040464E-3</v>
      </c>
      <c r="X18" s="14">
        <f t="shared" si="9"/>
        <v>4.0621673475729992E-3</v>
      </c>
      <c r="Z18" s="14">
        <f t="shared" si="10"/>
        <v>2.0275742584146601E-7</v>
      </c>
      <c r="AA18" s="14">
        <f t="shared" si="11"/>
        <v>4.2943607659519599E-7</v>
      </c>
      <c r="AB18">
        <f t="shared" si="12"/>
        <v>5.6533893905519068E-7</v>
      </c>
    </row>
    <row r="19" spans="1:28" s="16" customFormat="1" x14ac:dyDescent="0.3">
      <c r="A19" s="16">
        <v>17</v>
      </c>
      <c r="B19" s="16" t="s">
        <v>44</v>
      </c>
      <c r="C19" s="16" t="s">
        <v>45</v>
      </c>
      <c r="D19" s="17">
        <v>45110.460416666669</v>
      </c>
      <c r="E19" s="16">
        <v>0</v>
      </c>
      <c r="F19" s="16">
        <v>11.9</v>
      </c>
      <c r="G19" s="16">
        <v>6.3875680212964595E-2</v>
      </c>
      <c r="H19" s="16">
        <v>7.4100219373123802E-4</v>
      </c>
      <c r="I19" s="16">
        <v>5.3677042195768602E-3</v>
      </c>
      <c r="J19" s="16">
        <v>6600</v>
      </c>
      <c r="K19" s="16">
        <v>380</v>
      </c>
      <c r="L19" s="16">
        <v>380.04999999999899</v>
      </c>
      <c r="N19" s="16">
        <f t="shared" si="2"/>
        <v>1551903118685.9316</v>
      </c>
      <c r="O19" s="18">
        <f t="shared" si="3"/>
        <v>6.0105645487957778E-4</v>
      </c>
      <c r="P19" s="19">
        <f t="shared" si="4"/>
        <v>3.9669726022052134</v>
      </c>
      <c r="Q19" s="19">
        <f>G19/((O19*J19)-1) + (Q18*EXP(-P19))</f>
        <v>2.1996480209879984E-2</v>
      </c>
      <c r="S19" s="20">
        <f t="shared" si="6"/>
        <v>13.175756940570523</v>
      </c>
      <c r="T19" s="20">
        <f t="shared" si="7"/>
        <v>13.239632620783487</v>
      </c>
      <c r="V19" s="18">
        <f t="shared" si="8"/>
        <v>1.5528015200836206E-3</v>
      </c>
      <c r="W19" s="18">
        <f t="shared" si="13"/>
        <v>2.5293048800809166E-3</v>
      </c>
      <c r="X19" s="18">
        <f t="shared" si="9"/>
        <v>3.4003062463906029E-3</v>
      </c>
      <c r="Z19" s="18">
        <f t="shared" si="10"/>
        <v>2.3545581300814906E-7</v>
      </c>
      <c r="AA19" s="18">
        <f t="shared" si="11"/>
        <v>3.8371348114631823E-7</v>
      </c>
      <c r="AB19" s="16">
        <f t="shared" si="12"/>
        <v>5.1607582213041521E-7</v>
      </c>
    </row>
    <row r="20" spans="1:28" s="16" customFormat="1" x14ac:dyDescent="0.3">
      <c r="A20" s="16">
        <v>18</v>
      </c>
      <c r="B20" s="16" t="s">
        <v>46</v>
      </c>
      <c r="C20" s="16" t="s">
        <v>47</v>
      </c>
      <c r="D20" s="17">
        <v>45110.541666666664</v>
      </c>
      <c r="E20" s="16">
        <v>0</v>
      </c>
      <c r="F20" s="16">
        <v>13.5</v>
      </c>
      <c r="G20" s="16">
        <v>7.2120306438760898E-2</v>
      </c>
      <c r="H20" s="16">
        <v>8.3942931748248598E-4</v>
      </c>
      <c r="I20" s="16">
        <v>5.3422449213896897E-3</v>
      </c>
      <c r="J20" s="16">
        <v>5400</v>
      </c>
      <c r="K20" s="16">
        <v>390</v>
      </c>
      <c r="L20" s="16">
        <v>389.98</v>
      </c>
      <c r="N20" s="16">
        <f t="shared" si="2"/>
        <v>1643287452618.8992</v>
      </c>
      <c r="O20" s="18">
        <f t="shared" si="3"/>
        <v>6.4612745057740614E-4</v>
      </c>
      <c r="P20" s="19">
        <f t="shared" si="4"/>
        <v>3.4890882331179931</v>
      </c>
      <c r="Q20" s="19">
        <f t="shared" ref="Q20:Q22" si="14">G20/((O20*J20)-1) + (Q19*EXP(-P20))</f>
        <v>2.9646111981331123E-2</v>
      </c>
      <c r="S20" s="20">
        <f t="shared" si="6"/>
        <v>13.239632620783487</v>
      </c>
      <c r="T20" s="20">
        <f t="shared" si="7"/>
        <v>13.311752927222248</v>
      </c>
      <c r="V20" s="18">
        <f t="shared" si="8"/>
        <v>1.9915403515791022E-3</v>
      </c>
      <c r="W20" s="18">
        <f t="shared" si="13"/>
        <v>2.8630112992422754E-3</v>
      </c>
      <c r="X20" s="18">
        <f t="shared" si="9"/>
        <v>4.0398941741538515E-3</v>
      </c>
      <c r="Z20" s="18">
        <f t="shared" si="10"/>
        <v>3.691715009213197E-7</v>
      </c>
      <c r="AA20" s="18">
        <f t="shared" si="11"/>
        <v>5.3094769545743472E-7</v>
      </c>
      <c r="AB20" s="16">
        <f t="shared" si="12"/>
        <v>7.4964381323298467E-7</v>
      </c>
    </row>
    <row r="21" spans="1:28" s="16" customFormat="1" x14ac:dyDescent="0.3">
      <c r="A21" s="16">
        <v>19</v>
      </c>
      <c r="B21" s="16" t="s">
        <v>48</v>
      </c>
      <c r="C21" s="16" t="s">
        <v>49</v>
      </c>
      <c r="D21" s="17">
        <v>45110.609027777777</v>
      </c>
      <c r="E21" s="16">
        <v>0</v>
      </c>
      <c r="F21" s="16">
        <v>17.7</v>
      </c>
      <c r="G21" s="16">
        <v>9.4324469648867801E-2</v>
      </c>
      <c r="H21" s="16">
        <v>1.09935052916742E-3</v>
      </c>
      <c r="I21" s="16">
        <v>5.32906608185694E-3</v>
      </c>
      <c r="J21" s="16">
        <v>4200</v>
      </c>
      <c r="K21" s="16">
        <v>400</v>
      </c>
      <c r="L21" s="16">
        <v>400.06999999999903</v>
      </c>
      <c r="N21" s="16">
        <f t="shared" si="2"/>
        <v>1738648677996.4001</v>
      </c>
      <c r="O21" s="18">
        <f t="shared" si="3"/>
        <v>6.9402688469051544E-4</v>
      </c>
      <c r="P21" s="19">
        <f t="shared" si="4"/>
        <v>2.9149129157001648</v>
      </c>
      <c r="Q21" s="19">
        <f t="shared" si="14"/>
        <v>5.0864916438749186E-2</v>
      </c>
      <c r="S21" s="20">
        <f t="shared" si="6"/>
        <v>13.311752927222248</v>
      </c>
      <c r="T21" s="20">
        <f t="shared" si="7"/>
        <v>13.406077396871115</v>
      </c>
      <c r="V21" s="18">
        <f t="shared" si="8"/>
        <v>2.577997783479574E-3</v>
      </c>
      <c r="W21" s="18">
        <f t="shared" si="13"/>
        <v>3.7552170490071043E-3</v>
      </c>
      <c r="X21" s="18">
        <f t="shared" si="9"/>
        <v>5.7802356058901903E-3</v>
      </c>
      <c r="Z21" s="18">
        <f t="shared" si="10"/>
        <v>6.1460155762322614E-7</v>
      </c>
      <c r="AA21" s="18">
        <f t="shared" si="11"/>
        <v>8.9578228047749593E-7</v>
      </c>
      <c r="AB21" s="16">
        <f t="shared" si="12"/>
        <v>1.3802394816225437E-6</v>
      </c>
    </row>
    <row r="22" spans="1:28" s="16" customFormat="1" x14ac:dyDescent="0.3">
      <c r="A22" s="16">
        <v>20</v>
      </c>
      <c r="B22" s="16" t="s">
        <v>50</v>
      </c>
      <c r="C22" s="16" t="s">
        <v>51</v>
      </c>
      <c r="D22" s="17">
        <v>45110.670138888891</v>
      </c>
      <c r="E22" s="16">
        <v>0</v>
      </c>
      <c r="F22" s="16">
        <v>18.100000000000001</v>
      </c>
      <c r="G22" s="16">
        <v>9.6318349421472299E-2</v>
      </c>
      <c r="H22" s="16">
        <v>1.1228103540310999E-3</v>
      </c>
      <c r="I22" s="16">
        <v>5.3214557691421199E-3</v>
      </c>
      <c r="J22" s="16">
        <v>3600</v>
      </c>
      <c r="K22" s="16">
        <v>410</v>
      </c>
      <c r="L22" s="16">
        <v>409.99</v>
      </c>
      <c r="N22" s="16">
        <f t="shared" si="2"/>
        <v>1834812644104.2656</v>
      </c>
      <c r="O22" s="18">
        <f t="shared" si="3"/>
        <v>7.432078618981844E-4</v>
      </c>
      <c r="P22" s="19">
        <f t="shared" si="4"/>
        <v>2.6755483028334637</v>
      </c>
      <c r="Q22" s="19">
        <f t="shared" si="14"/>
        <v>6.0987693698995572E-2</v>
      </c>
      <c r="S22" s="20">
        <f t="shared" si="6"/>
        <v>13.406077396871115</v>
      </c>
      <c r="T22" s="20">
        <f t="shared" si="7"/>
        <v>13.502395746292587</v>
      </c>
      <c r="V22" s="18">
        <f t="shared" si="8"/>
        <v>1.8200988262221645E-3</v>
      </c>
      <c r="W22" s="18">
        <f t="shared" si="13"/>
        <v>3.8490508042663568E-3</v>
      </c>
      <c r="X22" s="18">
        <f t="shared" si="9"/>
        <v>6.2862264088364385E-3</v>
      </c>
      <c r="Z22" s="18">
        <f t="shared" si="10"/>
        <v>5.0604367185788272E-7</v>
      </c>
      <c r="AA22" s="18">
        <f t="shared" si="11"/>
        <v>1.0712437398604414E-6</v>
      </c>
      <c r="AB22" s="16">
        <f t="shared" si="12"/>
        <v>1.7516855349870544E-6</v>
      </c>
    </row>
    <row r="23" spans="1:28" s="26" customFormat="1" x14ac:dyDescent="0.3">
      <c r="A23" s="26">
        <v>21</v>
      </c>
      <c r="B23" s="26" t="s">
        <v>52</v>
      </c>
      <c r="C23" s="26" t="s">
        <v>53</v>
      </c>
      <c r="D23" s="28">
        <v>45111.044444444444</v>
      </c>
      <c r="E23" s="26">
        <v>0</v>
      </c>
      <c r="F23" s="26">
        <v>0.17399999999999999</v>
      </c>
      <c r="G23" s="26">
        <v>9.3319482226923896E-4</v>
      </c>
      <c r="H23" s="27">
        <v>1.04228156570981E-5</v>
      </c>
      <c r="I23" s="26">
        <v>5.3631886337312598E-3</v>
      </c>
      <c r="J23" s="26">
        <v>3600</v>
      </c>
      <c r="K23" s="26">
        <v>22</v>
      </c>
      <c r="L23" s="26">
        <v>29.11</v>
      </c>
      <c r="N23" s="26">
        <f t="shared" si="2"/>
        <v>18351222090.414238</v>
      </c>
      <c r="O23" s="27">
        <f t="shared" si="3"/>
        <v>3.2880189955827609E-6</v>
      </c>
      <c r="P23" s="29">
        <f t="shared" si="4"/>
        <v>1.183686838409794E-2</v>
      </c>
      <c r="Q23" s="29">
        <f>Q22-G23</f>
        <v>6.0054498876726335E-2</v>
      </c>
      <c r="S23" s="30">
        <f t="shared" si="6"/>
        <v>13.502395746292587</v>
      </c>
      <c r="T23" s="30">
        <f t="shared" si="7"/>
        <v>13.503328941114855</v>
      </c>
      <c r="V23" s="27">
        <f t="shared" si="8"/>
        <v>-2.4150651429317737E-3</v>
      </c>
      <c r="W23" s="27">
        <f t="shared" si="13"/>
        <v>3.7436201761364511E-5</v>
      </c>
      <c r="X23" s="27">
        <f t="shared" si="9"/>
        <v>2.4465926640312831E-3</v>
      </c>
      <c r="Z23" s="27">
        <f t="shared" si="10"/>
        <v>-6.700426555395282E-7</v>
      </c>
      <c r="AA23" s="27">
        <f t="shared" si="11"/>
        <v>1.0399139587061632E-8</v>
      </c>
      <c r="AB23" s="26">
        <f t="shared" si="12"/>
        <v>6.8044179512658862E-7</v>
      </c>
    </row>
    <row r="24" spans="1:28" s="16" customFormat="1" x14ac:dyDescent="0.3">
      <c r="A24" s="16">
        <v>22</v>
      </c>
      <c r="B24" s="16" t="s">
        <v>54</v>
      </c>
      <c r="C24" s="16" t="s">
        <v>55</v>
      </c>
      <c r="D24" s="17">
        <v>45111.167361111111</v>
      </c>
      <c r="E24" s="16">
        <v>0</v>
      </c>
      <c r="F24" s="16">
        <v>17.2</v>
      </c>
      <c r="G24" s="16">
        <v>9.2754185167726905E-2</v>
      </c>
      <c r="H24" s="16">
        <v>1.00789056304695E-3</v>
      </c>
      <c r="I24" s="16">
        <v>5.3926851841701699E-3</v>
      </c>
      <c r="J24" s="16">
        <v>3600</v>
      </c>
      <c r="K24" s="16">
        <v>300</v>
      </c>
      <c r="L24" s="16">
        <v>291.82999999999902</v>
      </c>
      <c r="N24" s="16">
        <f t="shared" si="2"/>
        <v>854555463135.45251</v>
      </c>
      <c r="O24" s="18">
        <f t="shared" si="3"/>
        <v>2.8626103439402149E-4</v>
      </c>
      <c r="P24" s="19">
        <f t="shared" si="4"/>
        <v>1.0305397238184772</v>
      </c>
      <c r="Q24" s="19">
        <f>G24/((O24*J24)-1) + (Q23*EXP(-P24))</f>
        <v>3.0585934653038809</v>
      </c>
      <c r="S24" s="20">
        <f t="shared" si="6"/>
        <v>13.503328941114855</v>
      </c>
      <c r="T24" s="20">
        <f t="shared" si="7"/>
        <v>13.596083126282583</v>
      </c>
      <c r="V24" s="18">
        <f t="shared" si="8"/>
        <v>1.3150034389314402E-3</v>
      </c>
      <c r="W24" s="18">
        <f t="shared" si="13"/>
        <v>3.7210819266082686E-3</v>
      </c>
      <c r="X24" s="18">
        <f t="shared" si="9"/>
        <v>0.12642472968119445</v>
      </c>
      <c r="Z24" s="18">
        <f t="shared" si="10"/>
        <v>3.6551911519024548E-7</v>
      </c>
      <c r="AA24" s="18">
        <f t="shared" si="11"/>
        <v>1.0355617707297724E-6</v>
      </c>
      <c r="AB24" s="16">
        <f t="shared" si="12"/>
        <v>3.7544717271505393E-5</v>
      </c>
    </row>
    <row r="25" spans="1:28" s="16" customFormat="1" x14ac:dyDescent="0.3">
      <c r="A25" s="16">
        <v>23</v>
      </c>
      <c r="B25" s="16" t="s">
        <v>56</v>
      </c>
      <c r="C25" s="16" t="s">
        <v>57</v>
      </c>
      <c r="D25" s="17">
        <v>45111.244444444441</v>
      </c>
      <c r="E25" s="16">
        <v>0</v>
      </c>
      <c r="F25" s="16">
        <v>49.8</v>
      </c>
      <c r="G25" s="16">
        <v>0.26962782587688999</v>
      </c>
      <c r="H25" s="16">
        <v>2.8715698676732501E-3</v>
      </c>
      <c r="I25" s="16">
        <v>5.4142133710218896E-3</v>
      </c>
      <c r="J25" s="16">
        <v>3600</v>
      </c>
      <c r="K25" s="16">
        <v>350</v>
      </c>
      <c r="L25" s="16">
        <v>345.17</v>
      </c>
      <c r="N25" s="16">
        <f t="shared" si="2"/>
        <v>1250988960942.1104</v>
      </c>
      <c r="O25" s="18">
        <f t="shared" si="3"/>
        <v>4.586333460611447E-4</v>
      </c>
      <c r="P25" s="19">
        <f t="shared" si="4"/>
        <v>1.6510800458201209</v>
      </c>
      <c r="Q25" s="19">
        <f t="shared" ref="Q25:Q34" si="15">G25/((O25*J25)-1) + (Q24*EXP(-P25))</f>
        <v>1.0008924440646954</v>
      </c>
      <c r="S25" s="20">
        <f t="shared" si="6"/>
        <v>13.596083126282583</v>
      </c>
      <c r="T25" s="20">
        <f t="shared" si="7"/>
        <v>13.865710952159473</v>
      </c>
      <c r="V25" s="18">
        <f t="shared" si="8"/>
        <v>-0.12807918335437407</v>
      </c>
      <c r="W25" s="18">
        <f t="shared" si="13"/>
        <v>1.0857241217644822E-2</v>
      </c>
      <c r="X25" s="18">
        <f t="shared" si="9"/>
        <v>5.1160687877079128E-2</v>
      </c>
      <c r="Z25" s="18">
        <f t="shared" si="10"/>
        <v>-3.3476763505916384E-5</v>
      </c>
      <c r="AA25" s="18">
        <f t="shared" si="11"/>
        <v>3.0323919948592272E-6</v>
      </c>
      <c r="AB25" s="16">
        <f t="shared" si="12"/>
        <v>1.4587727243867196E-5</v>
      </c>
    </row>
    <row r="26" spans="1:28" s="16" customFormat="1" x14ac:dyDescent="0.3">
      <c r="A26" s="16">
        <v>24</v>
      </c>
      <c r="B26" s="16" t="s">
        <v>58</v>
      </c>
      <c r="C26" s="16" t="s">
        <v>59</v>
      </c>
      <c r="D26" s="17">
        <v>45111.320833333331</v>
      </c>
      <c r="E26" s="16">
        <v>0</v>
      </c>
      <c r="F26" s="16">
        <v>183</v>
      </c>
      <c r="G26" s="16">
        <v>0.99313397072718801</v>
      </c>
      <c r="H26" s="16">
        <v>1.04514567972455E-2</v>
      </c>
      <c r="I26" s="16">
        <v>5.4269615886731598E-3</v>
      </c>
      <c r="J26" s="16">
        <v>3600</v>
      </c>
      <c r="K26" s="16">
        <v>375</v>
      </c>
      <c r="L26" s="16">
        <v>374.99</v>
      </c>
      <c r="N26" s="16">
        <f t="shared" si="2"/>
        <v>1506293127999.2534</v>
      </c>
      <c r="O26" s="18">
        <f t="shared" si="3"/>
        <v>5.7887130829399982E-4</v>
      </c>
      <c r="P26" s="19">
        <f t="shared" si="4"/>
        <v>2.0839367098583992</v>
      </c>
      <c r="Q26" s="19">
        <f t="shared" si="15"/>
        <v>1.0407791646098494</v>
      </c>
      <c r="S26" s="20">
        <f t="shared" si="6"/>
        <v>13.865710952159473</v>
      </c>
      <c r="T26" s="20">
        <f t="shared" si="7"/>
        <v>14.858844922886661</v>
      </c>
      <c r="V26" s="18">
        <f t="shared" si="8"/>
        <v>-3.292595489507703E-4</v>
      </c>
      <c r="W26" s="18">
        <f t="shared" si="13"/>
        <v>4.042999041384817E-2</v>
      </c>
      <c r="X26" s="18">
        <f t="shared" si="9"/>
        <v>8.2799592993546917E-2</v>
      </c>
      <c r="Z26" s="18">
        <f t="shared" si="10"/>
        <v>-9.1445931922533452E-8</v>
      </c>
      <c r="AA26" s="18">
        <f t="shared" si="11"/>
        <v>1.1463889317085453E-5</v>
      </c>
      <c r="AB26" s="16">
        <f t="shared" si="12"/>
        <v>2.4008134513785426E-5</v>
      </c>
    </row>
    <row r="27" spans="1:28" s="16" customFormat="1" x14ac:dyDescent="0.3">
      <c r="A27" s="16">
        <v>25</v>
      </c>
      <c r="B27" s="16" t="s">
        <v>60</v>
      </c>
      <c r="C27" s="16" t="s">
        <v>61</v>
      </c>
      <c r="D27" s="17">
        <v>45111.397916666669</v>
      </c>
      <c r="E27" s="16">
        <v>0</v>
      </c>
      <c r="F27" s="16">
        <v>380</v>
      </c>
      <c r="G27" s="16">
        <v>2.0662898092642101</v>
      </c>
      <c r="H27" s="16">
        <v>2.1528707014825701E-2</v>
      </c>
      <c r="I27" s="16">
        <v>5.4376047612216096E-3</v>
      </c>
      <c r="J27" s="16">
        <v>3600</v>
      </c>
      <c r="K27" s="16">
        <v>400</v>
      </c>
      <c r="L27" s="16">
        <v>400.02</v>
      </c>
      <c r="N27" s="16">
        <f t="shared" si="2"/>
        <v>1738169987401.9907</v>
      </c>
      <c r="O27" s="18">
        <f t="shared" si="3"/>
        <v>6.9378426025891579E-4</v>
      </c>
      <c r="P27" s="19">
        <f t="shared" si="4"/>
        <v>2.4976233369320968</v>
      </c>
      <c r="Q27" s="19">
        <f t="shared" si="15"/>
        <v>1.4653482558813324</v>
      </c>
      <c r="S27" s="20">
        <f t="shared" si="6"/>
        <v>14.858844922886661</v>
      </c>
      <c r="T27" s="20">
        <f t="shared" si="7"/>
        <v>16.92513473215087</v>
      </c>
      <c r="V27" s="18">
        <f t="shared" si="8"/>
        <v>4.5516801345744165E-2</v>
      </c>
      <c r="W27" s="18">
        <f t="shared" si="13"/>
        <v>8.7661796908310871E-2</v>
      </c>
      <c r="X27" s="18">
        <f t="shared" si="9"/>
        <v>0.14982880786248035</v>
      </c>
      <c r="Z27" s="18">
        <f t="shared" si="10"/>
        <v>1.2940343949801577E-5</v>
      </c>
      <c r="AA27" s="18">
        <f t="shared" si="11"/>
        <v>2.5484589146501558E-5</v>
      </c>
      <c r="AB27" s="16">
        <f t="shared" si="12"/>
        <v>4.508820757272489E-5</v>
      </c>
    </row>
    <row r="28" spans="1:28" s="16" customFormat="1" x14ac:dyDescent="0.3">
      <c r="A28" s="16">
        <v>26</v>
      </c>
      <c r="B28" s="16" t="s">
        <v>62</v>
      </c>
      <c r="C28" s="16" t="s">
        <v>63</v>
      </c>
      <c r="D28" s="17">
        <v>45111.474999999999</v>
      </c>
      <c r="E28" s="16">
        <v>0</v>
      </c>
      <c r="F28" s="16">
        <v>408</v>
      </c>
      <c r="G28" s="16">
        <v>2.2228172362037002</v>
      </c>
      <c r="H28" s="16">
        <v>2.2932179085672699E-2</v>
      </c>
      <c r="I28" s="16">
        <v>5.4480814612835804E-3</v>
      </c>
      <c r="J28" s="16">
        <v>3600</v>
      </c>
      <c r="K28" s="16">
        <v>415</v>
      </c>
      <c r="L28" s="16">
        <v>415.02</v>
      </c>
      <c r="N28" s="16">
        <f t="shared" si="2"/>
        <v>1884469237365.9695</v>
      </c>
      <c r="O28" s="18">
        <f t="shared" si="3"/>
        <v>7.6894334221118367E-4</v>
      </c>
      <c r="P28" s="19">
        <f t="shared" si="4"/>
        <v>2.7681960319602612</v>
      </c>
      <c r="Q28" s="19">
        <f t="shared" si="15"/>
        <v>1.3490976345654364</v>
      </c>
      <c r="S28" s="20">
        <f t="shared" si="6"/>
        <v>16.92513473215087</v>
      </c>
      <c r="T28" s="20">
        <f t="shared" si="7"/>
        <v>19.147951968354569</v>
      </c>
      <c r="V28" s="18">
        <f t="shared" si="8"/>
        <v>3.7798764305047861E-2</v>
      </c>
      <c r="W28" s="18">
        <f t="shared" si="13"/>
        <v>0.10336345792070249</v>
      </c>
      <c r="X28" s="18">
        <f t="shared" si="9"/>
        <v>0.16609798881694604</v>
      </c>
      <c r="Z28" s="18">
        <f t="shared" si="10"/>
        <v>1.0703240410670764E-5</v>
      </c>
      <c r="AA28" s="18">
        <f t="shared" si="11"/>
        <v>3.0306858836894076E-5</v>
      </c>
      <c r="AB28" s="16">
        <f t="shared" si="12"/>
        <v>5.0455382253458647E-5</v>
      </c>
    </row>
    <row r="29" spans="1:28" s="16" customFormat="1" x14ac:dyDescent="0.3">
      <c r="A29" s="16">
        <v>27</v>
      </c>
      <c r="B29" s="16" t="s">
        <v>64</v>
      </c>
      <c r="C29" s="16" t="s">
        <v>65</v>
      </c>
      <c r="D29" s="17">
        <v>45111.578472222223</v>
      </c>
      <c r="E29" s="16">
        <v>0</v>
      </c>
      <c r="F29" s="16">
        <v>523</v>
      </c>
      <c r="G29" s="16">
        <v>2.8501475839456001</v>
      </c>
      <c r="H29" s="16">
        <v>2.9383492826499699E-2</v>
      </c>
      <c r="I29" s="16">
        <v>5.4496129712153099E-3</v>
      </c>
      <c r="J29" s="16">
        <v>3600</v>
      </c>
      <c r="K29" s="16">
        <v>430</v>
      </c>
      <c r="L29" s="16">
        <v>429.92</v>
      </c>
      <c r="N29" s="16">
        <f t="shared" si="2"/>
        <v>2035021136772.5808</v>
      </c>
      <c r="O29" s="18">
        <f t="shared" si="3"/>
        <v>8.483577870582983E-4</v>
      </c>
      <c r="P29" s="19">
        <f t="shared" si="4"/>
        <v>3.0540880334098741</v>
      </c>
      <c r="Q29" s="19">
        <f t="shared" si="15"/>
        <v>1.4511800505983847</v>
      </c>
      <c r="S29" s="20">
        <f t="shared" si="6"/>
        <v>19.147951968354569</v>
      </c>
      <c r="T29" s="20">
        <f t="shared" si="7"/>
        <v>21.998099552300168</v>
      </c>
      <c r="V29" s="18">
        <f t="shared" si="8"/>
        <v>8.3703457386720817E-2</v>
      </c>
      <c r="W29" s="18">
        <f t="shared" si="13"/>
        <v>0.14781352993561561</v>
      </c>
      <c r="X29" s="18">
        <f t="shared" si="9"/>
        <v>0.22307421014016279</v>
      </c>
      <c r="Z29" s="18">
        <f t="shared" si="10"/>
        <v>2.4282008394992809E-5</v>
      </c>
      <c r="AA29" s="18">
        <f t="shared" si="11"/>
        <v>4.443053181155737E-5</v>
      </c>
      <c r="AB29" s="16">
        <f t="shared" si="12"/>
        <v>7.0114011589338701E-5</v>
      </c>
    </row>
    <row r="30" spans="1:28" s="16" customFormat="1" x14ac:dyDescent="0.3">
      <c r="A30" s="16">
        <v>28</v>
      </c>
      <c r="B30" s="16" t="s">
        <v>66</v>
      </c>
      <c r="C30" s="16" t="s">
        <v>67</v>
      </c>
      <c r="D30" s="17">
        <v>45111.655555555553</v>
      </c>
      <c r="E30" s="16">
        <v>0</v>
      </c>
      <c r="F30" s="16">
        <v>445</v>
      </c>
      <c r="G30" s="16">
        <v>2.4223360133062202</v>
      </c>
      <c r="H30" s="16">
        <v>2.5267649459722201E-2</v>
      </c>
      <c r="I30" s="16">
        <v>5.4434517152948799E-3</v>
      </c>
      <c r="J30" s="16">
        <v>3600</v>
      </c>
      <c r="K30" s="16">
        <v>420</v>
      </c>
      <c r="L30" s="16">
        <v>420.02</v>
      </c>
      <c r="N30" s="16">
        <f t="shared" si="2"/>
        <v>1934418182166.918</v>
      </c>
      <c r="O30" s="18">
        <f t="shared" si="3"/>
        <v>7.9506083341216772E-4</v>
      </c>
      <c r="P30" s="19">
        <f t="shared" si="4"/>
        <v>2.8622190002838037</v>
      </c>
      <c r="Q30" s="19">
        <f t="shared" si="15"/>
        <v>1.3837024177982213</v>
      </c>
      <c r="S30" s="20">
        <f t="shared" si="6"/>
        <v>21.998099552300168</v>
      </c>
      <c r="T30" s="20">
        <f t="shared" si="7"/>
        <v>24.42043556560639</v>
      </c>
      <c r="V30" s="18">
        <f t="shared" si="8"/>
        <v>6.4827053503764748E-2</v>
      </c>
      <c r="W30" s="18">
        <f t="shared" si="13"/>
        <v>0.14741666802425785</v>
      </c>
      <c r="X30" s="18">
        <f t="shared" si="9"/>
        <v>0.23162496895708845</v>
      </c>
      <c r="Z30" s="18">
        <f t="shared" si="10"/>
        <v>1.8617721467642052E-5</v>
      </c>
      <c r="AA30" s="18">
        <f t="shared" si="11"/>
        <v>4.4301201245423376E-5</v>
      </c>
      <c r="AB30" s="16">
        <f t="shared" si="12"/>
        <v>7.3188150931731514E-5</v>
      </c>
    </row>
    <row r="31" spans="1:28" s="16" customFormat="1" x14ac:dyDescent="0.3">
      <c r="A31" s="16">
        <v>29</v>
      </c>
      <c r="B31" s="16" t="s">
        <v>68</v>
      </c>
      <c r="C31" s="16" t="s">
        <v>69</v>
      </c>
      <c r="D31" s="17">
        <v>45111.732638888891</v>
      </c>
      <c r="E31" s="16">
        <v>0</v>
      </c>
      <c r="F31" s="16">
        <v>272</v>
      </c>
      <c r="G31" s="16">
        <v>1.47574315435855</v>
      </c>
      <c r="H31" s="16">
        <v>1.5923494426620902E-2</v>
      </c>
      <c r="I31" s="16">
        <v>5.4255263027888001E-3</v>
      </c>
      <c r="J31" s="16">
        <v>3600</v>
      </c>
      <c r="K31" s="16">
        <v>410</v>
      </c>
      <c r="L31" s="16">
        <v>410.03</v>
      </c>
      <c r="N31" s="16">
        <f t="shared" si="2"/>
        <v>1835205167089.9534</v>
      </c>
      <c r="O31" s="18">
        <f t="shared" si="3"/>
        <v>7.4341039300213009E-4</v>
      </c>
      <c r="P31" s="19">
        <f t="shared" si="4"/>
        <v>2.6762774148076685</v>
      </c>
      <c r="Q31" s="19">
        <f t="shared" si="15"/>
        <v>0.97559411383921846</v>
      </c>
      <c r="S31" s="20">
        <f t="shared" si="6"/>
        <v>24.42043556560639</v>
      </c>
      <c r="T31" s="20">
        <f t="shared" si="7"/>
        <v>25.89617871996494</v>
      </c>
      <c r="V31" s="18">
        <f t="shared" si="8"/>
        <v>7.2898576302632342E-3</v>
      </c>
      <c r="W31" s="18">
        <f t="shared" si="13"/>
        <v>0.10533826096231706</v>
      </c>
      <c r="X31" s="18">
        <f t="shared" si="9"/>
        <v>0.1749759801368066</v>
      </c>
      <c r="Z31" s="18">
        <f t="shared" si="10"/>
        <v>2.032377356987863E-6</v>
      </c>
      <c r="AA31" s="18">
        <f t="shared" si="11"/>
        <v>3.0919327043296036E-5</v>
      </c>
      <c r="AB31" s="16">
        <f t="shared" si="12"/>
        <v>5.3428549468222242E-5</v>
      </c>
    </row>
    <row r="32" spans="1:28" s="16" customFormat="1" x14ac:dyDescent="0.3">
      <c r="A32" s="16">
        <v>30</v>
      </c>
      <c r="B32" s="16" t="s">
        <v>70</v>
      </c>
      <c r="C32" s="16" t="s">
        <v>71</v>
      </c>
      <c r="D32" s="17">
        <v>45111.810416666667</v>
      </c>
      <c r="E32" s="16">
        <v>0</v>
      </c>
      <c r="F32" s="16">
        <v>145</v>
      </c>
      <c r="G32" s="16">
        <v>0.78445511094112497</v>
      </c>
      <c r="H32" s="16">
        <v>8.7125784437066898E-3</v>
      </c>
      <c r="I32" s="16">
        <v>5.4100352478698198E-3</v>
      </c>
      <c r="J32" s="16">
        <v>3600</v>
      </c>
      <c r="K32" s="16">
        <v>400</v>
      </c>
      <c r="L32" s="16">
        <v>400.05999999999898</v>
      </c>
      <c r="N32" s="16">
        <f t="shared" si="2"/>
        <v>1738552935022.3926</v>
      </c>
      <c r="O32" s="18">
        <f t="shared" si="3"/>
        <v>6.9397835559500704E-4</v>
      </c>
      <c r="P32" s="19">
        <f t="shared" si="4"/>
        <v>2.4983220801420254</v>
      </c>
      <c r="Q32" s="19">
        <f t="shared" si="15"/>
        <v>0.60377185519497212</v>
      </c>
      <c r="S32" s="20">
        <f t="shared" si="6"/>
        <v>25.89617871996494</v>
      </c>
      <c r="T32" s="20">
        <f t="shared" si="7"/>
        <v>26.680633830906064</v>
      </c>
      <c r="V32" s="18">
        <f t="shared" si="8"/>
        <v>-1.6537051932766524E-2</v>
      </c>
      <c r="W32" s="18">
        <f t="shared" si="13"/>
        <v>6.2587066897999574E-2</v>
      </c>
      <c r="X32" s="18">
        <f t="shared" si="9"/>
        <v>0.11075847781134261</v>
      </c>
      <c r="Z32" s="18">
        <f t="shared" si="10"/>
        <v>-4.5560566448570442E-6</v>
      </c>
      <c r="AA32" s="18">
        <f t="shared" si="11"/>
        <v>1.7953165780069145E-5</v>
      </c>
      <c r="AB32" s="16">
        <f t="shared" si="12"/>
        <v>3.2607333851035367E-5</v>
      </c>
    </row>
    <row r="33" spans="1:28" s="16" customFormat="1" x14ac:dyDescent="0.3">
      <c r="A33" s="16">
        <v>31</v>
      </c>
      <c r="B33" s="16" t="s">
        <v>72</v>
      </c>
      <c r="C33" s="16" t="s">
        <v>73</v>
      </c>
      <c r="D33" s="17">
        <v>45111.886805555558</v>
      </c>
      <c r="E33" s="16">
        <v>0</v>
      </c>
      <c r="F33" s="16">
        <v>94.4</v>
      </c>
      <c r="G33" s="16">
        <v>0.50914735913740405</v>
      </c>
      <c r="H33" s="16">
        <v>5.8304931828428502E-3</v>
      </c>
      <c r="I33" s="16">
        <v>5.3935101603538602E-3</v>
      </c>
      <c r="J33" s="16">
        <v>4800</v>
      </c>
      <c r="K33" s="16">
        <v>390</v>
      </c>
      <c r="L33" s="16">
        <v>390.039999999999</v>
      </c>
      <c r="N33" s="16">
        <f t="shared" si="2"/>
        <v>1643847106639.2788</v>
      </c>
      <c r="O33" s="18">
        <f t="shared" si="3"/>
        <v>6.4640599680210046E-4</v>
      </c>
      <c r="P33" s="19">
        <f t="shared" si="4"/>
        <v>3.1027487846500823</v>
      </c>
      <c r="Q33" s="19">
        <f t="shared" si="15"/>
        <v>0.26925896081579642</v>
      </c>
      <c r="S33" s="20">
        <f t="shared" si="6"/>
        <v>26.680633830906064</v>
      </c>
      <c r="T33" s="20">
        <f t="shared" si="7"/>
        <v>27.189781190043469</v>
      </c>
      <c r="V33" s="18">
        <f t="shared" si="8"/>
        <v>-8.489856475357967E-3</v>
      </c>
      <c r="W33" s="18">
        <f t="shared" si="13"/>
        <v>4.3334027709229825E-2</v>
      </c>
      <c r="X33" s="18">
        <f t="shared" si="9"/>
        <v>6.6250920156080903E-2</v>
      </c>
      <c r="Z33" s="18">
        <f t="shared" si="10"/>
        <v>-1.7612542354524379E-6</v>
      </c>
      <c r="AA33" s="18">
        <f t="shared" si="11"/>
        <v>9.2293718177721983E-6</v>
      </c>
      <c r="AB33" s="16">
        <f t="shared" si="12"/>
        <v>1.4280734995246151E-5</v>
      </c>
    </row>
    <row r="34" spans="1:28" s="16" customFormat="1" x14ac:dyDescent="0.3">
      <c r="A34" s="16">
        <v>32</v>
      </c>
      <c r="B34" s="16" t="s">
        <v>74</v>
      </c>
      <c r="C34" s="16" t="s">
        <v>75</v>
      </c>
      <c r="D34" s="17">
        <v>45111.998611111114</v>
      </c>
      <c r="E34" s="16">
        <v>0</v>
      </c>
      <c r="F34" s="16">
        <v>69.099999999999994</v>
      </c>
      <c r="G34" s="16">
        <v>0.37061954200980401</v>
      </c>
      <c r="H34" s="16">
        <v>4.4882515554941901E-3</v>
      </c>
      <c r="I34" s="16">
        <v>5.3635244863936898E-3</v>
      </c>
      <c r="J34" s="16">
        <v>6000</v>
      </c>
      <c r="K34" s="16">
        <v>380</v>
      </c>
      <c r="L34" s="16">
        <v>380.039999999999</v>
      </c>
      <c r="N34" s="16">
        <f t="shared" si="2"/>
        <v>1551812339405.0815</v>
      </c>
      <c r="O34" s="18">
        <f t="shared" si="3"/>
        <v>6.0101209251129555E-4</v>
      </c>
      <c r="P34" s="19">
        <f t="shared" si="4"/>
        <v>3.6060725550677732</v>
      </c>
      <c r="Q34" s="19">
        <f t="shared" si="15"/>
        <v>0.14952643910691438</v>
      </c>
      <c r="S34" s="20">
        <f t="shared" si="6"/>
        <v>27.189781190043469</v>
      </c>
      <c r="T34" s="20">
        <f t="shared" si="7"/>
        <v>27.560400732053274</v>
      </c>
      <c r="V34" s="18">
        <f t="shared" si="8"/>
        <v>9.2389893489534872E-3</v>
      </c>
      <c r="W34" s="18">
        <f t="shared" si="13"/>
        <v>3.2972626981381453E-2</v>
      </c>
      <c r="X34" s="18">
        <f t="shared" si="9"/>
        <v>4.6275431992122397E-2</v>
      </c>
      <c r="Z34" s="18">
        <f t="shared" si="10"/>
        <v>1.5469889204805525E-6</v>
      </c>
      <c r="AA34" s="18">
        <f t="shared" si="11"/>
        <v>5.5880794624597078E-6</v>
      </c>
      <c r="AB34" s="16">
        <f t="shared" si="12"/>
        <v>7.8967269999018838E-6</v>
      </c>
    </row>
    <row r="35" spans="1:28" x14ac:dyDescent="0.3">
      <c r="A35">
        <v>33</v>
      </c>
      <c r="B35" t="s">
        <v>76</v>
      </c>
      <c r="C35" t="s">
        <v>77</v>
      </c>
      <c r="D35" s="13">
        <v>45112.126388888886</v>
      </c>
      <c r="E35">
        <v>0</v>
      </c>
      <c r="F35">
        <v>50.3</v>
      </c>
      <c r="G35">
        <v>0.26890500400650302</v>
      </c>
      <c r="H35">
        <v>3.3744296465171302E-3</v>
      </c>
      <c r="I35">
        <v>5.3460239365110103E-3</v>
      </c>
      <c r="J35">
        <v>7200</v>
      </c>
      <c r="K35">
        <v>370</v>
      </c>
      <c r="L35">
        <v>370.03</v>
      </c>
      <c r="N35">
        <f t="shared" si="2"/>
        <v>1462219362155.3584</v>
      </c>
      <c r="O35" s="14">
        <f t="shared" si="3"/>
        <v>5.5763238930960622E-4</v>
      </c>
      <c r="P35" s="11">
        <f t="shared" si="4"/>
        <v>4.0149532030291644</v>
      </c>
      <c r="Q35" s="11">
        <f t="shared" si="5"/>
        <v>8.9190440414242761E-2</v>
      </c>
      <c r="S35" s="15">
        <f t="shared" si="6"/>
        <v>27.560400732053274</v>
      </c>
      <c r="T35" s="15">
        <f t="shared" si="7"/>
        <v>27.829305736059776</v>
      </c>
      <c r="V35" s="14">
        <f t="shared" si="8"/>
        <v>1.1135984503615401E-2</v>
      </c>
      <c r="W35" s="14">
        <f t="shared" si="13"/>
        <v>2.473918286936988E-2</v>
      </c>
      <c r="X35" s="14">
        <f t="shared" si="9"/>
        <v>3.2944677682527873E-2</v>
      </c>
      <c r="Z35" s="14">
        <f t="shared" si="10"/>
        <v>1.555340803234516E-6</v>
      </c>
      <c r="AA35" s="14">
        <f t="shared" si="11"/>
        <v>3.4792137511030112E-6</v>
      </c>
      <c r="AB35">
        <f t="shared" si="12"/>
        <v>4.6527187374124416E-6</v>
      </c>
    </row>
    <row r="36" spans="1:28" x14ac:dyDescent="0.3">
      <c r="A36">
        <v>34</v>
      </c>
      <c r="B36" t="s">
        <v>78</v>
      </c>
      <c r="C36" t="s">
        <v>79</v>
      </c>
      <c r="D36" s="13">
        <v>45112.265972222223</v>
      </c>
      <c r="E36">
        <v>0</v>
      </c>
      <c r="F36">
        <v>28.3</v>
      </c>
      <c r="G36">
        <v>0.15096317568626999</v>
      </c>
      <c r="H36">
        <v>1.93529484208039E-3</v>
      </c>
      <c r="I36">
        <v>5.33438783343712E-3</v>
      </c>
      <c r="J36">
        <v>8400</v>
      </c>
      <c r="K36">
        <v>360</v>
      </c>
      <c r="L36">
        <v>360.02</v>
      </c>
      <c r="N36">
        <f t="shared" si="2"/>
        <v>1375210124734.7908</v>
      </c>
      <c r="O36" s="14">
        <f t="shared" si="3"/>
        <v>5.1628643981178023E-4</v>
      </c>
      <c r="P36" s="11">
        <f t="shared" si="4"/>
        <v>4.3368060944189537</v>
      </c>
      <c r="Q36" s="11">
        <f t="shared" si="5"/>
        <v>4.5241818497864371E-2</v>
      </c>
      <c r="S36" s="15">
        <f t="shared" si="6"/>
        <v>27.829305736059776</v>
      </c>
      <c r="T36" s="15">
        <f t="shared" si="7"/>
        <v>27.980268911746048</v>
      </c>
      <c r="V36" s="14">
        <f t="shared" si="8"/>
        <v>5.8766791421197588E-3</v>
      </c>
      <c r="W36" s="14">
        <f t="shared" si="13"/>
        <v>1.4240876298054629E-2</v>
      </c>
      <c r="X36" s="14">
        <f t="shared" si="9"/>
        <v>1.8508692855292854E-2</v>
      </c>
      <c r="Z36" s="14">
        <f t="shared" si="10"/>
        <v>7.0166842519560459E-7</v>
      </c>
      <c r="AA36" s="14">
        <f t="shared" si="11"/>
        <v>1.7075298420322645E-6</v>
      </c>
      <c r="AB36">
        <f t="shared" si="12"/>
        <v>2.2240621439482132E-6</v>
      </c>
    </row>
    <row r="37" spans="1:28" x14ac:dyDescent="0.3">
      <c r="A37">
        <v>35</v>
      </c>
      <c r="B37" t="s">
        <v>80</v>
      </c>
      <c r="C37" t="s">
        <v>81</v>
      </c>
      <c r="D37" s="13">
        <v>45112.388888888891</v>
      </c>
      <c r="E37">
        <v>0</v>
      </c>
      <c r="F37">
        <v>26.6</v>
      </c>
      <c r="G37">
        <v>0.141637406202132</v>
      </c>
      <c r="H37">
        <v>1.8488967544472699E-3</v>
      </c>
      <c r="I37">
        <v>5.3247145188771404E-3</v>
      </c>
      <c r="J37">
        <v>9000</v>
      </c>
      <c r="K37">
        <v>355</v>
      </c>
      <c r="L37">
        <v>355.03</v>
      </c>
      <c r="N37">
        <f t="shared" si="2"/>
        <v>1332815473942.3472</v>
      </c>
      <c r="O37" s="14">
        <f t="shared" si="3"/>
        <v>4.9642614006165737E-4</v>
      </c>
      <c r="P37" s="11">
        <f t="shared" si="4"/>
        <v>4.4678352605549163</v>
      </c>
      <c r="Q37" s="11">
        <f t="shared" si="5"/>
        <v>4.0843176091204358E-2</v>
      </c>
      <c r="S37" s="15">
        <f t="shared" si="6"/>
        <v>27.980268911746048</v>
      </c>
      <c r="T37" s="15">
        <f t="shared" si="7"/>
        <v>28.121906317948181</v>
      </c>
      <c r="V37" s="14">
        <f t="shared" si="8"/>
        <v>9.2648072581968666E-3</v>
      </c>
      <c r="W37" s="14">
        <f t="shared" si="13"/>
        <v>1.3554167567176912E-2</v>
      </c>
      <c r="X37" s="14">
        <f t="shared" si="9"/>
        <v>1.7462706049771379E-2</v>
      </c>
      <c r="Z37" s="14">
        <f t="shared" si="10"/>
        <v>1.0342213919319702E-6</v>
      </c>
      <c r="AA37" s="14">
        <f t="shared" si="11"/>
        <v>1.5163182070535069E-6</v>
      </c>
      <c r="AB37">
        <f t="shared" si="12"/>
        <v>1.9574419711170595E-6</v>
      </c>
    </row>
    <row r="38" spans="1:28" x14ac:dyDescent="0.3">
      <c r="A38">
        <v>36</v>
      </c>
      <c r="B38" t="s">
        <v>82</v>
      </c>
      <c r="C38" t="s">
        <v>83</v>
      </c>
      <c r="D38" s="13">
        <v>45112.510416666664</v>
      </c>
      <c r="E38">
        <v>0</v>
      </c>
      <c r="F38">
        <v>33.4</v>
      </c>
      <c r="G38">
        <v>0.17752955230647599</v>
      </c>
      <c r="H38">
        <v>2.3729272393446001E-3</v>
      </c>
      <c r="I38">
        <v>5.3152560570801297E-3</v>
      </c>
      <c r="J38">
        <v>7800</v>
      </c>
      <c r="K38">
        <v>365</v>
      </c>
      <c r="L38">
        <v>365.02</v>
      </c>
      <c r="N38">
        <f t="shared" si="2"/>
        <v>1418345354724.322</v>
      </c>
      <c r="O38" s="14">
        <f t="shared" si="3"/>
        <v>5.3668630004490763E-4</v>
      </c>
      <c r="P38" s="11">
        <f t="shared" si="4"/>
        <v>4.1861531403502799</v>
      </c>
      <c r="Q38" s="11">
        <f t="shared" si="5"/>
        <v>5.5719089599992895E-2</v>
      </c>
      <c r="S38" s="15">
        <f t="shared" si="6"/>
        <v>28.121906317948181</v>
      </c>
      <c r="T38" s="15">
        <f t="shared" si="7"/>
        <v>28.299435870254658</v>
      </c>
      <c r="V38" s="14">
        <f t="shared" si="8"/>
        <v>1.3312851004844858E-2</v>
      </c>
      <c r="W38" s="14">
        <f t="shared" si="13"/>
        <v>1.7222345642394166E-2</v>
      </c>
      <c r="X38" s="14">
        <f t="shared" si="9"/>
        <v>2.2627718480342809E-2</v>
      </c>
      <c r="Z38" s="14">
        <f t="shared" si="10"/>
        <v>1.7182386449867721E-6</v>
      </c>
      <c r="AA38" s="14">
        <f t="shared" si="11"/>
        <v>2.2272276035216307E-6</v>
      </c>
      <c r="AB38">
        <f t="shared" si="12"/>
        <v>2.9343146091109308E-6</v>
      </c>
    </row>
    <row r="39" spans="1:28" s="16" customFormat="1" x14ac:dyDescent="0.3">
      <c r="A39" s="16">
        <v>37</v>
      </c>
      <c r="B39" s="16" t="s">
        <v>84</v>
      </c>
      <c r="C39" s="16" t="s">
        <v>85</v>
      </c>
      <c r="D39" s="17">
        <v>45112.621527777781</v>
      </c>
      <c r="E39" s="16">
        <v>0</v>
      </c>
      <c r="F39" s="16">
        <v>42.3</v>
      </c>
      <c r="G39" s="16">
        <v>0.22449674755540899</v>
      </c>
      <c r="H39" s="16">
        <v>3.0806570457624798E-3</v>
      </c>
      <c r="I39" s="16">
        <v>5.30725171525791E-3</v>
      </c>
      <c r="J39" s="16">
        <v>6600</v>
      </c>
      <c r="K39" s="16">
        <v>375</v>
      </c>
      <c r="L39" s="16">
        <v>375.03</v>
      </c>
      <c r="N39" s="16">
        <f t="shared" si="2"/>
        <v>1506651124454.2859</v>
      </c>
      <c r="O39" s="18">
        <f t="shared" si="3"/>
        <v>5.7904462885210095E-4</v>
      </c>
      <c r="P39" s="19">
        <f t="shared" si="4"/>
        <v>3.8216945504238664</v>
      </c>
      <c r="Q39" s="19">
        <f t="shared" ref="Q39:Q47" si="16">G39/((O39*J39)-1) + (Q38*EXP(-P39))</f>
        <v>8.0780695652331425E-2</v>
      </c>
      <c r="S39" s="20">
        <f t="shared" si="6"/>
        <v>28.299435870254658</v>
      </c>
      <c r="T39" s="20">
        <f t="shared" si="7"/>
        <v>28.523932617810068</v>
      </c>
      <c r="V39" s="18">
        <f t="shared" si="8"/>
        <v>1.6752382521307858E-2</v>
      </c>
      <c r="W39" s="18">
        <f t="shared" si="13"/>
        <v>2.2160340202204743E-2</v>
      </c>
      <c r="X39" s="18">
        <f t="shared" si="9"/>
        <v>3.0134298475184163E-2</v>
      </c>
      <c r="Z39" s="18">
        <f t="shared" si="10"/>
        <v>2.5597410275040842E-6</v>
      </c>
      <c r="AA39" s="18">
        <f t="shared" si="11"/>
        <v>3.3953893068368758E-6</v>
      </c>
      <c r="AB39" s="16">
        <f t="shared" si="12"/>
        <v>4.6360104706589029E-6</v>
      </c>
    </row>
    <row r="40" spans="1:28" s="16" customFormat="1" x14ac:dyDescent="0.3">
      <c r="A40" s="16">
        <v>38</v>
      </c>
      <c r="B40" s="16" t="s">
        <v>86</v>
      </c>
      <c r="C40" s="16" t="s">
        <v>87</v>
      </c>
      <c r="D40" s="17">
        <v>45112.728472222225</v>
      </c>
      <c r="E40" s="16">
        <v>0</v>
      </c>
      <c r="F40" s="16">
        <v>59.5</v>
      </c>
      <c r="G40" s="16">
        <v>0.31517308043062098</v>
      </c>
      <c r="H40" s="16">
        <v>4.9300709582677203E-3</v>
      </c>
      <c r="I40" s="16">
        <v>5.2970265618591901E-3</v>
      </c>
      <c r="J40" s="16">
        <v>5400</v>
      </c>
      <c r="K40" s="16">
        <v>385</v>
      </c>
      <c r="L40" s="16">
        <v>385.039999999999</v>
      </c>
      <c r="N40" s="16">
        <f t="shared" si="2"/>
        <v>1597516581672.8962</v>
      </c>
      <c r="O40" s="18">
        <f t="shared" si="3"/>
        <v>6.2345038031123162E-4</v>
      </c>
      <c r="P40" s="19">
        <f t="shared" si="4"/>
        <v>3.3666320536806507</v>
      </c>
      <c r="Q40" s="19">
        <f t="shared" si="16"/>
        <v>0.13596106263736005</v>
      </c>
      <c r="S40" s="20">
        <f t="shared" si="6"/>
        <v>28.523932617810068</v>
      </c>
      <c r="T40" s="20">
        <f t="shared" si="7"/>
        <v>28.83910569824069</v>
      </c>
      <c r="V40" s="18">
        <f t="shared" si="8"/>
        <v>2.3856035172943001E-2</v>
      </c>
      <c r="W40" s="18">
        <f t="shared" si="13"/>
        <v>3.1816165615556891E-2</v>
      </c>
      <c r="X40" s="18">
        <f t="shared" si="9"/>
        <v>4.5541194670154661E-2</v>
      </c>
      <c r="Z40" s="18">
        <f t="shared" si="10"/>
        <v>4.4713330557544946E-6</v>
      </c>
      <c r="AA40" s="18">
        <f t="shared" si="11"/>
        <v>5.987647811536974E-6</v>
      </c>
      <c r="AB40" s="16">
        <f t="shared" si="12"/>
        <v>8.6316287266591677E-6</v>
      </c>
    </row>
    <row r="41" spans="1:28" s="16" customFormat="1" x14ac:dyDescent="0.3">
      <c r="A41" s="16">
        <v>39</v>
      </c>
      <c r="B41" s="16" t="s">
        <v>88</v>
      </c>
      <c r="C41" s="16" t="s">
        <v>89</v>
      </c>
      <c r="D41" s="17">
        <v>45112.805555555555</v>
      </c>
      <c r="E41" s="16">
        <v>0</v>
      </c>
      <c r="F41" s="16">
        <v>84.3</v>
      </c>
      <c r="G41" s="16">
        <v>0.445416942668872</v>
      </c>
      <c r="H41" s="16">
        <v>9.7863549901302006E-3</v>
      </c>
      <c r="I41" s="16">
        <v>5.2837122499273101E-3</v>
      </c>
      <c r="J41" s="16">
        <v>4800</v>
      </c>
      <c r="K41" s="16">
        <v>395</v>
      </c>
      <c r="L41" s="16">
        <v>395.039999999999</v>
      </c>
      <c r="N41" s="16">
        <f t="shared" si="2"/>
        <v>1690797553058.1455</v>
      </c>
      <c r="O41" s="18">
        <f t="shared" si="3"/>
        <v>6.6988199312334451E-4</v>
      </c>
      <c r="P41" s="19">
        <f t="shared" si="4"/>
        <v>3.2154335669920537</v>
      </c>
      <c r="Q41" s="19">
        <f t="shared" si="16"/>
        <v>0.20650901164456939</v>
      </c>
      <c r="S41" s="20">
        <f t="shared" si="6"/>
        <v>28.83910569824069</v>
      </c>
      <c r="T41" s="20">
        <f t="shared" si="7"/>
        <v>29.284522640909561</v>
      </c>
      <c r="V41" s="18">
        <f t="shared" si="8"/>
        <v>3.2729567962581418E-2</v>
      </c>
      <c r="W41" s="18">
        <f t="shared" si="13"/>
        <v>4.6441648573602438E-2</v>
      </c>
      <c r="X41" s="18">
        <f t="shared" si="9"/>
        <v>6.7973427065488048E-2</v>
      </c>
      <c r="Z41" s="18">
        <f t="shared" si="10"/>
        <v>6.9327420377778622E-6</v>
      </c>
      <c r="AA41" s="18">
        <f t="shared" si="11"/>
        <v>9.9072205672903201E-6</v>
      </c>
      <c r="AB41" s="16">
        <f t="shared" si="12"/>
        <v>1.466540686889346E-5</v>
      </c>
    </row>
    <row r="42" spans="1:28" s="16" customFormat="1" x14ac:dyDescent="0.3">
      <c r="A42" s="16">
        <v>40</v>
      </c>
      <c r="B42" s="16" t="s">
        <v>90</v>
      </c>
      <c r="C42" s="16" t="s">
        <v>91</v>
      </c>
      <c r="D42" s="17">
        <v>45112.882638888892</v>
      </c>
      <c r="E42" s="16">
        <v>0</v>
      </c>
      <c r="F42" s="16">
        <v>93.4</v>
      </c>
      <c r="G42" s="16">
        <v>0.492624020431705</v>
      </c>
      <c r="H42" s="16">
        <v>1.3581307960998301E-2</v>
      </c>
      <c r="I42" s="16">
        <v>5.2743471138298201E-3</v>
      </c>
      <c r="J42" s="16">
        <v>4200</v>
      </c>
      <c r="K42" s="16">
        <v>405</v>
      </c>
      <c r="L42" s="16">
        <v>405.04999999999899</v>
      </c>
      <c r="N42" s="16">
        <f t="shared" si="2"/>
        <v>1786629201471.7922</v>
      </c>
      <c r="O42" s="18">
        <f t="shared" si="3"/>
        <v>7.1845632774057157E-4</v>
      </c>
      <c r="P42" s="19">
        <f t="shared" si="4"/>
        <v>3.0175165765104004</v>
      </c>
      <c r="Q42" s="19">
        <f t="shared" si="16"/>
        <v>0.25427641873968015</v>
      </c>
      <c r="S42" s="20">
        <f t="shared" si="6"/>
        <v>29.284522640909561</v>
      </c>
      <c r="T42" s="20">
        <f t="shared" si="7"/>
        <v>29.777146661341266</v>
      </c>
      <c r="V42" s="18">
        <f t="shared" si="8"/>
        <v>3.2007609565916771E-2</v>
      </c>
      <c r="W42" s="18">
        <f t="shared" si="13"/>
        <v>5.3865315181393529E-2</v>
      </c>
      <c r="X42" s="18">
        <f t="shared" si="9"/>
        <v>8.1668830378654828E-2</v>
      </c>
      <c r="Z42" s="18">
        <f t="shared" si="10"/>
        <v>7.7454887757794374E-6</v>
      </c>
      <c r="AA42" s="18">
        <f t="shared" si="11"/>
        <v>1.3183415977611595E-5</v>
      </c>
      <c r="AB42" s="16">
        <f t="shared" si="12"/>
        <v>2.0285048141717673E-5</v>
      </c>
    </row>
    <row r="43" spans="1:28" s="16" customFormat="1" x14ac:dyDescent="0.3">
      <c r="A43" s="16">
        <v>41</v>
      </c>
      <c r="B43" s="16" t="s">
        <v>92</v>
      </c>
      <c r="C43" s="16" t="s">
        <v>93</v>
      </c>
      <c r="D43" s="17">
        <v>45112.959722222222</v>
      </c>
      <c r="E43" s="16">
        <v>0</v>
      </c>
      <c r="F43" s="16">
        <v>93.8</v>
      </c>
      <c r="G43" s="16">
        <v>0.49353246500763398</v>
      </c>
      <c r="H43" s="16">
        <v>1.7849452939825601E-2</v>
      </c>
      <c r="I43" s="16">
        <v>5.2615401386741298E-3</v>
      </c>
      <c r="J43" s="16">
        <v>3600</v>
      </c>
      <c r="K43" s="16">
        <v>415</v>
      </c>
      <c r="L43" s="16">
        <v>415.039999999999</v>
      </c>
      <c r="N43" s="16">
        <f t="shared" si="2"/>
        <v>1884667868918.4231</v>
      </c>
      <c r="O43" s="18">
        <f t="shared" si="3"/>
        <v>7.690467470160997E-4</v>
      </c>
      <c r="P43" s="19">
        <f t="shared" si="4"/>
        <v>2.7685682892579591</v>
      </c>
      <c r="Q43" s="19">
        <f t="shared" si="16"/>
        <v>0.29501392279932315</v>
      </c>
      <c r="S43" s="20">
        <f t="shared" si="6"/>
        <v>29.777146661341266</v>
      </c>
      <c r="T43" s="20">
        <f t="shared" si="7"/>
        <v>30.270679126348899</v>
      </c>
      <c r="V43" s="18">
        <f t="shared" si="8"/>
        <v>2.8487688872683416E-2</v>
      </c>
      <c r="W43" s="18">
        <f t="shared" si="13"/>
        <v>5.7036961761810674E-2</v>
      </c>
      <c r="X43" s="18">
        <f t="shared" si="9"/>
        <v>9.1131370999197894E-2</v>
      </c>
      <c r="Z43" s="18">
        <f t="shared" si="10"/>
        <v>8.0281494326178775E-6</v>
      </c>
      <c r="AA43" s="18">
        <f t="shared" si="11"/>
        <v>1.6313386957408327E-5</v>
      </c>
      <c r="AB43" s="16">
        <f t="shared" si="12"/>
        <v>2.6542977166783684E-5</v>
      </c>
    </row>
    <row r="44" spans="1:28" s="16" customFormat="1" x14ac:dyDescent="0.3">
      <c r="A44" s="16">
        <v>42</v>
      </c>
      <c r="B44" s="16" t="s">
        <v>94</v>
      </c>
      <c r="C44" s="16" t="s">
        <v>95</v>
      </c>
      <c r="D44" s="17">
        <v>45113.098611111112</v>
      </c>
      <c r="E44" s="16">
        <v>0</v>
      </c>
      <c r="F44" s="16">
        <v>86.1</v>
      </c>
      <c r="G44" s="16">
        <v>0.45210471601039598</v>
      </c>
      <c r="H44" s="16">
        <v>1.99010631230617E-2</v>
      </c>
      <c r="I44" s="16">
        <v>5.25092585377928E-3</v>
      </c>
      <c r="J44" s="16">
        <v>3600</v>
      </c>
      <c r="K44" s="16">
        <v>460</v>
      </c>
      <c r="L44" s="16">
        <v>459.99</v>
      </c>
      <c r="N44" s="16">
        <f t="shared" si="2"/>
        <v>2353968364246.2632</v>
      </c>
      <c r="O44" s="18">
        <f t="shared" si="3"/>
        <v>1.0232998193450986E-3</v>
      </c>
      <c r="P44" s="19">
        <f t="shared" si="4"/>
        <v>3.6838793496423548</v>
      </c>
      <c r="Q44" s="19">
        <f t="shared" si="16"/>
        <v>0.17586427016538309</v>
      </c>
      <c r="S44" s="20">
        <f t="shared" si="6"/>
        <v>30.270679126348899</v>
      </c>
      <c r="T44" s="20">
        <f t="shared" si="7"/>
        <v>30.722783842359295</v>
      </c>
      <c r="V44" s="18">
        <f t="shared" si="8"/>
        <v>1.9975160455055541E-2</v>
      </c>
      <c r="W44" s="18">
        <f t="shared" si="13"/>
        <v>5.540960124149278E-2</v>
      </c>
      <c r="X44" s="18">
        <f t="shared" si="9"/>
        <v>7.6963388975629043E-2</v>
      </c>
      <c r="Z44" s="18">
        <f t="shared" si="10"/>
        <v>5.6048225456396615E-6</v>
      </c>
      <c r="AA44" s="18">
        <f t="shared" si="11"/>
        <v>1.5834412755015027E-5</v>
      </c>
      <c r="AB44" s="16">
        <f t="shared" si="12"/>
        <v>2.2246216671506708E-5</v>
      </c>
    </row>
    <row r="45" spans="1:28" s="16" customFormat="1" x14ac:dyDescent="0.3">
      <c r="A45" s="16">
        <v>43</v>
      </c>
      <c r="B45" s="16" t="s">
        <v>96</v>
      </c>
      <c r="C45" s="16" t="s">
        <v>97</v>
      </c>
      <c r="D45" s="17">
        <v>45113.175694444442</v>
      </c>
      <c r="E45" s="16">
        <v>0</v>
      </c>
      <c r="F45" s="16">
        <v>26.6</v>
      </c>
      <c r="G45" s="16">
        <v>0.13965021156698601</v>
      </c>
      <c r="H45" s="16">
        <v>6.25681538217713E-3</v>
      </c>
      <c r="I45" s="16">
        <v>5.2500079536461101E-3</v>
      </c>
      <c r="J45" s="16">
        <v>3600</v>
      </c>
      <c r="K45" s="16">
        <v>470</v>
      </c>
      <c r="L45" s="16">
        <v>469.73</v>
      </c>
      <c r="N45" s="16">
        <f t="shared" si="2"/>
        <v>2461411699441.8594</v>
      </c>
      <c r="O45" s="18">
        <f t="shared" si="3"/>
        <v>1.084225088489739E-3</v>
      </c>
      <c r="P45" s="19">
        <f t="shared" si="4"/>
        <v>3.9032103185630604</v>
      </c>
      <c r="Q45" s="19">
        <f t="shared" si="16"/>
        <v>5.1650415272830007E-2</v>
      </c>
      <c r="S45" s="20">
        <f t="shared" si="6"/>
        <v>30.722783842359295</v>
      </c>
      <c r="T45" s="20">
        <f t="shared" si="7"/>
        <v>30.862434053926282</v>
      </c>
      <c r="V45" s="18">
        <f>(G45-Q44)/($G$51-(S45+Q44))</f>
        <v>-4.8084406544091048E-3</v>
      </c>
      <c r="W45" s="18">
        <f t="shared" si="13"/>
        <v>1.811941026573401E-2</v>
      </c>
      <c r="X45" s="18">
        <f t="shared" si="9"/>
        <v>2.4820975943456093E-2</v>
      </c>
      <c r="Z45" s="18">
        <f t="shared" si="10"/>
        <v>-1.3324769525906087E-6</v>
      </c>
      <c r="AA45" s="18">
        <f t="shared" si="11"/>
        <v>5.0793269639010765E-6</v>
      </c>
      <c r="AB45" s="16">
        <f t="shared" si="12"/>
        <v>6.9817251173293484E-6</v>
      </c>
    </row>
    <row r="46" spans="1:28" s="16" customFormat="1" x14ac:dyDescent="0.3">
      <c r="A46" s="16">
        <v>44</v>
      </c>
      <c r="B46" s="16" t="s">
        <v>98</v>
      </c>
      <c r="C46" s="16" t="s">
        <v>99</v>
      </c>
      <c r="D46" s="17">
        <v>45113.236111111109</v>
      </c>
      <c r="E46" s="16">
        <v>0</v>
      </c>
      <c r="F46" s="16">
        <v>31.5</v>
      </c>
      <c r="G46" s="16">
        <v>0.16537999166286299</v>
      </c>
      <c r="H46" s="16">
        <v>7.4213375617503598E-3</v>
      </c>
      <c r="I46" s="16">
        <v>5.2501584654877096E-3</v>
      </c>
      <c r="J46" s="16">
        <v>3600</v>
      </c>
      <c r="K46" s="16">
        <v>480</v>
      </c>
      <c r="L46" s="16">
        <v>465.36</v>
      </c>
      <c r="N46" s="16">
        <f t="shared" si="2"/>
        <v>2412963458254.4868</v>
      </c>
      <c r="O46" s="18">
        <f t="shared" si="3"/>
        <v>1.0566304742223845E-3</v>
      </c>
      <c r="P46" s="19">
        <f t="shared" si="4"/>
        <v>3.803869707200584</v>
      </c>
      <c r="Q46" s="19">
        <f t="shared" si="16"/>
        <v>6.0133763301443384E-2</v>
      </c>
      <c r="S46" s="20">
        <f t="shared" si="6"/>
        <v>30.862434053926282</v>
      </c>
      <c r="T46" s="20">
        <f t="shared" si="7"/>
        <v>31.027814045589146</v>
      </c>
      <c r="V46" s="18">
        <f t="shared" si="8"/>
        <v>1.5131832698752285E-2</v>
      </c>
      <c r="W46" s="18">
        <f t="shared" si="13"/>
        <v>2.1853789295178477E-2</v>
      </c>
      <c r="X46" s="18">
        <f t="shared" si="9"/>
        <v>2.9800038291216972E-2</v>
      </c>
      <c r="Z46" s="18">
        <f t="shared" si="10"/>
        <v>4.2354130752118423E-6</v>
      </c>
      <c r="AA46" s="18">
        <f t="shared" si="11"/>
        <v>6.13781122864011E-6</v>
      </c>
      <c r="AB46" s="16">
        <f t="shared" si="12"/>
        <v>8.4036340662126502E-6</v>
      </c>
    </row>
    <row r="47" spans="1:28" s="16" customFormat="1" x14ac:dyDescent="0.3">
      <c r="A47" s="16">
        <v>45</v>
      </c>
      <c r="B47" s="16" t="s">
        <v>100</v>
      </c>
      <c r="C47" s="16" t="s">
        <v>101</v>
      </c>
      <c r="D47" s="17">
        <v>45113.296527777777</v>
      </c>
      <c r="E47" s="16">
        <v>0</v>
      </c>
      <c r="F47" s="16">
        <v>29.6</v>
      </c>
      <c r="G47" s="16">
        <v>0.15541484707557601</v>
      </c>
      <c r="H47" s="16">
        <v>6.9835017987745903E-3</v>
      </c>
      <c r="I47" s="16">
        <v>5.2505015903910801E-3</v>
      </c>
      <c r="J47" s="16">
        <v>3600</v>
      </c>
      <c r="K47" s="16">
        <v>490</v>
      </c>
      <c r="L47" s="16">
        <v>473.5</v>
      </c>
      <c r="N47" s="16">
        <f t="shared" si="2"/>
        <v>2503520662899.1006</v>
      </c>
      <c r="O47" s="18">
        <f t="shared" si="3"/>
        <v>1.1083711632112205E-3</v>
      </c>
      <c r="P47" s="19">
        <f t="shared" si="4"/>
        <v>3.990136187560394</v>
      </c>
      <c r="Q47" s="19">
        <f t="shared" si="16"/>
        <v>5.308814828276489E-2</v>
      </c>
      <c r="S47" s="20">
        <f t="shared" si="6"/>
        <v>31.027814045589146</v>
      </c>
      <c r="T47" s="20">
        <f t="shared" si="7"/>
        <v>31.183228892664722</v>
      </c>
      <c r="V47" s="18">
        <f t="shared" si="8"/>
        <v>1.297744571872014E-2</v>
      </c>
      <c r="W47" s="18">
        <f t="shared" si="13"/>
        <v>2.0995804216856588E-2</v>
      </c>
      <c r="X47" s="18">
        <f t="shared" si="9"/>
        <v>2.8167759718883724E-2</v>
      </c>
      <c r="Z47" s="18">
        <f t="shared" si="10"/>
        <v>3.6284412391469853E-6</v>
      </c>
      <c r="AA47" s="18">
        <f t="shared" si="11"/>
        <v>5.8942640767194793E-6</v>
      </c>
      <c r="AB47" s="16">
        <f t="shared" si="12"/>
        <v>7.9366893669005167E-6</v>
      </c>
    </row>
    <row r="48" spans="1:28" x14ac:dyDescent="0.3">
      <c r="A48">
        <v>46</v>
      </c>
      <c r="B48" t="s">
        <v>102</v>
      </c>
      <c r="C48" t="s">
        <v>103</v>
      </c>
      <c r="D48" s="13">
        <v>45113.356944444444</v>
      </c>
      <c r="E48">
        <v>0</v>
      </c>
      <c r="F48">
        <v>32.200000000000003</v>
      </c>
      <c r="G48">
        <v>0.16908347717469899</v>
      </c>
      <c r="H48">
        <v>7.6060359487953198E-3</v>
      </c>
      <c r="I48">
        <v>5.2510396638105403E-3</v>
      </c>
      <c r="J48">
        <v>3600</v>
      </c>
      <c r="K48">
        <v>500</v>
      </c>
      <c r="L48">
        <v>480</v>
      </c>
      <c r="N48">
        <f t="shared" si="2"/>
        <v>2576792998460.7334</v>
      </c>
      <c r="O48" s="14">
        <f t="shared" si="3"/>
        <v>1.1507440387979369E-3</v>
      </c>
      <c r="P48" s="11">
        <f t="shared" si="4"/>
        <v>4.1426785396725725</v>
      </c>
      <c r="Q48" s="11">
        <f t="shared" si="5"/>
        <v>5.3802345687037831E-2</v>
      </c>
      <c r="S48" s="15">
        <f t="shared" si="6"/>
        <v>31.183228892664722</v>
      </c>
      <c r="T48" s="15">
        <f t="shared" si="7"/>
        <v>31.352312369839421</v>
      </c>
      <c r="V48" s="14">
        <f t="shared" si="8"/>
        <v>1.6124609543150058E-2</v>
      </c>
      <c r="W48" s="14">
        <f t="shared" si="13"/>
        <v>2.3332250276754354E-2</v>
      </c>
      <c r="X48" s="14">
        <f t="shared" si="9"/>
        <v>3.0756570003450064E-2</v>
      </c>
      <c r="Z48" s="14">
        <f t="shared" si="10"/>
        <v>4.5155626842906002E-6</v>
      </c>
      <c r="AA48" s="14">
        <f t="shared" si="11"/>
        <v>6.5579879744716037E-6</v>
      </c>
      <c r="AB48">
        <f t="shared" si="12"/>
        <v>8.6776335818243379E-6</v>
      </c>
    </row>
    <row r="49" spans="1:28" x14ac:dyDescent="0.3">
      <c r="A49">
        <v>47</v>
      </c>
      <c r="B49" t="s">
        <v>104</v>
      </c>
      <c r="C49" t="s">
        <v>105</v>
      </c>
      <c r="D49" s="13">
        <v>45113.434027777781</v>
      </c>
      <c r="E49">
        <v>0</v>
      </c>
      <c r="F49">
        <v>29.5</v>
      </c>
      <c r="G49">
        <v>0.154927363125412</v>
      </c>
      <c r="H49">
        <v>6.9752143830524903E-3</v>
      </c>
      <c r="I49">
        <v>5.2517750212004097E-3</v>
      </c>
      <c r="J49">
        <v>3600</v>
      </c>
      <c r="K49">
        <v>505</v>
      </c>
      <c r="L49">
        <v>491.89</v>
      </c>
      <c r="N49">
        <f t="shared" si="2"/>
        <v>2712974964402.8652</v>
      </c>
      <c r="O49" s="14">
        <f t="shared" si="3"/>
        <v>1.2306909159956608E-3</v>
      </c>
      <c r="P49" s="11">
        <f t="shared" si="4"/>
        <v>4.4304872975843788</v>
      </c>
      <c r="Q49" s="11">
        <f t="shared" si="5"/>
        <v>4.5161911322192064E-2</v>
      </c>
      <c r="S49" s="15">
        <f t="shared" si="6"/>
        <v>31.352312369839421</v>
      </c>
      <c r="T49" s="15">
        <f t="shared" si="7"/>
        <v>31.507239732964834</v>
      </c>
      <c r="V49" s="14">
        <f t="shared" si="8"/>
        <v>1.4397304816739155E-2</v>
      </c>
      <c r="W49" s="14">
        <f t="shared" si="13"/>
        <v>2.1889545176479765E-2</v>
      </c>
      <c r="X49" s="14">
        <f t="shared" si="9"/>
        <v>2.8270430245459197E-2</v>
      </c>
      <c r="Z49" s="14">
        <f t="shared" si="10"/>
        <v>4.0283199015784135E-6</v>
      </c>
      <c r="AA49" s="14">
        <f t="shared" si="11"/>
        <v>6.1479655089311315E-6</v>
      </c>
      <c r="AB49">
        <f t="shared" si="12"/>
        <v>7.9660371248104141E-6</v>
      </c>
    </row>
    <row r="50" spans="1:28" x14ac:dyDescent="0.3">
      <c r="A50">
        <v>48</v>
      </c>
      <c r="B50" t="s">
        <v>106</v>
      </c>
      <c r="C50" t="s">
        <v>107</v>
      </c>
      <c r="D50" s="13">
        <v>45113.510416666664</v>
      </c>
      <c r="E50">
        <v>0</v>
      </c>
      <c r="F50">
        <v>23.2</v>
      </c>
      <c r="G50">
        <v>0.121875471306035</v>
      </c>
      <c r="H50">
        <v>5.4917446080062198E-3</v>
      </c>
      <c r="I50">
        <v>5.2532530735360204E-3</v>
      </c>
      <c r="J50">
        <v>3600</v>
      </c>
      <c r="K50">
        <v>495</v>
      </c>
      <c r="L50">
        <v>491.04999999999899</v>
      </c>
      <c r="N50">
        <f t="shared" si="2"/>
        <v>2703264344424.4673</v>
      </c>
      <c r="O50" s="14">
        <f t="shared" si="3"/>
        <v>1.2249391692191751E-3</v>
      </c>
      <c r="P50" s="11">
        <f t="shared" si="4"/>
        <v>4.4097810091890306</v>
      </c>
      <c r="Q50" s="11">
        <f t="shared" si="5"/>
        <v>3.5742902836748865E-2</v>
      </c>
      <c r="S50" s="15">
        <f t="shared" si="6"/>
        <v>31.507239732964834</v>
      </c>
      <c r="T50" s="15">
        <f t="shared" si="7"/>
        <v>31.629115204270867</v>
      </c>
      <c r="V50" s="14">
        <f t="shared" si="8"/>
        <v>1.1154120379844477E-2</v>
      </c>
      <c r="W50" s="14">
        <f t="shared" si="13"/>
        <v>1.7605039984756113E-2</v>
      </c>
      <c r="X50" s="14">
        <f t="shared" si="9"/>
        <v>2.2768139883932111E-2</v>
      </c>
      <c r="Z50" s="14">
        <f t="shared" si="10"/>
        <v>3.115776128582237E-6</v>
      </c>
      <c r="AA50" s="14">
        <f t="shared" si="11"/>
        <v>4.9338477444615606E-6</v>
      </c>
      <c r="AB50">
        <f t="shared" si="12"/>
        <v>6.3975935152023789E-6</v>
      </c>
    </row>
    <row r="51" spans="1:28" ht="15" thickBot="1" x14ac:dyDescent="0.35">
      <c r="C51" t="s">
        <v>129</v>
      </c>
      <c r="G51">
        <f>(0.7*54.9)</f>
        <v>38.43</v>
      </c>
    </row>
    <row r="52" spans="1:28" x14ac:dyDescent="0.3">
      <c r="B52" s="1" t="s">
        <v>108</v>
      </c>
      <c r="C52" s="2"/>
      <c r="D52" s="2"/>
      <c r="E52" s="3"/>
    </row>
    <row r="53" spans="1:28" x14ac:dyDescent="0.3">
      <c r="B53" s="4" t="s">
        <v>109</v>
      </c>
      <c r="C53">
        <v>5.4899999999999997E-2</v>
      </c>
      <c r="E53" s="5"/>
    </row>
    <row r="54" spans="1:28" x14ac:dyDescent="0.3">
      <c r="B54" s="4" t="s">
        <v>110</v>
      </c>
      <c r="C54">
        <v>0.10100000000000001</v>
      </c>
      <c r="E54" s="5"/>
    </row>
    <row r="55" spans="1:28" x14ac:dyDescent="0.3">
      <c r="B55" s="4" t="s">
        <v>111</v>
      </c>
      <c r="C55">
        <f>2/((LN(C54/C53)*((C53/2)^2)))</f>
        <v>4354.0682557238242</v>
      </c>
      <c r="E55" s="5"/>
    </row>
    <row r="56" spans="1:28" ht="58.2" thickBot="1" x14ac:dyDescent="0.35">
      <c r="B56" s="6" t="s">
        <v>112</v>
      </c>
      <c r="C56" s="7">
        <v>1.3621000000000001E-22</v>
      </c>
      <c r="D56" s="8"/>
      <c r="E5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A359-1698-42FD-ADC5-6DFA57E750A2}">
  <dimension ref="A1:AJ53"/>
  <sheetViews>
    <sheetView topLeftCell="X1" workbookViewId="0">
      <selection activeCell="W11" sqref="W11"/>
    </sheetView>
  </sheetViews>
  <sheetFormatPr defaultRowHeight="14.4" x14ac:dyDescent="0.3"/>
  <cols>
    <col min="32" max="32" width="11" bestFit="1" customWidth="1"/>
  </cols>
  <sheetData>
    <row r="1" spans="1:36" ht="16.8" x14ac:dyDescent="0.35">
      <c r="A1">
        <v>3</v>
      </c>
      <c r="D1" t="s">
        <v>119</v>
      </c>
      <c r="E1" s="11" t="s">
        <v>115</v>
      </c>
      <c r="F1" t="s">
        <v>130</v>
      </c>
      <c r="G1" t="s">
        <v>131</v>
      </c>
      <c r="H1" t="s">
        <v>132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Q1" t="s">
        <v>120</v>
      </c>
      <c r="R1" t="s">
        <v>121</v>
      </c>
      <c r="S1" t="s">
        <v>122</v>
      </c>
      <c r="T1" t="s">
        <v>123</v>
      </c>
      <c r="U1" t="s">
        <v>125</v>
      </c>
      <c r="V1" s="10" t="s">
        <v>133</v>
      </c>
      <c r="X1" t="s">
        <v>120</v>
      </c>
      <c r="Y1" t="s">
        <v>121</v>
      </c>
      <c r="Z1" t="s">
        <v>122</v>
      </c>
      <c r="AA1" t="s">
        <v>123</v>
      </c>
      <c r="AB1" t="s">
        <v>125</v>
      </c>
      <c r="AC1" s="10" t="s">
        <v>133</v>
      </c>
    </row>
    <row r="2" spans="1:36" x14ac:dyDescent="0.3">
      <c r="J2" t="s">
        <v>134</v>
      </c>
      <c r="Q2" t="s">
        <v>135</v>
      </c>
      <c r="X2" t="s">
        <v>136</v>
      </c>
    </row>
    <row r="3" spans="1:36" x14ac:dyDescent="0.3">
      <c r="A3" t="s">
        <v>126</v>
      </c>
      <c r="B3" t="s">
        <v>127</v>
      </c>
      <c r="C3" t="s">
        <v>128</v>
      </c>
      <c r="D3">
        <v>0</v>
      </c>
      <c r="E3">
        <v>0</v>
      </c>
      <c r="G3">
        <v>0</v>
      </c>
    </row>
    <row r="4" spans="1:36" s="21" customFormat="1" x14ac:dyDescent="0.3">
      <c r="A4" s="21">
        <v>0</v>
      </c>
      <c r="B4" s="21" cm="1">
        <f t="array" ref="B4:B52">ReducedCCpTS230630!L2:L50</f>
        <v>199.98</v>
      </c>
      <c r="C4" s="21" cm="1">
        <f t="array" ref="C4:C52">ReducedCCpTS230630!J2:J50</f>
        <v>14400</v>
      </c>
      <c r="D4" s="23" cm="1">
        <f t="array" ref="D4:D52">ReducedCCpTS230630!T2:T50</f>
        <v>1.7688521615502301E-2</v>
      </c>
      <c r="E4" s="24" cm="1">
        <f t="array" ref="E4:F52">ReducedCCpTS230630!P2:Q50</f>
        <v>1.4640358462225209</v>
      </c>
      <c r="F4" s="24">
        <v>3.8118868961300144E-2</v>
      </c>
      <c r="G4" s="23">
        <f>D4/$D$53</f>
        <v>4.6027899077549572E-4</v>
      </c>
      <c r="H4" s="23">
        <f t="shared" ref="H4:H35" si="0">(D4+F4)/$D$53</f>
        <v>1.4521829450117733E-3</v>
      </c>
      <c r="J4" s="21">
        <f t="shared" ref="J4:J35" si="1">((G4^2-G3^2)*PI())/(36*C4)</f>
        <v>1.283888131499234E-12</v>
      </c>
      <c r="K4" s="23">
        <f t="shared" ref="K4:K35" si="2">(1/(PI()*PI()*C4))*(-(G4-G3)*PI()*PI()/3-2*PI()*(SQRT(1-PI()/3*G4)-SQRT(1-PI()/3*G3)))</f>
        <v>1.2841976440476648E-12</v>
      </c>
      <c r="L4" s="23">
        <f t="shared" ref="L4:L35" si="3">(1/(PI()^2*C4))*LN((1-G3)/(1-G4))</f>
        <v>3.2393575162428369E-9</v>
      </c>
      <c r="M4" s="23">
        <f t="shared" ref="M4:M35" si="4">(G4&lt;0.05)*J4+((G4&gt;=0.05)*(G4&lt;0.9))*K4+(G4&gt;=0.9)*L4</f>
        <v>1.283888131499234E-12</v>
      </c>
      <c r="N4" s="21">
        <f t="shared" ref="N4:N35" si="5">10000/(273+B4)</f>
        <v>21.142543025075057</v>
      </c>
      <c r="O4" s="21">
        <f>LN(M4)</f>
        <v>-27.381128039456978</v>
      </c>
      <c r="Q4" s="21">
        <f>((G4^2-H3^2)*PI())/(36*C4)</f>
        <v>1.283888131499234E-12</v>
      </c>
      <c r="R4" s="21">
        <f>(1/(PI()*PI()*C4))*(-(G4-H3)*PI()*PI()/3-2*PI()*(SQRT(1-PI()/3*G4)-SQRT(1-PI()/3*H3)))</f>
        <v>1.2841976440476648E-12</v>
      </c>
      <c r="S4" s="21">
        <f>(1/(PI()^2*C4))*LN((1-H3)/(1-G4))</f>
        <v>3.2393575162428369E-9</v>
      </c>
      <c r="T4" s="21">
        <f>(G4&lt;0.05)*Q4+((G4&gt;=0.05)*(G4&lt;0.9))*R4+(G4&gt;=0.9)*S4</f>
        <v>1.283888131499234E-12</v>
      </c>
      <c r="U4" s="21">
        <f>LN(T4)</f>
        <v>-27.381128039456978</v>
      </c>
      <c r="V4" s="21">
        <f>IFERROR(O4-U4,5)</f>
        <v>0</v>
      </c>
      <c r="X4" s="23">
        <f t="shared" ref="X4:X35" si="6">((H4^2-G3^2)*PI())/(36*C4)</f>
        <v>1.2779902593130532E-11</v>
      </c>
      <c r="Y4" s="23">
        <f t="shared" ref="Y4:Y35" si="7">(1/(PI()*PI()*C4))*(-(H4-G3)*PI()*PI()/3-2*PI()*(SQRT(1-PI()/3*H4)-SQRT(1-PI()/3*G3)))</f>
        <v>1.2789629183054444E-11</v>
      </c>
      <c r="Z4" s="23">
        <f t="shared" ref="Z4:Z35" si="8">(1/(PI()^2*C4))*LN((1-G3)/(1-H4))</f>
        <v>1.0225266197249245E-8</v>
      </c>
      <c r="AA4" s="23">
        <f>(H4&lt;0.05)*X4+((H4&gt;=0.05)*(H4&lt;0.9))*Y4+(H4&gt;=0.9)*Z4</f>
        <v>1.2779902593130532E-11</v>
      </c>
      <c r="AB4" s="21">
        <f>LN(AA4)</f>
        <v>-25.083147288828979</v>
      </c>
      <c r="AC4" s="21">
        <f>AB4-O4</f>
        <v>2.2979807506279997</v>
      </c>
    </row>
    <row r="5" spans="1:36" s="21" customFormat="1" x14ac:dyDescent="0.3">
      <c r="A5" s="21">
        <v>1</v>
      </c>
      <c r="B5" s="21">
        <v>27</v>
      </c>
      <c r="C5" s="21">
        <v>3600</v>
      </c>
      <c r="D5" s="21">
        <v>1.7766548181089067E-2</v>
      </c>
      <c r="E5" s="21">
        <v>1.1090974280614311E-2</v>
      </c>
      <c r="F5" s="21">
        <v>-7.8901661889479134E-5</v>
      </c>
      <c r="G5" s="23">
        <f t="shared" ref="G5:G52" si="9">D5/$D$53</f>
        <v>4.6230934637234107E-4</v>
      </c>
      <c r="H5" s="23">
        <f t="shared" si="0"/>
        <v>4.6025621959926068E-4</v>
      </c>
      <c r="J5" s="21">
        <f t="shared" si="1"/>
        <v>4.5407222589111189E-14</v>
      </c>
      <c r="K5" s="23">
        <f t="shared" si="2"/>
        <v>4.5423684004471727E-14</v>
      </c>
      <c r="L5" s="23">
        <f t="shared" si="3"/>
        <v>5.7170270169375159E-11</v>
      </c>
      <c r="M5" s="23">
        <f t="shared" si="4"/>
        <v>4.5407222589111189E-14</v>
      </c>
      <c r="N5" s="21">
        <f t="shared" si="5"/>
        <v>33.333333333333336</v>
      </c>
      <c r="O5" s="21">
        <f t="shared" ref="O5:O52" si="10">LN(M5)</f>
        <v>-30.72310521465063</v>
      </c>
      <c r="Q5" s="21">
        <f t="shared" ref="Q5:Q52" si="11">((G5^2-H4^2)*PI())/(36*C5)</f>
        <v>-4.5938650623936075E-11</v>
      </c>
      <c r="R5" s="21">
        <f t="shared" ref="R5:R52" si="12">(1/(PI()*PI()*C5))*(-(G5-H4)*PI()*PI()/3-2*PI()*(SQRT(1-PI()/3*G5)-SQRT(1-PI()/3*H4)))</f>
        <v>-4.5976302472052728E-11</v>
      </c>
      <c r="S5" s="21">
        <f t="shared" ref="S5:S52" si="13">(1/(PI()^2*C5))*LN((1-H4)/(1-G5))</f>
        <v>-2.7886464453857387E-8</v>
      </c>
      <c r="T5" s="21">
        <f t="shared" ref="T5:T52" si="14">(G5&lt;0.05)*Q5+((G5&gt;=0.05)*(G5&lt;0.9))*R5+(G5&gt;=0.9)*S5</f>
        <v>-4.5938650623936075E-11</v>
      </c>
      <c r="U5" s="21" t="e">
        <f t="shared" ref="U5:U52" si="15">LN(T5)</f>
        <v>#NUM!</v>
      </c>
      <c r="V5" s="21">
        <f t="shared" ref="V5:V52" si="16">IFERROR(O5-U5,5)</f>
        <v>5</v>
      </c>
      <c r="X5" s="23">
        <f t="shared" si="6"/>
        <v>-5.081252077702679E-16</v>
      </c>
      <c r="Y5" s="23">
        <f t="shared" si="7"/>
        <v>-5.083117994672523E-16</v>
      </c>
      <c r="Z5" s="23">
        <f t="shared" si="8"/>
        <v>-6.4118470884976797E-13</v>
      </c>
      <c r="AA5" s="23">
        <f t="shared" ref="AA5:AA52" si="17">(H5&lt;0.05)*X5+((H5&gt;=0.05)*(H5&lt;0.9))*Y5+(H5&gt;=0.9)*Z5</f>
        <v>-5.081252077702679E-16</v>
      </c>
      <c r="AB5" s="21" t="e">
        <f t="shared" ref="AB5:AB52" si="18">LN(AA5)</f>
        <v>#NUM!</v>
      </c>
      <c r="AC5" s="21" t="e">
        <f t="shared" ref="AC5:AC52" si="19">AB5-O5</f>
        <v>#NUM!</v>
      </c>
    </row>
    <row r="6" spans="1:36" s="21" customFormat="1" x14ac:dyDescent="0.3">
      <c r="A6" s="21">
        <v>2</v>
      </c>
      <c r="B6" s="21">
        <v>249.98</v>
      </c>
      <c r="C6" s="21">
        <v>3600</v>
      </c>
      <c r="D6" s="21">
        <v>4.1911350861559366E-2</v>
      </c>
      <c r="E6" s="21">
        <v>0.67009400841710076</v>
      </c>
      <c r="F6" s="21">
        <v>-7.3186917778070001E-2</v>
      </c>
      <c r="G6" s="23">
        <f t="shared" si="9"/>
        <v>1.0905894057132283E-3</v>
      </c>
      <c r="H6" s="23">
        <f t="shared" si="0"/>
        <v>-8.1383208213662856E-4</v>
      </c>
      <c r="J6" s="21">
        <f t="shared" si="1"/>
        <v>2.3650552361848827E-11</v>
      </c>
      <c r="K6" s="23">
        <f t="shared" si="2"/>
        <v>2.3665773311802566E-11</v>
      </c>
      <c r="L6" s="23">
        <f t="shared" si="3"/>
        <v>1.7696540848256637E-8</v>
      </c>
      <c r="M6" s="23">
        <f t="shared" si="4"/>
        <v>2.3650552361848827E-11</v>
      </c>
      <c r="N6" s="21">
        <f t="shared" si="5"/>
        <v>19.121190102872003</v>
      </c>
      <c r="O6" s="21">
        <f t="shared" si="10"/>
        <v>-24.467634645582635</v>
      </c>
      <c r="Q6" s="21">
        <f t="shared" si="11"/>
        <v>2.3696467709645707E-11</v>
      </c>
      <c r="R6" s="21">
        <f t="shared" si="12"/>
        <v>2.3711705307588798E-11</v>
      </c>
      <c r="S6" s="21">
        <f t="shared" si="13"/>
        <v>1.7754352303133323E-8</v>
      </c>
      <c r="T6" s="21">
        <f t="shared" si="14"/>
        <v>2.3696467709645707E-11</v>
      </c>
      <c r="U6" s="21">
        <f t="shared" si="15"/>
        <v>-24.465695120682394</v>
      </c>
      <c r="V6" s="21">
        <f t="shared" si="16"/>
        <v>-1.9395249002407411E-3</v>
      </c>
      <c r="X6" s="23">
        <f t="shared" si="6"/>
        <v>1.0874194544711233E-11</v>
      </c>
      <c r="Y6" s="23">
        <f t="shared" si="7"/>
        <v>1.0866102230462972E-11</v>
      </c>
      <c r="Z6" s="23">
        <f t="shared" si="8"/>
        <v>-3.5910404330687716E-8</v>
      </c>
      <c r="AA6" s="23">
        <f t="shared" si="17"/>
        <v>1.0874194544711233E-11</v>
      </c>
      <c r="AB6" s="21">
        <f t="shared" si="18"/>
        <v>-25.244628606550876</v>
      </c>
      <c r="AC6" s="21">
        <f t="shared" si="19"/>
        <v>-0.77699396096824103</v>
      </c>
    </row>
    <row r="7" spans="1:36" s="21" customFormat="1" x14ac:dyDescent="0.3">
      <c r="A7" s="21">
        <v>3</v>
      </c>
      <c r="B7" s="21">
        <v>260.01</v>
      </c>
      <c r="C7" s="21">
        <v>3600</v>
      </c>
      <c r="D7" s="21">
        <v>8.9014932901331556E-2</v>
      </c>
      <c r="E7" s="21">
        <v>0.74708490691957385</v>
      </c>
      <c r="F7" s="21">
        <v>-0.18624266929294495</v>
      </c>
      <c r="G7" s="23">
        <f t="shared" si="9"/>
        <v>2.3162876112758665E-3</v>
      </c>
      <c r="H7" s="23">
        <f t="shared" si="0"/>
        <v>-2.5299957426909549E-3</v>
      </c>
      <c r="J7" s="21">
        <f t="shared" si="1"/>
        <v>1.0122432232316197E-10</v>
      </c>
      <c r="K7" s="23">
        <f t="shared" si="2"/>
        <v>1.0136581880485362E-10</v>
      </c>
      <c r="L7" s="23">
        <f t="shared" si="3"/>
        <v>3.4555866175590346E-8</v>
      </c>
      <c r="M7" s="23">
        <f t="shared" si="4"/>
        <v>1.0122432232316197E-10</v>
      </c>
      <c r="N7" s="21">
        <f t="shared" si="5"/>
        <v>18.761374083037843</v>
      </c>
      <c r="O7" s="21">
        <f t="shared" si="10"/>
        <v>-23.013682048790333</v>
      </c>
      <c r="Q7" s="21">
        <f t="shared" si="11"/>
        <v>1.1400068014029956E-10</v>
      </c>
      <c r="R7" s="21">
        <f t="shared" si="12"/>
        <v>1.1416548988616881E-10</v>
      </c>
      <c r="S7" s="21">
        <f t="shared" si="13"/>
        <v>8.8162811354535311E-8</v>
      </c>
      <c r="T7" s="21">
        <f t="shared" si="14"/>
        <v>1.1400068014029956E-10</v>
      </c>
      <c r="U7" s="21">
        <f t="shared" si="15"/>
        <v>-22.894816701408871</v>
      </c>
      <c r="V7" s="21">
        <f t="shared" si="16"/>
        <v>-0.11886534738146182</v>
      </c>
      <c r="X7" s="23">
        <f t="shared" si="6"/>
        <v>1.2633016026828348E-10</v>
      </c>
      <c r="Y7" s="23">
        <f t="shared" si="7"/>
        <v>1.2610848146775871E-10</v>
      </c>
      <c r="Z7" s="23">
        <f t="shared" si="8"/>
        <v>-1.0182737364764696E-7</v>
      </c>
      <c r="AA7" s="23">
        <f t="shared" si="17"/>
        <v>1.2633016026828348E-10</v>
      </c>
      <c r="AB7" s="21">
        <f t="shared" si="18"/>
        <v>-22.792122316439553</v>
      </c>
      <c r="AC7" s="21">
        <f t="shared" si="19"/>
        <v>0.22155973235078008</v>
      </c>
    </row>
    <row r="8" spans="1:36" s="21" customFormat="1" x14ac:dyDescent="0.3">
      <c r="A8" s="21">
        <v>4</v>
      </c>
      <c r="B8" s="21">
        <v>269.99</v>
      </c>
      <c r="C8" s="21">
        <v>3600</v>
      </c>
      <c r="D8" s="21">
        <v>0.13655894455969797</v>
      </c>
      <c r="E8" s="21">
        <v>0.82944309489387746</v>
      </c>
      <c r="F8" s="21">
        <v>-0.27875747175867172</v>
      </c>
      <c r="G8" s="23">
        <f t="shared" si="9"/>
        <v>3.553446384587509E-3</v>
      </c>
      <c r="H8" s="23">
        <f t="shared" si="0"/>
        <v>-3.7001958677849011E-3</v>
      </c>
      <c r="J8" s="21">
        <f t="shared" si="1"/>
        <v>1.7603082760732007E-10</v>
      </c>
      <c r="K8" s="23">
        <f t="shared" si="2"/>
        <v>1.7644368239820584E-10</v>
      </c>
      <c r="L8" s="23">
        <f t="shared" si="3"/>
        <v>3.4922049166197134E-8</v>
      </c>
      <c r="M8" s="23">
        <f t="shared" si="4"/>
        <v>1.7603082760732007E-10</v>
      </c>
      <c r="N8" s="21">
        <f t="shared" si="5"/>
        <v>18.416545424409289</v>
      </c>
      <c r="O8" s="21">
        <f t="shared" si="10"/>
        <v>-22.460361979368795</v>
      </c>
      <c r="Q8" s="21">
        <f t="shared" si="11"/>
        <v>1.509249896621986E-10</v>
      </c>
      <c r="R8" s="21">
        <f t="shared" si="12"/>
        <v>1.5170101973530075E-10</v>
      </c>
      <c r="S8" s="21">
        <f t="shared" si="13"/>
        <v>1.7130528898943419E-7</v>
      </c>
      <c r="T8" s="21">
        <f t="shared" si="14"/>
        <v>1.509249896621986E-10</v>
      </c>
      <c r="U8" s="21">
        <f t="shared" si="15"/>
        <v>-22.614238159742342</v>
      </c>
      <c r="V8" s="21">
        <f t="shared" si="16"/>
        <v>0.15387618037354756</v>
      </c>
      <c r="X8" s="23">
        <f t="shared" si="6"/>
        <v>2.018342661871239E-10</v>
      </c>
      <c r="Y8" s="23">
        <f t="shared" si="7"/>
        <v>2.0103483740715631E-10</v>
      </c>
      <c r="Z8" s="23">
        <f t="shared" si="8"/>
        <v>-1.6921598357508946E-7</v>
      </c>
      <c r="AA8" s="23">
        <f t="shared" si="17"/>
        <v>2.018342661871239E-10</v>
      </c>
      <c r="AB8" s="21">
        <f t="shared" si="18"/>
        <v>-22.323574219712668</v>
      </c>
      <c r="AC8" s="21">
        <f t="shared" si="19"/>
        <v>0.13678775965612644</v>
      </c>
    </row>
    <row r="9" spans="1:36" s="21" customFormat="1" x14ac:dyDescent="0.3">
      <c r="A9" s="21">
        <v>5</v>
      </c>
      <c r="B9" s="21">
        <v>279.97000000000003</v>
      </c>
      <c r="C9" s="21">
        <v>3600</v>
      </c>
      <c r="D9" s="21">
        <v>0.19333400403834317</v>
      </c>
      <c r="E9" s="21">
        <v>0.91771523602217997</v>
      </c>
      <c r="F9" s="21">
        <v>-0.68998264969136935</v>
      </c>
      <c r="G9" s="23">
        <f t="shared" si="9"/>
        <v>5.0308093686792397E-3</v>
      </c>
      <c r="H9" s="23">
        <f t="shared" si="0"/>
        <v>-1.292346202583987E-2</v>
      </c>
      <c r="J9" s="21">
        <f t="shared" si="1"/>
        <v>3.074218507412313E-10</v>
      </c>
      <c r="K9" s="23">
        <f t="shared" si="2"/>
        <v>3.0847242333017414E-10</v>
      </c>
      <c r="L9" s="23">
        <f t="shared" si="3"/>
        <v>4.1759290012378583E-8</v>
      </c>
      <c r="M9" s="23">
        <f t="shared" si="4"/>
        <v>3.074218507412313E-10</v>
      </c>
      <c r="N9" s="21">
        <f t="shared" si="5"/>
        <v>18.084163697849792</v>
      </c>
      <c r="O9" s="21">
        <f t="shared" si="10"/>
        <v>-21.902800204912971</v>
      </c>
      <c r="Q9" s="21">
        <f t="shared" si="11"/>
        <v>2.8161841216142744E-10</v>
      </c>
      <c r="R9" s="21">
        <f t="shared" si="12"/>
        <v>2.8388126832124809E-10</v>
      </c>
      <c r="S9" s="21">
        <f t="shared" si="13"/>
        <v>2.4589732275366199E-7</v>
      </c>
      <c r="T9" s="21">
        <f t="shared" si="14"/>
        <v>2.8161841216142744E-10</v>
      </c>
      <c r="U9" s="21">
        <f t="shared" si="15"/>
        <v>-21.99046810968613</v>
      </c>
      <c r="V9" s="21">
        <f t="shared" si="16"/>
        <v>8.7667904773159222E-2</v>
      </c>
      <c r="X9" s="23">
        <f t="shared" si="6"/>
        <v>3.7424922926559723E-9</v>
      </c>
      <c r="Y9" s="23">
        <f t="shared" si="7"/>
        <v>3.7147554597533903E-9</v>
      </c>
      <c r="Z9" s="23">
        <f t="shared" si="8"/>
        <v>-4.6158670791860587E-7</v>
      </c>
      <c r="AA9" s="23">
        <f t="shared" si="17"/>
        <v>3.7424922926559723E-9</v>
      </c>
      <c r="AB9" s="21">
        <f t="shared" si="18"/>
        <v>-19.403514059047446</v>
      </c>
      <c r="AC9" s="21">
        <f t="shared" si="19"/>
        <v>2.4992861458655256</v>
      </c>
      <c r="AE9" t="s">
        <v>137</v>
      </c>
      <c r="AF9"/>
      <c r="AG9"/>
      <c r="AH9"/>
      <c r="AI9"/>
      <c r="AJ9"/>
    </row>
    <row r="10" spans="1:36" s="21" customFormat="1" ht="15" thickBot="1" x14ac:dyDescent="0.35">
      <c r="A10" s="21">
        <v>6</v>
      </c>
      <c r="B10" s="21">
        <v>289.99</v>
      </c>
      <c r="C10" s="21">
        <v>3600</v>
      </c>
      <c r="D10" s="21">
        <v>0.25687213473447768</v>
      </c>
      <c r="E10" s="21">
        <v>1.0124616193411886</v>
      </c>
      <c r="F10" s="21">
        <v>5.0987057906772906</v>
      </c>
      <c r="G10" s="23">
        <f t="shared" si="9"/>
        <v>6.6841565114357966E-3</v>
      </c>
      <c r="H10" s="23">
        <f t="shared" si="0"/>
        <v>0.13935930068726954</v>
      </c>
      <c r="J10" s="21">
        <f t="shared" si="1"/>
        <v>4.6951551546257576E-10</v>
      </c>
      <c r="K10" s="23">
        <f t="shared" si="2"/>
        <v>4.7170116487210584E-10</v>
      </c>
      <c r="L10" s="23">
        <f t="shared" si="3"/>
        <v>4.6807263884963398E-8</v>
      </c>
      <c r="M10" s="23">
        <f t="shared" si="4"/>
        <v>4.6951551546257576E-10</v>
      </c>
      <c r="N10" s="21">
        <f t="shared" si="5"/>
        <v>17.762304836675607</v>
      </c>
      <c r="O10" s="21">
        <f t="shared" si="10"/>
        <v>-21.479319771047614</v>
      </c>
      <c r="Q10" s="21">
        <f t="shared" si="11"/>
        <v>-2.9655549264521651E-9</v>
      </c>
      <c r="R10" s="21">
        <f t="shared" si="12"/>
        <v>-2.9345818715512812E-9</v>
      </c>
      <c r="S10" s="21">
        <f t="shared" si="13"/>
        <v>5.5015326181594801E-7</v>
      </c>
      <c r="T10" s="21">
        <f t="shared" si="14"/>
        <v>-2.9655549264521651E-9</v>
      </c>
      <c r="U10" s="21" t="e">
        <f t="shared" si="15"/>
        <v>#NUM!</v>
      </c>
      <c r="V10" s="21">
        <f t="shared" si="16"/>
        <v>5</v>
      </c>
      <c r="X10" s="23">
        <f t="shared" si="6"/>
        <v>4.7016517257688628E-7</v>
      </c>
      <c r="Y10" s="23">
        <f t="shared" si="7"/>
        <v>5.0800842886546176E-7</v>
      </c>
      <c r="Z10" s="23">
        <f t="shared" si="8"/>
        <v>4.0819676566014489E-6</v>
      </c>
      <c r="AA10" s="23">
        <f t="shared" si="17"/>
        <v>5.0800842886546176E-7</v>
      </c>
      <c r="AB10" s="21">
        <f t="shared" si="18"/>
        <v>-14.492767797250734</v>
      </c>
      <c r="AC10" s="21">
        <f t="shared" si="19"/>
        <v>6.98655197379688</v>
      </c>
      <c r="AE10" t="s">
        <v>138</v>
      </c>
      <c r="AF10">
        <f>EXP(17.647)</f>
        <v>46131196.833741896</v>
      </c>
      <c r="AG10">
        <v>346</v>
      </c>
      <c r="AH10">
        <f>(AF11/1.987)/(LN((AF10*AG10^2*55*1.987)/(AF11*AF12)))</f>
        <v>402.90569514018767</v>
      </c>
      <c r="AI10" t="s">
        <v>139</v>
      </c>
      <c r="AJ10" t="s">
        <v>140</v>
      </c>
    </row>
    <row r="11" spans="1:36" s="21" customFormat="1" ht="15" thickBot="1" x14ac:dyDescent="0.35">
      <c r="A11" s="21">
        <v>7</v>
      </c>
      <c r="B11" s="21">
        <v>26.04</v>
      </c>
      <c r="C11" s="21">
        <v>3600</v>
      </c>
      <c r="D11" s="21">
        <v>0.25793992542546218</v>
      </c>
      <c r="E11" s="21">
        <v>1.0764253594796993E-2</v>
      </c>
      <c r="F11" s="21">
        <v>-1.0794097310623467E-3</v>
      </c>
      <c r="G11" s="23">
        <f t="shared" si="9"/>
        <v>6.7119418533817896E-3</v>
      </c>
      <c r="H11" s="23">
        <f t="shared" si="0"/>
        <v>6.6838541684725427E-3</v>
      </c>
      <c r="J11" s="21">
        <f t="shared" si="1"/>
        <v>9.0227504289489008E-12</v>
      </c>
      <c r="K11" s="23">
        <f t="shared" si="2"/>
        <v>9.0704950723043248E-12</v>
      </c>
      <c r="L11" s="23">
        <f t="shared" si="3"/>
        <v>7.872854248442037E-10</v>
      </c>
      <c r="M11" s="23">
        <f t="shared" si="4"/>
        <v>9.0227504289489008E-12</v>
      </c>
      <c r="N11" s="21">
        <f t="shared" si="5"/>
        <v>33.440342429106472</v>
      </c>
      <c r="O11" s="21">
        <f t="shared" si="10"/>
        <v>-25.431271902730288</v>
      </c>
      <c r="Q11" s="21">
        <f t="shared" si="11"/>
        <v>-4.696866343109948E-7</v>
      </c>
      <c r="R11" s="21">
        <f t="shared" si="12"/>
        <v>-5.0752765720551599E-7</v>
      </c>
      <c r="S11" s="21">
        <f t="shared" si="13"/>
        <v>-4.0343731072916383E-6</v>
      </c>
      <c r="T11" s="21">
        <f t="shared" si="14"/>
        <v>-4.696866343109948E-7</v>
      </c>
      <c r="U11" s="21" t="e">
        <f t="shared" si="15"/>
        <v>#NUM!</v>
      </c>
      <c r="V11" s="21">
        <f t="shared" si="16"/>
        <v>5</v>
      </c>
      <c r="X11" s="23">
        <f t="shared" si="6"/>
        <v>-9.7974153596912835E-14</v>
      </c>
      <c r="Y11" s="23">
        <f t="shared" si="7"/>
        <v>-9.8491501091632827E-14</v>
      </c>
      <c r="Z11" s="23">
        <f t="shared" si="8"/>
        <v>-8.5666335654808801E-12</v>
      </c>
      <c r="AA11" s="23">
        <f t="shared" si="17"/>
        <v>-9.7974153596912835E-14</v>
      </c>
      <c r="AB11" s="21" t="e">
        <f t="shared" si="18"/>
        <v>#NUM!</v>
      </c>
      <c r="AC11" s="21" t="e">
        <f t="shared" si="19"/>
        <v>#NUM!</v>
      </c>
      <c r="AE11" t="s">
        <v>141</v>
      </c>
      <c r="AF11">
        <f>10000*2.1021*1.987</f>
        <v>41768.726999999999</v>
      </c>
      <c r="AG11">
        <f>AH10</f>
        <v>402.90569514018767</v>
      </c>
      <c r="AH11">
        <f>(AF11/1.987)/(LN((AF10*AG11^2*55*1.987)/(AF11*AF12)))</f>
        <v>400.56765246770624</v>
      </c>
      <c r="AI11" s="31">
        <f>AH11-273</f>
        <v>127.56765246770624</v>
      </c>
      <c r="AJ11">
        <f>AJ13-AI11</f>
        <v>-19.357002727254439</v>
      </c>
    </row>
    <row r="12" spans="1:36" s="21" customFormat="1" ht="15" thickBot="1" x14ac:dyDescent="0.35">
      <c r="A12" s="21">
        <v>8</v>
      </c>
      <c r="B12" s="21">
        <v>329.99</v>
      </c>
      <c r="C12" s="21">
        <v>3600</v>
      </c>
      <c r="D12" s="21">
        <v>0.43011461600065515</v>
      </c>
      <c r="E12" s="21">
        <v>1.4549494899642332</v>
      </c>
      <c r="F12" s="21">
        <v>0.37844792526029397</v>
      </c>
      <c r="G12" s="23">
        <f t="shared" si="9"/>
        <v>1.1192157585236928E-2</v>
      </c>
      <c r="H12" s="23">
        <f t="shared" si="0"/>
        <v>2.1039878773378849E-2</v>
      </c>
      <c r="J12" s="21">
        <f t="shared" si="1"/>
        <v>1.9444477569650232E-9</v>
      </c>
      <c r="K12" s="23">
        <f t="shared" si="2"/>
        <v>1.9585188567076969E-9</v>
      </c>
      <c r="L12" s="23">
        <f t="shared" si="3"/>
        <v>1.2723387452924972E-7</v>
      </c>
      <c r="M12" s="23">
        <f t="shared" si="4"/>
        <v>1.9444477569650232E-9</v>
      </c>
      <c r="N12" s="21">
        <f t="shared" si="5"/>
        <v>16.584022952287764</v>
      </c>
      <c r="O12" s="21">
        <f t="shared" si="10"/>
        <v>-20.058287829772603</v>
      </c>
      <c r="Q12" s="21">
        <f t="shared" si="11"/>
        <v>1.9535684815475686E-9</v>
      </c>
      <c r="R12" s="21">
        <f t="shared" si="12"/>
        <v>1.9676878432810621E-9</v>
      </c>
      <c r="S12" s="21">
        <f t="shared" si="13"/>
        <v>1.2802972658766042E-7</v>
      </c>
      <c r="T12" s="21">
        <f t="shared" si="14"/>
        <v>1.9535684815475686E-9</v>
      </c>
      <c r="U12" s="21">
        <f t="shared" si="15"/>
        <v>-20.053608146226228</v>
      </c>
      <c r="V12" s="21">
        <f t="shared" si="16"/>
        <v>-4.6796835463744912E-3</v>
      </c>
      <c r="X12" s="23">
        <f t="shared" si="6"/>
        <v>9.6387343674848826E-9</v>
      </c>
      <c r="Y12" s="23">
        <f t="shared" si="7"/>
        <v>9.7547481584189503E-9</v>
      </c>
      <c r="Z12" s="23">
        <f t="shared" si="8"/>
        <v>4.0893801721450899E-7</v>
      </c>
      <c r="AA12" s="23">
        <f t="shared" si="17"/>
        <v>9.6387343674848826E-9</v>
      </c>
      <c r="AB12" s="21">
        <f t="shared" si="18"/>
        <v>-18.457476026623194</v>
      </c>
      <c r="AC12" s="21">
        <f t="shared" si="19"/>
        <v>1.6008118031494085</v>
      </c>
      <c r="AE12" t="s">
        <v>142</v>
      </c>
      <c r="AF12">
        <f>AF14/(1000000*365*24*60*60)</f>
        <v>3.1709791983764587E-13</v>
      </c>
      <c r="AG12"/>
      <c r="AH12"/>
      <c r="AI12" t="s">
        <v>135</v>
      </c>
      <c r="AJ12" t="s">
        <v>136</v>
      </c>
    </row>
    <row r="13" spans="1:36" s="21" customFormat="1" ht="15" thickBot="1" x14ac:dyDescent="0.35">
      <c r="A13" s="21">
        <v>9</v>
      </c>
      <c r="B13" s="21">
        <v>360</v>
      </c>
      <c r="C13" s="21">
        <v>3600</v>
      </c>
      <c r="D13" s="21">
        <v>1.0117785908420092</v>
      </c>
      <c r="E13" s="21">
        <v>1.8583410505243911</v>
      </c>
      <c r="F13" s="21">
        <v>0.67766067402461383</v>
      </c>
      <c r="G13" s="23">
        <f t="shared" si="9"/>
        <v>2.6327832184283351E-2</v>
      </c>
      <c r="H13" s="23">
        <f t="shared" si="0"/>
        <v>4.3961469291351106E-2</v>
      </c>
      <c r="J13" s="21">
        <f t="shared" si="1"/>
        <v>1.3766050700639196E-8</v>
      </c>
      <c r="K13" s="23">
        <f t="shared" si="2"/>
        <v>1.3983821542057246E-8</v>
      </c>
      <c r="L13" s="23">
        <f t="shared" si="3"/>
        <v>4.3414309833347662E-7</v>
      </c>
      <c r="M13" s="23">
        <f t="shared" si="4"/>
        <v>1.3766050700639196E-8</v>
      </c>
      <c r="N13" s="21">
        <f t="shared" si="5"/>
        <v>15.797788309636651</v>
      </c>
      <c r="O13" s="21">
        <f t="shared" si="10"/>
        <v>-18.101060369943518</v>
      </c>
      <c r="Q13" s="21">
        <f t="shared" si="11"/>
        <v>6.071764090119334E-9</v>
      </c>
      <c r="R13" s="21">
        <f t="shared" si="12"/>
        <v>6.1875922403461401E-9</v>
      </c>
      <c r="S13" s="21">
        <f t="shared" si="13"/>
        <v>1.5243895564822325E-7</v>
      </c>
      <c r="T13" s="21">
        <f t="shared" si="14"/>
        <v>6.071764090119334E-9</v>
      </c>
      <c r="U13" s="21">
        <f t="shared" si="15"/>
        <v>-18.919616649696227</v>
      </c>
      <c r="V13" s="21">
        <f t="shared" si="16"/>
        <v>0.81855627975270906</v>
      </c>
      <c r="X13" s="23">
        <f t="shared" si="6"/>
        <v>4.3811312839198238E-8</v>
      </c>
      <c r="Y13" s="23">
        <f t="shared" si="7"/>
        <v>4.4903800572906985E-8</v>
      </c>
      <c r="Z13" s="23">
        <f t="shared" si="8"/>
        <v>9.4852956329682204E-7</v>
      </c>
      <c r="AA13" s="23">
        <f t="shared" si="17"/>
        <v>4.3811312839198238E-8</v>
      </c>
      <c r="AB13" s="21">
        <f t="shared" si="18"/>
        <v>-16.94337376891362</v>
      </c>
      <c r="AC13" s="21">
        <f t="shared" si="19"/>
        <v>1.1576866010298978</v>
      </c>
      <c r="AE13" t="s">
        <v>143</v>
      </c>
      <c r="AF13"/>
      <c r="AG13">
        <f>0.97*AF11</f>
        <v>40515.66519</v>
      </c>
      <c r="AH13" t="s">
        <v>144</v>
      </c>
      <c r="AI13" s="31">
        <v>90.19658763822008</v>
      </c>
      <c r="AJ13">
        <v>108.2106497404518</v>
      </c>
    </row>
    <row r="14" spans="1:36" s="21" customFormat="1" x14ac:dyDescent="0.3">
      <c r="A14" s="21">
        <v>10</v>
      </c>
      <c r="B14" s="21">
        <v>389.88</v>
      </c>
      <c r="C14" s="21">
        <v>3600</v>
      </c>
      <c r="D14" s="21">
        <v>2.6426858363292594</v>
      </c>
      <c r="E14" s="21">
        <v>2.3243881441686556</v>
      </c>
      <c r="F14" s="21">
        <v>1.2314420456481829</v>
      </c>
      <c r="G14" s="23">
        <f t="shared" si="9"/>
        <v>6.8766220044997647E-2</v>
      </c>
      <c r="H14" s="23">
        <f t="shared" si="0"/>
        <v>0.10080998912249395</v>
      </c>
      <c r="J14" s="21">
        <f t="shared" si="1"/>
        <v>9.7826632307760933E-8</v>
      </c>
      <c r="K14" s="23">
        <f t="shared" si="2"/>
        <v>1.0191392347355007E-7</v>
      </c>
      <c r="L14" s="23">
        <f t="shared" si="3"/>
        <v>1.2542524440326487E-6</v>
      </c>
      <c r="M14" s="23">
        <f t="shared" si="4"/>
        <v>1.0191392347355007E-7</v>
      </c>
      <c r="N14" s="21">
        <f t="shared" si="5"/>
        <v>15.085686700458606</v>
      </c>
      <c r="O14" s="21">
        <f t="shared" si="10"/>
        <v>-16.099137267449873</v>
      </c>
      <c r="Q14" s="21">
        <f t="shared" si="11"/>
        <v>6.7781370169201894E-8</v>
      </c>
      <c r="R14" s="21">
        <f t="shared" si="12"/>
        <v>7.0993944442701124E-8</v>
      </c>
      <c r="S14" s="21">
        <f t="shared" si="13"/>
        <v>7.3986597906930375E-7</v>
      </c>
      <c r="T14" s="21">
        <f t="shared" si="14"/>
        <v>7.0993944442701124E-8</v>
      </c>
      <c r="U14" s="21">
        <f t="shared" si="15"/>
        <v>-16.460671253081877</v>
      </c>
      <c r="V14" s="21">
        <f t="shared" si="16"/>
        <v>0.36153398563200412</v>
      </c>
      <c r="X14" s="23">
        <f t="shared" si="6"/>
        <v>2.2954713728549286E-7</v>
      </c>
      <c r="Y14" s="23">
        <f t="shared" si="7"/>
        <v>2.4324159415610374E-7</v>
      </c>
      <c r="Z14" s="23">
        <f t="shared" si="8"/>
        <v>2.2397693132149851E-6</v>
      </c>
      <c r="AA14" s="23">
        <f t="shared" si="17"/>
        <v>2.4324159415610374E-7</v>
      </c>
      <c r="AB14" s="21">
        <f t="shared" si="18"/>
        <v>-15.229210672875723</v>
      </c>
      <c r="AC14" s="21">
        <f t="shared" si="19"/>
        <v>0.86992659457414945</v>
      </c>
      <c r="AE14" t="s">
        <v>145</v>
      </c>
      <c r="AF14">
        <v>10</v>
      </c>
      <c r="AG14"/>
      <c r="AH14"/>
      <c r="AI14">
        <v>64439823.670807518</v>
      </c>
      <c r="AJ14">
        <v>4828742.7687072773</v>
      </c>
    </row>
    <row r="15" spans="1:36" s="21" customFormat="1" x14ac:dyDescent="0.3">
      <c r="A15" s="21">
        <v>11</v>
      </c>
      <c r="B15" s="21">
        <v>424.94</v>
      </c>
      <c r="C15" s="21">
        <v>3600</v>
      </c>
      <c r="D15" s="21">
        <v>9.0442370648580095</v>
      </c>
      <c r="E15" s="21">
        <v>2.9566220810884172</v>
      </c>
      <c r="F15" s="21">
        <v>3.271736167348033</v>
      </c>
      <c r="G15" s="23">
        <f t="shared" si="9"/>
        <v>0.23534314506526177</v>
      </c>
      <c r="H15" s="23">
        <f t="shared" si="0"/>
        <v>0.32047809607613953</v>
      </c>
      <c r="J15" s="21">
        <f t="shared" si="1"/>
        <v>1.2279749471474591E-6</v>
      </c>
      <c r="K15" s="23">
        <f t="shared" si="2"/>
        <v>1.4199842728565865E-6</v>
      </c>
      <c r="L15" s="23">
        <f t="shared" si="3"/>
        <v>5.5468612542433242E-6</v>
      </c>
      <c r="M15" s="23">
        <f t="shared" si="4"/>
        <v>1.4199842728565865E-6</v>
      </c>
      <c r="N15" s="21">
        <f t="shared" si="5"/>
        <v>14.327879187322692</v>
      </c>
      <c r="O15" s="21">
        <f t="shared" si="10"/>
        <v>-13.464864761865545</v>
      </c>
      <c r="Q15" s="21">
        <f t="shared" si="11"/>
        <v>1.0962544421697271E-6</v>
      </c>
      <c r="R15" s="21">
        <f t="shared" si="12"/>
        <v>1.2786566021740344E-6</v>
      </c>
      <c r="S15" s="21">
        <f t="shared" si="13"/>
        <v>4.5613443850609959E-6</v>
      </c>
      <c r="T15" s="21">
        <f t="shared" si="14"/>
        <v>1.2786566021740344E-6</v>
      </c>
      <c r="U15" s="21">
        <f t="shared" si="15"/>
        <v>-13.569700560726083</v>
      </c>
      <c r="V15" s="21">
        <f t="shared" si="16"/>
        <v>0.10483579886053818</v>
      </c>
      <c r="X15" s="23">
        <f t="shared" si="6"/>
        <v>2.3750396111670535E-6</v>
      </c>
      <c r="Y15" s="23">
        <f t="shared" si="7"/>
        <v>2.9037688903992334E-6</v>
      </c>
      <c r="Z15" s="23">
        <f t="shared" si="8"/>
        <v>8.8690058106996279E-6</v>
      </c>
      <c r="AA15" s="23">
        <f t="shared" si="17"/>
        <v>2.9037688903992334E-6</v>
      </c>
      <c r="AB15" s="21">
        <f t="shared" si="18"/>
        <v>-12.749501047364491</v>
      </c>
      <c r="AC15" s="21">
        <f t="shared" si="19"/>
        <v>0.71536371450105385</v>
      </c>
    </row>
    <row r="16" spans="1:36" s="21" customFormat="1" x14ac:dyDescent="0.3">
      <c r="A16" s="21">
        <v>12</v>
      </c>
      <c r="B16" s="21">
        <v>414.96</v>
      </c>
      <c r="C16" s="21">
        <v>3600</v>
      </c>
      <c r="D16" s="21">
        <v>11.987085964002979</v>
      </c>
      <c r="E16" s="21">
        <v>2.7670794445859297</v>
      </c>
      <c r="F16" s="21">
        <v>1.6653744166180102</v>
      </c>
      <c r="G16" s="23">
        <f t="shared" si="9"/>
        <v>0.31192000947184439</v>
      </c>
      <c r="H16" s="23">
        <f t="shared" si="0"/>
        <v>0.35525527922511035</v>
      </c>
      <c r="J16" s="21">
        <f t="shared" si="1"/>
        <v>1.0158712274333179E-6</v>
      </c>
      <c r="K16" s="23">
        <f t="shared" si="2"/>
        <v>1.3072928381182371E-6</v>
      </c>
      <c r="L16" s="23">
        <f t="shared" si="3"/>
        <v>2.9698950430869145E-6</v>
      </c>
      <c r="M16" s="23">
        <f t="shared" si="4"/>
        <v>1.3072928381182371E-6</v>
      </c>
      <c r="N16" s="21">
        <f t="shared" si="5"/>
        <v>14.535728821443106</v>
      </c>
      <c r="O16" s="21">
        <f t="shared" si="10"/>
        <v>-13.547552094770229</v>
      </c>
      <c r="Q16" s="21">
        <f t="shared" si="11"/>
        <v>-1.3119343658627655E-7</v>
      </c>
      <c r="R16" s="21">
        <f t="shared" si="12"/>
        <v>-1.7649177942441193E-7</v>
      </c>
      <c r="S16" s="21">
        <f t="shared" si="13"/>
        <v>-3.5224951336938533E-7</v>
      </c>
      <c r="T16" s="21">
        <f t="shared" si="14"/>
        <v>-1.7649177942441193E-7</v>
      </c>
      <c r="U16" s="21" t="e">
        <f t="shared" si="15"/>
        <v>#NUM!</v>
      </c>
      <c r="V16" s="21">
        <f t="shared" si="16"/>
        <v>5</v>
      </c>
      <c r="X16" s="23">
        <f t="shared" si="6"/>
        <v>1.7167232446640231E-6</v>
      </c>
      <c r="Y16" s="23">
        <f t="shared" si="7"/>
        <v>2.2698943460388095E-6</v>
      </c>
      <c r="Z16" s="23">
        <f t="shared" si="8"/>
        <v>4.8007305480957163E-6</v>
      </c>
      <c r="AA16" s="23">
        <f t="shared" si="17"/>
        <v>2.2698943460388095E-6</v>
      </c>
      <c r="AB16" s="21">
        <f t="shared" si="18"/>
        <v>-12.995777271149388</v>
      </c>
      <c r="AC16" s="21">
        <f t="shared" si="19"/>
        <v>0.55177482362084085</v>
      </c>
    </row>
    <row r="17" spans="1:29" s="21" customFormat="1" x14ac:dyDescent="0.3">
      <c r="A17" s="21">
        <v>13</v>
      </c>
      <c r="B17" s="21">
        <v>405.01</v>
      </c>
      <c r="C17" s="21">
        <v>3600</v>
      </c>
      <c r="D17" s="21">
        <v>12.75267539460248</v>
      </c>
      <c r="E17" s="21">
        <v>2.5857288749696128</v>
      </c>
      <c r="F17" s="21">
        <v>0.48279970345761153</v>
      </c>
      <c r="G17" s="23">
        <f t="shared" si="9"/>
        <v>0.33184167042941659</v>
      </c>
      <c r="H17" s="23">
        <f t="shared" si="0"/>
        <v>0.34440476445641666</v>
      </c>
      <c r="J17" s="21">
        <f t="shared" si="1"/>
        <v>3.1088197152514904E-7</v>
      </c>
      <c r="K17" s="23">
        <f t="shared" si="2"/>
        <v>4.2099698710612264E-7</v>
      </c>
      <c r="L17" s="23">
        <f t="shared" si="3"/>
        <v>8.268914874798465E-7</v>
      </c>
      <c r="M17" s="23">
        <f t="shared" si="4"/>
        <v>4.2099698710612264E-7</v>
      </c>
      <c r="N17" s="21">
        <f t="shared" si="5"/>
        <v>14.749044999336293</v>
      </c>
      <c r="O17" s="21">
        <f t="shared" si="10"/>
        <v>-14.680640159807162</v>
      </c>
      <c r="Q17" s="21">
        <f t="shared" si="11"/>
        <v>-3.8997004570555626E-7</v>
      </c>
      <c r="R17" s="21">
        <f t="shared" si="12"/>
        <v>-5.4160452081445142E-7</v>
      </c>
      <c r="S17" s="21">
        <f t="shared" si="13"/>
        <v>-1.0039440175289572E-6</v>
      </c>
      <c r="T17" s="21">
        <f t="shared" si="14"/>
        <v>-5.4160452081445142E-7</v>
      </c>
      <c r="U17" s="21" t="e">
        <f t="shared" si="15"/>
        <v>#NUM!</v>
      </c>
      <c r="V17" s="21">
        <f t="shared" si="16"/>
        <v>5</v>
      </c>
      <c r="X17" s="23">
        <f t="shared" si="6"/>
        <v>5.1682470362450564E-7</v>
      </c>
      <c r="Y17" s="23">
        <f t="shared" si="7"/>
        <v>7.0515139887762092E-7</v>
      </c>
      <c r="Z17" s="23">
        <f t="shared" si="8"/>
        <v>1.3611239279925103E-6</v>
      </c>
      <c r="AA17" s="23">
        <f t="shared" si="17"/>
        <v>7.0515139887762092E-7</v>
      </c>
      <c r="AB17" s="21">
        <f t="shared" si="18"/>
        <v>-14.16485330700864</v>
      </c>
      <c r="AC17" s="21">
        <f t="shared" si="19"/>
        <v>0.51578685279852188</v>
      </c>
    </row>
    <row r="18" spans="1:29" s="21" customFormat="1" x14ac:dyDescent="0.3">
      <c r="A18" s="21">
        <v>14</v>
      </c>
      <c r="B18" s="21">
        <v>395</v>
      </c>
      <c r="C18" s="21">
        <v>4800</v>
      </c>
      <c r="D18" s="21">
        <v>12.984364043777946</v>
      </c>
      <c r="E18" s="21">
        <v>3.2145221398905348</v>
      </c>
      <c r="F18" s="21">
        <v>0.10462241266502646</v>
      </c>
      <c r="G18" s="23">
        <f t="shared" si="9"/>
        <v>0.3378705189637769</v>
      </c>
      <c r="H18" s="23">
        <f t="shared" si="0"/>
        <v>0.34059293407345753</v>
      </c>
      <c r="J18" s="21">
        <f t="shared" si="1"/>
        <v>7.3405518583042835E-8</v>
      </c>
      <c r="K18" s="23">
        <f t="shared" si="2"/>
        <v>1.008918037438563E-7</v>
      </c>
      <c r="L18" s="23">
        <f t="shared" si="3"/>
        <v>1.913289761899933E-7</v>
      </c>
      <c r="M18" s="23">
        <f t="shared" si="4"/>
        <v>1.008918037438563E-7</v>
      </c>
      <c r="N18" s="21">
        <f t="shared" si="5"/>
        <v>14.970059880239521</v>
      </c>
      <c r="O18" s="21">
        <f t="shared" si="10"/>
        <v>-16.109217144364436</v>
      </c>
      <c r="Q18" s="21">
        <f t="shared" si="11"/>
        <v>-8.1051530491474608E-8</v>
      </c>
      <c r="R18" s="21">
        <f t="shared" si="12"/>
        <v>-1.1222400508476703E-7</v>
      </c>
      <c r="S18" s="21">
        <f t="shared" si="13"/>
        <v>-2.0934535419450665E-7</v>
      </c>
      <c r="T18" s="21">
        <f t="shared" si="14"/>
        <v>-1.1222400508476703E-7</v>
      </c>
      <c r="U18" s="21" t="e">
        <f t="shared" si="15"/>
        <v>#NUM!</v>
      </c>
      <c r="V18" s="21">
        <f t="shared" si="16"/>
        <v>5</v>
      </c>
      <c r="X18" s="23">
        <f t="shared" si="6"/>
        <v>1.0698600165576992E-7</v>
      </c>
      <c r="Y18" s="23">
        <f t="shared" si="7"/>
        <v>1.472826337654574E-7</v>
      </c>
      <c r="Z18" s="23">
        <f t="shared" si="8"/>
        <v>2.7829804012745382E-7</v>
      </c>
      <c r="AA18" s="23">
        <f t="shared" si="17"/>
        <v>1.472826337654574E-7</v>
      </c>
      <c r="AB18" s="21">
        <f t="shared" si="18"/>
        <v>-15.730912417471968</v>
      </c>
      <c r="AC18" s="21">
        <f t="shared" si="19"/>
        <v>0.37830472689246797</v>
      </c>
    </row>
    <row r="19" spans="1:29" s="21" customFormat="1" x14ac:dyDescent="0.3">
      <c r="A19" s="21">
        <v>15</v>
      </c>
      <c r="B19" s="21">
        <v>385.01</v>
      </c>
      <c r="C19" s="21">
        <v>6000</v>
      </c>
      <c r="D19" s="21">
        <v>13.097551501612902</v>
      </c>
      <c r="E19" s="21">
        <v>3.7398852661216613</v>
      </c>
      <c r="F19" s="21">
        <v>4.1311021025042458E-2</v>
      </c>
      <c r="G19" s="23">
        <f t="shared" si="9"/>
        <v>0.34081580800449912</v>
      </c>
      <c r="H19" s="23">
        <f t="shared" si="0"/>
        <v>0.34189077602492696</v>
      </c>
      <c r="J19" s="21">
        <f t="shared" si="1"/>
        <v>2.9073220545143078E-8</v>
      </c>
      <c r="K19" s="23">
        <f t="shared" si="2"/>
        <v>4.0169403828624268E-8</v>
      </c>
      <c r="L19" s="23">
        <f t="shared" si="3"/>
        <v>7.5283831064466099E-8</v>
      </c>
      <c r="M19" s="23">
        <f t="shared" si="4"/>
        <v>4.0169403828624268E-8</v>
      </c>
      <c r="N19" s="21">
        <f t="shared" si="5"/>
        <v>15.19733742648288</v>
      </c>
      <c r="O19" s="21">
        <f t="shared" si="10"/>
        <v>-17.030160229894605</v>
      </c>
      <c r="Q19" s="21">
        <f t="shared" si="11"/>
        <v>2.2088340869614036E-9</v>
      </c>
      <c r="R19" s="21">
        <f t="shared" si="12"/>
        <v>3.0567398113433725E-9</v>
      </c>
      <c r="S19" s="21">
        <f t="shared" si="13"/>
        <v>5.708579914496476E-9</v>
      </c>
      <c r="T19" s="21">
        <f t="shared" si="14"/>
        <v>3.0567398113433725E-9</v>
      </c>
      <c r="U19" s="21">
        <f t="shared" si="15"/>
        <v>-19.605916910076282</v>
      </c>
      <c r="V19" s="21">
        <f t="shared" si="16"/>
        <v>2.5757566801816765</v>
      </c>
      <c r="X19" s="23">
        <f t="shared" si="6"/>
        <v>3.9747185122813016E-8</v>
      </c>
      <c r="Y19" s="23">
        <f t="shared" si="7"/>
        <v>5.4952078270281589E-8</v>
      </c>
      <c r="Z19" s="23">
        <f t="shared" si="8"/>
        <v>1.0284465010544575E-7</v>
      </c>
      <c r="AA19" s="23">
        <f t="shared" si="17"/>
        <v>5.4952078270281589E-8</v>
      </c>
      <c r="AB19" s="21">
        <f t="shared" si="18"/>
        <v>-16.716804335696757</v>
      </c>
      <c r="AC19" s="21">
        <f t="shared" si="19"/>
        <v>0.31335589419784782</v>
      </c>
    </row>
    <row r="20" spans="1:29" x14ac:dyDescent="0.3">
      <c r="A20">
        <v>16</v>
      </c>
      <c r="B20">
        <v>374.94</v>
      </c>
      <c r="C20">
        <v>7200</v>
      </c>
      <c r="D20">
        <v>13.175756940570523</v>
      </c>
      <c r="E20">
        <v>4.166313865721353</v>
      </c>
      <c r="F20">
        <v>2.4699206166601633E-2</v>
      </c>
      <c r="G20" s="14">
        <f t="shared" si="9"/>
        <v>0.34285081812569668</v>
      </c>
      <c r="H20" s="14">
        <f t="shared" si="0"/>
        <v>0.34349352450525955</v>
      </c>
      <c r="J20">
        <f t="shared" si="1"/>
        <v>1.6862650117262978E-8</v>
      </c>
      <c r="K20" s="14">
        <f t="shared" si="2"/>
        <v>2.3366796796005166E-8</v>
      </c>
      <c r="L20" s="14">
        <f t="shared" si="3"/>
        <v>4.3510971579346514E-8</v>
      </c>
      <c r="M20" s="14">
        <f t="shared" si="4"/>
        <v>2.3366796796005166E-8</v>
      </c>
      <c r="N20">
        <f t="shared" si="5"/>
        <v>15.43352779578356</v>
      </c>
      <c r="O20">
        <f t="shared" si="10"/>
        <v>-17.571949762573571</v>
      </c>
      <c r="Q20">
        <f t="shared" si="11"/>
        <v>7.9676796358713683E-9</v>
      </c>
      <c r="R20">
        <f t="shared" si="12"/>
        <v>1.1047901427957387E-8</v>
      </c>
      <c r="S20">
        <f t="shared" si="13"/>
        <v>2.0543622378529979E-8</v>
      </c>
      <c r="T20">
        <f t="shared" si="14"/>
        <v>1.1047901427957387E-8</v>
      </c>
      <c r="U20">
        <f t="shared" si="15"/>
        <v>-18.321025343040937</v>
      </c>
      <c r="V20">
        <f t="shared" si="16"/>
        <v>0.74907558046736611</v>
      </c>
      <c r="X20" s="14">
        <f t="shared" si="6"/>
        <v>2.2209149789356348E-8</v>
      </c>
      <c r="Y20" s="14">
        <f t="shared" si="7"/>
        <v>3.078720922655536E-8</v>
      </c>
      <c r="Z20" s="14">
        <f t="shared" si="8"/>
        <v>5.7280810464174334E-8</v>
      </c>
      <c r="AA20" s="14">
        <f t="shared" si="17"/>
        <v>3.078720922655536E-8</v>
      </c>
      <c r="AB20">
        <f t="shared" si="18"/>
        <v>-17.296166518073615</v>
      </c>
      <c r="AC20">
        <f t="shared" si="19"/>
        <v>0.27578324449995506</v>
      </c>
    </row>
    <row r="21" spans="1:29" s="16" customFormat="1" x14ac:dyDescent="0.3">
      <c r="A21" s="16">
        <v>17</v>
      </c>
      <c r="B21" s="16">
        <v>380.04999999999899</v>
      </c>
      <c r="C21" s="16">
        <v>6600</v>
      </c>
      <c r="D21" s="16">
        <v>13.239632620783487</v>
      </c>
      <c r="E21" s="16">
        <v>3.9669726022052134</v>
      </c>
      <c r="F21" s="16">
        <v>2.1996480209879984E-2</v>
      </c>
      <c r="G21" s="18">
        <f t="shared" si="9"/>
        <v>0.34451294875835253</v>
      </c>
      <c r="H21" s="18">
        <f t="shared" si="0"/>
        <v>0.34508532659363433</v>
      </c>
      <c r="J21" s="16">
        <f t="shared" si="1"/>
        <v>1.5106199825485726E-8</v>
      </c>
      <c r="K21" s="18">
        <f t="shared" si="2"/>
        <v>2.0978556919600238E-8</v>
      </c>
      <c r="L21" s="18">
        <f t="shared" si="3"/>
        <v>3.8878304089267151E-8</v>
      </c>
      <c r="M21" s="18">
        <f t="shared" si="4"/>
        <v>2.0978556919600238E-8</v>
      </c>
      <c r="N21" s="16">
        <f t="shared" si="5"/>
        <v>15.312763188117318</v>
      </c>
      <c r="O21" s="16">
        <f t="shared" si="10"/>
        <v>-17.67976501996645</v>
      </c>
      <c r="Q21" s="16">
        <f t="shared" si="11"/>
        <v>9.2736547286565953E-9</v>
      </c>
      <c r="R21" s="16">
        <f t="shared" si="12"/>
        <v>1.2883561540818217E-8</v>
      </c>
      <c r="S21" s="16">
        <f t="shared" si="13"/>
        <v>2.3856661669453937E-8</v>
      </c>
      <c r="T21" s="16">
        <f t="shared" si="14"/>
        <v>1.2883561540818217E-8</v>
      </c>
      <c r="U21" s="16">
        <f t="shared" si="15"/>
        <v>-18.16731363734975</v>
      </c>
      <c r="V21" s="16">
        <f t="shared" si="16"/>
        <v>0.48754861738330035</v>
      </c>
      <c r="X21" s="18">
        <f t="shared" si="6"/>
        <v>2.0325141110124445E-8</v>
      </c>
      <c r="Y21" s="18">
        <f t="shared" si="7"/>
        <v>2.823587488633094E-8</v>
      </c>
      <c r="Z21" s="18">
        <f t="shared" si="8"/>
        <v>5.2289413147445211E-8</v>
      </c>
      <c r="AA21" s="18">
        <f t="shared" si="17"/>
        <v>2.823587488633094E-8</v>
      </c>
      <c r="AB21" s="16">
        <f t="shared" si="18"/>
        <v>-17.38267250842134</v>
      </c>
      <c r="AC21" s="16">
        <f t="shared" si="19"/>
        <v>0.29709251154510952</v>
      </c>
    </row>
    <row r="22" spans="1:29" s="16" customFormat="1" x14ac:dyDescent="0.3">
      <c r="A22" s="16">
        <v>18</v>
      </c>
      <c r="B22" s="16">
        <v>389.98</v>
      </c>
      <c r="C22" s="16">
        <v>5400</v>
      </c>
      <c r="D22" s="16">
        <v>13.311752927222248</v>
      </c>
      <c r="E22" s="16">
        <v>3.4890882331179931</v>
      </c>
      <c r="F22" s="16">
        <v>2.9646111981331123E-2</v>
      </c>
      <c r="G22" s="18">
        <f t="shared" si="9"/>
        <v>0.34638961559256437</v>
      </c>
      <c r="H22" s="18">
        <f t="shared" si="0"/>
        <v>0.34716104707789691</v>
      </c>
      <c r="J22" s="16">
        <f t="shared" si="1"/>
        <v>2.0953549174323843E-8</v>
      </c>
      <c r="K22" s="18">
        <f t="shared" si="2"/>
        <v>2.9159984450688777E-8</v>
      </c>
      <c r="L22" s="18">
        <f t="shared" si="3"/>
        <v>5.3796248955920542E-8</v>
      </c>
      <c r="M22" s="18">
        <f t="shared" si="4"/>
        <v>2.9159984450688777E-8</v>
      </c>
      <c r="N22" s="16">
        <f t="shared" si="5"/>
        <v>15.083411264291533</v>
      </c>
      <c r="O22" s="16">
        <f t="shared" si="10"/>
        <v>-17.350468463047221</v>
      </c>
      <c r="Q22" s="16">
        <f t="shared" si="11"/>
        <v>1.4574843159765413E-8</v>
      </c>
      <c r="R22" s="16">
        <f t="shared" si="12"/>
        <v>2.0289929158017919E-8</v>
      </c>
      <c r="S22" s="16">
        <f t="shared" si="13"/>
        <v>3.7404893440363117E-8</v>
      </c>
      <c r="T22" s="16">
        <f t="shared" si="14"/>
        <v>2.0289929158017919E-8</v>
      </c>
      <c r="U22" s="16">
        <f t="shared" si="15"/>
        <v>-17.71314117458753</v>
      </c>
      <c r="V22" s="16">
        <f t="shared" si="16"/>
        <v>0.36267271154030922</v>
      </c>
      <c r="X22" s="18">
        <f t="shared" si="6"/>
        <v>2.9599826542913409E-8</v>
      </c>
      <c r="Y22" s="18">
        <f t="shared" si="7"/>
        <v>4.1211460443188561E-8</v>
      </c>
      <c r="Z22" s="18">
        <f t="shared" si="8"/>
        <v>7.5954798466924877E-8</v>
      </c>
      <c r="AA22" s="18">
        <f t="shared" si="17"/>
        <v>4.1211460443188561E-8</v>
      </c>
      <c r="AB22" s="16">
        <f t="shared" si="18"/>
        <v>-17.004549453175137</v>
      </c>
      <c r="AC22" s="16">
        <f t="shared" si="19"/>
        <v>0.3459190098720839</v>
      </c>
    </row>
    <row r="23" spans="1:29" s="16" customFormat="1" x14ac:dyDescent="0.3">
      <c r="A23" s="16">
        <v>19</v>
      </c>
      <c r="B23" s="16">
        <v>400.06999999999903</v>
      </c>
      <c r="C23" s="16">
        <v>4200</v>
      </c>
      <c r="D23" s="16">
        <v>13.406077396871115</v>
      </c>
      <c r="E23" s="16">
        <v>2.9149129157001648</v>
      </c>
      <c r="F23" s="16">
        <v>5.0864916438749186E-2</v>
      </c>
      <c r="G23" s="18">
        <f t="shared" si="9"/>
        <v>0.34884406445149924</v>
      </c>
      <c r="H23" s="18">
        <f t="shared" si="0"/>
        <v>0.3501676376088958</v>
      </c>
      <c r="J23" s="16">
        <f t="shared" si="1"/>
        <v>3.5455439408720025E-8</v>
      </c>
      <c r="K23" s="18">
        <f t="shared" si="2"/>
        <v>4.9468533688900642E-8</v>
      </c>
      <c r="L23" s="18">
        <f t="shared" si="3"/>
        <v>9.076172094381499E-8</v>
      </c>
      <c r="M23" s="18">
        <f t="shared" si="4"/>
        <v>4.9468533688900642E-8</v>
      </c>
      <c r="N23" s="16">
        <f t="shared" si="5"/>
        <v>14.85729567504125</v>
      </c>
      <c r="O23" s="16">
        <f t="shared" si="10"/>
        <v>-16.821929052556417</v>
      </c>
      <c r="Q23" s="16">
        <f t="shared" si="11"/>
        <v>2.4338797077676298E-8</v>
      </c>
      <c r="R23" s="16">
        <f t="shared" si="12"/>
        <v>3.3973778841400918E-8</v>
      </c>
      <c r="S23" s="16">
        <f t="shared" si="13"/>
        <v>6.2272157286804341E-8</v>
      </c>
      <c r="T23" s="16">
        <f t="shared" si="14"/>
        <v>3.3973778841400918E-8</v>
      </c>
      <c r="U23" s="16">
        <f t="shared" si="15"/>
        <v>-17.197676820413122</v>
      </c>
      <c r="V23" s="16">
        <f t="shared" si="16"/>
        <v>0.37574776785670494</v>
      </c>
      <c r="X23" s="18">
        <f t="shared" si="6"/>
        <v>5.4678851620292727E-8</v>
      </c>
      <c r="Y23" s="18">
        <f t="shared" si="7"/>
        <v>7.6349962195531256E-8</v>
      </c>
      <c r="Z23" s="18">
        <f t="shared" si="8"/>
        <v>1.3984749798788449E-7</v>
      </c>
      <c r="AA23" s="18">
        <f t="shared" si="17"/>
        <v>7.6349962195531256E-8</v>
      </c>
      <c r="AB23" s="16">
        <f t="shared" si="18"/>
        <v>-16.387938300428832</v>
      </c>
      <c r="AC23" s="16">
        <f t="shared" si="19"/>
        <v>0.43399075212758476</v>
      </c>
    </row>
    <row r="24" spans="1:29" s="16" customFormat="1" x14ac:dyDescent="0.3">
      <c r="A24" s="16">
        <v>20</v>
      </c>
      <c r="B24" s="16">
        <v>409.99</v>
      </c>
      <c r="C24" s="16">
        <v>3600</v>
      </c>
      <c r="D24" s="16">
        <v>13.502395746292587</v>
      </c>
      <c r="E24" s="16">
        <v>2.6755483028334637</v>
      </c>
      <c r="F24" s="16">
        <v>6.0987693698995572E-2</v>
      </c>
      <c r="G24" s="18">
        <f t="shared" si="9"/>
        <v>0.35135039672892499</v>
      </c>
      <c r="H24" s="18">
        <f t="shared" si="0"/>
        <v>0.35293737808981479</v>
      </c>
      <c r="J24" s="16">
        <f t="shared" si="1"/>
        <v>4.2540460742219479E-8</v>
      </c>
      <c r="K24" s="18">
        <f t="shared" si="2"/>
        <v>5.9529351149125655E-8</v>
      </c>
      <c r="L24" s="18">
        <f t="shared" si="3"/>
        <v>1.0853968369210619E-7</v>
      </c>
      <c r="M24" s="18">
        <f t="shared" si="4"/>
        <v>5.9529351149125655E-8</v>
      </c>
      <c r="N24" s="16">
        <f t="shared" si="5"/>
        <v>14.641502803847787</v>
      </c>
      <c r="O24" s="16">
        <f t="shared" si="10"/>
        <v>-16.636796349401649</v>
      </c>
      <c r="Q24" s="16">
        <f t="shared" si="11"/>
        <v>2.0113146495384668E-8</v>
      </c>
      <c r="R24" s="16">
        <f t="shared" si="12"/>
        <v>2.8167684558056622E-8</v>
      </c>
      <c r="S24" s="16">
        <f t="shared" si="13"/>
        <v>5.1272943807352098E-8</v>
      </c>
      <c r="T24" s="16">
        <f t="shared" si="14"/>
        <v>2.8167684558056622E-8</v>
      </c>
      <c r="U24" s="16">
        <f t="shared" si="15"/>
        <v>-17.385090453748504</v>
      </c>
      <c r="V24" s="16">
        <f t="shared" si="16"/>
        <v>0.74829410434685428</v>
      </c>
      <c r="X24" s="18">
        <f t="shared" si="6"/>
        <v>6.963406899453931E-8</v>
      </c>
      <c r="Y24" s="18">
        <f t="shared" si="7"/>
        <v>9.7535790981456494E-8</v>
      </c>
      <c r="Z24" s="18">
        <f t="shared" si="8"/>
        <v>1.7748285177405186E-7</v>
      </c>
      <c r="AA24" s="18">
        <f t="shared" si="17"/>
        <v>9.7535790981456494E-8</v>
      </c>
      <c r="AB24" s="16">
        <f t="shared" si="18"/>
        <v>-16.143046439313256</v>
      </c>
      <c r="AC24" s="16">
        <f t="shared" si="19"/>
        <v>0.49374991008839331</v>
      </c>
    </row>
    <row r="25" spans="1:29" s="26" customFormat="1" x14ac:dyDescent="0.3">
      <c r="A25" s="26">
        <v>21</v>
      </c>
      <c r="B25" s="26">
        <v>29.11</v>
      </c>
      <c r="C25" s="26">
        <v>3600</v>
      </c>
      <c r="D25" s="26">
        <v>13.503328941114855</v>
      </c>
      <c r="E25" s="26">
        <v>1.183686838409794E-2</v>
      </c>
      <c r="F25" s="26">
        <v>6.0054498876726335E-2</v>
      </c>
      <c r="G25" s="27">
        <f t="shared" si="9"/>
        <v>0.35137467970634545</v>
      </c>
      <c r="H25" s="27">
        <f t="shared" si="0"/>
        <v>0.35293737808981474</v>
      </c>
      <c r="J25" s="26">
        <f t="shared" si="1"/>
        <v>4.1364926655079671E-10</v>
      </c>
      <c r="K25" s="27">
        <f t="shared" si="2"/>
        <v>5.7971734086325383E-10</v>
      </c>
      <c r="L25" s="27">
        <f t="shared" si="3"/>
        <v>1.0536531318231599E-9</v>
      </c>
      <c r="M25" s="27">
        <f t="shared" si="4"/>
        <v>5.7971734086325383E-10</v>
      </c>
      <c r="N25" s="26">
        <f t="shared" si="5"/>
        <v>33.100526298368145</v>
      </c>
      <c r="O25" s="26">
        <f t="shared" si="10"/>
        <v>-21.268480474517663</v>
      </c>
      <c r="Q25" s="26">
        <f t="shared" si="11"/>
        <v>-2.6679958985769031E-8</v>
      </c>
      <c r="R25" s="26">
        <f t="shared" si="12"/>
        <v>-3.7426722491467434E-8</v>
      </c>
      <c r="S25" s="26">
        <f t="shared" si="13"/>
        <v>-6.7889514950121243E-8</v>
      </c>
      <c r="T25" s="26">
        <f t="shared" si="14"/>
        <v>-3.7426722491467434E-8</v>
      </c>
      <c r="U25" s="26" t="e">
        <f t="shared" si="15"/>
        <v>#NUM!</v>
      </c>
      <c r="V25" s="26">
        <f t="shared" si="16"/>
        <v>5</v>
      </c>
      <c r="X25" s="27">
        <f t="shared" si="6"/>
        <v>2.7093608252319152E-8</v>
      </c>
      <c r="Y25" s="27">
        <f t="shared" si="7"/>
        <v>3.8006439832335815E-8</v>
      </c>
      <c r="Z25" s="27">
        <f t="shared" si="8"/>
        <v>6.8943168081944189E-8</v>
      </c>
      <c r="AA25" s="27">
        <f t="shared" si="17"/>
        <v>3.8006439832335815E-8</v>
      </c>
      <c r="AB25" s="26">
        <f t="shared" si="18"/>
        <v>-17.085510222306326</v>
      </c>
      <c r="AC25" s="26">
        <f t="shared" si="19"/>
        <v>4.1829702522113372</v>
      </c>
    </row>
    <row r="26" spans="1:29" s="16" customFormat="1" x14ac:dyDescent="0.3">
      <c r="A26" s="16">
        <v>22</v>
      </c>
      <c r="B26" s="16">
        <v>291.82999999999902</v>
      </c>
      <c r="C26" s="16">
        <v>3600</v>
      </c>
      <c r="D26" s="16">
        <v>13.596083126282583</v>
      </c>
      <c r="E26" s="16">
        <v>1.0305397238184772</v>
      </c>
      <c r="F26" s="16">
        <v>3.0585934653038809</v>
      </c>
      <c r="G26" s="18">
        <f t="shared" si="9"/>
        <v>0.35378826766283067</v>
      </c>
      <c r="H26" s="18">
        <f t="shared" si="0"/>
        <v>0.43337696048884894</v>
      </c>
      <c r="J26" s="16">
        <f t="shared" si="1"/>
        <v>4.1256984846241003E-8</v>
      </c>
      <c r="K26" s="18">
        <f t="shared" si="2"/>
        <v>5.7904982292439232E-8</v>
      </c>
      <c r="L26" s="18">
        <f t="shared" si="3"/>
        <v>1.0492434434509385E-7</v>
      </c>
      <c r="M26" s="18">
        <f t="shared" si="4"/>
        <v>5.7904982292439232E-8</v>
      </c>
      <c r="N26" s="16">
        <f t="shared" si="5"/>
        <v>17.704442044508998</v>
      </c>
      <c r="O26" s="16">
        <f t="shared" si="10"/>
        <v>-16.664462406113774</v>
      </c>
      <c r="Q26" s="16">
        <f t="shared" si="11"/>
        <v>1.4577025860472642E-8</v>
      </c>
      <c r="R26" s="16">
        <f t="shared" si="12"/>
        <v>2.0478259800966637E-8</v>
      </c>
      <c r="S26" s="16">
        <f t="shared" si="13"/>
        <v>3.7034829394977474E-8</v>
      </c>
      <c r="T26" s="16">
        <f t="shared" si="14"/>
        <v>2.0478259800966637E-8</v>
      </c>
      <c r="U26" s="16">
        <f t="shared" si="15"/>
        <v>-17.70390201104124</v>
      </c>
      <c r="V26" s="16">
        <f t="shared" si="16"/>
        <v>1.0394396049274661</v>
      </c>
      <c r="X26" s="18">
        <f t="shared" si="6"/>
        <v>1.5599225460383739E-6</v>
      </c>
      <c r="Y26" s="18">
        <f t="shared" si="7"/>
        <v>2.3062748243163448E-6</v>
      </c>
      <c r="Z26" s="18">
        <f t="shared" si="8"/>
        <v>3.8040751934658459E-6</v>
      </c>
      <c r="AA26" s="18">
        <f t="shared" si="17"/>
        <v>2.3062748243163448E-6</v>
      </c>
      <c r="AB26" s="16">
        <f t="shared" si="18"/>
        <v>-12.979876965284298</v>
      </c>
      <c r="AC26" s="16">
        <f>AB26-O26</f>
        <v>3.6845854408294763</v>
      </c>
    </row>
    <row r="27" spans="1:29" s="16" customFormat="1" x14ac:dyDescent="0.3">
      <c r="A27" s="16">
        <v>23</v>
      </c>
      <c r="B27" s="16">
        <v>345.17</v>
      </c>
      <c r="C27" s="16">
        <v>3600</v>
      </c>
      <c r="D27" s="16">
        <v>13.865710952159473</v>
      </c>
      <c r="E27" s="16">
        <v>1.6510800458201209</v>
      </c>
      <c r="F27" s="16">
        <v>1.0008924440646954</v>
      </c>
      <c r="G27" s="18">
        <f t="shared" si="9"/>
        <v>0.36080434431848746</v>
      </c>
      <c r="H27" s="18">
        <f t="shared" si="0"/>
        <v>0.38684890440343916</v>
      </c>
      <c r="J27" s="16">
        <f t="shared" si="1"/>
        <v>1.2153397941335738E-7</v>
      </c>
      <c r="K27" s="18">
        <f t="shared" si="2"/>
        <v>1.7154772490760298E-7</v>
      </c>
      <c r="L27" s="18">
        <f t="shared" si="3"/>
        <v>3.0724554618668399E-7</v>
      </c>
      <c r="M27" s="18">
        <f t="shared" si="4"/>
        <v>1.7154772490760298E-7</v>
      </c>
      <c r="N27" s="16">
        <f t="shared" si="5"/>
        <v>16.176779850203015</v>
      </c>
      <c r="O27" s="16">
        <f t="shared" si="10"/>
        <v>-15.578404329708308</v>
      </c>
      <c r="Q27" s="16">
        <f t="shared" si="11"/>
        <v>-1.3971315817787757E-6</v>
      </c>
      <c r="R27" s="16">
        <f t="shared" si="12"/>
        <v>-2.0768221171163025E-6</v>
      </c>
      <c r="S27" s="16">
        <f t="shared" si="13"/>
        <v>-3.3919053029340677E-6</v>
      </c>
      <c r="T27" s="16">
        <f t="shared" si="14"/>
        <v>-2.0768221171163025E-6</v>
      </c>
      <c r="U27" s="16" t="e">
        <f t="shared" si="15"/>
        <v>#NUM!</v>
      </c>
      <c r="V27" s="16">
        <f t="shared" si="16"/>
        <v>5</v>
      </c>
      <c r="X27" s="18">
        <f t="shared" si="6"/>
        <v>5.9355585055410308E-7</v>
      </c>
      <c r="Y27" s="18">
        <f t="shared" si="7"/>
        <v>8.5158846467194468E-7</v>
      </c>
      <c r="Z27" s="18">
        <f t="shared" si="8"/>
        <v>1.4780457910001995E-6</v>
      </c>
      <c r="AA27" s="18">
        <f t="shared" si="17"/>
        <v>8.5158846467194468E-7</v>
      </c>
      <c r="AB27" s="16">
        <f t="shared" si="18"/>
        <v>-13.976162449495643</v>
      </c>
      <c r="AC27" s="16">
        <f t="shared" si="19"/>
        <v>1.6022418802126648</v>
      </c>
    </row>
    <row r="28" spans="1:29" s="16" customFormat="1" x14ac:dyDescent="0.3">
      <c r="A28" s="16">
        <v>24</v>
      </c>
      <c r="B28" s="16">
        <v>374.99</v>
      </c>
      <c r="C28" s="16">
        <v>3600</v>
      </c>
      <c r="D28" s="16">
        <v>14.858844922886661</v>
      </c>
      <c r="E28" s="16">
        <v>2.0839367098583992</v>
      </c>
      <c r="F28" s="16">
        <v>1.0407791646098494</v>
      </c>
      <c r="G28" s="18">
        <f t="shared" si="9"/>
        <v>0.3866470185502644</v>
      </c>
      <c r="H28" s="18">
        <f t="shared" si="0"/>
        <v>0.41372948445216007</v>
      </c>
      <c r="J28" s="16">
        <f t="shared" si="1"/>
        <v>4.6823649720386491E-7</v>
      </c>
      <c r="K28" s="18">
        <f t="shared" si="2"/>
        <v>6.7449992446000877E-7</v>
      </c>
      <c r="L28" s="18">
        <f t="shared" si="3"/>
        <v>1.1615348347518535E-6</v>
      </c>
      <c r="M28" s="18">
        <f t="shared" si="4"/>
        <v>6.7449992446000877E-7</v>
      </c>
      <c r="N28" s="16">
        <f t="shared" si="5"/>
        <v>15.43233691877961</v>
      </c>
      <c r="O28" s="16">
        <f t="shared" si="10"/>
        <v>-14.209294273292663</v>
      </c>
      <c r="Q28" s="16">
        <f t="shared" si="11"/>
        <v>-3.7853739368808722E-9</v>
      </c>
      <c r="R28" s="16">
        <f t="shared" si="12"/>
        <v>-5.540815304332512E-9</v>
      </c>
      <c r="S28" s="16">
        <f t="shared" si="13"/>
        <v>-9.2654100616640405E-9</v>
      </c>
      <c r="T28" s="16">
        <f t="shared" si="14"/>
        <v>-5.540815304332512E-9</v>
      </c>
      <c r="U28" s="16" t="e">
        <f t="shared" si="15"/>
        <v>#NUM!</v>
      </c>
      <c r="V28" s="16">
        <f t="shared" si="16"/>
        <v>5</v>
      </c>
      <c r="X28" s="18">
        <f t="shared" si="6"/>
        <v>9.9368166998032291E-7</v>
      </c>
      <c r="Y28" s="18">
        <f t="shared" si="7"/>
        <v>1.4571771111284461E-6</v>
      </c>
      <c r="Z28" s="18">
        <f t="shared" si="8"/>
        <v>2.4325326059812076E-6</v>
      </c>
      <c r="AA28" s="18">
        <f t="shared" si="17"/>
        <v>1.4571771111284461E-6</v>
      </c>
      <c r="AB28" s="16">
        <f t="shared" si="18"/>
        <v>-13.439009479368494</v>
      </c>
      <c r="AC28" s="16">
        <f t="shared" si="19"/>
        <v>0.77028479392416926</v>
      </c>
    </row>
    <row r="29" spans="1:29" s="16" customFormat="1" x14ac:dyDescent="0.3">
      <c r="A29" s="16">
        <v>25</v>
      </c>
      <c r="B29" s="16">
        <v>400.02</v>
      </c>
      <c r="C29" s="16">
        <v>3600</v>
      </c>
      <c r="D29" s="16">
        <v>16.92513473215087</v>
      </c>
      <c r="E29" s="16">
        <v>2.4976233369320968</v>
      </c>
      <c r="F29" s="16">
        <v>1.4653482558813324</v>
      </c>
      <c r="G29" s="18">
        <f t="shared" si="9"/>
        <v>0.44041464304321803</v>
      </c>
      <c r="H29" s="18">
        <f t="shared" si="0"/>
        <v>0.47854496455977624</v>
      </c>
      <c r="J29" s="16">
        <f t="shared" si="1"/>
        <v>1.0779623936379271E-6</v>
      </c>
      <c r="K29" s="18">
        <f t="shared" si="2"/>
        <v>1.6354236538324875E-6</v>
      </c>
      <c r="L29" s="18">
        <f t="shared" si="3"/>
        <v>2.5821287369622128E-6</v>
      </c>
      <c r="M29" s="18">
        <f t="shared" si="4"/>
        <v>1.6354236538324875E-6</v>
      </c>
      <c r="N29" s="16">
        <f t="shared" si="5"/>
        <v>14.8583994532109</v>
      </c>
      <c r="O29" s="16">
        <f t="shared" si="10"/>
        <v>-13.323608671685802</v>
      </c>
      <c r="Q29" s="16">
        <f t="shared" si="11"/>
        <v>5.5251722086146904E-7</v>
      </c>
      <c r="R29" s="16">
        <f t="shared" si="12"/>
        <v>8.5274646716404985E-7</v>
      </c>
      <c r="S29" s="16">
        <f t="shared" si="13"/>
        <v>1.3111309657328576E-6</v>
      </c>
      <c r="T29" s="16">
        <f t="shared" si="14"/>
        <v>8.5274646716404985E-7</v>
      </c>
      <c r="U29" s="16">
        <f t="shared" si="15"/>
        <v>-13.974803558530409</v>
      </c>
      <c r="V29" s="16">
        <f t="shared" si="16"/>
        <v>0.65119488684460691</v>
      </c>
      <c r="X29" s="18">
        <f t="shared" si="6"/>
        <v>1.9273614243347985E-6</v>
      </c>
      <c r="Y29" s="18">
        <f t="shared" si="7"/>
        <v>3.0072861486821187E-6</v>
      </c>
      <c r="Z29" s="18">
        <f t="shared" si="8"/>
        <v>4.5683905595799011E-6</v>
      </c>
      <c r="AA29" s="18">
        <f t="shared" si="17"/>
        <v>3.0072861486821187E-6</v>
      </c>
      <c r="AB29" s="16">
        <f t="shared" si="18"/>
        <v>-12.714472497633338</v>
      </c>
      <c r="AC29" s="16">
        <f t="shared" si="19"/>
        <v>0.60913617405246434</v>
      </c>
    </row>
    <row r="30" spans="1:29" s="16" customFormat="1" x14ac:dyDescent="0.3">
      <c r="A30" s="16">
        <v>26</v>
      </c>
      <c r="B30" s="16">
        <v>415.02</v>
      </c>
      <c r="C30" s="16">
        <v>3600</v>
      </c>
      <c r="D30" s="16">
        <v>19.147951968354569</v>
      </c>
      <c r="E30" s="16">
        <v>2.7681960319602612</v>
      </c>
      <c r="F30" s="16">
        <v>1.3490976345654364</v>
      </c>
      <c r="G30" s="18">
        <f t="shared" si="9"/>
        <v>0.49825532054006166</v>
      </c>
      <c r="H30" s="18">
        <f t="shared" si="0"/>
        <v>0.53336064540515238</v>
      </c>
      <c r="J30" s="16">
        <f t="shared" si="1"/>
        <v>1.3161068925775291E-6</v>
      </c>
      <c r="K30" s="18">
        <f t="shared" si="2"/>
        <v>2.1580351419791767E-6</v>
      </c>
      <c r="L30" s="18">
        <f t="shared" si="3"/>
        <v>3.0707268098353539E-6</v>
      </c>
      <c r="M30" s="18">
        <f t="shared" si="4"/>
        <v>2.1580351419791767E-6</v>
      </c>
      <c r="N30" s="16">
        <f t="shared" si="5"/>
        <v>14.534461207523037</v>
      </c>
      <c r="O30" s="16">
        <f t="shared" si="10"/>
        <v>-13.046312406747866</v>
      </c>
      <c r="Q30" s="16">
        <f t="shared" si="11"/>
        <v>4.6670786188065777E-7</v>
      </c>
      <c r="R30" s="16">
        <f t="shared" si="12"/>
        <v>7.8617264712954445E-7</v>
      </c>
      <c r="S30" s="16">
        <f t="shared" si="13"/>
        <v>1.0844649872176662E-6</v>
      </c>
      <c r="T30" s="16">
        <f t="shared" si="14"/>
        <v>7.8617264712954445E-7</v>
      </c>
      <c r="U30" s="16">
        <f t="shared" si="15"/>
        <v>-14.056089415800786</v>
      </c>
      <c r="V30" s="16">
        <f t="shared" si="16"/>
        <v>1.0097770090529199</v>
      </c>
      <c r="X30" s="18">
        <f t="shared" si="6"/>
        <v>2.1939884439541811E-6</v>
      </c>
      <c r="Y30" s="18">
        <f t="shared" si="7"/>
        <v>3.7018871221830736E-6</v>
      </c>
      <c r="Z30" s="18">
        <f t="shared" si="8"/>
        <v>5.1121990510470323E-6</v>
      </c>
      <c r="AA30" s="18">
        <f t="shared" si="17"/>
        <v>3.7018871221830736E-6</v>
      </c>
      <c r="AB30" s="16">
        <f t="shared" si="18"/>
        <v>-12.506667835314277</v>
      </c>
      <c r="AC30" s="16">
        <f t="shared" si="19"/>
        <v>0.53964457143358935</v>
      </c>
    </row>
    <row r="31" spans="1:29" s="16" customFormat="1" x14ac:dyDescent="0.3">
      <c r="A31" s="16">
        <v>27</v>
      </c>
      <c r="B31" s="16">
        <v>429.92</v>
      </c>
      <c r="C31" s="16">
        <v>3600</v>
      </c>
      <c r="D31" s="16">
        <v>21.998099552300168</v>
      </c>
      <c r="E31" s="16">
        <v>3.0540880334098741</v>
      </c>
      <c r="F31" s="16">
        <v>1.4511800505983847</v>
      </c>
      <c r="G31" s="18">
        <f t="shared" si="9"/>
        <v>0.57241997273744905</v>
      </c>
      <c r="H31" s="18">
        <f t="shared" si="0"/>
        <v>0.61018161860261655</v>
      </c>
      <c r="J31" s="16">
        <f t="shared" si="1"/>
        <v>1.9248620786799916E-6</v>
      </c>
      <c r="K31" s="18">
        <f t="shared" si="2"/>
        <v>3.502706607016506E-6</v>
      </c>
      <c r="L31" s="18">
        <f t="shared" si="3"/>
        <v>4.5017540730055265E-6</v>
      </c>
      <c r="M31" s="18">
        <f t="shared" si="4"/>
        <v>3.502706607016506E-6</v>
      </c>
      <c r="N31" s="16">
        <f t="shared" si="5"/>
        <v>14.226369999430943</v>
      </c>
      <c r="O31" s="16">
        <f t="shared" si="10"/>
        <v>-12.561974572033455</v>
      </c>
      <c r="Q31" s="16">
        <f t="shared" si="11"/>
        <v>1.0469805273033391E-6</v>
      </c>
      <c r="R31" s="16">
        <f t="shared" si="12"/>
        <v>1.9588546268126099E-6</v>
      </c>
      <c r="S31" s="16">
        <f t="shared" si="13"/>
        <v>2.4602818317938522E-6</v>
      </c>
      <c r="T31" s="16">
        <f t="shared" si="14"/>
        <v>1.9588546268126099E-6</v>
      </c>
      <c r="U31" s="16">
        <f t="shared" si="15"/>
        <v>-13.143150629610126</v>
      </c>
      <c r="V31" s="16">
        <f t="shared" si="16"/>
        <v>0.58117605757667157</v>
      </c>
      <c r="X31" s="18">
        <f t="shared" si="6"/>
        <v>3.0073778821338763E-6</v>
      </c>
      <c r="Y31" s="18">
        <f t="shared" si="7"/>
        <v>5.6742623827339373E-6</v>
      </c>
      <c r="Z31" s="18">
        <f t="shared" si="8"/>
        <v>7.1040346441443818E-6</v>
      </c>
      <c r="AA31" s="18">
        <f t="shared" si="17"/>
        <v>5.6742623827339373E-6</v>
      </c>
      <c r="AB31" s="16">
        <f t="shared" si="18"/>
        <v>-12.079569979655259</v>
      </c>
      <c r="AC31" s="16">
        <f t="shared" si="19"/>
        <v>0.48240459237819522</v>
      </c>
    </row>
    <row r="32" spans="1:29" s="16" customFormat="1" x14ac:dyDescent="0.3">
      <c r="A32" s="16">
        <v>28</v>
      </c>
      <c r="B32" s="16">
        <v>420.02</v>
      </c>
      <c r="C32" s="16">
        <v>3600</v>
      </c>
      <c r="D32" s="16">
        <v>24.42043556560639</v>
      </c>
      <c r="E32" s="16">
        <v>2.8622190002838037</v>
      </c>
      <c r="F32" s="16">
        <v>1.3837024177982213</v>
      </c>
      <c r="G32" s="18">
        <f t="shared" si="9"/>
        <v>0.63545239567021572</v>
      </c>
      <c r="H32" s="18">
        <f t="shared" si="0"/>
        <v>0.67145818327880857</v>
      </c>
      <c r="J32" s="16">
        <f t="shared" si="1"/>
        <v>1.8455674373035776E-6</v>
      </c>
      <c r="K32" s="18">
        <f t="shared" si="2"/>
        <v>3.8000781644194133E-6</v>
      </c>
      <c r="L32" s="18">
        <f t="shared" si="3"/>
        <v>4.4886501469637102E-6</v>
      </c>
      <c r="M32" s="18">
        <f t="shared" si="4"/>
        <v>3.8000781644194133E-6</v>
      </c>
      <c r="N32" s="16">
        <f t="shared" si="5"/>
        <v>14.429597991399961</v>
      </c>
      <c r="O32" s="16">
        <f t="shared" si="10"/>
        <v>-12.480488921859429</v>
      </c>
      <c r="Q32" s="16">
        <f t="shared" si="11"/>
        <v>7.6305163384969267E-7</v>
      </c>
      <c r="R32" s="16">
        <f t="shared" si="12"/>
        <v>1.6285223887019845E-6</v>
      </c>
      <c r="S32" s="16">
        <f t="shared" si="13"/>
        <v>1.8863695758248584E-6</v>
      </c>
      <c r="T32" s="16">
        <f t="shared" si="14"/>
        <v>1.6285223887019845E-6</v>
      </c>
      <c r="U32" s="16">
        <f t="shared" si="15"/>
        <v>-13.327837464273054</v>
      </c>
      <c r="V32" s="16">
        <f t="shared" si="16"/>
        <v>0.84734854241362534</v>
      </c>
      <c r="X32" s="18">
        <f t="shared" si="6"/>
        <v>2.9862454226863628E-6</v>
      </c>
      <c r="Y32" s="18">
        <f t="shared" si="7"/>
        <v>6.4023320707029011E-6</v>
      </c>
      <c r="Z32" s="18">
        <f t="shared" si="8"/>
        <v>7.4155100809971176E-6</v>
      </c>
      <c r="AA32" s="18">
        <f t="shared" si="17"/>
        <v>6.4023320707029011E-6</v>
      </c>
      <c r="AB32" s="16">
        <f t="shared" si="18"/>
        <v>-11.958848247923793</v>
      </c>
      <c r="AC32" s="16">
        <f t="shared" si="19"/>
        <v>0.52164067393563585</v>
      </c>
    </row>
    <row r="33" spans="1:29" s="16" customFormat="1" x14ac:dyDescent="0.3">
      <c r="A33" s="16">
        <v>29</v>
      </c>
      <c r="B33" s="16">
        <v>410.03</v>
      </c>
      <c r="C33" s="16">
        <v>3600</v>
      </c>
      <c r="D33" s="16">
        <v>25.89617871996494</v>
      </c>
      <c r="E33" s="16">
        <v>2.6762774148076685</v>
      </c>
      <c r="F33" s="16">
        <v>0.97559411383921846</v>
      </c>
      <c r="G33" s="18">
        <f t="shared" si="9"/>
        <v>0.67385320634829404</v>
      </c>
      <c r="H33" s="18">
        <f t="shared" si="0"/>
        <v>0.6992394700443445</v>
      </c>
      <c r="J33" s="16">
        <f t="shared" si="1"/>
        <v>1.2187827254114496E-6</v>
      </c>
      <c r="K33" s="18">
        <f t="shared" si="2"/>
        <v>2.7883770116076856E-6</v>
      </c>
      <c r="L33" s="18">
        <f t="shared" si="3"/>
        <v>3.132782813451298E-6</v>
      </c>
      <c r="M33" s="18">
        <f t="shared" si="4"/>
        <v>2.7883770116076856E-6</v>
      </c>
      <c r="N33" s="16">
        <f t="shared" si="5"/>
        <v>14.640645359647454</v>
      </c>
      <c r="O33" s="16">
        <f t="shared" si="10"/>
        <v>-12.790050847663201</v>
      </c>
      <c r="Q33" s="16">
        <f t="shared" si="11"/>
        <v>7.8104740028664832E-8</v>
      </c>
      <c r="R33" s="16">
        <f t="shared" si="12"/>
        <v>1.8612310532419701E-7</v>
      </c>
      <c r="S33" s="16">
        <f t="shared" si="13"/>
        <v>2.0592287941789061E-7</v>
      </c>
      <c r="T33" s="16">
        <f t="shared" si="14"/>
        <v>1.8612310532419701E-7</v>
      </c>
      <c r="U33" s="16">
        <f t="shared" si="15"/>
        <v>-15.496857525581978</v>
      </c>
      <c r="V33" s="16">
        <f t="shared" si="16"/>
        <v>2.7068066779187774</v>
      </c>
      <c r="X33" s="18">
        <f t="shared" si="6"/>
        <v>2.0637570425584368E-6</v>
      </c>
      <c r="Y33" s="18">
        <f t="shared" si="7"/>
        <v>4.8729080251744136E-6</v>
      </c>
      <c r="Z33" s="18">
        <f t="shared" si="8"/>
        <v>5.4134438724134737E-6</v>
      </c>
      <c r="AA33" s="18">
        <f t="shared" si="17"/>
        <v>4.8729080251744136E-6</v>
      </c>
      <c r="AB33" s="16">
        <f t="shared" si="18"/>
        <v>-12.23181966865525</v>
      </c>
      <c r="AC33" s="16">
        <f t="shared" si="19"/>
        <v>0.55823117900795083</v>
      </c>
    </row>
    <row r="34" spans="1:29" s="16" customFormat="1" x14ac:dyDescent="0.3">
      <c r="A34" s="16">
        <v>30</v>
      </c>
      <c r="B34" s="16">
        <v>400.05999999999898</v>
      </c>
      <c r="C34" s="16">
        <v>3600</v>
      </c>
      <c r="D34" s="16">
        <v>26.680633830906064</v>
      </c>
      <c r="E34" s="16">
        <v>2.4983220801420254</v>
      </c>
      <c r="F34" s="16">
        <v>0.60377185519497212</v>
      </c>
      <c r="G34" s="18">
        <f t="shared" si="9"/>
        <v>0.69426577754114138</v>
      </c>
      <c r="H34" s="18">
        <f t="shared" si="0"/>
        <v>0.70997672875620699</v>
      </c>
      <c r="J34" s="16">
        <f t="shared" si="1"/>
        <v>6.7696536959082379E-7</v>
      </c>
      <c r="K34" s="18">
        <f t="shared" si="2"/>
        <v>1.6593571687316645E-6</v>
      </c>
      <c r="L34" s="18">
        <f t="shared" si="3"/>
        <v>1.8190360069637194E-6</v>
      </c>
      <c r="M34" s="18">
        <f t="shared" si="4"/>
        <v>1.6593571687316645E-6</v>
      </c>
      <c r="N34" s="16">
        <f t="shared" si="5"/>
        <v>14.857516417555663</v>
      </c>
      <c r="O34" s="16">
        <f t="shared" si="10"/>
        <v>-13.309080278347606</v>
      </c>
      <c r="Q34" s="16">
        <f t="shared" si="11"/>
        <v>-1.6800894755616316E-7</v>
      </c>
      <c r="R34" s="16">
        <f t="shared" si="12"/>
        <v>-4.2517384483506279E-7</v>
      </c>
      <c r="S34" s="16">
        <f t="shared" si="13"/>
        <v>-4.6162505199845955E-7</v>
      </c>
      <c r="T34" s="16">
        <f t="shared" si="14"/>
        <v>-4.2517384483506279E-7</v>
      </c>
      <c r="U34" s="16" t="e">
        <f t="shared" si="15"/>
        <v>#NUM!</v>
      </c>
      <c r="V34" s="16">
        <f t="shared" si="16"/>
        <v>5</v>
      </c>
      <c r="X34" s="18">
        <f t="shared" si="6"/>
        <v>1.2117629899887942E-6</v>
      </c>
      <c r="Y34" s="18">
        <f t="shared" si="7"/>
        <v>3.0322597905054006E-6</v>
      </c>
      <c r="Z34" s="18">
        <f t="shared" si="8"/>
        <v>3.3038136612077631E-6</v>
      </c>
      <c r="AA34" s="18">
        <f t="shared" si="17"/>
        <v>3.0322597905054006E-6</v>
      </c>
      <c r="AB34" s="16">
        <f t="shared" si="18"/>
        <v>-12.70620241097035</v>
      </c>
      <c r="AC34" s="16">
        <f t="shared" si="19"/>
        <v>0.60287786737725568</v>
      </c>
    </row>
    <row r="35" spans="1:29" s="16" customFormat="1" x14ac:dyDescent="0.3">
      <c r="A35" s="16">
        <v>31</v>
      </c>
      <c r="B35" s="16">
        <v>390.039999999999</v>
      </c>
      <c r="C35" s="16">
        <v>4800</v>
      </c>
      <c r="D35" s="16">
        <v>27.189781190043469</v>
      </c>
      <c r="E35" s="16">
        <v>3.1027487846500823</v>
      </c>
      <c r="F35" s="16">
        <v>0.26925896081579642</v>
      </c>
      <c r="G35" s="18">
        <f t="shared" si="9"/>
        <v>0.70751447280883339</v>
      </c>
      <c r="H35" s="18">
        <f t="shared" si="0"/>
        <v>0.71452095110224478</v>
      </c>
      <c r="J35" s="16">
        <f t="shared" si="1"/>
        <v>3.376441134165358E-7</v>
      </c>
      <c r="K35" s="18">
        <f t="shared" si="2"/>
        <v>8.6390131140426944E-7</v>
      </c>
      <c r="L35" s="18">
        <f t="shared" si="3"/>
        <v>9.3513087685191592E-7</v>
      </c>
      <c r="M35" s="18">
        <f t="shared" si="4"/>
        <v>8.6390131140426944E-7</v>
      </c>
      <c r="N35" s="16">
        <f t="shared" si="5"/>
        <v>15.082046332046353</v>
      </c>
      <c r="O35" s="16">
        <f t="shared" si="10"/>
        <v>-13.961807297578014</v>
      </c>
      <c r="Q35" s="16">
        <f t="shared" si="11"/>
        <v>-6.3454101881941798E-8</v>
      </c>
      <c r="R35" s="16">
        <f t="shared" si="12"/>
        <v>-1.6577565492603241E-7</v>
      </c>
      <c r="S35" s="16">
        <f t="shared" si="13"/>
        <v>-1.7845236383112017E-7</v>
      </c>
      <c r="T35" s="16">
        <f t="shared" si="14"/>
        <v>-1.6577565492603241E-7</v>
      </c>
      <c r="U35" s="16" t="e">
        <f t="shared" si="15"/>
        <v>#NUM!</v>
      </c>
      <c r="V35" s="16">
        <f t="shared" si="16"/>
        <v>5</v>
      </c>
      <c r="X35" s="18">
        <f t="shared" si="6"/>
        <v>5.1878493388736769E-7</v>
      </c>
      <c r="Y35" s="18">
        <f t="shared" si="7"/>
        <v>1.3400994431681169E-6</v>
      </c>
      <c r="Z35" s="18">
        <f t="shared" si="8"/>
        <v>1.4469409730009022E-6</v>
      </c>
      <c r="AA35" s="18">
        <f t="shared" si="17"/>
        <v>1.3400994431681169E-6</v>
      </c>
      <c r="AB35" s="16">
        <f t="shared" si="18"/>
        <v>-13.522766735435487</v>
      </c>
      <c r="AC35" s="16">
        <f t="shared" si="19"/>
        <v>0.43904056214252662</v>
      </c>
    </row>
    <row r="36" spans="1:29" s="16" customFormat="1" x14ac:dyDescent="0.3">
      <c r="A36" s="16">
        <v>32</v>
      </c>
      <c r="B36" s="16">
        <v>380.039999999999</v>
      </c>
      <c r="C36" s="16">
        <v>6000</v>
      </c>
      <c r="D36" s="16">
        <v>27.560400732053274</v>
      </c>
      <c r="E36" s="16">
        <v>3.6060725550677732</v>
      </c>
      <c r="F36" s="16">
        <v>0.14952643910691438</v>
      </c>
      <c r="G36" s="18">
        <f t="shared" si="9"/>
        <v>0.71715848899436052</v>
      </c>
      <c r="H36" s="18">
        <f t="shared" ref="H36:H52" si="20">(D36+F36)/$D$53</f>
        <v>0.72104936693104837</v>
      </c>
      <c r="J36" s="16">
        <f t="shared" ref="J36:J52" si="21">((G36^2-G35^2)*PI())/(36*C36)</f>
        <v>1.9983393220635258E-7</v>
      </c>
      <c r="K36" s="18">
        <f t="shared" ref="K36:K52" si="22">(1/(PI()*PI()*C36))*(-(G36-G35)*PI()*PI()/3-2*PI()*(SQRT(1-PI()/3*G36)-SQRT(1-PI()/3*G35)))</f>
        <v>5.2727030611047923E-7</v>
      </c>
      <c r="L36" s="18">
        <f t="shared" ref="L36:L52" si="23">(1/(PI()^2*C36))*LN((1-G35)/(1-G36))</f>
        <v>5.6619082542386211E-7</v>
      </c>
      <c r="M36" s="18">
        <f t="shared" ref="M36:M67" si="24">(G36&lt;0.05)*J36+((G36&gt;=0.05)*(G36&lt;0.9))*K36+(G36&gt;=0.9)*L36</f>
        <v>5.2727030611047923E-7</v>
      </c>
      <c r="N36" s="16">
        <f t="shared" ref="N36:N52" si="25">10000/(273+B36)</f>
        <v>15.312997672424377</v>
      </c>
      <c r="O36" s="16">
        <f t="shared" si="10"/>
        <v>-14.455552505080249</v>
      </c>
      <c r="Q36" s="16">
        <f t="shared" si="11"/>
        <v>5.4921275829687087E-8</v>
      </c>
      <c r="R36" s="16">
        <f t="shared" si="12"/>
        <v>1.4631180069940091E-7</v>
      </c>
      <c r="S36" s="16">
        <f t="shared" si="13"/>
        <v>1.5674274850467279E-7</v>
      </c>
      <c r="T36" s="16">
        <f t="shared" si="14"/>
        <v>1.4631180069940091E-7</v>
      </c>
      <c r="U36" s="16">
        <f t="shared" si="15"/>
        <v>-15.73752587120674</v>
      </c>
      <c r="V36" s="16">
        <f t="shared" si="16"/>
        <v>1.2819733661264916</v>
      </c>
      <c r="X36" s="18">
        <f t="shared" ref="X36:X52" si="26">((H36^2-G35^2)*PI())/(36*C36)</f>
        <v>2.8122287077720546E-7</v>
      </c>
      <c r="Y36" s="18">
        <f t="shared" ref="Y36:Y52" si="27">(1/(PI()*PI()*C36))*(-(H36-G35)*PI()*PI()/3-2*PI()*(SQRT(1-PI()/3*H36)-SQRT(1-PI()/3*G35)))</f>
        <v>7.4609002380992492E-7</v>
      </c>
      <c r="Z36" s="18">
        <f t="shared" ref="Z36:Z52" si="28">(1/(PI()^2*C36))*LN((1-G35)/(1-H36))</f>
        <v>8.0010572653047322E-7</v>
      </c>
      <c r="AA36" s="18">
        <f t="shared" si="17"/>
        <v>7.4609002380992492E-7</v>
      </c>
      <c r="AB36" s="16">
        <f t="shared" si="18"/>
        <v>-14.108419568674909</v>
      </c>
      <c r="AC36" s="16">
        <f t="shared" si="19"/>
        <v>0.34713293640533927</v>
      </c>
    </row>
    <row r="37" spans="1:29" x14ac:dyDescent="0.3">
      <c r="A37">
        <v>33</v>
      </c>
      <c r="B37">
        <v>370.03</v>
      </c>
      <c r="C37">
        <v>7200</v>
      </c>
      <c r="D37">
        <v>27.829305736059776</v>
      </c>
      <c r="E37">
        <v>4.0149532030291644</v>
      </c>
      <c r="F37">
        <v>8.9190440414242761E-2</v>
      </c>
      <c r="G37" s="14">
        <f t="shared" si="9"/>
        <v>0.7241557568581779</v>
      </c>
      <c r="H37" s="14">
        <f t="shared" si="20"/>
        <v>0.72647661140968045</v>
      </c>
      <c r="J37">
        <f t="shared" si="21"/>
        <v>1.2223682311179673E-7</v>
      </c>
      <c r="K37" s="14">
        <f t="shared" si="22"/>
        <v>3.3010378222010641E-7</v>
      </c>
      <c r="L37" s="14">
        <f t="shared" si="23"/>
        <v>3.5251805540645423E-7</v>
      </c>
      <c r="M37" s="14">
        <f t="shared" si="24"/>
        <v>3.3010378222010641E-7</v>
      </c>
      <c r="N37">
        <f t="shared" si="25"/>
        <v>15.551373963889711</v>
      </c>
      <c r="O37">
        <f t="shared" si="10"/>
        <v>-14.923858740351916</v>
      </c>
      <c r="Q37">
        <f t="shared" si="11"/>
        <v>5.4412707636086004E-8</v>
      </c>
      <c r="R37">
        <f t="shared" si="12"/>
        <v>1.4775401747056817E-7</v>
      </c>
      <c r="S37">
        <f t="shared" si="13"/>
        <v>1.5758897115094278E-7</v>
      </c>
      <c r="T37">
        <f t="shared" si="14"/>
        <v>1.4775401747056817E-7</v>
      </c>
      <c r="U37">
        <f t="shared" si="15"/>
        <v>-15.727716990027719</v>
      </c>
      <c r="V37">
        <f t="shared" si="16"/>
        <v>0.80385824967580355</v>
      </c>
      <c r="X37" s="14">
        <f t="shared" si="26"/>
        <v>1.6304246024043778E-7</v>
      </c>
      <c r="Y37" s="14">
        <f t="shared" si="27"/>
        <v>4.4177708775027409E-7</v>
      </c>
      <c r="Z37" s="14">
        <f t="shared" si="28"/>
        <v>4.7141896962951106E-7</v>
      </c>
      <c r="AA37" s="14">
        <f t="shared" si="17"/>
        <v>4.4177708775027409E-7</v>
      </c>
      <c r="AB37">
        <f t="shared" si="18"/>
        <v>-14.63246040844087</v>
      </c>
      <c r="AC37">
        <f t="shared" si="19"/>
        <v>0.29139833191104536</v>
      </c>
    </row>
    <row r="38" spans="1:29" x14ac:dyDescent="0.3">
      <c r="A38">
        <v>34</v>
      </c>
      <c r="B38">
        <v>360.02</v>
      </c>
      <c r="C38">
        <v>8400</v>
      </c>
      <c r="D38">
        <v>27.980268911746048</v>
      </c>
      <c r="E38">
        <v>4.3368060944189537</v>
      </c>
      <c r="F38">
        <v>4.5241818497864371E-2</v>
      </c>
      <c r="G38" s="14">
        <f t="shared" si="9"/>
        <v>0.72808402060229116</v>
      </c>
      <c r="H38" s="14">
        <f t="shared" si="20"/>
        <v>0.72926127323039069</v>
      </c>
      <c r="J38">
        <f t="shared" si="21"/>
        <v>5.9266195957584672E-8</v>
      </c>
      <c r="K38" s="14">
        <f t="shared" si="22"/>
        <v>1.6257477023827857E-7</v>
      </c>
      <c r="L38" s="14">
        <f t="shared" si="23"/>
        <v>1.730089446993267E-7</v>
      </c>
      <c r="M38" s="14">
        <f t="shared" si="24"/>
        <v>1.6257477023827857E-7</v>
      </c>
      <c r="N38">
        <f t="shared" si="25"/>
        <v>15.797289185175824</v>
      </c>
      <c r="O38">
        <f t="shared" si="10"/>
        <v>-15.632127816458203</v>
      </c>
      <c r="Q38">
        <f t="shared" si="11"/>
        <v>2.4289935561606641E-8</v>
      </c>
      <c r="R38">
        <f t="shared" si="12"/>
        <v>6.6854794069563434E-8</v>
      </c>
      <c r="S38">
        <f t="shared" si="13"/>
        <v>7.109387536527618E-8</v>
      </c>
      <c r="T38">
        <f t="shared" si="14"/>
        <v>6.6854794069563434E-8</v>
      </c>
      <c r="U38">
        <f t="shared" si="15"/>
        <v>-16.520742822139354</v>
      </c>
      <c r="V38">
        <f t="shared" si="16"/>
        <v>0.88861500568115126</v>
      </c>
      <c r="X38" s="14">
        <f t="shared" si="26"/>
        <v>7.7089992552174195E-8</v>
      </c>
      <c r="Y38" s="14">
        <f t="shared" si="27"/>
        <v>2.1183252146027553E-7</v>
      </c>
      <c r="Z38" s="14">
        <f t="shared" si="28"/>
        <v>2.2534460891895173E-7</v>
      </c>
      <c r="AA38" s="14">
        <f t="shared" si="17"/>
        <v>2.1183252146027553E-7</v>
      </c>
      <c r="AB38">
        <f t="shared" si="18"/>
        <v>-15.367469867595304</v>
      </c>
      <c r="AC38">
        <f t="shared" si="19"/>
        <v>0.26465794886289906</v>
      </c>
    </row>
    <row r="39" spans="1:29" x14ac:dyDescent="0.3">
      <c r="A39">
        <v>35</v>
      </c>
      <c r="B39">
        <v>355.03</v>
      </c>
      <c r="C39">
        <v>9000</v>
      </c>
      <c r="D39">
        <v>28.121906317948181</v>
      </c>
      <c r="E39">
        <v>4.4678352605549163</v>
      </c>
      <c r="F39">
        <v>4.0843176091204358E-2</v>
      </c>
      <c r="G39" s="14">
        <f t="shared" si="9"/>
        <v>0.73176961535124074</v>
      </c>
      <c r="H39" s="14">
        <f t="shared" si="20"/>
        <v>0.73283240942074901</v>
      </c>
      <c r="J39">
        <f t="shared" si="21"/>
        <v>5.2170110769743109E-8</v>
      </c>
      <c r="K39" s="14">
        <f t="shared" si="22"/>
        <v>1.4471192214441791E-7</v>
      </c>
      <c r="L39" s="14">
        <f t="shared" si="23"/>
        <v>1.5363515551708878E-7</v>
      </c>
      <c r="M39" s="14">
        <f t="shared" si="24"/>
        <v>1.4471192214441791E-7</v>
      </c>
      <c r="N39">
        <f t="shared" si="25"/>
        <v>15.922806235370922</v>
      </c>
      <c r="O39">
        <f t="shared" si="10"/>
        <v>-15.748520814550858</v>
      </c>
      <c r="Q39">
        <f t="shared" si="11"/>
        <v>3.5534567281459544E-8</v>
      </c>
      <c r="R39">
        <f t="shared" si="12"/>
        <v>9.8738021003887475E-8</v>
      </c>
      <c r="S39">
        <f t="shared" si="13"/>
        <v>1.0478853557877196E-7</v>
      </c>
      <c r="T39">
        <f t="shared" si="14"/>
        <v>9.8738021003887475E-8</v>
      </c>
      <c r="U39">
        <f t="shared" si="15"/>
        <v>-16.130795746813131</v>
      </c>
      <c r="V39">
        <f t="shared" si="16"/>
        <v>0.38227493226227338</v>
      </c>
      <c r="X39" s="14">
        <f t="shared" si="26"/>
        <v>6.726304275788599E-8</v>
      </c>
      <c r="Y39" s="14">
        <f t="shared" si="27"/>
        <v>1.8687230699074866E-7</v>
      </c>
      <c r="Z39" s="14">
        <f t="shared" si="28"/>
        <v>1.9833033742476927E-7</v>
      </c>
      <c r="AA39" s="14">
        <f t="shared" si="17"/>
        <v>1.8687230699074866E-7</v>
      </c>
      <c r="AB39">
        <f t="shared" si="18"/>
        <v>-15.492840303657143</v>
      </c>
      <c r="AC39">
        <f t="shared" si="19"/>
        <v>0.2556805108937148</v>
      </c>
    </row>
    <row r="40" spans="1:29" x14ac:dyDescent="0.3">
      <c r="A40">
        <v>36</v>
      </c>
      <c r="B40">
        <v>365.02</v>
      </c>
      <c r="C40">
        <v>7800</v>
      </c>
      <c r="D40">
        <v>28.299435870254658</v>
      </c>
      <c r="E40">
        <v>4.1861531403502799</v>
      </c>
      <c r="F40">
        <v>5.5719089599992895E-2</v>
      </c>
      <c r="G40" s="14">
        <f t="shared" si="9"/>
        <v>0.736389171747454</v>
      </c>
      <c r="H40" s="14">
        <f t="shared" si="20"/>
        <v>0.73783905698294694</v>
      </c>
      <c r="J40">
        <f t="shared" si="21"/>
        <v>7.5879781458510887E-8</v>
      </c>
      <c r="K40" s="14">
        <f t="shared" si="22"/>
        <v>2.1309621888958771E-7</v>
      </c>
      <c r="L40" s="14">
        <f t="shared" si="23"/>
        <v>2.2566533702969939E-7</v>
      </c>
      <c r="M40" s="14">
        <f t="shared" si="24"/>
        <v>2.1309621888958771E-7</v>
      </c>
      <c r="N40">
        <f t="shared" si="25"/>
        <v>15.673489859252062</v>
      </c>
      <c r="O40">
        <f t="shared" si="10"/>
        <v>-15.361522041361114</v>
      </c>
      <c r="Q40">
        <f t="shared" si="11"/>
        <v>5.8464859933730633E-8</v>
      </c>
      <c r="R40">
        <f t="shared" si="12"/>
        <v>1.6444962098997531E-7</v>
      </c>
      <c r="S40">
        <f t="shared" si="13"/>
        <v>1.7409397329006953E-7</v>
      </c>
      <c r="T40">
        <f t="shared" si="14"/>
        <v>1.6444962098997531E-7</v>
      </c>
      <c r="U40">
        <f t="shared" si="15"/>
        <v>-15.620661569026829</v>
      </c>
      <c r="V40">
        <f t="shared" si="16"/>
        <v>0.25913952766571491</v>
      </c>
      <c r="X40" s="14">
        <f t="shared" si="26"/>
        <v>9.9793720588953711E-8</v>
      </c>
      <c r="Y40" s="14">
        <f t="shared" si="27"/>
        <v>2.8087104966112287E-7</v>
      </c>
      <c r="Z40" s="14">
        <f t="shared" si="28"/>
        <v>2.9730822937412417E-7</v>
      </c>
      <c r="AA40" s="14">
        <f t="shared" si="17"/>
        <v>2.8087104966112287E-7</v>
      </c>
      <c r="AB40">
        <f t="shared" si="18"/>
        <v>-15.085370170941699</v>
      </c>
      <c r="AC40">
        <f t="shared" si="19"/>
        <v>0.27615187041941525</v>
      </c>
    </row>
    <row r="41" spans="1:29" s="16" customFormat="1" x14ac:dyDescent="0.3">
      <c r="A41" s="16">
        <v>37</v>
      </c>
      <c r="B41" s="16">
        <v>375.03</v>
      </c>
      <c r="C41" s="16">
        <v>6600</v>
      </c>
      <c r="D41" s="16">
        <v>28.523932617810068</v>
      </c>
      <c r="E41" s="16">
        <v>3.8216945504238664</v>
      </c>
      <c r="F41" s="16">
        <v>8.0780695652331425E-2</v>
      </c>
      <c r="G41" s="18">
        <f t="shared" si="9"/>
        <v>0.74223087738251547</v>
      </c>
      <c r="H41" s="18">
        <f t="shared" si="20"/>
        <v>0.74433289912730682</v>
      </c>
      <c r="J41" s="16">
        <f t="shared" si="21"/>
        <v>1.1420883356350807E-7</v>
      </c>
      <c r="K41" s="18">
        <f t="shared" si="22"/>
        <v>3.2587053825624445E-7</v>
      </c>
      <c r="L41" s="18">
        <f t="shared" si="23"/>
        <v>3.4402486349525581E-7</v>
      </c>
      <c r="M41" s="18">
        <f t="shared" si="24"/>
        <v>3.2587053825624445E-7</v>
      </c>
      <c r="N41" s="16">
        <f t="shared" si="25"/>
        <v>15.431384349489994</v>
      </c>
      <c r="O41" s="16">
        <f t="shared" si="10"/>
        <v>-14.936765656366854</v>
      </c>
      <c r="Q41" s="16">
        <f t="shared" si="11"/>
        <v>8.5946905500257468E-8</v>
      </c>
      <c r="R41" s="16">
        <f t="shared" si="12"/>
        <v>2.4577301098079393E-7</v>
      </c>
      <c r="S41" s="16">
        <f t="shared" si="13"/>
        <v>2.593559907245725E-7</v>
      </c>
      <c r="T41" s="16">
        <f t="shared" si="14"/>
        <v>2.4577301098079393E-7</v>
      </c>
      <c r="U41" s="16">
        <f t="shared" si="15"/>
        <v>-15.218857446572091</v>
      </c>
      <c r="V41" s="16">
        <f t="shared" si="16"/>
        <v>0.28209179020523756</v>
      </c>
      <c r="X41" s="18">
        <f t="shared" si="26"/>
        <v>1.5552539657028806E-7</v>
      </c>
      <c r="Y41" s="18">
        <f t="shared" si="27"/>
        <v>4.4521075695053671E-7</v>
      </c>
      <c r="Z41" s="18">
        <f t="shared" si="28"/>
        <v>4.6972606826543867E-7</v>
      </c>
      <c r="AA41" s="18">
        <f t="shared" si="17"/>
        <v>4.4521075695053671E-7</v>
      </c>
      <c r="AB41" s="16">
        <f t="shared" si="18"/>
        <v>-14.62471805577372</v>
      </c>
      <c r="AC41" s="16">
        <f t="shared" si="19"/>
        <v>0.31204760059313408</v>
      </c>
    </row>
    <row r="42" spans="1:29" s="16" customFormat="1" x14ac:dyDescent="0.3">
      <c r="A42" s="16">
        <v>38</v>
      </c>
      <c r="B42" s="16">
        <v>385.039999999999</v>
      </c>
      <c r="C42" s="16">
        <v>5400</v>
      </c>
      <c r="D42" s="16">
        <v>28.83910569824069</v>
      </c>
      <c r="E42" s="16">
        <v>3.3666320536806507</v>
      </c>
      <c r="F42" s="16">
        <v>0.13596106263736005</v>
      </c>
      <c r="G42" s="18">
        <f t="shared" si="9"/>
        <v>0.75043210247829018</v>
      </c>
      <c r="H42" s="18">
        <f t="shared" si="20"/>
        <v>0.75396999117559327</v>
      </c>
      <c r="J42" s="16">
        <f t="shared" si="21"/>
        <v>1.9783089050592052E-7</v>
      </c>
      <c r="K42" s="18">
        <f t="shared" si="22"/>
        <v>5.769677316142668E-7</v>
      </c>
      <c r="L42" s="18">
        <f t="shared" si="23"/>
        <v>6.0667556349838225E-7</v>
      </c>
      <c r="M42" s="18">
        <f t="shared" si="24"/>
        <v>5.769677316142668E-7</v>
      </c>
      <c r="N42" s="16">
        <f t="shared" si="25"/>
        <v>15.196644580876564</v>
      </c>
      <c r="O42" s="16">
        <f t="shared" si="10"/>
        <v>-14.365479496414157</v>
      </c>
      <c r="Q42" s="16">
        <f t="shared" si="11"/>
        <v>1.4733286905318942E-7</v>
      </c>
      <c r="R42" s="16">
        <f t="shared" si="12"/>
        <v>4.3110746432124287E-7</v>
      </c>
      <c r="S42" s="16">
        <f t="shared" si="13"/>
        <v>4.5304075766815714E-7</v>
      </c>
      <c r="T42" s="16">
        <f t="shared" si="14"/>
        <v>4.3110746432124287E-7</v>
      </c>
      <c r="U42" s="16">
        <f t="shared" si="15"/>
        <v>-14.656908440749753</v>
      </c>
      <c r="V42" s="16">
        <f t="shared" si="16"/>
        <v>0.29142894433559619</v>
      </c>
      <c r="X42" s="18">
        <f t="shared" si="26"/>
        <v>2.8384341747996295E-7</v>
      </c>
      <c r="Y42" s="18">
        <f t="shared" si="27"/>
        <v>8.3256110746784671E-7</v>
      </c>
      <c r="Z42" s="18">
        <f t="shared" si="28"/>
        <v>8.7456683934630873E-7</v>
      </c>
      <c r="AA42" s="18">
        <f t="shared" si="17"/>
        <v>8.3256110746784671E-7</v>
      </c>
      <c r="AB42" s="16">
        <f t="shared" si="18"/>
        <v>-13.998759215421854</v>
      </c>
      <c r="AC42" s="16">
        <f t="shared" si="19"/>
        <v>0.36672028099230225</v>
      </c>
    </row>
    <row r="43" spans="1:29" s="16" customFormat="1" x14ac:dyDescent="0.3">
      <c r="A43" s="16">
        <v>39</v>
      </c>
      <c r="B43" s="16">
        <v>395.039999999999</v>
      </c>
      <c r="C43" s="16">
        <v>4800</v>
      </c>
      <c r="D43" s="16">
        <v>29.284522640909561</v>
      </c>
      <c r="E43" s="16">
        <v>3.2154335669920537</v>
      </c>
      <c r="F43" s="16">
        <v>0.20650901164456939</v>
      </c>
      <c r="G43" s="18">
        <f t="shared" si="9"/>
        <v>0.76202244707024624</v>
      </c>
      <c r="H43" s="18">
        <f t="shared" si="20"/>
        <v>0.76739608775836932</v>
      </c>
      <c r="J43" s="16">
        <f t="shared" si="21"/>
        <v>3.187020194068991E-7</v>
      </c>
      <c r="K43" s="18">
        <f t="shared" si="22"/>
        <v>9.5978779125833549E-7</v>
      </c>
      <c r="L43" s="18">
        <f t="shared" si="23"/>
        <v>1.0038113144835679E-6</v>
      </c>
      <c r="M43" s="18">
        <f t="shared" si="24"/>
        <v>9.5978779125833549E-7</v>
      </c>
      <c r="N43" s="16">
        <f t="shared" si="25"/>
        <v>14.969163523142347</v>
      </c>
      <c r="O43" s="16">
        <f t="shared" si="10"/>
        <v>-13.856553627692419</v>
      </c>
      <c r="Q43" s="16">
        <f t="shared" si="11"/>
        <v>2.2193792656110131E-7</v>
      </c>
      <c r="R43" s="16">
        <f t="shared" si="12"/>
        <v>6.7224524342305802E-7</v>
      </c>
      <c r="S43" s="16">
        <f t="shared" si="13"/>
        <v>7.0243362915464953E-7</v>
      </c>
      <c r="T43" s="16">
        <f t="shared" si="14"/>
        <v>6.7224524342305802E-7</v>
      </c>
      <c r="U43" s="16">
        <f t="shared" si="15"/>
        <v>-14.212642617429672</v>
      </c>
      <c r="V43" s="16">
        <f t="shared" si="16"/>
        <v>0.35608898973725367</v>
      </c>
      <c r="X43" s="18">
        <f t="shared" si="26"/>
        <v>4.6811939610564938E-7</v>
      </c>
      <c r="Y43" s="18">
        <f t="shared" si="27"/>
        <v>1.4227489015375262E-6</v>
      </c>
      <c r="Z43" s="18">
        <f t="shared" si="28"/>
        <v>1.4859163825527548E-6</v>
      </c>
      <c r="AA43" s="18">
        <f t="shared" si="17"/>
        <v>1.4227489015375262E-6</v>
      </c>
      <c r="AB43" s="16">
        <f t="shared" si="18"/>
        <v>-13.462919711533392</v>
      </c>
      <c r="AC43" s="16">
        <f t="shared" si="19"/>
        <v>0.39363391615902721</v>
      </c>
    </row>
    <row r="44" spans="1:29" s="16" customFormat="1" x14ac:dyDescent="0.3">
      <c r="A44" s="16">
        <v>40</v>
      </c>
      <c r="B44" s="16">
        <v>405.04999999999899</v>
      </c>
      <c r="C44" s="16">
        <v>4200</v>
      </c>
      <c r="D44" s="16">
        <v>29.777146661341266</v>
      </c>
      <c r="E44" s="16">
        <v>3.0175165765104004</v>
      </c>
      <c r="F44" s="16">
        <v>0.25427641873968015</v>
      </c>
      <c r="G44" s="18">
        <f t="shared" si="9"/>
        <v>0.77484118296490412</v>
      </c>
      <c r="H44" s="18">
        <f t="shared" si="20"/>
        <v>0.78145779547439354</v>
      </c>
      <c r="J44" s="16">
        <f t="shared" si="21"/>
        <v>4.0933474937188674E-7</v>
      </c>
      <c r="K44" s="18">
        <f t="shared" si="22"/>
        <v>1.285076100545556E-6</v>
      </c>
      <c r="L44" s="18">
        <f t="shared" si="23"/>
        <v>1.3357593113009083E-6</v>
      </c>
      <c r="M44" s="18">
        <f t="shared" si="24"/>
        <v>1.285076100545556E-6</v>
      </c>
      <c r="N44" s="16">
        <f t="shared" si="25"/>
        <v>14.748174913354493</v>
      </c>
      <c r="O44" s="16">
        <f t="shared" si="10"/>
        <v>-13.564692619156217</v>
      </c>
      <c r="Q44" s="16">
        <f t="shared" si="11"/>
        <v>2.3857203314474355E-7</v>
      </c>
      <c r="R44" s="16">
        <f t="shared" si="12"/>
        <v>7.5597768879790959E-7</v>
      </c>
      <c r="S44" s="16">
        <f t="shared" si="13"/>
        <v>7.8478209065040635E-7</v>
      </c>
      <c r="T44" s="16">
        <f t="shared" si="14"/>
        <v>7.5597768879790959E-7</v>
      </c>
      <c r="U44" s="16">
        <f t="shared" si="15"/>
        <v>-14.095253973374447</v>
      </c>
      <c r="V44" s="16">
        <f t="shared" si="16"/>
        <v>0.53056135421823036</v>
      </c>
      <c r="X44" s="18">
        <f t="shared" si="26"/>
        <v>6.2329190494578713E-7</v>
      </c>
      <c r="Y44" s="18">
        <f t="shared" si="27"/>
        <v>1.9804911389312155E-6</v>
      </c>
      <c r="Z44" s="18">
        <f t="shared" si="28"/>
        <v>2.055305087960626E-6</v>
      </c>
      <c r="AA44" s="18">
        <f t="shared" si="17"/>
        <v>1.9804911389312155E-6</v>
      </c>
      <c r="AB44" s="16">
        <f t="shared" si="18"/>
        <v>-13.132165694051876</v>
      </c>
      <c r="AC44" s="16">
        <f t="shared" si="19"/>
        <v>0.43252692510434088</v>
      </c>
    </row>
    <row r="45" spans="1:29" s="16" customFormat="1" x14ac:dyDescent="0.3">
      <c r="A45" s="16">
        <v>41</v>
      </c>
      <c r="B45" s="16">
        <v>415.039999999999</v>
      </c>
      <c r="C45" s="16">
        <v>3600</v>
      </c>
      <c r="D45" s="16">
        <v>30.270679126348899</v>
      </c>
      <c r="E45" s="16">
        <v>2.7685682892579591</v>
      </c>
      <c r="F45" s="16">
        <v>0.29501392279932315</v>
      </c>
      <c r="G45" s="18">
        <f t="shared" si="9"/>
        <v>0.78768355780246935</v>
      </c>
      <c r="H45" s="18">
        <f t="shared" si="20"/>
        <v>0.79536021465386997</v>
      </c>
      <c r="J45" s="16">
        <f t="shared" si="21"/>
        <v>4.8642637537169741E-7</v>
      </c>
      <c r="K45" s="18">
        <f t="shared" si="22"/>
        <v>1.5997242812991657E-6</v>
      </c>
      <c r="L45" s="18">
        <f t="shared" si="23"/>
        <v>1.6528916757400782E-6</v>
      </c>
      <c r="M45" s="18">
        <f t="shared" si="24"/>
        <v>1.5997242812991657E-6</v>
      </c>
      <c r="N45" s="16">
        <f t="shared" si="25"/>
        <v>14.534038718679167</v>
      </c>
      <c r="O45" s="16">
        <f t="shared" si="10"/>
        <v>-13.345679267756079</v>
      </c>
      <c r="Q45" s="16">
        <f t="shared" si="11"/>
        <v>2.3680969386881364E-7</v>
      </c>
      <c r="R45" s="16">
        <f t="shared" si="12"/>
        <v>7.8840673651589624E-7</v>
      </c>
      <c r="S45" s="16">
        <f t="shared" si="13"/>
        <v>8.134216029704083E-7</v>
      </c>
      <c r="T45" s="16">
        <f t="shared" si="14"/>
        <v>7.8840673651589624E-7</v>
      </c>
      <c r="U45" s="16">
        <f t="shared" si="15"/>
        <v>-14.05325171716364</v>
      </c>
      <c r="V45" s="16">
        <f t="shared" si="16"/>
        <v>0.70757244940756081</v>
      </c>
      <c r="X45" s="18">
        <f t="shared" si="26"/>
        <v>7.8101089618752404E-7</v>
      </c>
      <c r="Y45" s="18">
        <f t="shared" si="27"/>
        <v>2.6073361876568343E-6</v>
      </c>
      <c r="Z45" s="18">
        <f t="shared" si="28"/>
        <v>2.6893658639300684E-6</v>
      </c>
      <c r="AA45" s="18">
        <f t="shared" si="17"/>
        <v>2.6073361876568343E-6</v>
      </c>
      <c r="AB45" s="16">
        <f t="shared" si="18"/>
        <v>-12.857181475570627</v>
      </c>
      <c r="AC45" s="16">
        <f t="shared" si="19"/>
        <v>0.48849779218545208</v>
      </c>
    </row>
    <row r="46" spans="1:29" s="16" customFormat="1" x14ac:dyDescent="0.3">
      <c r="A46" s="16">
        <v>42</v>
      </c>
      <c r="B46" s="16">
        <v>459.99</v>
      </c>
      <c r="C46" s="16">
        <v>3600</v>
      </c>
      <c r="D46" s="16">
        <v>30.722783842359295</v>
      </c>
      <c r="E46" s="16">
        <v>3.6838793496423548</v>
      </c>
      <c r="F46" s="16">
        <v>0.17586427016538309</v>
      </c>
      <c r="G46" s="18">
        <f t="shared" si="9"/>
        <v>0.79944792720164704</v>
      </c>
      <c r="H46" s="18">
        <f t="shared" si="20"/>
        <v>0.80402415072923961</v>
      </c>
      <c r="J46" s="16">
        <f t="shared" si="21"/>
        <v>4.5261238246058432E-7</v>
      </c>
      <c r="K46" s="18">
        <f t="shared" si="22"/>
        <v>1.5610340742508273E-6</v>
      </c>
      <c r="L46" s="18">
        <f t="shared" si="23"/>
        <v>1.6043614426194629E-6</v>
      </c>
      <c r="M46" s="18">
        <f t="shared" si="24"/>
        <v>1.5610340742508273E-6</v>
      </c>
      <c r="N46" s="16">
        <f t="shared" si="25"/>
        <v>13.642750924296376</v>
      </c>
      <c r="O46" s="16">
        <f t="shared" si="10"/>
        <v>-13.37016208819335</v>
      </c>
      <c r="Q46" s="16">
        <f t="shared" si="11"/>
        <v>1.5802786164475763E-7</v>
      </c>
      <c r="R46" s="16">
        <f t="shared" si="12"/>
        <v>5.5342216789315803E-7</v>
      </c>
      <c r="S46" s="16">
        <f t="shared" si="13"/>
        <v>5.6788725442946882E-7</v>
      </c>
      <c r="T46" s="16">
        <f t="shared" si="14"/>
        <v>5.5342216789315803E-7</v>
      </c>
      <c r="U46" s="16">
        <f t="shared" si="15"/>
        <v>-14.407144712764577</v>
      </c>
      <c r="V46" s="16">
        <f t="shared" si="16"/>
        <v>1.0369826245712268</v>
      </c>
      <c r="X46" s="18">
        <f t="shared" si="26"/>
        <v>6.3048680472326135E-7</v>
      </c>
      <c r="Y46" s="18">
        <f t="shared" si="27"/>
        <v>2.1952494303647219E-6</v>
      </c>
      <c r="Z46" s="18">
        <f t="shared" si="28"/>
        <v>2.2540130047209768E-6</v>
      </c>
      <c r="AA46" s="18">
        <f t="shared" si="17"/>
        <v>2.1952494303647219E-6</v>
      </c>
      <c r="AB46" s="16">
        <f t="shared" si="18"/>
        <v>-13.029214882191718</v>
      </c>
      <c r="AC46" s="16">
        <f t="shared" si="19"/>
        <v>0.34094720600163164</v>
      </c>
    </row>
    <row r="47" spans="1:29" s="16" customFormat="1" x14ac:dyDescent="0.3">
      <c r="A47" s="16">
        <v>43</v>
      </c>
      <c r="B47" s="16">
        <v>469.73</v>
      </c>
      <c r="C47" s="16">
        <v>3600</v>
      </c>
      <c r="D47" s="16">
        <v>30.862434053926282</v>
      </c>
      <c r="E47" s="16">
        <v>3.9032103185630604</v>
      </c>
      <c r="F47" s="16">
        <v>5.1650415272830007E-2</v>
      </c>
      <c r="G47" s="18">
        <f t="shared" si="9"/>
        <v>0.80308181248832378</v>
      </c>
      <c r="H47" s="18">
        <f t="shared" si="20"/>
        <v>0.80442582537598528</v>
      </c>
      <c r="J47" s="16">
        <f t="shared" si="21"/>
        <v>1.4116342357370323E-7</v>
      </c>
      <c r="K47" s="18">
        <f t="shared" si="22"/>
        <v>5.0231974551044396E-7</v>
      </c>
      <c r="L47" s="18">
        <f t="shared" si="23"/>
        <v>5.1464342008889968E-7</v>
      </c>
      <c r="M47" s="18">
        <f t="shared" si="24"/>
        <v>5.0231974551044396E-7</v>
      </c>
      <c r="N47" s="16">
        <f t="shared" si="25"/>
        <v>13.463842850026253</v>
      </c>
      <c r="O47" s="16">
        <f t="shared" si="10"/>
        <v>-14.504028976769042</v>
      </c>
      <c r="Q47" s="16">
        <f t="shared" si="11"/>
        <v>-3.671099868897375E-8</v>
      </c>
      <c r="R47" s="16">
        <f t="shared" si="12"/>
        <v>-1.3189561060345019E-7</v>
      </c>
      <c r="S47" s="16">
        <f t="shared" si="13"/>
        <v>-1.3500814201261012E-7</v>
      </c>
      <c r="T47" s="16">
        <f t="shared" si="14"/>
        <v>-1.3189561060345019E-7</v>
      </c>
      <c r="U47" s="16" t="e">
        <f t="shared" si="15"/>
        <v>#NUM!</v>
      </c>
      <c r="V47" s="16">
        <f t="shared" si="16"/>
        <v>5</v>
      </c>
      <c r="X47" s="18">
        <f t="shared" si="26"/>
        <v>1.9353568769412145E-7</v>
      </c>
      <c r="Y47" s="18">
        <f t="shared" si="27"/>
        <v>6.9064422056109538E-7</v>
      </c>
      <c r="Z47" s="18">
        <f t="shared" si="28"/>
        <v>7.0739665275326198E-7</v>
      </c>
      <c r="AA47" s="18">
        <f t="shared" si="17"/>
        <v>6.9064422056109538E-7</v>
      </c>
      <c r="AB47" s="16">
        <f t="shared" si="18"/>
        <v>-14.185641021950861</v>
      </c>
      <c r="AC47" s="16">
        <f t="shared" si="19"/>
        <v>0.31838795481818138</v>
      </c>
    </row>
    <row r="48" spans="1:29" s="16" customFormat="1" x14ac:dyDescent="0.3">
      <c r="A48" s="16">
        <v>44</v>
      </c>
      <c r="B48" s="16">
        <v>465.36</v>
      </c>
      <c r="C48" s="16">
        <v>3600</v>
      </c>
      <c r="D48" s="16">
        <v>31.027814045589146</v>
      </c>
      <c r="E48" s="16">
        <v>3.803869707200584</v>
      </c>
      <c r="F48" s="16">
        <v>6.0133763301443384E-2</v>
      </c>
      <c r="G48" s="18">
        <f t="shared" si="9"/>
        <v>0.80738522106659238</v>
      </c>
      <c r="H48" s="18">
        <f t="shared" si="20"/>
        <v>0.80894998201640878</v>
      </c>
      <c r="J48" s="16">
        <f t="shared" si="21"/>
        <v>1.6800000381346062E-7</v>
      </c>
      <c r="K48" s="18">
        <f t="shared" si="22"/>
        <v>6.0795895736028274E-7</v>
      </c>
      <c r="L48" s="18">
        <f t="shared" si="23"/>
        <v>6.2189029865904678E-7</v>
      </c>
      <c r="M48" s="18">
        <f t="shared" si="24"/>
        <v>6.0795895736028274E-7</v>
      </c>
      <c r="N48" s="16">
        <f t="shared" si="25"/>
        <v>13.543528901890676</v>
      </c>
      <c r="O48" s="16">
        <f t="shared" si="10"/>
        <v>-14.313158461600406</v>
      </c>
      <c r="Q48" s="16">
        <f t="shared" si="11"/>
        <v>1.1562773969304237E-7</v>
      </c>
      <c r="R48" s="16">
        <f t="shared" si="12"/>
        <v>4.1963448230963126E-7</v>
      </c>
      <c r="S48" s="16">
        <f t="shared" si="13"/>
        <v>4.2913706599468983E-7</v>
      </c>
      <c r="T48" s="16">
        <f t="shared" si="14"/>
        <v>4.1963448230963126E-7</v>
      </c>
      <c r="U48" s="16">
        <f t="shared" si="15"/>
        <v>-14.683881784797844</v>
      </c>
      <c r="V48" s="16">
        <f t="shared" si="16"/>
        <v>0.3707233231974385</v>
      </c>
      <c r="X48" s="18">
        <f t="shared" si="26"/>
        <v>2.2930901366383584E-7</v>
      </c>
      <c r="Y48" s="18">
        <f t="shared" si="27"/>
        <v>8.3265038361671886E-7</v>
      </c>
      <c r="Z48" s="18">
        <f t="shared" si="28"/>
        <v>8.5146615048573808E-7</v>
      </c>
      <c r="AA48" s="18">
        <f t="shared" si="17"/>
        <v>8.3265038361671886E-7</v>
      </c>
      <c r="AB48" s="16">
        <f t="shared" si="18"/>
        <v>-13.998651990424387</v>
      </c>
      <c r="AC48" s="16">
        <f t="shared" si="19"/>
        <v>0.31450647117601882</v>
      </c>
    </row>
    <row r="49" spans="1:29" s="16" customFormat="1" x14ac:dyDescent="0.3">
      <c r="A49" s="16">
        <v>45</v>
      </c>
      <c r="B49" s="16">
        <v>473.5</v>
      </c>
      <c r="C49" s="16">
        <v>3600</v>
      </c>
      <c r="D49" s="16">
        <v>31.183228892664722</v>
      </c>
      <c r="E49" s="16">
        <v>3.990136187560394</v>
      </c>
      <c r="F49" s="16">
        <v>5.308814828276489E-2</v>
      </c>
      <c r="G49" s="18">
        <f t="shared" si="9"/>
        <v>0.81142932325435135</v>
      </c>
      <c r="H49" s="18">
        <f t="shared" si="20"/>
        <v>0.81281074787789453</v>
      </c>
      <c r="J49" s="16">
        <f t="shared" si="21"/>
        <v>1.5869530918477999E-7</v>
      </c>
      <c r="K49" s="18">
        <f t="shared" si="22"/>
        <v>5.8479129357707695E-7</v>
      </c>
      <c r="L49" s="18">
        <f t="shared" si="23"/>
        <v>5.9721381295373485E-7</v>
      </c>
      <c r="M49" s="18">
        <f t="shared" si="24"/>
        <v>5.8479129357707695E-7</v>
      </c>
      <c r="N49" s="16">
        <f t="shared" si="25"/>
        <v>13.395847287340924</v>
      </c>
      <c r="O49" s="16">
        <f t="shared" si="10"/>
        <v>-14.352010816485762</v>
      </c>
      <c r="Q49" s="16">
        <f t="shared" si="11"/>
        <v>9.7386299334404778E-8</v>
      </c>
      <c r="R49" s="16">
        <f t="shared" si="12"/>
        <v>3.6009986732064082E-7</v>
      </c>
      <c r="S49" s="16">
        <f t="shared" si="13"/>
        <v>3.6763796112704228E-7</v>
      </c>
      <c r="T49" s="16">
        <f t="shared" si="14"/>
        <v>3.6009986732064082E-7</v>
      </c>
      <c r="U49" s="16">
        <f t="shared" si="15"/>
        <v>-14.836884434743077</v>
      </c>
      <c r="V49" s="16">
        <f t="shared" si="16"/>
        <v>0.48487361825731412</v>
      </c>
      <c r="X49" s="18">
        <f t="shared" si="26"/>
        <v>2.130857131909708E-7</v>
      </c>
      <c r="Y49" s="18">
        <f t="shared" si="27"/>
        <v>7.8764059998856716E-7</v>
      </c>
      <c r="Z49" s="18">
        <f t="shared" si="28"/>
        <v>8.0415476085591628E-7</v>
      </c>
      <c r="AA49" s="18">
        <f t="shared" si="17"/>
        <v>7.8764059998856716E-7</v>
      </c>
      <c r="AB49" s="16">
        <f t="shared" si="18"/>
        <v>-14.054223942514911</v>
      </c>
      <c r="AC49" s="16">
        <f t="shared" si="19"/>
        <v>0.29778687397085157</v>
      </c>
    </row>
    <row r="50" spans="1:29" x14ac:dyDescent="0.3">
      <c r="A50">
        <v>46</v>
      </c>
      <c r="B50">
        <v>480</v>
      </c>
      <c r="C50">
        <v>3600</v>
      </c>
      <c r="D50">
        <v>31.352312369839421</v>
      </c>
      <c r="E50">
        <v>4.1426785396725725</v>
      </c>
      <c r="F50">
        <v>5.3802345687037831E-2</v>
      </c>
      <c r="G50" s="14">
        <f t="shared" si="9"/>
        <v>0.81582910147903775</v>
      </c>
      <c r="H50" s="14">
        <f t="shared" si="20"/>
        <v>0.81722911047427682</v>
      </c>
      <c r="J50">
        <f t="shared" si="21"/>
        <v>1.735530242251466E-7</v>
      </c>
      <c r="K50" s="14">
        <f t="shared" si="22"/>
        <v>6.5170616894118349E-7</v>
      </c>
      <c r="L50" s="14">
        <f t="shared" si="23"/>
        <v>6.6446310388567876E-7</v>
      </c>
      <c r="M50" s="14">
        <f t="shared" si="24"/>
        <v>6.5170616894118349E-7</v>
      </c>
      <c r="N50">
        <f t="shared" si="25"/>
        <v>13.280212483399735</v>
      </c>
      <c r="O50">
        <f t="shared" si="10"/>
        <v>-14.243672037731161</v>
      </c>
      <c r="Q50">
        <f t="shared" si="11"/>
        <v>1.1916262021895578E-7</v>
      </c>
      <c r="R50">
        <f t="shared" si="12"/>
        <v>4.4885686252969333E-7</v>
      </c>
      <c r="S50">
        <f t="shared" si="13"/>
        <v>4.575221559834958E-7</v>
      </c>
      <c r="T50">
        <f t="shared" si="14"/>
        <v>4.4885686252969333E-7</v>
      </c>
      <c r="U50">
        <f t="shared" si="15"/>
        <v>-14.616561791722365</v>
      </c>
      <c r="V50">
        <f t="shared" si="16"/>
        <v>0.37288975399120439</v>
      </c>
      <c r="X50" s="14">
        <f t="shared" si="26"/>
        <v>2.2897440773893901E-7</v>
      </c>
      <c r="Y50" s="14">
        <f t="shared" si="27"/>
        <v>8.6258207443082456E-7</v>
      </c>
      <c r="Z50" s="14">
        <f t="shared" si="28"/>
        <v>8.7922810572493609E-7</v>
      </c>
      <c r="AA50" s="14">
        <f t="shared" si="17"/>
        <v>8.6258207443082456E-7</v>
      </c>
      <c r="AB50">
        <f t="shared" si="18"/>
        <v>-13.963335533807827</v>
      </c>
      <c r="AC50">
        <f t="shared" si="19"/>
        <v>0.28033650392333342</v>
      </c>
    </row>
    <row r="51" spans="1:29" x14ac:dyDescent="0.3">
      <c r="A51">
        <v>47</v>
      </c>
      <c r="B51">
        <v>491.89</v>
      </c>
      <c r="C51">
        <v>3600</v>
      </c>
      <c r="D51">
        <v>31.507239732964834</v>
      </c>
      <c r="E51">
        <v>4.4304872975843788</v>
      </c>
      <c r="F51">
        <v>4.5161911322192064E-2</v>
      </c>
      <c r="G51" s="14">
        <f t="shared" si="9"/>
        <v>0.81986051868240528</v>
      </c>
      <c r="H51" s="14">
        <f t="shared" si="20"/>
        <v>0.82103569201891824</v>
      </c>
      <c r="J51">
        <f t="shared" si="21"/>
        <v>1.5984664068646484E-7</v>
      </c>
      <c r="K51" s="14">
        <f t="shared" si="22"/>
        <v>6.1194850347534864E-7</v>
      </c>
      <c r="L51" s="14">
        <f t="shared" si="23"/>
        <v>6.2291914235718001E-7</v>
      </c>
      <c r="M51" s="14">
        <f t="shared" si="24"/>
        <v>6.1194850347534864E-7</v>
      </c>
      <c r="N51">
        <f t="shared" si="25"/>
        <v>13.073775314097452</v>
      </c>
      <c r="O51">
        <f t="shared" si="10"/>
        <v>-14.306617702622567</v>
      </c>
      <c r="Q51">
        <f t="shared" si="11"/>
        <v>1.0442525717267241E-7</v>
      </c>
      <c r="R51">
        <f t="shared" si="12"/>
        <v>4.0107259798570767E-7</v>
      </c>
      <c r="S51">
        <f t="shared" si="13"/>
        <v>4.0815414051792036E-7</v>
      </c>
      <c r="T51">
        <f t="shared" si="14"/>
        <v>4.0107259798570767E-7</v>
      </c>
      <c r="U51">
        <f t="shared" si="15"/>
        <v>-14.729123383667659</v>
      </c>
      <c r="V51">
        <f t="shared" si="16"/>
        <v>0.42250568104509156</v>
      </c>
      <c r="X51" s="14">
        <f t="shared" si="26"/>
        <v>2.0659086016546073E-7</v>
      </c>
      <c r="Y51" s="14">
        <f t="shared" si="27"/>
        <v>7.9309312089786785E-7</v>
      </c>
      <c r="Z51" s="14">
        <f t="shared" si="28"/>
        <v>8.0712831042460752E-7</v>
      </c>
      <c r="AA51" s="14">
        <f t="shared" si="17"/>
        <v>7.9309312089786785E-7</v>
      </c>
      <c r="AB51">
        <f t="shared" si="18"/>
        <v>-14.04732519358298</v>
      </c>
      <c r="AC51">
        <f t="shared" si="19"/>
        <v>0.25929250903958767</v>
      </c>
    </row>
    <row r="52" spans="1:29" x14ac:dyDescent="0.3">
      <c r="A52">
        <v>48</v>
      </c>
      <c r="B52">
        <v>491.04999999999899</v>
      </c>
      <c r="C52">
        <v>3600</v>
      </c>
      <c r="D52">
        <v>31.629115204270867</v>
      </c>
      <c r="E52">
        <v>4.4097810091890306</v>
      </c>
      <c r="F52">
        <v>3.5742902836748865E-2</v>
      </c>
      <c r="G52" s="14">
        <f t="shared" si="9"/>
        <v>0.82303188145383466</v>
      </c>
      <c r="H52" s="14">
        <f t="shared" si="20"/>
        <v>0.82396195959166318</v>
      </c>
      <c r="J52">
        <f t="shared" si="21"/>
        <v>1.2629900102818962E-7</v>
      </c>
      <c r="K52" s="14">
        <f t="shared" si="22"/>
        <v>4.9177500809134919E-7</v>
      </c>
      <c r="L52" s="14">
        <f t="shared" si="23"/>
        <v>4.9990329337990556E-7</v>
      </c>
      <c r="M52" s="14">
        <f t="shared" si="24"/>
        <v>4.9177500809134919E-7</v>
      </c>
      <c r="N52">
        <f t="shared" si="25"/>
        <v>13.088148681369036</v>
      </c>
      <c r="O52">
        <f t="shared" si="10"/>
        <v>-14.525244525675262</v>
      </c>
      <c r="Q52">
        <f t="shared" si="11"/>
        <v>7.9554781549193743E-8</v>
      </c>
      <c r="R52">
        <f t="shared" si="12"/>
        <v>3.1063039066882982E-7</v>
      </c>
      <c r="S52">
        <f t="shared" si="13"/>
        <v>3.1569412531247233E-7</v>
      </c>
      <c r="T52">
        <f t="shared" si="14"/>
        <v>3.1063039066882982E-7</v>
      </c>
      <c r="U52">
        <f t="shared" si="15"/>
        <v>-14.984662085980251</v>
      </c>
      <c r="V52">
        <f t="shared" si="16"/>
        <v>0.45941756030498837</v>
      </c>
      <c r="X52" s="14">
        <f t="shared" si="26"/>
        <v>1.6343167995111877E-7</v>
      </c>
      <c r="Y52" s="14">
        <f t="shared" si="27"/>
        <v>6.3778612866663487E-7</v>
      </c>
      <c r="Z52" s="14">
        <f t="shared" si="28"/>
        <v>6.4821174742283847E-7</v>
      </c>
      <c r="AA52" s="14">
        <f t="shared" si="17"/>
        <v>6.3778612866663487E-7</v>
      </c>
      <c r="AB52">
        <f t="shared" si="18"/>
        <v>-14.265262831326567</v>
      </c>
      <c r="AC52">
        <f t="shared" si="19"/>
        <v>0.25998169434869567</v>
      </c>
    </row>
    <row r="53" spans="1:29" x14ac:dyDescent="0.3">
      <c r="A53" t="s">
        <v>129</v>
      </c>
      <c r="D53">
        <f>(0.7*54.9)</f>
        <v>38.43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ReducedCCpTS230630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Thyer, Benjamin J.</cp:lastModifiedBy>
  <dcterms:created xsi:type="dcterms:W3CDTF">2025-02-27T22:31:28Z</dcterms:created>
  <dcterms:modified xsi:type="dcterms:W3CDTF">2026-08-01T18:11:59Z</dcterms:modified>
</cp:coreProperties>
</file>