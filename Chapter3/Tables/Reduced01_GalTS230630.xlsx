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3\Tables\"/>
    </mc:Choice>
  </mc:AlternateContent>
  <xr:revisionPtr revIDLastSave="0" documentId="13_ncr:1_{A85F021A-421C-4B25-BFF9-200BBED69D89}" xr6:coauthVersionLast="47" xr6:coauthVersionMax="47" xr10:uidLastSave="{00000000-0000-0000-0000-000000000000}"/>
  <bookViews>
    <workbookView xWindow="43095" yWindow="-2925" windowWidth="14610" windowHeight="15585" xr2:uid="{686B22F2-017D-49D8-BE0C-BFE84C03DE3A}"/>
  </bookViews>
  <sheets>
    <sheet name="ReducedGalTS230630" sheetId="2" r:id="rId1"/>
    <sheet name="Diffusiviti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Z4" i="2" s="1"/>
  <c r="W4" i="2"/>
  <c r="AA4" i="2" s="1"/>
  <c r="X4" i="2"/>
  <c r="AB4" i="2"/>
  <c r="V5" i="2"/>
  <c r="Z5" i="2" s="1"/>
  <c r="W5" i="2"/>
  <c r="AA5" i="2" s="1"/>
  <c r="X5" i="2"/>
  <c r="AB5" i="2" s="1"/>
  <c r="V6" i="2"/>
  <c r="W6" i="2"/>
  <c r="AA6" i="2" s="1"/>
  <c r="X6" i="2"/>
  <c r="AB6" i="2" s="1"/>
  <c r="Z6" i="2"/>
  <c r="V7" i="2"/>
  <c r="W7" i="2"/>
  <c r="X7" i="2"/>
  <c r="Z7" i="2"/>
  <c r="AA7" i="2"/>
  <c r="AB7" i="2"/>
  <c r="V8" i="2"/>
  <c r="Z8" i="2" s="1"/>
  <c r="W8" i="2"/>
  <c r="X8" i="2"/>
  <c r="AA8" i="2"/>
  <c r="AB8" i="2"/>
  <c r="V9" i="2"/>
  <c r="Z9" i="2" s="1"/>
  <c r="W9" i="2"/>
  <c r="AA9" i="2" s="1"/>
  <c r="X9" i="2"/>
  <c r="AB9" i="2" s="1"/>
  <c r="V10" i="2"/>
  <c r="W10" i="2"/>
  <c r="AA10" i="2" s="1"/>
  <c r="X10" i="2"/>
  <c r="AB10" i="2" s="1"/>
  <c r="Z10" i="2"/>
  <c r="V11" i="2"/>
  <c r="W11" i="2"/>
  <c r="X11" i="2"/>
  <c r="Z11" i="2"/>
  <c r="AA11" i="2"/>
  <c r="AB11" i="2"/>
  <c r="V12" i="2"/>
  <c r="Z12" i="2" s="1"/>
  <c r="W12" i="2"/>
  <c r="X12" i="2"/>
  <c r="AA12" i="2"/>
  <c r="AB12" i="2"/>
  <c r="V13" i="2"/>
  <c r="Z13" i="2" s="1"/>
  <c r="W13" i="2"/>
  <c r="AA13" i="2" s="1"/>
  <c r="X13" i="2"/>
  <c r="AB13" i="2" s="1"/>
  <c r="V14" i="2"/>
  <c r="W14" i="2"/>
  <c r="AA14" i="2" s="1"/>
  <c r="X14" i="2"/>
  <c r="AB14" i="2" s="1"/>
  <c r="Z14" i="2"/>
  <c r="V15" i="2"/>
  <c r="W15" i="2"/>
  <c r="X15" i="2"/>
  <c r="Z15" i="2"/>
  <c r="AA15" i="2"/>
  <c r="AB15" i="2"/>
  <c r="V16" i="2"/>
  <c r="Z16" i="2" s="1"/>
  <c r="W16" i="2"/>
  <c r="X16" i="2"/>
  <c r="AA16" i="2"/>
  <c r="AB16" i="2"/>
  <c r="V17" i="2"/>
  <c r="Z17" i="2" s="1"/>
  <c r="W17" i="2"/>
  <c r="AA17" i="2" s="1"/>
  <c r="X17" i="2"/>
  <c r="AB17" i="2" s="1"/>
  <c r="V18" i="2"/>
  <c r="W18" i="2"/>
  <c r="AA18" i="2" s="1"/>
  <c r="X18" i="2"/>
  <c r="AB18" i="2" s="1"/>
  <c r="Z18" i="2"/>
  <c r="V19" i="2"/>
  <c r="W19" i="2"/>
  <c r="X19" i="2"/>
  <c r="Z19" i="2"/>
  <c r="AA19" i="2"/>
  <c r="AB19" i="2"/>
  <c r="V20" i="2"/>
  <c r="Z20" i="2" s="1"/>
  <c r="W20" i="2"/>
  <c r="X20" i="2"/>
  <c r="AA20" i="2"/>
  <c r="AB20" i="2"/>
  <c r="V21" i="2"/>
  <c r="Z21" i="2" s="1"/>
  <c r="W21" i="2"/>
  <c r="AA21" i="2" s="1"/>
  <c r="X21" i="2"/>
  <c r="AB21" i="2" s="1"/>
  <c r="V22" i="2"/>
  <c r="W22" i="2"/>
  <c r="AA22" i="2" s="1"/>
  <c r="X22" i="2"/>
  <c r="AB22" i="2" s="1"/>
  <c r="Z22" i="2"/>
  <c r="V23" i="2"/>
  <c r="W23" i="2"/>
  <c r="X23" i="2"/>
  <c r="Z23" i="2"/>
  <c r="AA23" i="2"/>
  <c r="AB23" i="2"/>
  <c r="V24" i="2"/>
  <c r="Z24" i="2" s="1"/>
  <c r="W24" i="2"/>
  <c r="X24" i="2"/>
  <c r="AA24" i="2"/>
  <c r="AB24" i="2"/>
  <c r="V25" i="2"/>
  <c r="Z25" i="2" s="1"/>
  <c r="W25" i="2"/>
  <c r="AA25" i="2" s="1"/>
  <c r="X25" i="2"/>
  <c r="AB25" i="2" s="1"/>
  <c r="V26" i="2"/>
  <c r="W26" i="2"/>
  <c r="AA26" i="2" s="1"/>
  <c r="X26" i="2"/>
  <c r="AB26" i="2" s="1"/>
  <c r="Z26" i="2"/>
  <c r="V27" i="2"/>
  <c r="W27" i="2"/>
  <c r="X27" i="2"/>
  <c r="Z27" i="2"/>
  <c r="AA27" i="2"/>
  <c r="AB27" i="2"/>
  <c r="V28" i="2"/>
  <c r="Z28" i="2" s="1"/>
  <c r="W28" i="2"/>
  <c r="X28" i="2"/>
  <c r="AA28" i="2"/>
  <c r="AB28" i="2"/>
  <c r="V29" i="2"/>
  <c r="Z29" i="2" s="1"/>
  <c r="W29" i="2"/>
  <c r="AA29" i="2" s="1"/>
  <c r="X29" i="2"/>
  <c r="AB29" i="2" s="1"/>
  <c r="V30" i="2"/>
  <c r="W30" i="2"/>
  <c r="AA30" i="2" s="1"/>
  <c r="X30" i="2"/>
  <c r="AB30" i="2" s="1"/>
  <c r="Z30" i="2"/>
  <c r="V31" i="2"/>
  <c r="W31" i="2"/>
  <c r="X31" i="2"/>
  <c r="Z31" i="2"/>
  <c r="AA31" i="2"/>
  <c r="AB31" i="2"/>
  <c r="V32" i="2"/>
  <c r="Z32" i="2" s="1"/>
  <c r="W32" i="2"/>
  <c r="X32" i="2"/>
  <c r="AA32" i="2"/>
  <c r="AB32" i="2"/>
  <c r="V33" i="2"/>
  <c r="Z33" i="2" s="1"/>
  <c r="W33" i="2"/>
  <c r="AA33" i="2" s="1"/>
  <c r="X33" i="2"/>
  <c r="AB33" i="2" s="1"/>
  <c r="V34" i="2"/>
  <c r="W34" i="2"/>
  <c r="AA34" i="2" s="1"/>
  <c r="X34" i="2"/>
  <c r="AB34" i="2" s="1"/>
  <c r="Z34" i="2"/>
  <c r="V35" i="2"/>
  <c r="W35" i="2"/>
  <c r="X35" i="2"/>
  <c r="Z35" i="2"/>
  <c r="AA35" i="2"/>
  <c r="AB35" i="2"/>
  <c r="V36" i="2"/>
  <c r="Z36" i="2" s="1"/>
  <c r="W36" i="2"/>
  <c r="X36" i="2"/>
  <c r="AA36" i="2"/>
  <c r="AB36" i="2"/>
  <c r="V37" i="2"/>
  <c r="Z37" i="2" s="1"/>
  <c r="W37" i="2"/>
  <c r="AA37" i="2" s="1"/>
  <c r="X37" i="2"/>
  <c r="AB37" i="2" s="1"/>
  <c r="V38" i="2"/>
  <c r="W38" i="2"/>
  <c r="AA38" i="2" s="1"/>
  <c r="X38" i="2"/>
  <c r="AB38" i="2" s="1"/>
  <c r="Z38" i="2"/>
  <c r="V39" i="2"/>
  <c r="W39" i="2"/>
  <c r="X39" i="2"/>
  <c r="Z39" i="2"/>
  <c r="AA39" i="2"/>
  <c r="AB39" i="2"/>
  <c r="V40" i="2"/>
  <c r="Z40" i="2" s="1"/>
  <c r="W40" i="2"/>
  <c r="X40" i="2"/>
  <c r="AA40" i="2"/>
  <c r="AB40" i="2"/>
  <c r="V41" i="2"/>
  <c r="Z41" i="2" s="1"/>
  <c r="W41" i="2"/>
  <c r="AA41" i="2" s="1"/>
  <c r="X41" i="2"/>
  <c r="AB41" i="2" s="1"/>
  <c r="V42" i="2"/>
  <c r="W42" i="2"/>
  <c r="AA42" i="2" s="1"/>
  <c r="X42" i="2"/>
  <c r="AB42" i="2" s="1"/>
  <c r="Z42" i="2"/>
  <c r="V43" i="2"/>
  <c r="W43" i="2"/>
  <c r="X43" i="2"/>
  <c r="Z43" i="2"/>
  <c r="AA43" i="2"/>
  <c r="AB43" i="2"/>
  <c r="V44" i="2"/>
  <c r="Z44" i="2" s="1"/>
  <c r="W44" i="2"/>
  <c r="X44" i="2"/>
  <c r="AA44" i="2"/>
  <c r="AB44" i="2"/>
  <c r="V45" i="2"/>
  <c r="Z45" i="2" s="1"/>
  <c r="W45" i="2"/>
  <c r="AA45" i="2" s="1"/>
  <c r="X45" i="2"/>
  <c r="AB45" i="2" s="1"/>
  <c r="V46" i="2"/>
  <c r="W46" i="2"/>
  <c r="AA46" i="2" s="1"/>
  <c r="X46" i="2"/>
  <c r="AB46" i="2" s="1"/>
  <c r="Z46" i="2"/>
  <c r="V47" i="2"/>
  <c r="W47" i="2"/>
  <c r="X47" i="2"/>
  <c r="Z47" i="2"/>
  <c r="AA47" i="2"/>
  <c r="AB47" i="2"/>
  <c r="V48" i="2"/>
  <c r="Z48" i="2" s="1"/>
  <c r="W48" i="2"/>
  <c r="X48" i="2"/>
  <c r="AA48" i="2"/>
  <c r="AB48" i="2"/>
  <c r="V49" i="2"/>
  <c r="Z49" i="2" s="1"/>
  <c r="W49" i="2"/>
  <c r="AA49" i="2" s="1"/>
  <c r="X49" i="2"/>
  <c r="AB49" i="2" s="1"/>
  <c r="V50" i="2"/>
  <c r="W50" i="2"/>
  <c r="AA50" i="2" s="1"/>
  <c r="X50" i="2"/>
  <c r="AB50" i="2" s="1"/>
  <c r="Z50" i="2"/>
  <c r="V51" i="2"/>
  <c r="W51" i="2"/>
  <c r="X51" i="2"/>
  <c r="Z51" i="2"/>
  <c r="AA51" i="2"/>
  <c r="AB51" i="2"/>
  <c r="V52" i="2"/>
  <c r="Z52" i="2" s="1"/>
  <c r="W52" i="2"/>
  <c r="X52" i="2"/>
  <c r="AA52" i="2"/>
  <c r="AB52" i="2"/>
  <c r="V53" i="2"/>
  <c r="Z53" i="2" s="1"/>
  <c r="W53" i="2"/>
  <c r="AA53" i="2" s="1"/>
  <c r="X53" i="2"/>
  <c r="AB53" i="2" s="1"/>
  <c r="V54" i="2"/>
  <c r="W54" i="2"/>
  <c r="AA54" i="2" s="1"/>
  <c r="X54" i="2"/>
  <c r="AB54" i="2" s="1"/>
  <c r="Z54" i="2"/>
  <c r="X3" i="2"/>
  <c r="AB3" i="2" s="1"/>
  <c r="W3" i="2"/>
  <c r="V3" i="2"/>
  <c r="AA3" i="2"/>
  <c r="Z3" i="2"/>
  <c r="N14" i="3"/>
  <c r="C4" i="3" a="1"/>
  <c r="B4" i="3" a="1"/>
  <c r="N25" i="3" s="1"/>
  <c r="S4" i="2"/>
  <c r="T4" i="2" s="1"/>
  <c r="N4" i="2"/>
  <c r="O4" i="2" s="1"/>
  <c r="N54" i="2"/>
  <c r="O54" i="2" s="1"/>
  <c r="N53" i="2"/>
  <c r="N52" i="2"/>
  <c r="N51" i="2"/>
  <c r="N50" i="2"/>
  <c r="N49" i="2"/>
  <c r="O49" i="2" s="1"/>
  <c r="N48" i="2"/>
  <c r="O48" i="2" s="1"/>
  <c r="N47" i="2"/>
  <c r="O47" i="2" s="1"/>
  <c r="N46" i="2"/>
  <c r="O46" i="2" s="1"/>
  <c r="N45" i="2"/>
  <c r="N44" i="2"/>
  <c r="N43" i="2"/>
  <c r="N42" i="2"/>
  <c r="N41" i="2"/>
  <c r="O41" i="2" s="1"/>
  <c r="N40" i="2"/>
  <c r="O40" i="2" s="1"/>
  <c r="N39" i="2"/>
  <c r="O39" i="2" s="1"/>
  <c r="N38" i="2"/>
  <c r="O38" i="2" s="1"/>
  <c r="N37" i="2"/>
  <c r="N36" i="2"/>
  <c r="N35" i="2"/>
  <c r="N34" i="2"/>
  <c r="N33" i="2"/>
  <c r="O33" i="2" s="1"/>
  <c r="N32" i="2"/>
  <c r="O32" i="2" s="1"/>
  <c r="N31" i="2"/>
  <c r="O31" i="2" s="1"/>
  <c r="N30" i="2"/>
  <c r="O30" i="2" s="1"/>
  <c r="N29" i="2"/>
  <c r="N28" i="2"/>
  <c r="N27" i="2"/>
  <c r="N26" i="2"/>
  <c r="N25" i="2"/>
  <c r="O25" i="2" s="1"/>
  <c r="N24" i="2"/>
  <c r="O24" i="2" s="1"/>
  <c r="N23" i="2"/>
  <c r="O23" i="2" s="1"/>
  <c r="N22" i="2"/>
  <c r="O22" i="2" s="1"/>
  <c r="N21" i="2"/>
  <c r="N20" i="2"/>
  <c r="N19" i="2"/>
  <c r="N18" i="2"/>
  <c r="N17" i="2"/>
  <c r="O17" i="2" s="1"/>
  <c r="N16" i="2"/>
  <c r="O16" i="2" s="1"/>
  <c r="N15" i="2"/>
  <c r="O15" i="2" s="1"/>
  <c r="N14" i="2"/>
  <c r="O14" i="2" s="1"/>
  <c r="N13" i="2"/>
  <c r="N12" i="2"/>
  <c r="N11" i="2"/>
  <c r="N10" i="2"/>
  <c r="N9" i="2"/>
  <c r="O9" i="2" s="1"/>
  <c r="N8" i="2"/>
  <c r="O8" i="2" s="1"/>
  <c r="N7" i="2"/>
  <c r="O7" i="2" s="1"/>
  <c r="N6" i="2"/>
  <c r="O6" i="2" s="1"/>
  <c r="N5" i="2"/>
  <c r="C59" i="2"/>
  <c r="S3" i="2"/>
  <c r="T3" i="2" s="1"/>
  <c r="N3" i="2"/>
  <c r="O3" i="2" s="1"/>
  <c r="N2" i="2"/>
  <c r="O2" i="2" s="1"/>
  <c r="N18" i="3" l="1"/>
  <c r="N41" i="3"/>
  <c r="N36" i="3"/>
  <c r="N5" i="3"/>
  <c r="N20" i="3"/>
  <c r="N42" i="3"/>
  <c r="N27" i="3"/>
  <c r="N16" i="3"/>
  <c r="N17" i="3"/>
  <c r="N7" i="3"/>
  <c r="N21" i="3"/>
  <c r="N44" i="3"/>
  <c r="N33" i="3"/>
  <c r="N9" i="3"/>
  <c r="N23" i="3"/>
  <c r="N45" i="3"/>
  <c r="N11" i="3"/>
  <c r="B4" i="3"/>
  <c r="N4" i="3" s="1"/>
  <c r="N53" i="3"/>
  <c r="N52" i="3"/>
  <c r="N51" i="3"/>
  <c r="N50" i="3"/>
  <c r="N40" i="3"/>
  <c r="N35" i="3"/>
  <c r="N26" i="3"/>
  <c r="N19" i="3"/>
  <c r="N12" i="3"/>
  <c r="N10" i="3"/>
  <c r="N55" i="3"/>
  <c r="N48" i="3"/>
  <c r="N47" i="3"/>
  <c r="N46" i="3"/>
  <c r="N39" i="3"/>
  <c r="N24" i="3"/>
  <c r="N22" i="3"/>
  <c r="N15" i="3"/>
  <c r="N8" i="3"/>
  <c r="N6" i="3"/>
  <c r="N56" i="3"/>
  <c r="N34" i="3"/>
  <c r="N32" i="3"/>
  <c r="N13" i="3"/>
  <c r="N31" i="3"/>
  <c r="C4" i="3"/>
  <c r="N30" i="3"/>
  <c r="N43" i="3"/>
  <c r="N49" i="3"/>
  <c r="N28" i="3"/>
  <c r="N29" i="3"/>
  <c r="N54" i="3"/>
  <c r="N37" i="3"/>
  <c r="N38" i="3"/>
  <c r="O10" i="2"/>
  <c r="O18" i="2"/>
  <c r="Q18" i="2" s="1"/>
  <c r="O26" i="2"/>
  <c r="O34" i="2"/>
  <c r="Q34" i="2" s="1"/>
  <c r="O42" i="2"/>
  <c r="O50" i="2"/>
  <c r="O11" i="2"/>
  <c r="Q11" i="2" s="1"/>
  <c r="O19" i="2"/>
  <c r="O27" i="2"/>
  <c r="O35" i="2"/>
  <c r="O43" i="2"/>
  <c r="O51" i="2"/>
  <c r="P51" i="2" s="1"/>
  <c r="O12" i="2"/>
  <c r="O20" i="2"/>
  <c r="Q20" i="2" s="1"/>
  <c r="O28" i="2"/>
  <c r="Q28" i="2" s="1"/>
  <c r="O36" i="2"/>
  <c r="Q36" i="2" s="1"/>
  <c r="O44" i="2"/>
  <c r="O52" i="2"/>
  <c r="Q52" i="2" s="1"/>
  <c r="O5" i="2"/>
  <c r="O13" i="2"/>
  <c r="Q13" i="2" s="1"/>
  <c r="O21" i="2"/>
  <c r="P21" i="2" s="1"/>
  <c r="O29" i="2"/>
  <c r="Q29" i="2" s="1"/>
  <c r="O37" i="2"/>
  <c r="P37" i="2" s="1"/>
  <c r="O45" i="2"/>
  <c r="O53" i="2"/>
  <c r="Q4" i="2"/>
  <c r="P4" i="2"/>
  <c r="S5" i="2"/>
  <c r="T5" i="2" s="1"/>
  <c r="P18" i="2"/>
  <c r="Q45" i="2"/>
  <c r="P45" i="2"/>
  <c r="P24" i="2"/>
  <c r="P27" i="2"/>
  <c r="P30" i="2"/>
  <c r="Q30" i="2"/>
  <c r="P36" i="2"/>
  <c r="Q9" i="2"/>
  <c r="P9" i="2"/>
  <c r="Q15" i="2"/>
  <c r="P15" i="2"/>
  <c r="Q7" i="2"/>
  <c r="P7" i="2"/>
  <c r="P10" i="2"/>
  <c r="Q10" i="2"/>
  <c r="Q33" i="2"/>
  <c r="P33" i="2"/>
  <c r="Q43" i="2"/>
  <c r="P43" i="2"/>
  <c r="P46" i="2"/>
  <c r="Q46" i="2"/>
  <c r="P49" i="2"/>
  <c r="P13" i="2"/>
  <c r="Q16" i="2"/>
  <c r="P16" i="2"/>
  <c r="Q19" i="2"/>
  <c r="P19" i="2"/>
  <c r="P22" i="2"/>
  <c r="Q40" i="2"/>
  <c r="P40" i="2"/>
  <c r="Q5" i="2"/>
  <c r="P5" i="2"/>
  <c r="P25" i="2"/>
  <c r="Q31" i="2"/>
  <c r="P31" i="2"/>
  <c r="Q37" i="2"/>
  <c r="Q47" i="2"/>
  <c r="P47" i="2"/>
  <c r="Q53" i="2"/>
  <c r="P53" i="2"/>
  <c r="Q8" i="2"/>
  <c r="P8" i="2"/>
  <c r="P14" i="2"/>
  <c r="Q14" i="2"/>
  <c r="Q44" i="2"/>
  <c r="P44" i="2"/>
  <c r="Q17" i="2"/>
  <c r="P17" i="2"/>
  <c r="P23" i="2"/>
  <c r="P26" i="2"/>
  <c r="Q35" i="2"/>
  <c r="P35" i="2"/>
  <c r="Q38" i="2"/>
  <c r="P38" i="2"/>
  <c r="Q41" i="2"/>
  <c r="P41" i="2"/>
  <c r="P54" i="2"/>
  <c r="Q54" i="2"/>
  <c r="Q39" i="2"/>
  <c r="P39" i="2"/>
  <c r="P6" i="2"/>
  <c r="Q6" i="2"/>
  <c r="Q32" i="2"/>
  <c r="P32" i="2"/>
  <c r="Q48" i="2"/>
  <c r="Q49" i="2" s="1"/>
  <c r="P48" i="2"/>
  <c r="P2" i="2"/>
  <c r="Q2" i="2"/>
  <c r="Q3" i="2"/>
  <c r="P3" i="2"/>
  <c r="T2" i="2"/>
  <c r="P12" i="2" l="1"/>
  <c r="Q12" i="2"/>
  <c r="P42" i="2"/>
  <c r="Q42" i="2"/>
  <c r="Q51" i="2"/>
  <c r="P34" i="2"/>
  <c r="P52" i="2"/>
  <c r="P29" i="2"/>
  <c r="Q21" i="2"/>
  <c r="Q22" i="2" s="1"/>
  <c r="Q23" i="2" s="1"/>
  <c r="Q24" i="2" s="1"/>
  <c r="Q25" i="2" s="1"/>
  <c r="Q26" i="2" s="1"/>
  <c r="Q27" i="2" s="1"/>
  <c r="P20" i="2"/>
  <c r="P11" i="2"/>
  <c r="P50" i="2"/>
  <c r="Q50" i="2" s="1"/>
  <c r="E4" i="3" s="1" a="1"/>
  <c r="E4" i="3" s="1"/>
  <c r="S6" i="2"/>
  <c r="T6" i="2" s="1"/>
  <c r="P28" i="2"/>
  <c r="S7" i="2" l="1"/>
  <c r="T7" i="2" s="1"/>
  <c r="S8" i="2"/>
  <c r="T8" i="2" l="1"/>
  <c r="S9" i="2"/>
  <c r="T9" i="2" l="1"/>
  <c r="S10" i="2"/>
  <c r="T10" i="2" l="1"/>
  <c r="S11" i="2"/>
  <c r="T11" i="2" l="1"/>
  <c r="S12" i="2"/>
  <c r="S13" i="2" l="1"/>
  <c r="T12" i="2"/>
  <c r="T13" i="2" l="1"/>
  <c r="S14" i="2"/>
  <c r="T14" i="2" l="1"/>
  <c r="S15" i="2"/>
  <c r="T15" i="2" l="1"/>
  <c r="S16" i="2"/>
  <c r="S17" i="2" l="1"/>
  <c r="T16" i="2"/>
  <c r="T17" i="2" l="1"/>
  <c r="S18" i="2"/>
  <c r="T18" i="2" l="1"/>
  <c r="S19" i="2"/>
  <c r="T19" i="2" l="1"/>
  <c r="S20" i="2"/>
  <c r="S21" i="2" l="1"/>
  <c r="T20" i="2"/>
  <c r="T21" i="2" l="1"/>
  <c r="S22" i="2"/>
  <c r="T22" i="2" l="1"/>
  <c r="S23" i="2"/>
  <c r="T23" i="2" l="1"/>
  <c r="S24" i="2"/>
  <c r="S25" i="2" l="1"/>
  <c r="T24" i="2"/>
  <c r="T25" i="2" l="1"/>
  <c r="S26" i="2"/>
  <c r="T26" i="2" l="1"/>
  <c r="S27" i="2"/>
  <c r="T27" i="2" l="1"/>
  <c r="S28" i="2"/>
  <c r="S29" i="2" l="1"/>
  <c r="T28" i="2"/>
  <c r="T29" i="2" l="1"/>
  <c r="S30" i="2"/>
  <c r="T30" i="2" l="1"/>
  <c r="S31" i="2"/>
  <c r="T31" i="2" l="1"/>
  <c r="S32" i="2"/>
  <c r="T32" i="2" l="1"/>
  <c r="S33" i="2"/>
  <c r="T33" i="2" l="1"/>
  <c r="S34" i="2"/>
  <c r="T34" i="2" l="1"/>
  <c r="S35" i="2"/>
  <c r="T35" i="2" l="1"/>
  <c r="S36" i="2"/>
  <c r="S37" i="2" l="1"/>
  <c r="T36" i="2"/>
  <c r="T37" i="2" l="1"/>
  <c r="S38" i="2"/>
  <c r="T38" i="2" l="1"/>
  <c r="S39" i="2"/>
  <c r="T39" i="2" l="1"/>
  <c r="S40" i="2"/>
  <c r="S41" i="2" l="1"/>
  <c r="T40" i="2"/>
  <c r="T41" i="2" l="1"/>
  <c r="S42" i="2"/>
  <c r="T42" i="2" l="1"/>
  <c r="S43" i="2"/>
  <c r="T43" i="2" l="1"/>
  <c r="S44" i="2"/>
  <c r="S45" i="2" l="1"/>
  <c r="T44" i="2"/>
  <c r="T45" i="2" l="1"/>
  <c r="S46" i="2"/>
  <c r="T46" i="2" l="1"/>
  <c r="S47" i="2"/>
  <c r="T47" i="2" l="1"/>
  <c r="S48" i="2"/>
  <c r="S49" i="2" l="1"/>
  <c r="T48" i="2"/>
  <c r="T49" i="2" l="1"/>
  <c r="S50" i="2"/>
  <c r="T50" i="2" l="1"/>
  <c r="S51" i="2"/>
  <c r="T51" i="2" l="1"/>
  <c r="S52" i="2"/>
  <c r="T52" i="2" l="1"/>
  <c r="S53" i="2"/>
  <c r="T53" i="2" l="1"/>
  <c r="S54" i="2"/>
  <c r="T54" i="2" s="1"/>
  <c r="D4" i="3" s="1" a="1"/>
  <c r="G55" i="3" l="1"/>
  <c r="H49" i="3"/>
  <c r="G47" i="3"/>
  <c r="H41" i="3"/>
  <c r="G39" i="3"/>
  <c r="H33" i="3"/>
  <c r="G31" i="3"/>
  <c r="H25" i="3"/>
  <c r="S26" i="3" s="1"/>
  <c r="G23" i="3"/>
  <c r="H51" i="3"/>
  <c r="G49" i="3"/>
  <c r="H43" i="3"/>
  <c r="G41" i="3"/>
  <c r="H35" i="3"/>
  <c r="G33" i="3"/>
  <c r="H27" i="3"/>
  <c r="S28" i="3" s="1"/>
  <c r="H56" i="3"/>
  <c r="X56" i="3" s="1"/>
  <c r="G54" i="3"/>
  <c r="H48" i="3"/>
  <c r="S49" i="3" s="1"/>
  <c r="G46" i="3"/>
  <c r="H40" i="3"/>
  <c r="S41" i="3" s="1"/>
  <c r="G38" i="3"/>
  <c r="H32" i="3"/>
  <c r="S33" i="3" s="1"/>
  <c r="G30" i="3"/>
  <c r="H55" i="3"/>
  <c r="G51" i="3"/>
  <c r="H42" i="3"/>
  <c r="H38" i="3"/>
  <c r="S39" i="3" s="1"/>
  <c r="H29" i="3"/>
  <c r="G20" i="3"/>
  <c r="H14" i="3"/>
  <c r="G12" i="3"/>
  <c r="H6" i="3"/>
  <c r="G28" i="3"/>
  <c r="H50" i="3"/>
  <c r="H46" i="3"/>
  <c r="S47" i="3" s="1"/>
  <c r="H37" i="3"/>
  <c r="G34" i="3"/>
  <c r="G26" i="3"/>
  <c r="H22" i="3"/>
  <c r="S23" i="3" s="1"/>
  <c r="H19" i="3"/>
  <c r="G17" i="3"/>
  <c r="H11" i="3"/>
  <c r="G9" i="3"/>
  <c r="H54" i="3"/>
  <c r="H45" i="3"/>
  <c r="S46" i="3" s="1"/>
  <c r="G42" i="3"/>
  <c r="G29" i="3"/>
  <c r="H16" i="3"/>
  <c r="S17" i="3" s="1"/>
  <c r="G14" i="3"/>
  <c r="H8" i="3"/>
  <c r="S9" i="3" s="1"/>
  <c r="G6" i="3"/>
  <c r="G45" i="3"/>
  <c r="G32" i="3"/>
  <c r="H53" i="3"/>
  <c r="G50" i="3"/>
  <c r="G37" i="3"/>
  <c r="H28" i="3"/>
  <c r="G25" i="3"/>
  <c r="G22" i="3"/>
  <c r="G19" i="3"/>
  <c r="H13" i="3"/>
  <c r="S14" i="3" s="1"/>
  <c r="G11" i="3"/>
  <c r="H5" i="3"/>
  <c r="S6" i="3" s="1"/>
  <c r="G56" i="3"/>
  <c r="G44" i="3"/>
  <c r="H34" i="3"/>
  <c r="G13" i="3"/>
  <c r="H7" i="3"/>
  <c r="G53" i="3"/>
  <c r="G43" i="3"/>
  <c r="Q43" i="3" s="1"/>
  <c r="H31" i="3"/>
  <c r="S32" i="3" s="1"/>
  <c r="G24" i="3"/>
  <c r="G18" i="3"/>
  <c r="H12" i="3"/>
  <c r="S13" i="3" s="1"/>
  <c r="H47" i="3"/>
  <c r="H44" i="3"/>
  <c r="S45" i="3" s="1"/>
  <c r="G8" i="3"/>
  <c r="H52" i="3"/>
  <c r="S53" i="3" s="1"/>
  <c r="G40" i="3"/>
  <c r="H23" i="3"/>
  <c r="S24" i="3" s="1"/>
  <c r="H17" i="3"/>
  <c r="S18" i="3" s="1"/>
  <c r="G7" i="3"/>
  <c r="H36" i="3"/>
  <c r="S37" i="3" s="1"/>
  <c r="H26" i="3"/>
  <c r="H9" i="3"/>
  <c r="S10" i="3" s="1"/>
  <c r="G35" i="3"/>
  <c r="G52" i="3"/>
  <c r="H39" i="3"/>
  <c r="H30" i="3"/>
  <c r="H21" i="3"/>
  <c r="S22" i="3" s="1"/>
  <c r="G16" i="3"/>
  <c r="H10" i="3"/>
  <c r="G27" i="3"/>
  <c r="H20" i="3"/>
  <c r="S21" i="3" s="1"/>
  <c r="H18" i="3"/>
  <c r="S19" i="3" s="1"/>
  <c r="H15" i="3"/>
  <c r="S16" i="3" s="1"/>
  <c r="G5" i="3"/>
  <c r="G48" i="3"/>
  <c r="G21" i="3"/>
  <c r="G10" i="3"/>
  <c r="G36" i="3"/>
  <c r="G15" i="3"/>
  <c r="H24" i="3"/>
  <c r="S25" i="3" s="1"/>
  <c r="D4" i="3"/>
  <c r="Q36" i="3" l="1"/>
  <c r="T36" i="3" s="1"/>
  <c r="U36" i="3" s="1"/>
  <c r="R36" i="3"/>
  <c r="Q32" i="3"/>
  <c r="T32" i="3" s="1"/>
  <c r="U32" i="3" s="1"/>
  <c r="R32" i="3"/>
  <c r="Q34" i="3"/>
  <c r="T34" i="3" s="1"/>
  <c r="R34" i="3"/>
  <c r="Q20" i="3"/>
  <c r="R20" i="3"/>
  <c r="T20" i="3" s="1"/>
  <c r="U20" i="3" s="1"/>
  <c r="Q38" i="3"/>
  <c r="T38" i="3" s="1"/>
  <c r="R38" i="3"/>
  <c r="S36" i="3"/>
  <c r="S34" i="3"/>
  <c r="Q52" i="3"/>
  <c r="T52" i="3" s="1"/>
  <c r="Q42" i="3"/>
  <c r="T42" i="3"/>
  <c r="U42" i="3" s="1"/>
  <c r="Q31" i="3"/>
  <c r="R31" i="3"/>
  <c r="S11" i="3"/>
  <c r="S27" i="3"/>
  <c r="S8" i="3"/>
  <c r="Q19" i="3"/>
  <c r="T19" i="3" s="1"/>
  <c r="R19" i="3"/>
  <c r="Q45" i="3"/>
  <c r="T45" i="3" s="1"/>
  <c r="X54" i="3"/>
  <c r="S55" i="3"/>
  <c r="S38" i="3"/>
  <c r="S30" i="3"/>
  <c r="Q41" i="3"/>
  <c r="T41" i="3" s="1"/>
  <c r="Q39" i="3"/>
  <c r="T39" i="3" s="1"/>
  <c r="R39" i="3"/>
  <c r="T40" i="3"/>
  <c r="U40" i="3" s="1"/>
  <c r="Q40" i="3"/>
  <c r="Q50" i="3"/>
  <c r="T50" i="3" s="1"/>
  <c r="U50" i="3" s="1"/>
  <c r="Q29" i="3"/>
  <c r="T29" i="3" s="1"/>
  <c r="U29" i="3" s="1"/>
  <c r="R29" i="3"/>
  <c r="Q12" i="3"/>
  <c r="R12" i="3"/>
  <c r="T12" i="3" s="1"/>
  <c r="U12" i="3" s="1"/>
  <c r="Q30" i="3"/>
  <c r="T30" i="3"/>
  <c r="R30" i="3"/>
  <c r="Q15" i="3"/>
  <c r="R15" i="3"/>
  <c r="S15" i="3"/>
  <c r="Q53" i="3"/>
  <c r="T53" i="3" s="1"/>
  <c r="Q21" i="3"/>
  <c r="T21" i="3" s="1"/>
  <c r="R21" i="3"/>
  <c r="Q16" i="3"/>
  <c r="T16" i="3" s="1"/>
  <c r="U16" i="3" s="1"/>
  <c r="R16" i="3"/>
  <c r="S48" i="3"/>
  <c r="Q13" i="3"/>
  <c r="R13" i="3"/>
  <c r="T22" i="3"/>
  <c r="Q22" i="3"/>
  <c r="R22" i="3"/>
  <c r="Q6" i="3"/>
  <c r="T6" i="3" s="1"/>
  <c r="R6" i="3"/>
  <c r="Q9" i="3"/>
  <c r="R9" i="3"/>
  <c r="T46" i="3"/>
  <c r="Q46" i="3"/>
  <c r="S44" i="3"/>
  <c r="S42" i="3"/>
  <c r="X53" i="3"/>
  <c r="S54" i="3"/>
  <c r="Q26" i="3"/>
  <c r="R26" i="3"/>
  <c r="T26" i="3" s="1"/>
  <c r="Q33" i="3"/>
  <c r="R33" i="3"/>
  <c r="Q27" i="3"/>
  <c r="R27" i="3"/>
  <c r="Q8" i="3"/>
  <c r="T8" i="3" s="1"/>
  <c r="U8" i="3" s="1"/>
  <c r="R8" i="3"/>
  <c r="T10" i="3"/>
  <c r="Q10" i="3"/>
  <c r="R10" i="3"/>
  <c r="Q48" i="3"/>
  <c r="T48" i="3"/>
  <c r="U48" i="3" s="1"/>
  <c r="Q7" i="3"/>
  <c r="R7" i="3"/>
  <c r="S35" i="3"/>
  <c r="Q25" i="3"/>
  <c r="T25" i="3" s="1"/>
  <c r="U25" i="3" s="1"/>
  <c r="R25" i="3"/>
  <c r="S12" i="3"/>
  <c r="X50" i="3"/>
  <c r="S51" i="3"/>
  <c r="X42" i="3"/>
  <c r="S43" i="3"/>
  <c r="T43" i="3" s="1"/>
  <c r="U43" i="3" s="1"/>
  <c r="Q49" i="3"/>
  <c r="T49" i="3" s="1"/>
  <c r="Q47" i="3"/>
  <c r="T47" i="3" s="1"/>
  <c r="U47" i="3" s="1"/>
  <c r="Q11" i="3"/>
  <c r="R11" i="3"/>
  <c r="T11" i="3" s="1"/>
  <c r="U11" i="3" s="1"/>
  <c r="S31" i="3"/>
  <c r="Q18" i="3"/>
  <c r="R18" i="3"/>
  <c r="T18" i="3" s="1"/>
  <c r="Q44" i="3"/>
  <c r="T44" i="3" s="1"/>
  <c r="U44" i="3" s="1"/>
  <c r="S29" i="3"/>
  <c r="Q14" i="3"/>
  <c r="T14" i="3" s="1"/>
  <c r="U14" i="3" s="1"/>
  <c r="R14" i="3"/>
  <c r="Q17" i="3"/>
  <c r="R17" i="3"/>
  <c r="Q28" i="3"/>
  <c r="T28" i="3" s="1"/>
  <c r="U28" i="3" s="1"/>
  <c r="R28" i="3"/>
  <c r="Q51" i="3"/>
  <c r="T51" i="3" s="1"/>
  <c r="U51" i="3" s="1"/>
  <c r="Q54" i="3"/>
  <c r="T54" i="3" s="1"/>
  <c r="U54" i="3" s="1"/>
  <c r="X51" i="3"/>
  <c r="S52" i="3"/>
  <c r="S50" i="3"/>
  <c r="Q35" i="3"/>
  <c r="T35" i="3" s="1"/>
  <c r="R35" i="3"/>
  <c r="S40" i="3"/>
  <c r="Q24" i="3"/>
  <c r="T24" i="3" s="1"/>
  <c r="U24" i="3" s="1"/>
  <c r="R24" i="3"/>
  <c r="J56" i="3"/>
  <c r="Q56" i="3"/>
  <c r="T56" i="3" s="1"/>
  <c r="U56" i="3" s="1"/>
  <c r="Q37" i="3"/>
  <c r="R37" i="3"/>
  <c r="S20" i="3"/>
  <c r="S7" i="3"/>
  <c r="X55" i="3"/>
  <c r="S56" i="3"/>
  <c r="Q23" i="3"/>
  <c r="R23" i="3"/>
  <c r="Q55" i="3"/>
  <c r="X26" i="3"/>
  <c r="Y26" i="3"/>
  <c r="J44" i="3"/>
  <c r="Z45" i="3"/>
  <c r="L45" i="3"/>
  <c r="X40" i="3"/>
  <c r="X18" i="3"/>
  <c r="Y18" i="3"/>
  <c r="J53" i="3"/>
  <c r="Z54" i="3"/>
  <c r="AA54" i="3" s="1"/>
  <c r="AB54" i="3" s="1"/>
  <c r="L54" i="3"/>
  <c r="J28" i="3"/>
  <c r="Z29" i="3"/>
  <c r="L29" i="3"/>
  <c r="K28" i="3"/>
  <c r="J46" i="3"/>
  <c r="L47" i="3"/>
  <c r="Z47" i="3"/>
  <c r="X39" i="3"/>
  <c r="Y39" i="3"/>
  <c r="X7" i="3"/>
  <c r="Y7" i="3"/>
  <c r="K6" i="3"/>
  <c r="J6" i="3"/>
  <c r="Z7" i="3"/>
  <c r="L7" i="3"/>
  <c r="X48" i="3"/>
  <c r="J23" i="3"/>
  <c r="L24" i="3"/>
  <c r="Z24" i="3"/>
  <c r="K23" i="3"/>
  <c r="X52" i="3"/>
  <c r="J22" i="3"/>
  <c r="K22" i="3"/>
  <c r="Z23" i="3"/>
  <c r="L23" i="3"/>
  <c r="J39" i="3"/>
  <c r="Z40" i="3"/>
  <c r="L40" i="3"/>
  <c r="K39" i="3"/>
  <c r="M39" i="3" s="1"/>
  <c r="O39" i="3" s="1"/>
  <c r="J7" i="3"/>
  <c r="M7" i="3" s="1"/>
  <c r="O7" i="3" s="1"/>
  <c r="K7" i="3"/>
  <c r="L8" i="3"/>
  <c r="Z8" i="3"/>
  <c r="X28" i="3"/>
  <c r="Y28" i="3"/>
  <c r="J26" i="3"/>
  <c r="M26" i="3" s="1"/>
  <c r="O26" i="3" s="1"/>
  <c r="Z27" i="3"/>
  <c r="K26" i="3"/>
  <c r="L27" i="3"/>
  <c r="J51" i="3"/>
  <c r="L52" i="3"/>
  <c r="Z52" i="3"/>
  <c r="AA52" i="3" s="1"/>
  <c r="AB52" i="3" s="1"/>
  <c r="L6" i="3"/>
  <c r="Z6" i="3"/>
  <c r="X20" i="3"/>
  <c r="Y20" i="3"/>
  <c r="X47" i="3"/>
  <c r="AA47" i="3" s="1"/>
  <c r="AB47" i="3" s="1"/>
  <c r="J29" i="3"/>
  <c r="L30" i="3"/>
  <c r="Z30" i="3"/>
  <c r="K29" i="3"/>
  <c r="X24" i="3"/>
  <c r="AA24" i="3" s="1"/>
  <c r="AB24" i="3" s="1"/>
  <c r="Y24" i="3"/>
  <c r="U10" i="3"/>
  <c r="J52" i="3"/>
  <c r="L53" i="3"/>
  <c r="Z53" i="3"/>
  <c r="X17" i="3"/>
  <c r="Y17" i="3"/>
  <c r="K13" i="3"/>
  <c r="J13" i="3"/>
  <c r="Z14" i="3"/>
  <c r="L14" i="3"/>
  <c r="J11" i="3"/>
  <c r="K11" i="3"/>
  <c r="L12" i="3"/>
  <c r="Z12" i="3"/>
  <c r="J37" i="3"/>
  <c r="Z38" i="3"/>
  <c r="K37" i="3"/>
  <c r="L38" i="3"/>
  <c r="X8" i="3"/>
  <c r="AA8" i="3" s="1"/>
  <c r="AB8" i="3" s="1"/>
  <c r="Y8" i="3"/>
  <c r="J9" i="3"/>
  <c r="K9" i="3"/>
  <c r="L10" i="3"/>
  <c r="Z10" i="3"/>
  <c r="K34" i="3"/>
  <c r="J34" i="3"/>
  <c r="Z35" i="3"/>
  <c r="L35" i="3"/>
  <c r="J30" i="3"/>
  <c r="Z31" i="3"/>
  <c r="L31" i="3"/>
  <c r="K30" i="3"/>
  <c r="M30" i="3" s="1"/>
  <c r="O30" i="3" s="1"/>
  <c r="Z42" i="3"/>
  <c r="AA42" i="3" s="1"/>
  <c r="AB42" i="3" s="1"/>
  <c r="J41" i="3"/>
  <c r="L42" i="3"/>
  <c r="X25" i="3"/>
  <c r="Y25" i="3"/>
  <c r="J47" i="3"/>
  <c r="L48" i="3"/>
  <c r="Z48" i="3"/>
  <c r="AA53" i="3"/>
  <c r="AB53" i="3" s="1"/>
  <c r="X19" i="3"/>
  <c r="Y19" i="3"/>
  <c r="J21" i="3"/>
  <c r="L22" i="3"/>
  <c r="K21" i="3"/>
  <c r="Z22" i="3"/>
  <c r="AA22" i="3" s="1"/>
  <c r="AB22" i="3" s="1"/>
  <c r="X36" i="3"/>
  <c r="Y36" i="3"/>
  <c r="J43" i="3"/>
  <c r="L44" i="3"/>
  <c r="M44" i="3" s="1"/>
  <c r="O44" i="3" s="1"/>
  <c r="Z44" i="3"/>
  <c r="K32" i="3"/>
  <c r="J32" i="3"/>
  <c r="Z33" i="3"/>
  <c r="L33" i="3"/>
  <c r="X22" i="3"/>
  <c r="Y22" i="3"/>
  <c r="J48" i="3"/>
  <c r="Z49" i="3"/>
  <c r="L49" i="3"/>
  <c r="X41" i="3"/>
  <c r="X15" i="3"/>
  <c r="Y15" i="3"/>
  <c r="J27" i="3"/>
  <c r="M27" i="3" s="1"/>
  <c r="O27" i="3" s="1"/>
  <c r="Z28" i="3"/>
  <c r="K27" i="3"/>
  <c r="L28" i="3"/>
  <c r="X23" i="3"/>
  <c r="Y23" i="3"/>
  <c r="X12" i="3"/>
  <c r="AA12" i="3" s="1"/>
  <c r="AB12" i="3" s="1"/>
  <c r="Y12" i="3"/>
  <c r="X13" i="3"/>
  <c r="AA13" i="3" s="1"/>
  <c r="AB13" i="3" s="1"/>
  <c r="Y13" i="3"/>
  <c r="X11" i="3"/>
  <c r="AA11" i="3" s="1"/>
  <c r="AB11" i="3" s="1"/>
  <c r="Y11" i="3"/>
  <c r="Y37" i="3"/>
  <c r="X37" i="3"/>
  <c r="X6" i="3"/>
  <c r="Y6" i="3"/>
  <c r="X29" i="3"/>
  <c r="AA29" i="3" s="1"/>
  <c r="AB29" i="3" s="1"/>
  <c r="Y29" i="3"/>
  <c r="X32" i="3"/>
  <c r="Y32" i="3"/>
  <c r="J54" i="3"/>
  <c r="M54" i="3" s="1"/>
  <c r="O54" i="3" s="1"/>
  <c r="L55" i="3"/>
  <c r="Z55" i="3"/>
  <c r="AA55" i="3" s="1"/>
  <c r="AB55" i="3" s="1"/>
  <c r="AC55" i="3" s="1"/>
  <c r="X43" i="3"/>
  <c r="X49" i="3"/>
  <c r="AA49" i="3" s="1"/>
  <c r="AB49" i="3" s="1"/>
  <c r="J16" i="3"/>
  <c r="K16" i="3"/>
  <c r="Z17" i="3"/>
  <c r="L17" i="3"/>
  <c r="X31" i="3"/>
  <c r="Y31" i="3"/>
  <c r="U19" i="3"/>
  <c r="L9" i="3"/>
  <c r="K8" i="3"/>
  <c r="J8" i="3"/>
  <c r="Z9" i="3"/>
  <c r="J33" i="3"/>
  <c r="K33" i="3"/>
  <c r="L34" i="3"/>
  <c r="Z34" i="3"/>
  <c r="X44" i="3"/>
  <c r="AA44" i="3" s="1"/>
  <c r="AB44" i="3" s="1"/>
  <c r="J45" i="3"/>
  <c r="Z46" i="3"/>
  <c r="L46" i="3"/>
  <c r="M46" i="3" s="1"/>
  <c r="O46" i="3" s="1"/>
  <c r="J20" i="3"/>
  <c r="K20" i="3"/>
  <c r="Z21" i="3"/>
  <c r="L21" i="3"/>
  <c r="X35" i="3"/>
  <c r="Y35" i="3"/>
  <c r="G4" i="3"/>
  <c r="K5" i="3" s="1"/>
  <c r="H4" i="3"/>
  <c r="S5" i="3" s="1"/>
  <c r="J15" i="3"/>
  <c r="K15" i="3"/>
  <c r="L16" i="3"/>
  <c r="Z16" i="3"/>
  <c r="J35" i="3"/>
  <c r="L36" i="3"/>
  <c r="Z36" i="3"/>
  <c r="K35" i="3"/>
  <c r="J14" i="3"/>
  <c r="K14" i="3"/>
  <c r="L15" i="3"/>
  <c r="Z15" i="3"/>
  <c r="U46" i="3"/>
  <c r="J31" i="3"/>
  <c r="L32" i="3"/>
  <c r="K31" i="3"/>
  <c r="Z32" i="3"/>
  <c r="L11" i="3"/>
  <c r="J10" i="3"/>
  <c r="Z11" i="3"/>
  <c r="K10" i="3"/>
  <c r="X14" i="3"/>
  <c r="Y14" i="3"/>
  <c r="X21" i="3"/>
  <c r="Y21" i="3"/>
  <c r="J25" i="3"/>
  <c r="Z26" i="3"/>
  <c r="AA26" i="3" s="1"/>
  <c r="AB26" i="3" s="1"/>
  <c r="L26" i="3"/>
  <c r="K25" i="3"/>
  <c r="X30" i="3"/>
  <c r="Y30" i="3"/>
  <c r="X5" i="3"/>
  <c r="J18" i="3"/>
  <c r="Z19" i="3"/>
  <c r="L19" i="3"/>
  <c r="K18" i="3"/>
  <c r="J42" i="3"/>
  <c r="M42" i="3"/>
  <c r="O42" i="3" s="1"/>
  <c r="L43" i="3"/>
  <c r="Z43" i="3"/>
  <c r="J36" i="3"/>
  <c r="Z37" i="3"/>
  <c r="L37" i="3"/>
  <c r="K36" i="3"/>
  <c r="X10" i="3"/>
  <c r="Y10" i="3"/>
  <c r="X9" i="3"/>
  <c r="Y9" i="3"/>
  <c r="J40" i="3"/>
  <c r="U41" i="3"/>
  <c r="L41" i="3"/>
  <c r="Z41" i="3"/>
  <c r="J24" i="3"/>
  <c r="Z25" i="3"/>
  <c r="K24" i="3"/>
  <c r="L25" i="3"/>
  <c r="X34" i="3"/>
  <c r="Y34" i="3"/>
  <c r="J19" i="3"/>
  <c r="L20" i="3"/>
  <c r="K19" i="3"/>
  <c r="Z20" i="3"/>
  <c r="J50" i="3"/>
  <c r="Z51" i="3"/>
  <c r="AA51" i="3" s="1"/>
  <c r="AB51" i="3" s="1"/>
  <c r="L51" i="3"/>
  <c r="X16" i="3"/>
  <c r="Y16" i="3"/>
  <c r="AA16" i="3" s="1"/>
  <c r="AB16" i="3" s="1"/>
  <c r="X45" i="3"/>
  <c r="AA45" i="3" s="1"/>
  <c r="AB45" i="3" s="1"/>
  <c r="J17" i="3"/>
  <c r="L18" i="3"/>
  <c r="K17" i="3"/>
  <c r="Z18" i="3"/>
  <c r="X46" i="3"/>
  <c r="J12" i="3"/>
  <c r="L13" i="3"/>
  <c r="K12" i="3"/>
  <c r="Z13" i="3"/>
  <c r="X38" i="3"/>
  <c r="Y38" i="3"/>
  <c r="J38" i="3"/>
  <c r="Z39" i="3"/>
  <c r="L39" i="3"/>
  <c r="K38" i="3"/>
  <c r="X27" i="3"/>
  <c r="Y27" i="3"/>
  <c r="J49" i="3"/>
  <c r="L50" i="3"/>
  <c r="Z50" i="3"/>
  <c r="AA50" i="3" s="1"/>
  <c r="AB50" i="3" s="1"/>
  <c r="X33" i="3"/>
  <c r="AA33" i="3" s="1"/>
  <c r="AB33" i="3" s="1"/>
  <c r="Y33" i="3"/>
  <c r="J55" i="3"/>
  <c r="M55" i="3" s="1"/>
  <c r="O55" i="3" s="1"/>
  <c r="Z56" i="3"/>
  <c r="AA56" i="3" s="1"/>
  <c r="AB56" i="3" s="1"/>
  <c r="L56" i="3"/>
  <c r="M56" i="3" s="1"/>
  <c r="O56" i="3" s="1"/>
  <c r="X4" i="3"/>
  <c r="K4" i="3"/>
  <c r="L4" i="3"/>
  <c r="J4" i="3"/>
  <c r="AA6" i="3" l="1"/>
  <c r="AB6" i="3" s="1"/>
  <c r="Y4" i="3"/>
  <c r="M49" i="3"/>
  <c r="O49" i="3" s="1"/>
  <c r="AA9" i="3"/>
  <c r="AB9" i="3" s="1"/>
  <c r="M35" i="3"/>
  <c r="O35" i="3" s="1"/>
  <c r="M15" i="3"/>
  <c r="O15" i="3" s="1"/>
  <c r="M33" i="3"/>
  <c r="O33" i="3" s="1"/>
  <c r="AC33" i="3" s="1"/>
  <c r="AA43" i="3"/>
  <c r="AB43" i="3" s="1"/>
  <c r="AC43" i="3" s="1"/>
  <c r="M47" i="3"/>
  <c r="O47" i="3" s="1"/>
  <c r="AA48" i="3"/>
  <c r="AB48" i="3" s="1"/>
  <c r="AA40" i="3"/>
  <c r="AB40" i="3" s="1"/>
  <c r="T23" i="3"/>
  <c r="U23" i="3" s="1"/>
  <c r="T33" i="3"/>
  <c r="U33" i="3" s="1"/>
  <c r="T31" i="3"/>
  <c r="M50" i="3"/>
  <c r="O50" i="3" s="1"/>
  <c r="AC50" i="3" s="1"/>
  <c r="M22" i="3"/>
  <c r="O22" i="3" s="1"/>
  <c r="AC22" i="3" s="1"/>
  <c r="AC56" i="3"/>
  <c r="Y5" i="3"/>
  <c r="Q4" i="3"/>
  <c r="S4" i="3"/>
  <c r="R4" i="3"/>
  <c r="AA37" i="3"/>
  <c r="AB37" i="3" s="1"/>
  <c r="AA25" i="3"/>
  <c r="AB25" i="3" s="1"/>
  <c r="T17" i="3"/>
  <c r="U17" i="3" s="1"/>
  <c r="T9" i="3"/>
  <c r="T13" i="3"/>
  <c r="AC49" i="3"/>
  <c r="M45" i="3"/>
  <c r="O45" i="3" s="1"/>
  <c r="AC45" i="3" s="1"/>
  <c r="AC54" i="3"/>
  <c r="T7" i="3"/>
  <c r="U7" i="3" s="1"/>
  <c r="V7" i="3" s="1"/>
  <c r="M10" i="3"/>
  <c r="O10" i="3" s="1"/>
  <c r="AA21" i="3"/>
  <c r="AB21" i="3" s="1"/>
  <c r="AA35" i="3"/>
  <c r="AB35" i="3" s="1"/>
  <c r="AC44" i="3"/>
  <c r="M43" i="3"/>
  <c r="O43" i="3" s="1"/>
  <c r="M11" i="3"/>
  <c r="O11" i="3" s="1"/>
  <c r="AA17" i="3"/>
  <c r="AB17" i="3" s="1"/>
  <c r="AC17" i="3" s="1"/>
  <c r="M23" i="3"/>
  <c r="O23" i="3" s="1"/>
  <c r="V23" i="3" s="1"/>
  <c r="M6" i="3"/>
  <c r="O6" i="3" s="1"/>
  <c r="T15" i="3"/>
  <c r="U15" i="3" s="1"/>
  <c r="M19" i="3"/>
  <c r="O19" i="3" s="1"/>
  <c r="M51" i="3"/>
  <c r="O51" i="3" s="1"/>
  <c r="V51" i="3" s="1"/>
  <c r="R5" i="3"/>
  <c r="Z4" i="3"/>
  <c r="AA18" i="3"/>
  <c r="AB18" i="3" s="1"/>
  <c r="AC18" i="3" s="1"/>
  <c r="M18" i="3"/>
  <c r="O18" i="3" s="1"/>
  <c r="M31" i="3"/>
  <c r="O31" i="3" s="1"/>
  <c r="M14" i="3"/>
  <c r="O14" i="3" s="1"/>
  <c r="M16" i="3"/>
  <c r="O16" i="3" s="1"/>
  <c r="AC16" i="3" s="1"/>
  <c r="M28" i="3"/>
  <c r="O28" i="3" s="1"/>
  <c r="AA41" i="3"/>
  <c r="AB41" i="3" s="1"/>
  <c r="AA20" i="3"/>
  <c r="AB20" i="3" s="1"/>
  <c r="T55" i="3"/>
  <c r="U55" i="3" s="1"/>
  <c r="V55" i="3" s="1"/>
  <c r="T37" i="3"/>
  <c r="Q5" i="3"/>
  <c r="T27" i="3"/>
  <c r="U27" i="3" s="1"/>
  <c r="V56" i="3"/>
  <c r="V43" i="3"/>
  <c r="V15" i="3"/>
  <c r="V50" i="3"/>
  <c r="V10" i="3"/>
  <c r="V42" i="3"/>
  <c r="V19" i="3"/>
  <c r="V46" i="3"/>
  <c r="V11" i="3"/>
  <c r="V14" i="3"/>
  <c r="AC51" i="3"/>
  <c r="V47" i="3"/>
  <c r="AC52" i="3"/>
  <c r="AC35" i="3"/>
  <c r="AC13" i="3"/>
  <c r="AC6" i="3"/>
  <c r="M52" i="3"/>
  <c r="O52" i="3" s="1"/>
  <c r="M24" i="3"/>
  <c r="O24" i="3" s="1"/>
  <c r="V24" i="3" s="1"/>
  <c r="AA27" i="3"/>
  <c r="AB27" i="3" s="1"/>
  <c r="AC27" i="3" s="1"/>
  <c r="M20" i="3"/>
  <c r="O20" i="3" s="1"/>
  <c r="V20" i="3" s="1"/>
  <c r="U37" i="3"/>
  <c r="U34" i="3"/>
  <c r="M36" i="3"/>
  <c r="O36" i="3" s="1"/>
  <c r="V36" i="3" s="1"/>
  <c r="U9" i="3"/>
  <c r="AA38" i="3"/>
  <c r="AB38" i="3" s="1"/>
  <c r="AA28" i="3"/>
  <c r="AB28" i="3" s="1"/>
  <c r="AC28" i="3" s="1"/>
  <c r="U45" i="3"/>
  <c r="V45" i="3" s="1"/>
  <c r="U35" i="3"/>
  <c r="V35" i="3" s="1"/>
  <c r="AC47" i="3"/>
  <c r="AA39" i="3"/>
  <c r="AB39" i="3" s="1"/>
  <c r="AC39" i="3" s="1"/>
  <c r="U18" i="3"/>
  <c r="V18" i="3" s="1"/>
  <c r="M9" i="3"/>
  <c r="O9" i="3" s="1"/>
  <c r="U13" i="3"/>
  <c r="V54" i="3"/>
  <c r="V44" i="3"/>
  <c r="M48" i="3"/>
  <c r="O48" i="3" s="1"/>
  <c r="V48" i="3" s="1"/>
  <c r="M37" i="3"/>
  <c r="O37" i="3" s="1"/>
  <c r="J5" i="3"/>
  <c r="M40" i="3"/>
  <c r="O40" i="3" s="1"/>
  <c r="V40" i="3" s="1"/>
  <c r="U39" i="3"/>
  <c r="V39" i="3" s="1"/>
  <c r="M29" i="3"/>
  <c r="O29" i="3" s="1"/>
  <c r="V29" i="3" s="1"/>
  <c r="M38" i="3"/>
  <c r="O38" i="3" s="1"/>
  <c r="M32" i="3"/>
  <c r="O32" i="3" s="1"/>
  <c r="V32" i="3" s="1"/>
  <c r="M17" i="3"/>
  <c r="O17" i="3" s="1"/>
  <c r="V17" i="3" s="1"/>
  <c r="AC26" i="3"/>
  <c r="U21" i="3"/>
  <c r="AA34" i="3"/>
  <c r="AB34" i="3" s="1"/>
  <c r="AA31" i="3"/>
  <c r="AB31" i="3" s="1"/>
  <c r="AC31" i="3" s="1"/>
  <c r="AA32" i="3"/>
  <c r="AB32" i="3" s="1"/>
  <c r="U49" i="3"/>
  <c r="V49" i="3" s="1"/>
  <c r="M21" i="3"/>
  <c r="O21" i="3" s="1"/>
  <c r="M41" i="3"/>
  <c r="O41" i="3" s="1"/>
  <c r="V41" i="3" s="1"/>
  <c r="M34" i="3"/>
  <c r="O34" i="3" s="1"/>
  <c r="AA14" i="3"/>
  <c r="AB14" i="3" s="1"/>
  <c r="AC14" i="3" s="1"/>
  <c r="U6" i="3"/>
  <c r="V6" i="3" s="1"/>
  <c r="V16" i="3"/>
  <c r="AA46" i="3"/>
  <c r="AB46" i="3" s="1"/>
  <c r="AC46" i="3" s="1"/>
  <c r="AC11" i="3"/>
  <c r="AA15" i="3"/>
  <c r="AB15" i="3" s="1"/>
  <c r="AC15" i="3" s="1"/>
  <c r="AA19" i="3"/>
  <c r="AB19" i="3" s="1"/>
  <c r="AC19" i="3" s="1"/>
  <c r="M53" i="3"/>
  <c r="O53" i="3" s="1"/>
  <c r="AC53" i="3" s="1"/>
  <c r="U31" i="3"/>
  <c r="V31" i="3" s="1"/>
  <c r="L5" i="3"/>
  <c r="Z5" i="3"/>
  <c r="AA5" i="3" s="1"/>
  <c r="AB5" i="3" s="1"/>
  <c r="V27" i="3"/>
  <c r="AC42" i="3"/>
  <c r="U26" i="3"/>
  <c r="V26" i="3" s="1"/>
  <c r="AA10" i="3"/>
  <c r="AB10" i="3" s="1"/>
  <c r="AC10" i="3" s="1"/>
  <c r="M13" i="3"/>
  <c r="O13" i="3" s="1"/>
  <c r="V13" i="3" s="1"/>
  <c r="V28" i="3"/>
  <c r="M25" i="3"/>
  <c r="O25" i="3" s="1"/>
  <c r="V25" i="3" s="1"/>
  <c r="U52" i="3"/>
  <c r="AA23" i="3"/>
  <c r="AB23" i="3" s="1"/>
  <c r="AA36" i="3"/>
  <c r="AB36" i="3" s="1"/>
  <c r="U30" i="3"/>
  <c r="V30" i="3" s="1"/>
  <c r="M12" i="3"/>
  <c r="O12" i="3" s="1"/>
  <c r="V12" i="3" s="1"/>
  <c r="U53" i="3"/>
  <c r="AA30" i="3"/>
  <c r="AB30" i="3" s="1"/>
  <c r="AC30" i="3" s="1"/>
  <c r="M8" i="3"/>
  <c r="O8" i="3" s="1"/>
  <c r="V8" i="3" s="1"/>
  <c r="U38" i="3"/>
  <c r="AA7" i="3"/>
  <c r="AB7" i="3" s="1"/>
  <c r="AC7" i="3" s="1"/>
  <c r="U22" i="3"/>
  <c r="M4" i="3"/>
  <c r="O4" i="3" s="1"/>
  <c r="V33" i="3" l="1"/>
  <c r="T4" i="3"/>
  <c r="U4" i="3" s="1"/>
  <c r="V4" i="3" s="1"/>
  <c r="AC8" i="3"/>
  <c r="V22" i="3"/>
  <c r="T5" i="3"/>
  <c r="U5" i="3" s="1"/>
  <c r="AA4" i="3"/>
  <c r="AB4" i="3" s="1"/>
  <c r="AC4" i="3" s="1"/>
  <c r="AC23" i="3"/>
  <c r="M5" i="3"/>
  <c r="O5" i="3" s="1"/>
  <c r="V5" i="3" s="1"/>
  <c r="V21" i="3"/>
  <c r="V9" i="3"/>
  <c r="V34" i="3"/>
  <c r="V37" i="3"/>
  <c r="V38" i="3"/>
  <c r="AC48" i="3"/>
  <c r="AC37" i="3"/>
  <c r="AC9" i="3"/>
  <c r="AC32" i="3"/>
  <c r="AC38" i="3"/>
  <c r="V52" i="3"/>
  <c r="AC20" i="3"/>
  <c r="AC25" i="3"/>
  <c r="AC29" i="3"/>
  <c r="AC12" i="3"/>
  <c r="AC41" i="3"/>
  <c r="AC34" i="3"/>
  <c r="AC40" i="3"/>
  <c r="AC36" i="3"/>
  <c r="V53" i="3"/>
  <c r="AC24" i="3"/>
  <c r="AC21" i="3"/>
  <c r="AC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<sst xmlns="http://schemas.openxmlformats.org/spreadsheetml/2006/main" count="164" uniqueCount="151">
  <si>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</si>
  <si>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</si>
  <si>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</si>
  <si>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</si>
  <si>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</si>
  <si>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</si>
  <si>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</si>
  <si>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</si>
  <si>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</si>
  <si>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</si>
  <si>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t>Reference File</t>
  </si>
  <si>
    <t>Metadata</t>
  </si>
  <si>
    <t>Timestamp</t>
  </si>
  <si>
    <t>3He (cps)</t>
  </si>
  <si>
    <t>3He (pccSTP)</t>
  </si>
  <si>
    <t>(3) +/-</t>
  </si>
  <si>
    <t>Sensitivity 3He (pccSTP/cps)</t>
  </si>
  <si>
    <t>Heated Time (s)</t>
  </si>
  <si>
    <t>Target Temp (C)</t>
  </si>
  <si>
    <t>Recorded Av Temp (C)</t>
  </si>
  <si>
    <t>He27082.txt</t>
  </si>
  <si>
    <t>GalTS230630: 486_240.0_200.0 200.00</t>
  </si>
  <si>
    <t>He27086.txt</t>
  </si>
  <si>
    <t>GalTS230630: 489_60.0_0.0 27.02</t>
  </si>
  <si>
    <t>He27093.txt</t>
  </si>
  <si>
    <t>GalTS230630: 492_60.0_250.0 250.00</t>
  </si>
  <si>
    <t>He27097.txt</t>
  </si>
  <si>
    <t>GalTS230630: 495_60.0_260.0 260.00</t>
  </si>
  <si>
    <t>He27101.txt</t>
  </si>
  <si>
    <t>GalTS230630: 498_60.0_270.0 269.99</t>
  </si>
  <si>
    <t>He27106.txt</t>
  </si>
  <si>
    <t>GalTS230630: 501_60.0_280.0 279.99</t>
  </si>
  <si>
    <t>He27111.txt</t>
  </si>
  <si>
    <t>GalTS230630: 504_60.0_290.0 290.00</t>
  </si>
  <si>
    <t>He27119.txt</t>
  </si>
  <si>
    <t>GalTS230630: 516_60.0_300.0 300</t>
  </si>
  <si>
    <t>He27122.txt</t>
  </si>
  <si>
    <t>GalTS230630: 517_60.0_330.0 329.99</t>
  </si>
  <si>
    <t>He27125.txt</t>
  </si>
  <si>
    <t>GalTS230630: 520_60.0_360.0 360.00</t>
  </si>
  <si>
    <t>He27127.txt</t>
  </si>
  <si>
    <t>GalTS230630: 523_60.0_390.0 390.02</t>
  </si>
  <si>
    <t>He27130.txt</t>
  </si>
  <si>
    <t>GalTS230630: 525_60.0_425.0 424.98</t>
  </si>
  <si>
    <t>He27131.txt</t>
  </si>
  <si>
    <t>GalTS230630: 528_60.0_415.0 414.99</t>
  </si>
  <si>
    <t>He27133.txt</t>
  </si>
  <si>
    <t>GalTS230630: 529_60.0_405.0 405.01</t>
  </si>
  <si>
    <t>He27135.txt</t>
  </si>
  <si>
    <t>GalTS230630: 531_80.0_395.0 395.00</t>
  </si>
  <si>
    <t>He27137.txt</t>
  </si>
  <si>
    <t>GalTS230630: 533_100.0_385.0 385.00</t>
  </si>
  <si>
    <t>He27139.txt</t>
  </si>
  <si>
    <t>GalTS230630: 535_120.0_375.0 375.00</t>
  </si>
  <si>
    <t>He27142.txt</t>
  </si>
  <si>
    <t>GalTS230630: 536_110.0_380.0 380.00</t>
  </si>
  <si>
    <t>He27144.txt</t>
  </si>
  <si>
    <t>GalTS230630: 539_90.0_390.0 390.00</t>
  </si>
  <si>
    <t>He27147.txt</t>
  </si>
  <si>
    <t>GalTS230630: 541_70.0_400.0 400.01</t>
  </si>
  <si>
    <t>He27148.txt</t>
  </si>
  <si>
    <t>GalTS230630: 544_60.0_410.0 410.0</t>
  </si>
  <si>
    <t>He27167.txt</t>
  </si>
  <si>
    <t>GalTS230630: 557_60.0_300.0 300.01</t>
  </si>
  <si>
    <t>He27171.txt</t>
  </si>
  <si>
    <t>GalTS230630: 560_60.0_350.0 350.00</t>
  </si>
  <si>
    <t>He27176.txt</t>
  </si>
  <si>
    <t>GalTS230630: 563_60.0_375.0 375.01</t>
  </si>
  <si>
    <t>He27180.txt</t>
  </si>
  <si>
    <t>GalTS230630: 566_60.0_400.0 400.00</t>
  </si>
  <si>
    <t>He27185.txt</t>
  </si>
  <si>
    <t>GalTS230630: 569_60.0_415.0 415.00</t>
  </si>
  <si>
    <t>He27191.txt</t>
  </si>
  <si>
    <t>GalTS230630: 572_60.0_460.0 459.99</t>
  </si>
  <si>
    <t>He27195.txt</t>
  </si>
  <si>
    <t>GalTS230630: 575_60.0_470.0 469.99</t>
  </si>
  <si>
    <t>He27199.txt</t>
  </si>
  <si>
    <t>GalTS230630: 578_60.0_480.0 479.98</t>
  </si>
  <si>
    <t>He27204.txt</t>
  </si>
  <si>
    <t>GalTS230630: 581_60.0_490.0 489.92</t>
  </si>
  <si>
    <t>He27208.txt</t>
  </si>
  <si>
    <t>GalTS230630: 584_60.0_500.0 499.72</t>
  </si>
  <si>
    <t>He27210.txt</t>
  </si>
  <si>
    <t>GalTS230630: 587_60.0_505.0 504.56</t>
  </si>
  <si>
    <t>He27216.txt</t>
  </si>
  <si>
    <t>GalTS230630: 589_60.0_495.0 494.98</t>
  </si>
  <si>
    <t>He27223.txt</t>
  </si>
  <si>
    <t>GalTS230630: 592_80.0_485.0 484.99</t>
  </si>
  <si>
    <t>He27228.txt</t>
  </si>
  <si>
    <t>GalTS230630: 595_100.0_475.0 474.99</t>
  </si>
  <si>
    <t>He27235.txt</t>
  </si>
  <si>
    <t>GalTS230630: 597_120.0_465.0 464.99</t>
  </si>
  <si>
    <t>He27239.txt</t>
  </si>
  <si>
    <t>GalTS230630: 600_140.0_455.0 455.00</t>
  </si>
  <si>
    <t>He27242.txt</t>
  </si>
  <si>
    <t>GalTS230630: 603_60.0_510.0 509.99</t>
  </si>
  <si>
    <t>He27244.txt</t>
  </si>
  <si>
    <t>GalTS230630: 606_60.0_520.0 519.94</t>
  </si>
  <si>
    <t>He27248.txt</t>
  </si>
  <si>
    <t>GalTS230630: 608_60.0_530.0 529.87</t>
  </si>
  <si>
    <t>He27251.txt</t>
  </si>
  <si>
    <t>GalTS230630: 611_60.0_540.0 539.11</t>
  </si>
  <si>
    <t>He27254.txt</t>
  </si>
  <si>
    <t>GalTS230630: 614_60.0_555.0 535.78</t>
  </si>
  <si>
    <t>He27259.txt</t>
  </si>
  <si>
    <t>GalTS230630: 617_60.0_545.0 538.61</t>
  </si>
  <si>
    <t>He27263.txt</t>
  </si>
  <si>
    <t>GalTS230630: 620_80.0_535.0 532.88</t>
  </si>
  <si>
    <t>He27269.txt</t>
  </si>
  <si>
    <t>GalTS230630: 622_100.0_525.0 524.96</t>
  </si>
  <si>
    <t>He27276.txt</t>
  </si>
  <si>
    <t>GalTS230630: 626_120.0_515.0 514.98</t>
  </si>
  <si>
    <t>He27283.txt</t>
  </si>
  <si>
    <t>GalTS230630: 630_140.0_505.0 503.72</t>
  </si>
  <si>
    <t>He27287.txt</t>
  </si>
  <si>
    <t>GalTS230630: 634_60.0_460.0 460.01</t>
  </si>
  <si>
    <t>He27291.txt</t>
  </si>
  <si>
    <t>GalTS230630: 637_60.0_470.0 470.01</t>
  </si>
  <si>
    <t>He27296.txt</t>
  </si>
  <si>
    <t>GalTS230630: 640_60.0_480.0 480.00</t>
  </si>
  <si>
    <t>He27300.txt</t>
  </si>
  <si>
    <t>GalTS230630: 643_60.0_490.0 489.95</t>
  </si>
  <si>
    <t>He27305.txt</t>
  </si>
  <si>
    <t>GalTS230630: 645_60.0_500.0 499.99</t>
  </si>
  <si>
    <t>He27310.txt</t>
  </si>
  <si>
    <t>GalTS230630: 648_60.0_505.0 505.02</t>
  </si>
  <si>
    <t>K (atoms/(s*atm*cm))</t>
  </si>
  <si>
    <t>λ = KGRT</t>
  </si>
  <si>
    <t xml:space="preserve">λt </t>
  </si>
  <si>
    <t>nt UB</t>
  </si>
  <si>
    <t>Prev. Cum Yield</t>
  </si>
  <si>
    <t>Cum Yield</t>
  </si>
  <si>
    <t>CONSTANTS</t>
  </si>
  <si>
    <t>ID (cm)</t>
  </si>
  <si>
    <t>OD (cm)</t>
  </si>
  <si>
    <t>G (cm^-1)</t>
  </si>
  <si>
    <t>R (cm^3 * atm  * atoms^-1 * K^1)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</si>
  <si>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</si>
  <si>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Fim</t>
  </si>
  <si>
    <t>FiUP</t>
  </si>
  <si>
    <t>Δln(d/a^2)</t>
  </si>
  <si>
    <t>m</t>
  </si>
  <si>
    <t>LB</t>
  </si>
  <si>
    <t>UB</t>
  </si>
  <si>
    <t>TOTAL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</si>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</sst>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0" fillId="33" borderId="0" xfId="0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11" fontId="0" fillId="0" borderId="16" xfId="0" applyNumberFormat="1" applyBorder="1"/>
    <xf numFmtId="0" fontId="0" fillId="0" borderId="16" xfId="0" applyBorder="1"/>
    <xf numFmtId="0" fontId="0" fillId="0" borderId="17" xfId="0" applyBorder="1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22" fontId="0" fillId="33" borderId="0" xfId="0" applyNumberFormat="1" applyFill="1"/>
    <xf numFmtId="22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  <xf numFmtId="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 Helium Diffusivity Galena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0070C0">
                  <a:alpha val="5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(Diffusivities!$AC$19:$AC$50,Diffusivities!$AC$53:$AC$56)</c:f>
                <c:numCache>
                  <c:formatCode>General</c:formatCode>
                  <c:ptCount val="36"/>
                  <c:pt idx="0">
                    <c:v>0.25795994499648245</c:v>
                  </c:pt>
                  <c:pt idx="1">
                    <c:v>0.22540249813759061</c:v>
                  </c:pt>
                  <c:pt idx="2">
                    <c:v>0.23861864157227508</c:v>
                  </c:pt>
                  <c:pt idx="3">
                    <c:v>0.2757930580965926</c:v>
                  </c:pt>
                  <c:pt idx="4">
                    <c:v>0.35364874250440792</c:v>
                  </c:pt>
                  <c:pt idx="5">
                    <c:v>0.41196197142690671</c:v>
                  </c:pt>
                  <c:pt idx="6">
                    <c:v>1.4353294156996679</c:v>
                  </c:pt>
                  <c:pt idx="7">
                    <c:v>0.92749287915638945</c:v>
                  </c:pt>
                  <c:pt idx="8">
                    <c:v>0.54277747338586479</c:v>
                  </c:pt>
                  <c:pt idx="9">
                    <c:v>0.41615449896985623</c:v>
                  </c:pt>
                  <c:pt idx="10">
                    <c:v>0.37021030052135551</c:v>
                  </c:pt>
                  <c:pt idx="11">
                    <c:v>0.28241964448984014</c:v>
                  </c:pt>
                  <c:pt idx="12">
                    <c:v>0.26933147227478571</c:v>
                  </c:pt>
                  <c:pt idx="13">
                    <c:v>0.25266193620961275</c:v>
                  </c:pt>
                  <c:pt idx="14">
                    <c:v>0.2100159958769261</c:v>
                  </c:pt>
                  <c:pt idx="15">
                    <c:v>0.22171170757462733</c:v>
                  </c:pt>
                  <c:pt idx="16">
                    <c:v>0.21206811831036632</c:v>
                  </c:pt>
                  <c:pt idx="17">
                    <c:v>0.21558098072981657</c:v>
                  </c:pt>
                  <c:pt idx="18">
                    <c:v>0.16502845847029768</c:v>
                  </c:pt>
                  <c:pt idx="19">
                    <c:v>0.13629856716521971</c:v>
                  </c:pt>
                  <c:pt idx="20">
                    <c:v>0.11836230156529126</c:v>
                  </c:pt>
                  <c:pt idx="21">
                    <c:v>0.10627562833585635</c:v>
                  </c:pt>
                  <c:pt idx="22">
                    <c:v>0.19370297061705521</c:v>
                  </c:pt>
                  <c:pt idx="23">
                    <c:v>0.18590412459226435</c:v>
                  </c:pt>
                  <c:pt idx="24">
                    <c:v>0.17735655598194988</c:v>
                  </c:pt>
                  <c:pt idx="25">
                    <c:v>0.1696241649314274</c:v>
                  </c:pt>
                  <c:pt idx="26">
                    <c:v>0.17175125380065914</c:v>
                  </c:pt>
                  <c:pt idx="27">
                    <c:v>0.16597819198575259</c:v>
                  </c:pt>
                  <c:pt idx="28">
                    <c:v>0.12528282082462106</c:v>
                  </c:pt>
                  <c:pt idx="29">
                    <c:v>0.10259691159707351</c:v>
                  </c:pt>
                  <c:pt idx="30">
                    <c:v>8.8850283134890518E-2</c:v>
                  </c:pt>
                  <c:pt idx="31">
                    <c:v>7.9625881003755339E-2</c:v>
                  </c:pt>
                  <c:pt idx="32">
                    <c:v>0.22231572958498447</c:v>
                  </c:pt>
                  <c:pt idx="33">
                    <c:v>0.20900295941315683</c:v>
                  </c:pt>
                  <c:pt idx="34">
                    <c:v>0.19739678666156735</c:v>
                  </c:pt>
                  <c:pt idx="35">
                    <c:v>0.19163880003446998</c:v>
                  </c:pt>
                </c:numCache>
              </c:numRef>
            </c:plus>
            <c:minus>
              <c:numRef>
                <c:f>(Diffusivities!$V$19:$V$50,Diffusivities!$V$53:$V$56)</c:f>
                <c:numCache>
                  <c:formatCode>General</c:formatCode>
                  <c:ptCount val="36"/>
                  <c:pt idx="0">
                    <c:v>0.784620140181433</c:v>
                  </c:pt>
                  <c:pt idx="1">
                    <c:v>0.52895917729808417</c:v>
                  </c:pt>
                  <c:pt idx="2">
                    <c:v>0.27239306692006693</c:v>
                  </c:pt>
                  <c:pt idx="3">
                    <c:v>0.31763776873495786</c:v>
                  </c:pt>
                  <c:pt idx="4">
                    <c:v>0.1725365542989028</c:v>
                  </c:pt>
                  <c:pt idx="5">
                    <c:v>5</c:v>
                  </c:pt>
                  <c:pt idx="6">
                    <c:v>5</c:v>
                  </c:pt>
                  <c:pt idx="7">
                    <c:v>5</c:v>
                  </c:pt>
                  <c:pt idx="8">
                    <c:v>1.5945539266745463</c:v>
                  </c:pt>
                  <c:pt idx="9">
                    <c:v>0.37298176867447275</c:v>
                  </c:pt>
                  <c:pt idx="10">
                    <c:v>0.3559484019736221</c:v>
                  </c:pt>
                  <c:pt idx="11">
                    <c:v>0.11760174990154582</c:v>
                  </c:pt>
                  <c:pt idx="12">
                    <c:v>0.31407688244702925</c:v>
                  </c:pt>
                  <c:pt idx="13">
                    <c:v>0.36495059358807325</c:v>
                  </c:pt>
                  <c:pt idx="14">
                    <c:v>0.3283733917856555</c:v>
                  </c:pt>
                  <c:pt idx="15">
                    <c:v>0.29431693693366157</c:v>
                  </c:pt>
                  <c:pt idx="16">
                    <c:v>0.32932003111519137</c:v>
                  </c:pt>
                  <c:pt idx="17">
                    <c:v>0.47013005550051368</c:v>
                  </c:pt>
                  <c:pt idx="18">
                    <c:v>0.34331891390411684</c:v>
                  </c:pt>
                  <c:pt idx="19">
                    <c:v>0.26078369962278636</c:v>
                  </c:pt>
                  <c:pt idx="20">
                    <c:v>0.20529102971448232</c:v>
                  </c:pt>
                  <c:pt idx="21">
                    <c:v>0.18088649462558593</c:v>
                  </c:pt>
                  <c:pt idx="22">
                    <c:v>5.8222489324759152E-2</c:v>
                  </c:pt>
                  <c:pt idx="23">
                    <c:v>0.17733533838765858</c:v>
                  </c:pt>
                  <c:pt idx="24">
                    <c:v>0.1990944117508775</c:v>
                  </c:pt>
                  <c:pt idx="25">
                    <c:v>0.19759580011598743</c:v>
                  </c:pt>
                  <c:pt idx="26">
                    <c:v>0.22099997521177883</c:v>
                  </c:pt>
                  <c:pt idx="27">
                    <c:v>0.28070424082435252</c:v>
                  </c:pt>
                  <c:pt idx="28">
                    <c:v>0.21016273056912915</c:v>
                  </c:pt>
                  <c:pt idx="29">
                    <c:v>0.16346592323628784</c:v>
                  </c:pt>
                  <c:pt idx="30">
                    <c:v>0.13575620068051286</c:v>
                  </c:pt>
                  <c:pt idx="31">
                    <c:v>0.13885137294728622</c:v>
                  </c:pt>
                  <c:pt idx="32">
                    <c:v>3.810101046219927E-5</c:v>
                  </c:pt>
                  <c:pt idx="33">
                    <c:v>0.23900865141769145</c:v>
                  </c:pt>
                  <c:pt idx="34">
                    <c:v>0.1585364039855186</c:v>
                  </c:pt>
                  <c:pt idx="35">
                    <c:v>0.23323218030773951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(Diffusivities!$N$19:$N$50,Diffusivities!$N$53:$N$56)</c:f>
              <c:numCache>
                <c:formatCode>General</c:formatCode>
                <c:ptCount val="36"/>
                <c:pt idx="0">
                  <c:v>15.19756838905775</c:v>
                </c:pt>
                <c:pt idx="1">
                  <c:v>15.432098765432098</c:v>
                </c:pt>
                <c:pt idx="2">
                  <c:v>15.313935681470138</c:v>
                </c:pt>
                <c:pt idx="3">
                  <c:v>15.082956259426847</c:v>
                </c:pt>
                <c:pt idx="4">
                  <c:v>14.858620228525579</c:v>
                </c:pt>
                <c:pt idx="5">
                  <c:v>14.641288433382138</c:v>
                </c:pt>
                <c:pt idx="6">
                  <c:v>17.451702413570445</c:v>
                </c:pt>
                <c:pt idx="7">
                  <c:v>16.051364365971107</c:v>
                </c:pt>
                <c:pt idx="8">
                  <c:v>15.431860619434886</c:v>
                </c:pt>
                <c:pt idx="9">
                  <c:v>14.858841010401189</c:v>
                </c:pt>
                <c:pt idx="10">
                  <c:v>14.534883720930232</c:v>
                </c:pt>
                <c:pt idx="11">
                  <c:v>13.642750924296376</c:v>
                </c:pt>
                <c:pt idx="12">
                  <c:v>13.459131347662822</c:v>
                </c:pt>
                <c:pt idx="13">
                  <c:v>13.280565220855799</c:v>
                </c:pt>
                <c:pt idx="14">
                  <c:v>13.107534210664289</c:v>
                </c:pt>
                <c:pt idx="15">
                  <c:v>12.94129827104255</c:v>
                </c:pt>
                <c:pt idx="16">
                  <c:v>12.860743865425192</c:v>
                </c:pt>
                <c:pt idx="17">
                  <c:v>13.02117242636527</c:v>
                </c:pt>
                <c:pt idx="18">
                  <c:v>13.192786184514308</c:v>
                </c:pt>
                <c:pt idx="19">
                  <c:v>13.369162689340767</c:v>
                </c:pt>
                <c:pt idx="20">
                  <c:v>13.550319110015041</c:v>
                </c:pt>
                <c:pt idx="21">
                  <c:v>13.736263736263735</c:v>
                </c:pt>
                <c:pt idx="22">
                  <c:v>12.771555192275763</c:v>
                </c:pt>
                <c:pt idx="23">
                  <c:v>12.611294675511386</c:v>
                </c:pt>
                <c:pt idx="24">
                  <c:v>12.455316551870165</c:v>
                </c:pt>
                <c:pt idx="25">
                  <c:v>12.313602837054093</c:v>
                </c:pt>
                <c:pt idx="26">
                  <c:v>12.364301787878039</c:v>
                </c:pt>
                <c:pt idx="27">
                  <c:v>12.321188748290435</c:v>
                </c:pt>
                <c:pt idx="28">
                  <c:v>12.408795354147019</c:v>
                </c:pt>
                <c:pt idx="29">
                  <c:v>12.531956489047069</c:v>
                </c:pt>
                <c:pt idx="30">
                  <c:v>12.690677428361125</c:v>
                </c:pt>
                <c:pt idx="31">
                  <c:v>12.874652384385621</c:v>
                </c:pt>
                <c:pt idx="32">
                  <c:v>13.280212483399735</c:v>
                </c:pt>
                <c:pt idx="33">
                  <c:v>13.10701880857199</c:v>
                </c:pt>
                <c:pt idx="34">
                  <c:v>12.936777966079768</c:v>
                </c:pt>
                <c:pt idx="35">
                  <c:v>12.853140022107402</c:v>
                </c:pt>
              </c:numCache>
            </c:numRef>
          </c:xVal>
          <c:yVal>
            <c:numRef>
              <c:f>(Diffusivities!$O$19:$O$50,Diffusivities!$O$53:$O$56)</c:f>
              <c:numCache>
                <c:formatCode>General</c:formatCode>
                <c:ptCount val="36"/>
                <c:pt idx="0">
                  <c:v>-13.973630377229515</c:v>
                </c:pt>
                <c:pt idx="1">
                  <c:v>-14.489459387579142</c:v>
                </c:pt>
                <c:pt idx="2">
                  <c:v>-14.343882305759818</c:v>
                </c:pt>
                <c:pt idx="3">
                  <c:v>-14.152957460830091</c:v>
                </c:pt>
                <c:pt idx="4">
                  <c:v>-13.206509380365665</c:v>
                </c:pt>
                <c:pt idx="5">
                  <c:v>-14.31622669871628</c:v>
                </c:pt>
                <c:pt idx="6">
                  <c:v>-15.228026802077064</c:v>
                </c:pt>
                <c:pt idx="7">
                  <c:v>-15.656173566374056</c:v>
                </c:pt>
                <c:pt idx="8">
                  <c:v>-15.00520790478469</c:v>
                </c:pt>
                <c:pt idx="9">
                  <c:v>-14.165702857032279</c:v>
                </c:pt>
                <c:pt idx="10">
                  <c:v>-13.621448540966748</c:v>
                </c:pt>
                <c:pt idx="11">
                  <c:v>-12.225647253397153</c:v>
                </c:pt>
                <c:pt idx="12">
                  <c:v>-12.034428371000963</c:v>
                </c:pt>
                <c:pt idx="13">
                  <c:v>-12.02362920322591</c:v>
                </c:pt>
                <c:pt idx="14">
                  <c:v>-11.997040857962384</c:v>
                </c:pt>
                <c:pt idx="15">
                  <c:v>-11.985412688652863</c:v>
                </c:pt>
                <c:pt idx="16">
                  <c:v>-12.108016324290816</c:v>
                </c:pt>
                <c:pt idx="17">
                  <c:v>-12.570338261664766</c:v>
                </c:pt>
                <c:pt idx="18">
                  <c:v>-13.046864191619184</c:v>
                </c:pt>
                <c:pt idx="19">
                  <c:v>-13.516372615231404</c:v>
                </c:pt>
                <c:pt idx="20">
                  <c:v>-13.938461643121844</c:v>
                </c:pt>
                <c:pt idx="21">
                  <c:v>-14.367886677073889</c:v>
                </c:pt>
                <c:pt idx="22">
                  <c:v>-12.83624614572544</c:v>
                </c:pt>
                <c:pt idx="23">
                  <c:v>-12.562190694932557</c:v>
                </c:pt>
                <c:pt idx="24">
                  <c:v>-12.438450950918277</c:v>
                </c:pt>
                <c:pt idx="25">
                  <c:v>-12.359352169001209</c:v>
                </c:pt>
                <c:pt idx="26">
                  <c:v>-12.429453145835556</c:v>
                </c:pt>
                <c:pt idx="27">
                  <c:v>-12.696531923232776</c:v>
                </c:pt>
                <c:pt idx="28">
                  <c:v>-13.032861336745107</c:v>
                </c:pt>
                <c:pt idx="29">
                  <c:v>-13.378120542075251</c:v>
                </c:pt>
                <c:pt idx="30">
                  <c:v>-13.721647584869068</c:v>
                </c:pt>
                <c:pt idx="31">
                  <c:v>-14.208873078491942</c:v>
                </c:pt>
                <c:pt idx="32">
                  <c:v>-14.92880997548917</c:v>
                </c:pt>
                <c:pt idx="33">
                  <c:v>-14.77086954211526</c:v>
                </c:pt>
                <c:pt idx="34">
                  <c:v>-14.309963284698402</c:v>
                </c:pt>
                <c:pt idx="35">
                  <c:v>-14.262109882310568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8-4026-8C58-1AD8F3463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71440"/>
        <c:axId val="912675760"/>
      </c:scatterChart>
      <c:valAx>
        <c:axId val="912671440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5760"/>
        <c:crosses val="autoZero"/>
        <c:crossBetween val="midCat"/>
      </c:valAx>
      <c:valAx>
        <c:axId val="912675760"/>
        <c:scaling>
          <c:orientation val="minMax"/>
          <c:max val="-10"/>
          <c:min val="-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377190</xdr:colOff>
      <xdr:row>5</xdr:row>
      <xdr:rowOff>15240</xdr:rowOff>
    </xdr:from>
    <xdr:to>
      <xdr:col>25</xdr:col>
      <xdr:colOff>72390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71692-AF28-01F9-E7F1-8EFD825E1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DEAA-F582-470D-916D-1063189DC4B3}">
  <dimension ref="A1:AB60"/>
  <sheetViews>
    <sheetView tabSelected="1" topLeftCell="R1" workbookViewId="0">
      <selection activeCell="Y7" sqref="Y7"/>
    </sheetView>
  </sheetViews>
  <sheetFormatPr defaultRowHeight="14.4" x14ac:dyDescent="0.3"/>
  <cols>
    <col min="23" max="23" width="12" bestFit="1" customWidth="1"/>
    <col min="24" max="24" width="12.6640625" bestFit="1" customWidth="1"/>
  </cols>
  <sheetData>
    <row r="1" spans="1:28" ht="15.6" x14ac:dyDescent="0.35">
      <c r="B1" t="s">
        <v>10</v>
      </c>
      <c r="C1" t="s">
        <v>11</v>
      </c>
      <c r="D1" t="s">
        <v>12</v>
      </c>
      <c r="E1">
        <v>3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N1" s="1" t="s">
        <v>126</v>
      </c>
      <c r="O1" s="1" t="s">
        <v>127</v>
      </c>
      <c r="P1" s="2" t="s">
        <v>128</v>
      </c>
      <c r="Q1" s="3" t="s">
        <v>129</v>
      </c>
      <c r="S1" t="s">
        <v>130</v>
      </c>
      <c r="T1" t="s">
        <v>131</v>
      </c>
      <c r="V1" t="s">
        <v>145</v>
      </c>
      <c r="W1" t="s">
        <v>146</v>
      </c>
      <c r="X1" t="s">
        <v>147</v>
      </c>
      <c r="Z1" t="s">
        <v>148</v>
      </c>
      <c r="AA1" t="s">
        <v>149</v>
      </c>
      <c r="AB1" t="s">
        <v>150</v>
      </c>
    </row>
    <row r="2" spans="1:28" s="4" customFormat="1" x14ac:dyDescent="0.3">
      <c r="A2" s="4">
        <v>0</v>
      </c>
      <c r="B2" s="4" t="s">
        <v>20</v>
      </c>
      <c r="C2" s="4" t="s">
        <v>21</v>
      </c>
      <c r="D2" s="24">
        <v>45108.972222222219</v>
      </c>
      <c r="E2" s="4">
        <v>0</v>
      </c>
      <c r="F2" s="4">
        <v>3.08</v>
      </c>
      <c r="G2" s="4">
        <v>1.64588363585302E-2</v>
      </c>
      <c r="H2" s="4">
        <v>1.7253628280890999E-4</v>
      </c>
      <c r="I2" s="4">
        <v>5.3437780384838398E-3</v>
      </c>
      <c r="J2" s="4">
        <v>14400</v>
      </c>
      <c r="K2" s="4">
        <v>200</v>
      </c>
      <c r="L2" s="4">
        <v>200</v>
      </c>
      <c r="N2" s="4">
        <f>(0.000304*EXP(-5580/(1.987*(L2+273))))*(199000000000000000*EXP(680/(1.987*(L2+273))))*1.17*EXP(-57/(1.987*(273+L2)))</f>
        <v>362525927700.55499</v>
      </c>
      <c r="O2" s="5">
        <f>N2*$C$59*$C$60*(L2+273)</f>
        <v>1.238717436472849E-4</v>
      </c>
      <c r="P2" s="6">
        <f>O2*J2</f>
        <v>1.7837531085209026</v>
      </c>
      <c r="Q2" s="6">
        <f>G2/((O2*J2)-1)</f>
        <v>2.1000026895703527E-2</v>
      </c>
      <c r="S2" s="4">
        <v>0</v>
      </c>
      <c r="T2" s="7">
        <f>S3</f>
        <v>1.64588363585302E-2</v>
      </c>
    </row>
    <row r="3" spans="1:28" s="4" customFormat="1" x14ac:dyDescent="0.3">
      <c r="A3" s="4">
        <v>1</v>
      </c>
      <c r="B3" s="4" t="s">
        <v>22</v>
      </c>
      <c r="C3" s="4" t="s">
        <v>23</v>
      </c>
      <c r="D3" s="24">
        <v>45109.05</v>
      </c>
      <c r="E3" s="4">
        <v>0</v>
      </c>
      <c r="F3" s="4">
        <v>8.7400000000000005E-2</v>
      </c>
      <c r="G3" s="4">
        <v>4.6708469700774703E-4</v>
      </c>
      <c r="H3" s="5">
        <v>4.9343819247314602E-6</v>
      </c>
      <c r="I3" s="4">
        <v>5.34421850123281E-3</v>
      </c>
      <c r="J3" s="4">
        <v>3600</v>
      </c>
      <c r="K3" s="4">
        <v>0</v>
      </c>
      <c r="L3" s="4">
        <v>27.0199999999999</v>
      </c>
      <c r="N3" s="4">
        <f t="shared" ref="N3" si="0">(0.000304*EXP(-5580/(1.987*(L3+273))))*(199000000000000000*EXP(680/(1.987*(L3+273))))*1.17*EXP(-57/(1.987*(273+L3)))</f>
        <v>17325367901.028107</v>
      </c>
      <c r="O3" s="5">
        <f>N3*$C$59*$C$60*(L3+273)</f>
        <v>3.7549547674668905E-6</v>
      </c>
      <c r="P3" s="6">
        <f t="shared" ref="P3" si="1">O3*J3</f>
        <v>1.3517837162880806E-2</v>
      </c>
      <c r="Q3" s="6">
        <f>G3/((O3*J3)-1)</f>
        <v>-4.7348519274227228E-4</v>
      </c>
      <c r="S3" s="7">
        <f>G2+S2</f>
        <v>1.64588363585302E-2</v>
      </c>
      <c r="T3" s="7">
        <f>S3+G3</f>
        <v>1.6925921055537946E-2</v>
      </c>
      <c r="V3" s="4">
        <f>(G3-Q2)/($G$55-(S3+Q2))</f>
        <v>-1.2472522940498256E-3</v>
      </c>
      <c r="W3" s="4">
        <f>(G3)/($G$55-(S3))</f>
        <v>2.8336429191442065E-5</v>
      </c>
      <c r="X3" s="4">
        <f>(G3+Q3)/($G$55-(S3))</f>
        <v>-3.8829615984720155E-7</v>
      </c>
      <c r="Z3" s="4">
        <f>-LN(1-V3)/J3</f>
        <v>-3.4624308918354795E-7</v>
      </c>
      <c r="AA3" s="4">
        <f>-LN(1-W3)/J3</f>
        <v>7.8713418543378927E-9</v>
      </c>
      <c r="AB3" s="4">
        <f>-LN(1-X3)/J3</f>
        <v>-1.0786002347369066E-10</v>
      </c>
    </row>
    <row r="4" spans="1:28" s="4" customFormat="1" x14ac:dyDescent="0.3">
      <c r="A4" s="4">
        <v>2</v>
      </c>
      <c r="B4" s="4" t="s">
        <v>24</v>
      </c>
      <c r="C4" s="4" t="s">
        <v>25</v>
      </c>
      <c r="D4" s="24">
        <v>45109.152083333334</v>
      </c>
      <c r="E4" s="4">
        <v>0</v>
      </c>
      <c r="F4" s="4">
        <v>7.86</v>
      </c>
      <c r="G4" s="4">
        <v>4.2001710372174303E-2</v>
      </c>
      <c r="H4" s="4">
        <v>4.4386581613830998E-4</v>
      </c>
      <c r="I4" s="4">
        <v>5.3437290549840097E-3</v>
      </c>
      <c r="J4" s="4">
        <v>3600</v>
      </c>
      <c r="K4" s="4">
        <v>250</v>
      </c>
      <c r="L4" s="4">
        <v>250</v>
      </c>
      <c r="N4" s="4">
        <f t="shared" ref="N4" si="2">(0.000304*EXP(-5580/(1.987*(L4+273))))*(199000000000000000*EXP(680/(1.987*(L4+273))))*1.17*EXP(-57/(1.987*(273+L4)))</f>
        <v>600237535013.72363</v>
      </c>
      <c r="O4" s="5">
        <f>N4*$C$59*$C$60*(L4+273)</f>
        <v>2.2677588807561532E-4</v>
      </c>
      <c r="P4" s="6">
        <f t="shared" ref="P4" si="3">O4*J4</f>
        <v>0.81639319707221514</v>
      </c>
      <c r="Q4" s="6">
        <f>G4/((O4*J4)-1)</f>
        <v>-0.22875900948340225</v>
      </c>
      <c r="S4" s="7">
        <f>G3+S3</f>
        <v>1.6925921055537946E-2</v>
      </c>
      <c r="T4" s="7">
        <f>S4+G4</f>
        <v>5.8927631427712249E-2</v>
      </c>
      <c r="V4" s="4">
        <f t="shared" ref="V4:V54" si="4">(G4-Q3)/($G$55-(S4+Q3))</f>
        <v>2.5768236721886661E-3</v>
      </c>
      <c r="W4" s="4">
        <f t="shared" ref="W4:W54" si="5">(G4)/($G$55-(S4))</f>
        <v>2.5481721535079091E-3</v>
      </c>
      <c r="X4" s="4">
        <f t="shared" ref="X4:X54" si="6">(G4+Q4)/($G$55-(S4))</f>
        <v>-1.1330246907631897E-2</v>
      </c>
      <c r="Z4" s="4">
        <f t="shared" ref="Z4:Z54" si="7">-LN(1-V4)/J4</f>
        <v>7.1670816576106231E-7</v>
      </c>
      <c r="AA4" s="4">
        <f t="shared" ref="AA4:AA54" si="8">-LN(1-W4)/J4</f>
        <v>7.0872896388324278E-7</v>
      </c>
      <c r="AB4" s="4">
        <f t="shared" ref="AB4:AB54" si="9">-LN(1-X4)/J4</f>
        <v>-3.1295945598256089E-6</v>
      </c>
    </row>
    <row r="5" spans="1:28" s="4" customFormat="1" x14ac:dyDescent="0.3">
      <c r="A5" s="4">
        <v>3</v>
      </c>
      <c r="B5" s="4" t="s">
        <v>26</v>
      </c>
      <c r="C5" s="4" t="s">
        <v>27</v>
      </c>
      <c r="D5" s="24">
        <v>45109.229166666664</v>
      </c>
      <c r="E5" s="4">
        <v>0</v>
      </c>
      <c r="F5" s="4">
        <v>17.3</v>
      </c>
      <c r="G5" s="4">
        <v>9.2358215888243195E-2</v>
      </c>
      <c r="H5" s="4">
        <v>9.6466531570509799E-4</v>
      </c>
      <c r="I5" s="4">
        <v>5.3386251958522099E-3</v>
      </c>
      <c r="J5" s="4">
        <v>3600</v>
      </c>
      <c r="K5" s="4">
        <v>260</v>
      </c>
      <c r="L5" s="4">
        <v>260</v>
      </c>
      <c r="N5" s="4">
        <f t="shared" ref="N5:N54" si="10">(0.000304*EXP(-5580/(1.987*(L5+273))))*(199000000000000000*EXP(680/(1.987*(L5+273))))*1.17*EXP(-57/(1.987*(273+L5)))</f>
        <v>656431997317.85718</v>
      </c>
      <c r="O5" s="5">
        <f t="shared" ref="O5:O54" si="11">N5*$C$59*$C$60*(L5+273)</f>
        <v>2.5274873396448534E-4</v>
      </c>
      <c r="P5" s="6">
        <f t="shared" ref="P5:P54" si="12">O5*J5</f>
        <v>0.90989544227214725</v>
      </c>
      <c r="Q5" s="6">
        <f t="shared" ref="Q5:Q54" si="13">G5/((O5*J5)-1)</f>
        <v>-1.0250115889497764</v>
      </c>
      <c r="S5" s="7">
        <f t="shared" ref="S5:S54" si="14">G4+S4</f>
        <v>5.8927631427712249E-2</v>
      </c>
      <c r="T5" s="7">
        <f t="shared" ref="T5:T54" si="15">S5+G5</f>
        <v>0.15128584731595546</v>
      </c>
      <c r="V5" s="4">
        <f t="shared" si="4"/>
        <v>1.9263375740822847E-2</v>
      </c>
      <c r="W5" s="4">
        <f t="shared" si="5"/>
        <v>5.6175299164055318E-3</v>
      </c>
      <c r="X5" s="4">
        <f t="shared" si="6"/>
        <v>-5.6727040192605334E-2</v>
      </c>
      <c r="Z5" s="4">
        <f t="shared" si="7"/>
        <v>5.4031478508736634E-6</v>
      </c>
      <c r="AA5" s="4">
        <f t="shared" si="8"/>
        <v>1.5648243271648266E-6</v>
      </c>
      <c r="AB5" s="4">
        <f t="shared" si="9"/>
        <v>-1.5326787060515108E-5</v>
      </c>
    </row>
    <row r="6" spans="1:28" s="4" customFormat="1" x14ac:dyDescent="0.3">
      <c r="A6" s="4">
        <v>4</v>
      </c>
      <c r="B6" s="4" t="s">
        <v>28</v>
      </c>
      <c r="C6" s="4" t="s">
        <v>29</v>
      </c>
      <c r="D6" s="24">
        <v>45109.305555555555</v>
      </c>
      <c r="E6" s="4">
        <v>0</v>
      </c>
      <c r="F6" s="4">
        <v>29</v>
      </c>
      <c r="G6" s="4">
        <v>0.15439824614698999</v>
      </c>
      <c r="H6" s="4">
        <v>1.5583410642561401E-3</v>
      </c>
      <c r="I6" s="4">
        <v>5.3240774533444999E-3</v>
      </c>
      <c r="J6" s="4">
        <v>3600</v>
      </c>
      <c r="K6" s="4">
        <v>270</v>
      </c>
      <c r="L6" s="4">
        <v>269.99</v>
      </c>
      <c r="N6" s="4">
        <f t="shared" si="10"/>
        <v>715464414651.9209</v>
      </c>
      <c r="O6" s="5">
        <f t="shared" si="11"/>
        <v>2.8064150905366265E-4</v>
      </c>
      <c r="P6" s="6">
        <f t="shared" si="12"/>
        <v>1.0103094325931856</v>
      </c>
      <c r="Q6" s="6">
        <f t="shared" si="13"/>
        <v>14.976405806178406</v>
      </c>
      <c r="S6" s="7">
        <f t="shared" si="14"/>
        <v>0.15128584731595546</v>
      </c>
      <c r="T6" s="7">
        <f t="shared" si="15"/>
        <v>0.30568409346294545</v>
      </c>
      <c r="V6" s="4">
        <f t="shared" si="4"/>
        <v>6.7884681307617725E-2</v>
      </c>
      <c r="W6" s="4">
        <f t="shared" si="5"/>
        <v>9.4440605362007442E-3</v>
      </c>
      <c r="X6" s="4">
        <f t="shared" si="6"/>
        <v>0.92550422687776335</v>
      </c>
      <c r="Z6" s="4">
        <f t="shared" si="7"/>
        <v>1.95274276245068E-5</v>
      </c>
      <c r="AA6" s="4">
        <f t="shared" si="8"/>
        <v>2.6358162368268878E-6</v>
      </c>
      <c r="AB6" s="4">
        <f t="shared" si="9"/>
        <v>7.2139246995013312E-4</v>
      </c>
    </row>
    <row r="7" spans="1:28" s="4" customFormat="1" x14ac:dyDescent="0.3">
      <c r="A7" s="4">
        <v>5</v>
      </c>
      <c r="B7" s="4" t="s">
        <v>30</v>
      </c>
      <c r="C7" s="4" t="s">
        <v>31</v>
      </c>
      <c r="D7" s="24">
        <v>45109.382638888892</v>
      </c>
      <c r="E7" s="4">
        <v>0</v>
      </c>
      <c r="F7" s="4">
        <v>42.4</v>
      </c>
      <c r="G7" s="4">
        <v>0.22523422059091899</v>
      </c>
      <c r="H7" s="4">
        <v>2.2078725944641598E-3</v>
      </c>
      <c r="I7" s="4">
        <v>5.3121278441254499E-3</v>
      </c>
      <c r="J7" s="4">
        <v>3600</v>
      </c>
      <c r="K7" s="4">
        <v>280</v>
      </c>
      <c r="L7" s="4">
        <v>279.99</v>
      </c>
      <c r="N7" s="4">
        <f t="shared" si="10"/>
        <v>777446490621.3573</v>
      </c>
      <c r="O7" s="5">
        <f t="shared" si="11"/>
        <v>3.1057022941384646E-4</v>
      </c>
      <c r="P7" s="6">
        <f t="shared" si="12"/>
        <v>1.1180528258898472</v>
      </c>
      <c r="Q7" s="6">
        <f t="shared" si="13"/>
        <v>1.9079104535886386</v>
      </c>
      <c r="S7" s="7">
        <f t="shared" si="14"/>
        <v>0.30568409346294545</v>
      </c>
      <c r="T7" s="7">
        <f t="shared" si="15"/>
        <v>0.53091831405386447</v>
      </c>
      <c r="V7" s="4">
        <f t="shared" si="4"/>
        <v>-12.111872281249308</v>
      </c>
      <c r="W7" s="4">
        <f t="shared" si="5"/>
        <v>1.3908226929178291E-2</v>
      </c>
      <c r="X7" s="4">
        <f t="shared" si="6"/>
        <v>0.13172181440022948</v>
      </c>
      <c r="Z7" s="4">
        <f t="shared" si="7"/>
        <v>-7.1486613910939499E-4</v>
      </c>
      <c r="AA7" s="4">
        <f t="shared" si="8"/>
        <v>3.8905146039112346E-6</v>
      </c>
      <c r="AB7" s="4">
        <f t="shared" si="9"/>
        <v>3.9234201484867667E-5</v>
      </c>
    </row>
    <row r="8" spans="1:28" s="4" customFormat="1" x14ac:dyDescent="0.3">
      <c r="A8" s="4">
        <v>6</v>
      </c>
      <c r="B8" s="4" t="s">
        <v>32</v>
      </c>
      <c r="C8" s="4" t="s">
        <v>33</v>
      </c>
      <c r="D8" s="24">
        <v>45109.459027777775</v>
      </c>
      <c r="E8" s="4">
        <v>0</v>
      </c>
      <c r="F8" s="4">
        <v>55.7</v>
      </c>
      <c r="G8" s="4">
        <v>0.29522404536005797</v>
      </c>
      <c r="H8" s="4">
        <v>2.8083564422328598E-3</v>
      </c>
      <c r="I8" s="4">
        <v>5.3002521608627997E-3</v>
      </c>
      <c r="J8" s="4">
        <v>3600</v>
      </c>
      <c r="K8" s="4">
        <v>290</v>
      </c>
      <c r="L8" s="4">
        <v>290</v>
      </c>
      <c r="N8" s="4">
        <f t="shared" si="10"/>
        <v>842374755481.12878</v>
      </c>
      <c r="O8" s="5">
        <f t="shared" si="11"/>
        <v>3.4259875130029959E-4</v>
      </c>
      <c r="P8" s="6">
        <f t="shared" si="12"/>
        <v>1.2333555046810785</v>
      </c>
      <c r="Q8" s="6">
        <f t="shared" si="13"/>
        <v>1.265125696364154</v>
      </c>
      <c r="S8" s="7">
        <f t="shared" si="14"/>
        <v>0.53091831405386447</v>
      </c>
      <c r="T8" s="7">
        <f t="shared" si="15"/>
        <v>0.82614235941392244</v>
      </c>
      <c r="V8" s="4">
        <f t="shared" si="4"/>
        <v>-0.11469075950924165</v>
      </c>
      <c r="W8" s="4">
        <f t="shared" si="5"/>
        <v>1.8487227454029177E-2</v>
      </c>
      <c r="X8" s="4">
        <f t="shared" si="6"/>
        <v>9.7710674440185524E-2</v>
      </c>
      <c r="Z8" s="4">
        <f t="shared" si="7"/>
        <v>-3.0160283531394492E-5</v>
      </c>
      <c r="AA8" s="4">
        <f t="shared" si="8"/>
        <v>5.1834033495619551E-6</v>
      </c>
      <c r="AB8" s="4">
        <f t="shared" si="9"/>
        <v>2.8561125085521703E-5</v>
      </c>
    </row>
    <row r="9" spans="1:28" s="4" customFormat="1" x14ac:dyDescent="0.3">
      <c r="A9" s="4">
        <v>7</v>
      </c>
      <c r="B9" s="4" t="s">
        <v>34</v>
      </c>
      <c r="C9" s="4" t="s">
        <v>35</v>
      </c>
      <c r="D9" s="24">
        <v>45109.695138888892</v>
      </c>
      <c r="E9" s="4">
        <v>0</v>
      </c>
      <c r="F9" s="4">
        <v>2.98</v>
      </c>
      <c r="G9" s="4">
        <v>1.5757805863883902E-2</v>
      </c>
      <c r="H9" s="4">
        <v>1.4446390200410501E-4</v>
      </c>
      <c r="I9" s="4">
        <v>5.2878543167395797E-3</v>
      </c>
      <c r="J9" s="4">
        <v>3600</v>
      </c>
      <c r="K9" s="4">
        <v>300</v>
      </c>
      <c r="L9" s="4">
        <v>300</v>
      </c>
      <c r="N9" s="4">
        <f t="shared" si="10"/>
        <v>910102088167.78455</v>
      </c>
      <c r="O9" s="5">
        <f t="shared" si="11"/>
        <v>3.7671834574097752E-4</v>
      </c>
      <c r="P9" s="6">
        <f t="shared" si="12"/>
        <v>1.3561860446675191</v>
      </c>
      <c r="Q9" s="6">
        <f t="shared" si="13"/>
        <v>4.4240379711094471E-2</v>
      </c>
      <c r="S9" s="7">
        <f t="shared" si="14"/>
        <v>0.82614235941392244</v>
      </c>
      <c r="T9" s="7">
        <f t="shared" si="15"/>
        <v>0.84190016527780631</v>
      </c>
      <c r="V9" s="4">
        <f t="shared" si="4"/>
        <v>-8.6709079975721373E-2</v>
      </c>
      <c r="W9" s="4">
        <f t="shared" si="5"/>
        <v>1.0053559388647532E-3</v>
      </c>
      <c r="X9" s="4">
        <f t="shared" si="6"/>
        <v>3.8279144133361487E-3</v>
      </c>
      <c r="Z9" s="4">
        <f t="shared" si="7"/>
        <v>-2.3098315722592989E-5</v>
      </c>
      <c r="AA9" s="4">
        <f t="shared" si="8"/>
        <v>2.7940601336674137E-7</v>
      </c>
      <c r="AB9" s="4">
        <f t="shared" si="9"/>
        <v>1.0653498967430956E-6</v>
      </c>
    </row>
    <row r="10" spans="1:28" s="4" customFormat="1" x14ac:dyDescent="0.3">
      <c r="A10" s="4">
        <v>8</v>
      </c>
      <c r="B10" s="4" t="s">
        <v>36</v>
      </c>
      <c r="C10" s="4" t="s">
        <v>37</v>
      </c>
      <c r="D10" s="24">
        <v>45109.772916666669</v>
      </c>
      <c r="E10" s="4">
        <v>0</v>
      </c>
      <c r="F10" s="4">
        <v>164</v>
      </c>
      <c r="G10" s="4">
        <v>0.86964568485109395</v>
      </c>
      <c r="H10" s="4">
        <v>8.2122462833458601E-3</v>
      </c>
      <c r="I10" s="4">
        <v>5.3027175905554502E-3</v>
      </c>
      <c r="J10" s="4">
        <v>3600</v>
      </c>
      <c r="K10" s="4">
        <v>330</v>
      </c>
      <c r="L10" s="4">
        <v>329.99</v>
      </c>
      <c r="N10" s="4">
        <f t="shared" si="10"/>
        <v>1130136964809.9929</v>
      </c>
      <c r="O10" s="5">
        <f t="shared" si="11"/>
        <v>4.9228117392750295E-4</v>
      </c>
      <c r="P10" s="6">
        <f t="shared" si="12"/>
        <v>1.7722122261390105</v>
      </c>
      <c r="Q10" s="6">
        <f t="shared" si="13"/>
        <v>1.1261744575053436</v>
      </c>
      <c r="S10" s="7">
        <f t="shared" si="14"/>
        <v>0.84190016527780631</v>
      </c>
      <c r="T10" s="7">
        <f t="shared" si="15"/>
        <v>1.7115458501289003</v>
      </c>
      <c r="V10" s="4">
        <f t="shared" si="4"/>
        <v>5.2863631027183007E-2</v>
      </c>
      <c r="W10" s="4">
        <f t="shared" si="5"/>
        <v>5.5539669182759634E-2</v>
      </c>
      <c r="X10" s="4">
        <f t="shared" si="6"/>
        <v>0.12746247395425725</v>
      </c>
      <c r="Z10" s="4">
        <f t="shared" si="7"/>
        <v>1.508672087109713E-5</v>
      </c>
      <c r="AA10" s="4">
        <f t="shared" si="8"/>
        <v>1.5872664754473466E-5</v>
      </c>
      <c r="AB10" s="4">
        <f t="shared" si="9"/>
        <v>3.7874893343306099E-5</v>
      </c>
    </row>
    <row r="11" spans="1:28" s="4" customFormat="1" x14ac:dyDescent="0.3">
      <c r="A11" s="4">
        <v>9</v>
      </c>
      <c r="B11" s="4" t="s">
        <v>38</v>
      </c>
      <c r="C11" s="4" t="s">
        <v>39</v>
      </c>
      <c r="D11" s="24">
        <v>45109.849305555559</v>
      </c>
      <c r="E11" s="4">
        <v>0</v>
      </c>
      <c r="F11" s="4">
        <v>290</v>
      </c>
      <c r="G11" s="4">
        <v>1.5437127562128601</v>
      </c>
      <c r="H11" s="4">
        <v>1.5158177163136E-2</v>
      </c>
      <c r="I11" s="4">
        <v>5.32314743521677E-3</v>
      </c>
      <c r="J11" s="4">
        <v>3600</v>
      </c>
      <c r="K11" s="4">
        <v>360</v>
      </c>
      <c r="L11" s="4">
        <v>360</v>
      </c>
      <c r="N11" s="4">
        <f t="shared" si="10"/>
        <v>1375038897860.562</v>
      </c>
      <c r="O11" s="5">
        <f t="shared" si="11"/>
        <v>6.2876843506938886E-4</v>
      </c>
      <c r="P11" s="6">
        <f t="shared" si="12"/>
        <v>2.2635663662497998</v>
      </c>
      <c r="Q11" s="6">
        <f t="shared" si="13"/>
        <v>1.2217108633514204</v>
      </c>
      <c r="S11" s="7">
        <f t="shared" si="14"/>
        <v>1.7115458501289003</v>
      </c>
      <c r="T11" s="7">
        <f t="shared" si="15"/>
        <v>3.2552586063417603</v>
      </c>
      <c r="V11" s="4">
        <f t="shared" si="4"/>
        <v>3.0561392981936213E-2</v>
      </c>
      <c r="W11" s="4">
        <f t="shared" si="5"/>
        <v>0.10438635036281432</v>
      </c>
      <c r="X11" s="4">
        <f t="shared" si="6"/>
        <v>0.18699882973152976</v>
      </c>
      <c r="Z11" s="4">
        <f t="shared" si="7"/>
        <v>8.6217029666357998E-6</v>
      </c>
      <c r="AA11" s="4">
        <f t="shared" si="8"/>
        <v>3.0623931555468447E-5</v>
      </c>
      <c r="AB11" s="4">
        <f t="shared" si="9"/>
        <v>5.7506313886319322E-5</v>
      </c>
    </row>
    <row r="12" spans="1:28" s="4" customFormat="1" x14ac:dyDescent="0.3">
      <c r="A12" s="4">
        <v>10</v>
      </c>
      <c r="B12" s="4" t="s">
        <v>40</v>
      </c>
      <c r="C12" s="4" t="s">
        <v>41</v>
      </c>
      <c r="D12" s="24">
        <v>45109.900694444441</v>
      </c>
      <c r="E12" s="4">
        <v>0</v>
      </c>
      <c r="F12" s="4">
        <v>400</v>
      </c>
      <c r="G12" s="4">
        <v>2.1386030790535502</v>
      </c>
      <c r="H12" s="4">
        <v>2.1911725282836698E-2</v>
      </c>
      <c r="I12" s="4">
        <v>5.3465076976338798E-3</v>
      </c>
      <c r="J12" s="4">
        <v>3600</v>
      </c>
      <c r="K12" s="4">
        <v>390</v>
      </c>
      <c r="L12" s="4">
        <v>390.02</v>
      </c>
      <c r="N12" s="4">
        <f t="shared" si="10"/>
        <v>1643660545379.7302</v>
      </c>
      <c r="O12" s="5">
        <f t="shared" si="11"/>
        <v>7.8724660618977049E-4</v>
      </c>
      <c r="P12" s="6">
        <f t="shared" si="12"/>
        <v>2.8340877822831736</v>
      </c>
      <c r="Q12" s="6">
        <f t="shared" si="13"/>
        <v>1.1660309281332757</v>
      </c>
      <c r="S12" s="7">
        <f t="shared" si="14"/>
        <v>3.2552586063417603</v>
      </c>
      <c r="T12" s="7">
        <f t="shared" si="15"/>
        <v>5.3938616853953105</v>
      </c>
      <c r="V12" s="4">
        <f t="shared" si="4"/>
        <v>7.6261323082470064E-2</v>
      </c>
      <c r="W12" s="4">
        <f t="shared" si="5"/>
        <v>0.16146808876748187</v>
      </c>
      <c r="X12" s="4">
        <f t="shared" si="6"/>
        <v>0.2495053628430321</v>
      </c>
      <c r="Z12" s="4">
        <f t="shared" si="7"/>
        <v>2.2035017924887901E-5</v>
      </c>
      <c r="AA12" s="4">
        <f t="shared" si="8"/>
        <v>4.8917400255738797E-5</v>
      </c>
      <c r="AB12" s="4">
        <f t="shared" si="9"/>
        <v>7.9728548229925412E-5</v>
      </c>
    </row>
    <row r="13" spans="1:28" s="4" customFormat="1" x14ac:dyDescent="0.3">
      <c r="A13" s="4">
        <v>11</v>
      </c>
      <c r="B13" s="4" t="s">
        <v>42</v>
      </c>
      <c r="C13" s="4" t="s">
        <v>43</v>
      </c>
      <c r="D13" s="24">
        <v>45109.977083333331</v>
      </c>
      <c r="E13" s="4">
        <v>0</v>
      </c>
      <c r="F13" s="4">
        <v>609</v>
      </c>
      <c r="G13" s="4">
        <v>3.2704287948527102</v>
      </c>
      <c r="H13" s="4">
        <v>3.4908284774264497E-2</v>
      </c>
      <c r="I13" s="4">
        <v>5.3701622247171003E-3</v>
      </c>
      <c r="J13" s="4">
        <v>3600</v>
      </c>
      <c r="K13" s="4">
        <v>425</v>
      </c>
      <c r="L13" s="4">
        <v>424.98</v>
      </c>
      <c r="N13" s="4">
        <f t="shared" si="10"/>
        <v>1984540481620.7529</v>
      </c>
      <c r="O13" s="5">
        <f t="shared" si="11"/>
        <v>1.0006333614563971E-3</v>
      </c>
      <c r="P13" s="6">
        <f t="shared" si="12"/>
        <v>3.6022801012430294</v>
      </c>
      <c r="Q13" s="6">
        <f t="shared" si="13"/>
        <v>1.2567551023006811</v>
      </c>
      <c r="S13" s="7">
        <f t="shared" si="14"/>
        <v>5.3938616853953105</v>
      </c>
      <c r="T13" s="7">
        <f t="shared" si="15"/>
        <v>8.6642904802480203</v>
      </c>
      <c r="V13" s="4">
        <f t="shared" si="4"/>
        <v>0.21170775977566814</v>
      </c>
      <c r="W13" s="4">
        <f t="shared" si="5"/>
        <v>0.29447038225267391</v>
      </c>
      <c r="X13" s="4">
        <f t="shared" si="6"/>
        <v>0.40762898578348311</v>
      </c>
      <c r="Z13" s="4">
        <f t="shared" si="7"/>
        <v>6.6079554068938776E-5</v>
      </c>
      <c r="AA13" s="4">
        <f t="shared" si="8"/>
        <v>9.6890702043125404E-5</v>
      </c>
      <c r="AB13" s="4">
        <f t="shared" si="9"/>
        <v>1.454505908881285E-4</v>
      </c>
    </row>
    <row r="14" spans="1:28" s="4" customFormat="1" x14ac:dyDescent="0.3">
      <c r="A14" s="4">
        <v>12</v>
      </c>
      <c r="B14" s="4" t="s">
        <v>44</v>
      </c>
      <c r="C14" s="4" t="s">
        <v>45</v>
      </c>
      <c r="D14" s="24">
        <v>45110.00277777778</v>
      </c>
      <c r="E14" s="4">
        <v>0</v>
      </c>
      <c r="F14" s="4">
        <v>159</v>
      </c>
      <c r="G14" s="4">
        <v>0.85562289030720895</v>
      </c>
      <c r="H14" s="4">
        <v>9.3038357423979208E-3</v>
      </c>
      <c r="I14" s="4">
        <v>5.3812760396679798E-3</v>
      </c>
      <c r="J14" s="4">
        <v>3600</v>
      </c>
      <c r="K14" s="4">
        <v>415</v>
      </c>
      <c r="L14" s="4">
        <v>414.99</v>
      </c>
      <c r="N14" s="4">
        <f t="shared" si="10"/>
        <v>1884171307639.7876</v>
      </c>
      <c r="O14" s="5">
        <f t="shared" si="11"/>
        <v>9.3642834144386808E-4</v>
      </c>
      <c r="P14" s="6">
        <f t="shared" si="12"/>
        <v>3.3711420291979253</v>
      </c>
      <c r="Q14" s="6">
        <f t="shared" si="13"/>
        <v>0.36084843496137442</v>
      </c>
      <c r="S14" s="7">
        <f t="shared" si="14"/>
        <v>8.6642904802480203</v>
      </c>
      <c r="T14" s="7">
        <f t="shared" si="15"/>
        <v>9.5199133705552299</v>
      </c>
      <c r="V14" s="4">
        <f t="shared" si="4"/>
        <v>-6.0972030894366903E-2</v>
      </c>
      <c r="W14" s="4">
        <f t="shared" si="5"/>
        <v>0.1091953304484278</v>
      </c>
      <c r="X14" s="4">
        <f t="shared" si="6"/>
        <v>0.15524711861793059</v>
      </c>
      <c r="Z14" s="4">
        <f t="shared" si="7"/>
        <v>-1.6440416167949828E-5</v>
      </c>
      <c r="AA14" s="4">
        <f t="shared" si="8"/>
        <v>3.2119472677053242E-5</v>
      </c>
      <c r="AB14" s="4">
        <f t="shared" si="9"/>
        <v>4.6864206240221018E-5</v>
      </c>
    </row>
    <row r="15" spans="1:28" s="4" customFormat="1" x14ac:dyDescent="0.3">
      <c r="A15" s="4">
        <v>13</v>
      </c>
      <c r="B15" s="4" t="s">
        <v>46</v>
      </c>
      <c r="C15" s="4" t="s">
        <v>47</v>
      </c>
      <c r="D15" s="24">
        <v>45110.054166666669</v>
      </c>
      <c r="E15" s="4">
        <v>0</v>
      </c>
      <c r="F15" s="4">
        <v>190</v>
      </c>
      <c r="G15" s="4">
        <v>1.02608154357437</v>
      </c>
      <c r="H15" s="4">
        <v>1.1508761625994599E-2</v>
      </c>
      <c r="I15" s="4">
        <v>5.40042917670724E-3</v>
      </c>
      <c r="J15" s="4">
        <v>3600</v>
      </c>
      <c r="K15" s="4">
        <v>405</v>
      </c>
      <c r="L15" s="4">
        <v>405.01</v>
      </c>
      <c r="N15" s="4">
        <f t="shared" si="10"/>
        <v>1786241434765.2954</v>
      </c>
      <c r="O15" s="5">
        <f t="shared" si="11"/>
        <v>8.7487961252838702E-4</v>
      </c>
      <c r="P15" s="6">
        <f t="shared" si="12"/>
        <v>3.1495666051021933</v>
      </c>
      <c r="Q15" s="6">
        <f t="shared" si="13"/>
        <v>0.47734345199579831</v>
      </c>
      <c r="S15" s="7">
        <f t="shared" si="14"/>
        <v>9.5199133705552299</v>
      </c>
      <c r="T15" s="7">
        <f t="shared" si="15"/>
        <v>10.545994914129601</v>
      </c>
      <c r="V15" s="4">
        <f t="shared" si="4"/>
        <v>0.10049995015550491</v>
      </c>
      <c r="W15" s="4">
        <f t="shared" si="5"/>
        <v>0.1470012620253095</v>
      </c>
      <c r="X15" s="4">
        <f t="shared" si="6"/>
        <v>0.21538772731388839</v>
      </c>
      <c r="Z15" s="4">
        <f t="shared" si="7"/>
        <v>2.942115838277589E-5</v>
      </c>
      <c r="AA15" s="4">
        <f t="shared" si="8"/>
        <v>4.4165891945943633E-5</v>
      </c>
      <c r="AB15" s="4">
        <f t="shared" si="9"/>
        <v>6.737933426765119E-5</v>
      </c>
    </row>
    <row r="16" spans="1:28" s="4" customFormat="1" x14ac:dyDescent="0.3">
      <c r="A16" s="4">
        <v>14</v>
      </c>
      <c r="B16" s="4" t="s">
        <v>48</v>
      </c>
      <c r="C16" s="4" t="s">
        <v>49</v>
      </c>
      <c r="D16" s="24">
        <v>45110.104861111111</v>
      </c>
      <c r="E16" s="4">
        <v>0</v>
      </c>
      <c r="F16" s="4">
        <v>88.4</v>
      </c>
      <c r="G16" s="4">
        <v>0.478050356310251</v>
      </c>
      <c r="H16" s="4">
        <v>5.4246959613422699E-3</v>
      </c>
      <c r="I16" s="4">
        <v>5.4078094605232102E-3</v>
      </c>
      <c r="J16" s="4">
        <v>4800</v>
      </c>
      <c r="K16" s="4">
        <v>395</v>
      </c>
      <c r="L16" s="4">
        <v>395</v>
      </c>
      <c r="N16" s="4">
        <f t="shared" si="10"/>
        <v>1690419506605.4556</v>
      </c>
      <c r="O16" s="5">
        <f t="shared" si="11"/>
        <v>8.157235406915205E-4</v>
      </c>
      <c r="P16" s="6">
        <f t="shared" si="12"/>
        <v>3.9154729953192984</v>
      </c>
      <c r="Q16" s="6">
        <f t="shared" si="13"/>
        <v>0.16397008549821798</v>
      </c>
      <c r="S16" s="7">
        <f t="shared" si="14"/>
        <v>10.545994914129601</v>
      </c>
      <c r="T16" s="7">
        <f t="shared" si="15"/>
        <v>11.024045270439851</v>
      </c>
      <c r="V16" s="4">
        <f t="shared" si="4"/>
        <v>1.2907576945785809E-4</v>
      </c>
      <c r="W16" s="4">
        <f t="shared" si="5"/>
        <v>8.0290552227562664E-2</v>
      </c>
      <c r="X16" s="4">
        <f t="shared" si="6"/>
        <v>0.10783001232767905</v>
      </c>
      <c r="Z16" s="4">
        <f t="shared" si="7"/>
        <v>2.6892520927476957E-8</v>
      </c>
      <c r="AA16" s="4">
        <f t="shared" si="8"/>
        <v>1.7436974262208127E-5</v>
      </c>
      <c r="AB16" s="4">
        <f t="shared" si="9"/>
        <v>2.3770540712238806E-5</v>
      </c>
    </row>
    <row r="17" spans="1:28" x14ac:dyDescent="0.3">
      <c r="A17">
        <v>15</v>
      </c>
      <c r="B17" t="s">
        <v>50</v>
      </c>
      <c r="C17" t="s">
        <v>51</v>
      </c>
      <c r="D17" s="17">
        <v>45110.156944444447</v>
      </c>
      <c r="E17">
        <v>0</v>
      </c>
      <c r="F17">
        <v>54.8</v>
      </c>
      <c r="G17">
        <v>0.29682583649605798</v>
      </c>
      <c r="H17">
        <v>3.41416195475605E-3</v>
      </c>
      <c r="I17">
        <v>5.4165298630667602E-3</v>
      </c>
      <c r="J17">
        <v>6000</v>
      </c>
      <c r="K17">
        <v>385</v>
      </c>
      <c r="L17">
        <v>385</v>
      </c>
      <c r="N17">
        <f t="shared" si="10"/>
        <v>1597148454236.1589</v>
      </c>
      <c r="O17" s="18">
        <f t="shared" si="11"/>
        <v>7.5917730488627181E-4</v>
      </c>
      <c r="P17" s="2">
        <f t="shared" si="12"/>
        <v>4.5550638293176311</v>
      </c>
      <c r="Q17" s="2">
        <f t="shared" si="13"/>
        <v>8.3493813542310308E-2</v>
      </c>
      <c r="S17" s="19">
        <f t="shared" si="14"/>
        <v>11.024045270439851</v>
      </c>
      <c r="T17" s="19">
        <f t="shared" si="15"/>
        <v>11.320871106935909</v>
      </c>
      <c r="V17">
        <f t="shared" si="4"/>
        <v>2.5010567593856746E-2</v>
      </c>
      <c r="W17">
        <f t="shared" si="5"/>
        <v>5.4205312343752747E-2</v>
      </c>
      <c r="X17">
        <f t="shared" si="6"/>
        <v>6.9452665118894641E-2</v>
      </c>
      <c r="Z17">
        <f t="shared" si="7"/>
        <v>4.221441100138215E-6</v>
      </c>
      <c r="AA17">
        <f t="shared" si="8"/>
        <v>9.28829426016274E-6</v>
      </c>
      <c r="AB17">
        <f t="shared" si="9"/>
        <v>1.1997055636954806E-5</v>
      </c>
    </row>
    <row r="18" spans="1:28" x14ac:dyDescent="0.3">
      <c r="A18">
        <v>16</v>
      </c>
      <c r="B18" t="s">
        <v>52</v>
      </c>
      <c r="C18" t="s">
        <v>53</v>
      </c>
      <c r="D18" s="17">
        <v>45110.213194444441</v>
      </c>
      <c r="E18">
        <v>0</v>
      </c>
      <c r="F18">
        <v>37</v>
      </c>
      <c r="G18">
        <v>0.20037971004274599</v>
      </c>
      <c r="H18">
        <v>2.3081302852921001E-3</v>
      </c>
      <c r="I18">
        <v>5.4156678389931396E-3</v>
      </c>
      <c r="J18">
        <v>7200</v>
      </c>
      <c r="K18">
        <v>375</v>
      </c>
      <c r="L18">
        <v>375</v>
      </c>
      <c r="N18">
        <f t="shared" si="10"/>
        <v>1506382623280.7219</v>
      </c>
      <c r="O18" s="18">
        <f t="shared" si="11"/>
        <v>7.0515134839207593E-4</v>
      </c>
      <c r="P18" s="2">
        <f t="shared" si="12"/>
        <v>5.0770897084229469</v>
      </c>
      <c r="Q18" s="2">
        <f t="shared" si="13"/>
        <v>4.914773143911385E-2</v>
      </c>
      <c r="S18" s="19">
        <f t="shared" si="14"/>
        <v>11.320871106935909</v>
      </c>
      <c r="T18" s="19">
        <f t="shared" si="15"/>
        <v>11.521250816978656</v>
      </c>
      <c r="V18">
        <f t="shared" si="4"/>
        <v>2.2938435479843131E-2</v>
      </c>
      <c r="W18">
        <f t="shared" si="5"/>
        <v>3.8689848076786673E-2</v>
      </c>
      <c r="X18">
        <f t="shared" si="6"/>
        <v>4.8179422955861931E-2</v>
      </c>
      <c r="Z18">
        <f t="shared" si="7"/>
        <v>3.2230020953058017E-6</v>
      </c>
      <c r="AA18">
        <f t="shared" si="8"/>
        <v>5.4803032426325129E-6</v>
      </c>
      <c r="AB18">
        <f t="shared" si="9"/>
        <v>6.8581571451152546E-6</v>
      </c>
    </row>
    <row r="19" spans="1:28" x14ac:dyDescent="0.3">
      <c r="A19">
        <v>17</v>
      </c>
      <c r="B19" t="s">
        <v>54</v>
      </c>
      <c r="C19" t="s">
        <v>55</v>
      </c>
      <c r="D19" s="17">
        <v>45110.299305555556</v>
      </c>
      <c r="E19">
        <v>0</v>
      </c>
      <c r="F19">
        <v>37.4</v>
      </c>
      <c r="G19">
        <v>0.20222993238734299</v>
      </c>
      <c r="H19">
        <v>2.3324679156150499E-3</v>
      </c>
      <c r="I19">
        <v>5.4072174435118503E-3</v>
      </c>
      <c r="J19">
        <v>6600</v>
      </c>
      <c r="K19">
        <v>380</v>
      </c>
      <c r="L19">
        <v>380</v>
      </c>
      <c r="N19">
        <f t="shared" si="10"/>
        <v>1551449247583.8923</v>
      </c>
      <c r="O19" s="18">
        <f t="shared" si="11"/>
        <v>7.3185120450780668E-4</v>
      </c>
      <c r="P19" s="2">
        <f t="shared" si="12"/>
        <v>4.8302179497515239</v>
      </c>
      <c r="Q19" s="2">
        <f t="shared" si="13"/>
        <v>5.2798544375382651E-2</v>
      </c>
      <c r="S19" s="19">
        <f t="shared" si="14"/>
        <v>11.521250816978656</v>
      </c>
      <c r="T19" s="19">
        <f t="shared" si="15"/>
        <v>11.723480749365999</v>
      </c>
      <c r="V19">
        <f t="shared" si="4"/>
        <v>3.1053666802839622E-2</v>
      </c>
      <c r="W19">
        <f t="shared" si="5"/>
        <v>4.0618622258978741E-2</v>
      </c>
      <c r="X19">
        <f t="shared" si="6"/>
        <v>5.1223403185770067E-2</v>
      </c>
      <c r="Z19">
        <f t="shared" si="7"/>
        <v>4.7797048973583818E-6</v>
      </c>
      <c r="AA19">
        <f t="shared" si="8"/>
        <v>6.2828182455213651E-6</v>
      </c>
      <c r="AB19">
        <f t="shared" si="9"/>
        <v>7.9669571412794535E-6</v>
      </c>
    </row>
    <row r="20" spans="1:28" x14ac:dyDescent="0.3">
      <c r="A20">
        <v>18</v>
      </c>
      <c r="B20" t="s">
        <v>56</v>
      </c>
      <c r="C20" t="s">
        <v>57</v>
      </c>
      <c r="D20" s="17">
        <v>45110.378472222219</v>
      </c>
      <c r="E20">
        <v>0</v>
      </c>
      <c r="F20">
        <v>35.4</v>
      </c>
      <c r="G20">
        <v>0.19063977853406</v>
      </c>
      <c r="H20">
        <v>2.2059965554993102E-3</v>
      </c>
      <c r="I20">
        <v>5.38530447836328E-3</v>
      </c>
      <c r="J20">
        <v>5400</v>
      </c>
      <c r="K20">
        <v>390</v>
      </c>
      <c r="L20">
        <v>390</v>
      </c>
      <c r="N20">
        <f t="shared" si="10"/>
        <v>1643473994039.4634</v>
      </c>
      <c r="O20" s="18">
        <f t="shared" si="11"/>
        <v>7.8713351107821683E-4</v>
      </c>
      <c r="P20" s="2">
        <f t="shared" si="12"/>
        <v>4.2505209598223708</v>
      </c>
      <c r="Q20" s="2">
        <f t="shared" si="13"/>
        <v>5.8648992235533152E-2</v>
      </c>
      <c r="S20" s="19">
        <f t="shared" si="14"/>
        <v>11.723480749365999</v>
      </c>
      <c r="T20" s="19">
        <f t="shared" si="15"/>
        <v>11.914120527900058</v>
      </c>
      <c r="V20">
        <f t="shared" si="4"/>
        <v>2.9180648630653973E-2</v>
      </c>
      <c r="W20">
        <f t="shared" si="5"/>
        <v>3.9911862285231206E-2</v>
      </c>
      <c r="X20">
        <f t="shared" si="6"/>
        <v>5.2190467093062451E-2</v>
      </c>
      <c r="Z20">
        <f t="shared" si="7"/>
        <v>5.4842355375911227E-6</v>
      </c>
      <c r="AA20">
        <f t="shared" si="8"/>
        <v>7.54262752129545E-6</v>
      </c>
      <c r="AB20">
        <f t="shared" si="9"/>
        <v>9.9262428830180593E-6</v>
      </c>
    </row>
    <row r="21" spans="1:28" s="20" customFormat="1" x14ac:dyDescent="0.3">
      <c r="A21" s="20">
        <v>19</v>
      </c>
      <c r="B21" s="20" t="s">
        <v>58</v>
      </c>
      <c r="C21" s="20" t="s">
        <v>59</v>
      </c>
      <c r="D21" s="25">
        <v>45110.486111111109</v>
      </c>
      <c r="E21" s="20">
        <v>0</v>
      </c>
      <c r="F21" s="20">
        <v>66.400000000000006</v>
      </c>
      <c r="G21" s="20">
        <v>0.35582570660005602</v>
      </c>
      <c r="H21" s="20">
        <v>4.1328462619643104E-3</v>
      </c>
      <c r="I21" s="20">
        <v>5.3588208825309704E-3</v>
      </c>
      <c r="J21" s="20">
        <v>4200</v>
      </c>
      <c r="K21" s="20">
        <v>400</v>
      </c>
      <c r="L21" s="20">
        <v>400.01</v>
      </c>
      <c r="N21" s="20">
        <f t="shared" si="10"/>
        <v>1738074256566.0579</v>
      </c>
      <c r="O21" s="21">
        <f t="shared" si="11"/>
        <v>8.4501006502723261E-4</v>
      </c>
      <c r="P21" s="26">
        <f t="shared" si="12"/>
        <v>3.5490422731143769</v>
      </c>
      <c r="Q21" s="26">
        <f>G21/((O21*J21)-1) + (Q20*EXP(-P21))</f>
        <v>0.14127820599792271</v>
      </c>
      <c r="S21" s="27">
        <f t="shared" si="14"/>
        <v>11.914120527900058</v>
      </c>
      <c r="T21" s="27">
        <f t="shared" si="15"/>
        <v>12.269946234500114</v>
      </c>
      <c r="V21" s="20">
        <f t="shared" si="4"/>
        <v>6.5642055487624154E-2</v>
      </c>
      <c r="W21" s="20">
        <f t="shared" si="5"/>
        <v>7.7591595846525419E-2</v>
      </c>
      <c r="X21" s="20">
        <f t="shared" si="6"/>
        <v>0.10839881763624885</v>
      </c>
      <c r="Z21" s="20">
        <f t="shared" si="7"/>
        <v>1.6165637127229008E-5</v>
      </c>
      <c r="AA21" s="20">
        <f t="shared" si="8"/>
        <v>1.923028544944382E-5</v>
      </c>
      <c r="AB21" s="20">
        <f t="shared" si="9"/>
        <v>2.7318178894459977E-5</v>
      </c>
    </row>
    <row r="22" spans="1:28" s="20" customFormat="1" x14ac:dyDescent="0.3">
      <c r="A22" s="20">
        <v>20</v>
      </c>
      <c r="B22" s="20" t="s">
        <v>60</v>
      </c>
      <c r="C22" s="20" t="s">
        <v>61</v>
      </c>
      <c r="D22" s="25">
        <v>45110.511805555558</v>
      </c>
      <c r="E22" s="20">
        <v>0</v>
      </c>
      <c r="F22" s="20">
        <v>17.7</v>
      </c>
      <c r="G22" s="20">
        <v>9.4699318350151898E-2</v>
      </c>
      <c r="H22" s="20">
        <v>1.10115048484141E-3</v>
      </c>
      <c r="I22" s="20">
        <v>5.3502439745848496E-3</v>
      </c>
      <c r="J22" s="20">
        <v>3600</v>
      </c>
      <c r="K22" s="20">
        <v>410</v>
      </c>
      <c r="L22" s="20">
        <v>410</v>
      </c>
      <c r="N22" s="20">
        <f t="shared" si="10"/>
        <v>1834910771289.2747</v>
      </c>
      <c r="O22" s="21">
        <f t="shared" si="11"/>
        <v>9.0533162482832081E-4</v>
      </c>
      <c r="P22" s="26">
        <f t="shared" si="12"/>
        <v>3.2591938493819548</v>
      </c>
      <c r="Q22" s="26">
        <f t="shared" ref="Q22:Q27" si="16">G22/((O22*J22)-1) + (Q21*EXP(-P22))</f>
        <v>4.7345123193481768E-2</v>
      </c>
      <c r="S22" s="27">
        <f t="shared" si="14"/>
        <v>12.269946234500114</v>
      </c>
      <c r="T22" s="27">
        <f t="shared" si="15"/>
        <v>12.364645552850266</v>
      </c>
      <c r="V22" s="20">
        <f t="shared" si="4"/>
        <v>-1.13918915259424E-2</v>
      </c>
      <c r="W22" s="20">
        <f t="shared" si="5"/>
        <v>2.2387261155523593E-2</v>
      </c>
      <c r="X22" s="20">
        <f t="shared" si="6"/>
        <v>3.3579819410840893E-2</v>
      </c>
      <c r="Z22" s="20">
        <f t="shared" si="7"/>
        <v>-3.1465257089598911E-6</v>
      </c>
      <c r="AA22" s="20">
        <f t="shared" si="8"/>
        <v>6.2893499768922815E-6</v>
      </c>
      <c r="AB22" s="20">
        <f t="shared" si="9"/>
        <v>9.4879360520715651E-6</v>
      </c>
    </row>
    <row r="23" spans="1:28" s="20" customFormat="1" x14ac:dyDescent="0.3">
      <c r="A23" s="20">
        <v>21</v>
      </c>
      <c r="B23" s="20" t="s">
        <v>62</v>
      </c>
      <c r="C23" s="20" t="s">
        <v>63</v>
      </c>
      <c r="D23" s="25">
        <v>45111.193749999999</v>
      </c>
      <c r="E23" s="20">
        <v>0</v>
      </c>
      <c r="F23" s="20">
        <v>6.92</v>
      </c>
      <c r="G23" s="20">
        <v>3.7368447106431599E-2</v>
      </c>
      <c r="H23" s="20">
        <v>4.0327173302660602E-4</v>
      </c>
      <c r="I23" s="20">
        <v>5.40006461075602E-3</v>
      </c>
      <c r="J23" s="20">
        <v>3600</v>
      </c>
      <c r="K23" s="20">
        <v>300</v>
      </c>
      <c r="L23" s="20">
        <v>300.01</v>
      </c>
      <c r="N23" s="20">
        <f t="shared" si="10"/>
        <v>910171241138.02942</v>
      </c>
      <c r="O23" s="21">
        <f t="shared" si="11"/>
        <v>3.7675354520462593E-4</v>
      </c>
      <c r="P23" s="26">
        <f t="shared" si="12"/>
        <v>1.3563127627366534</v>
      </c>
      <c r="Q23" s="26">
        <f t="shared" si="16"/>
        <v>0.11707193484949746</v>
      </c>
      <c r="S23" s="27">
        <f t="shared" si="14"/>
        <v>12.364645552850266</v>
      </c>
      <c r="T23" s="27">
        <f t="shared" si="15"/>
        <v>12.402013999956697</v>
      </c>
      <c r="V23" s="20">
        <f t="shared" si="4"/>
        <v>-2.4404729286172577E-3</v>
      </c>
      <c r="W23" s="20">
        <f t="shared" si="5"/>
        <v>9.036334752922464E-3</v>
      </c>
      <c r="X23" s="20">
        <f t="shared" si="6"/>
        <v>3.7346346952768728E-2</v>
      </c>
      <c r="Z23" s="20">
        <f t="shared" si="7"/>
        <v>-6.7708328077390929E-7</v>
      </c>
      <c r="AA23" s="20">
        <f t="shared" si="8"/>
        <v>2.5215027944053371E-6</v>
      </c>
      <c r="AB23" s="20">
        <f t="shared" si="9"/>
        <v>1.0572662786566827E-5</v>
      </c>
    </row>
    <row r="24" spans="1:28" s="20" customFormat="1" x14ac:dyDescent="0.3">
      <c r="A24" s="20">
        <v>22</v>
      </c>
      <c r="B24" s="20" t="s">
        <v>64</v>
      </c>
      <c r="C24" s="20" t="s">
        <v>65</v>
      </c>
      <c r="D24" s="25">
        <v>45111.270138888889</v>
      </c>
      <c r="E24" s="20">
        <v>0</v>
      </c>
      <c r="F24" s="20">
        <v>4.46</v>
      </c>
      <c r="G24" s="20">
        <v>2.4147391634757601E-2</v>
      </c>
      <c r="H24" s="20">
        <v>2.57172723088809E-4</v>
      </c>
      <c r="I24" s="20">
        <v>5.4142133710218896E-3</v>
      </c>
      <c r="J24" s="20">
        <v>3600</v>
      </c>
      <c r="K24" s="20">
        <v>350</v>
      </c>
      <c r="L24" s="20">
        <v>350</v>
      </c>
      <c r="N24" s="20">
        <f t="shared" si="10"/>
        <v>1290748140843.2446</v>
      </c>
      <c r="O24" s="21">
        <f t="shared" si="11"/>
        <v>5.8090028879710935E-4</v>
      </c>
      <c r="P24" s="26">
        <f t="shared" si="12"/>
        <v>2.0912410396695935</v>
      </c>
      <c r="Q24" s="26">
        <f t="shared" si="16"/>
        <v>3.6590708471044606E-2</v>
      </c>
      <c r="S24" s="27">
        <f t="shared" si="14"/>
        <v>12.402013999956697</v>
      </c>
      <c r="T24" s="27">
        <f t="shared" si="15"/>
        <v>12.426161391591455</v>
      </c>
      <c r="V24" s="20">
        <f t="shared" si="4"/>
        <v>-2.3342514229886029E-2</v>
      </c>
      <c r="W24" s="20">
        <f t="shared" si="5"/>
        <v>5.8925022278022519E-3</v>
      </c>
      <c r="X24" s="20">
        <f t="shared" si="6"/>
        <v>1.4821451343455149E-2</v>
      </c>
      <c r="Z24" s="20">
        <f t="shared" si="7"/>
        <v>-6.4095123474725158E-6</v>
      </c>
      <c r="AA24" s="20">
        <f t="shared" si="8"/>
        <v>1.6416476446889433E-6</v>
      </c>
      <c r="AB24" s="20">
        <f t="shared" si="9"/>
        <v>4.1478851570634207E-6</v>
      </c>
    </row>
    <row r="25" spans="1:28" s="20" customFormat="1" x14ac:dyDescent="0.3">
      <c r="A25" s="20">
        <v>23</v>
      </c>
      <c r="B25" s="20" t="s">
        <v>66</v>
      </c>
      <c r="C25" s="20" t="s">
        <v>67</v>
      </c>
      <c r="D25" s="25">
        <v>45111.347222222219</v>
      </c>
      <c r="E25" s="20">
        <v>0</v>
      </c>
      <c r="F25" s="20">
        <v>8.44</v>
      </c>
      <c r="G25" s="20">
        <v>4.5851062444201902E-2</v>
      </c>
      <c r="H25" s="20">
        <v>4.7998031109721903E-4</v>
      </c>
      <c r="I25" s="20">
        <v>5.4325903369907497E-3</v>
      </c>
      <c r="J25" s="20">
        <v>3600</v>
      </c>
      <c r="K25" s="20">
        <v>375</v>
      </c>
      <c r="L25" s="20">
        <v>375.01</v>
      </c>
      <c r="N25" s="20">
        <f t="shared" si="10"/>
        <v>1506472121117.0825</v>
      </c>
      <c r="O25" s="21">
        <f t="shared" si="11"/>
        <v>7.0520412575158327E-4</v>
      </c>
      <c r="P25" s="26">
        <f t="shared" si="12"/>
        <v>2.5387348527056997</v>
      </c>
      <c r="Q25" s="26">
        <f t="shared" si="16"/>
        <v>3.2687327552336512E-2</v>
      </c>
      <c r="S25" s="27">
        <f t="shared" si="14"/>
        <v>12.426161391591455</v>
      </c>
      <c r="T25" s="27">
        <f t="shared" si="15"/>
        <v>12.472012454035657</v>
      </c>
      <c r="V25" s="20">
        <f t="shared" si="4"/>
        <v>2.293729343026137E-3</v>
      </c>
      <c r="W25" s="20">
        <f t="shared" si="5"/>
        <v>1.1255002186282909E-2</v>
      </c>
      <c r="X25" s="20">
        <f t="shared" si="6"/>
        <v>1.9278719052451522E-2</v>
      </c>
      <c r="Z25" s="20">
        <f t="shared" si="7"/>
        <v>6.3787888047047959E-7</v>
      </c>
      <c r="AA25" s="20">
        <f t="shared" si="8"/>
        <v>3.1441163928449559E-6</v>
      </c>
      <c r="AB25" s="20">
        <f t="shared" si="9"/>
        <v>5.4074936295893181E-6</v>
      </c>
    </row>
    <row r="26" spans="1:28" s="20" customFormat="1" x14ac:dyDescent="0.3">
      <c r="A26" s="20">
        <v>24</v>
      </c>
      <c r="B26" s="20" t="s">
        <v>68</v>
      </c>
      <c r="C26" s="20" t="s">
        <v>69</v>
      </c>
      <c r="D26" s="25">
        <v>45111.424305555556</v>
      </c>
      <c r="E26" s="20">
        <v>0</v>
      </c>
      <c r="F26" s="20">
        <v>19.100000000000001</v>
      </c>
      <c r="G26" s="20">
        <v>0.103940610852395</v>
      </c>
      <c r="H26" s="20">
        <v>1.07857266561519E-3</v>
      </c>
      <c r="I26" s="20">
        <v>5.4419167985547204E-3</v>
      </c>
      <c r="J26" s="20">
        <v>3600</v>
      </c>
      <c r="K26" s="20">
        <v>400</v>
      </c>
      <c r="L26" s="20">
        <v>400</v>
      </c>
      <c r="N26" s="20">
        <f t="shared" si="10"/>
        <v>1737978528157.9001</v>
      </c>
      <c r="O26" s="21">
        <f t="shared" si="11"/>
        <v>8.4495096917640994E-4</v>
      </c>
      <c r="P26" s="26">
        <f t="shared" si="12"/>
        <v>3.0418234890350759</v>
      </c>
      <c r="Q26" s="26">
        <f t="shared" si="16"/>
        <v>5.2466522928248209E-2</v>
      </c>
      <c r="S26" s="27">
        <f t="shared" si="14"/>
        <v>12.472012454035657</v>
      </c>
      <c r="T26" s="27">
        <f t="shared" si="15"/>
        <v>12.575953064888051</v>
      </c>
      <c r="V26" s="20">
        <f t="shared" si="4"/>
        <v>1.7834275124480933E-2</v>
      </c>
      <c r="W26" s="20">
        <f t="shared" si="5"/>
        <v>2.5804600850003499E-2</v>
      </c>
      <c r="X26" s="20">
        <f t="shared" si="6"/>
        <v>3.8830093687193284E-2</v>
      </c>
      <c r="Z26" s="20">
        <f t="shared" si="7"/>
        <v>4.9986728511432087E-6</v>
      </c>
      <c r="AA26" s="20">
        <f t="shared" si="8"/>
        <v>7.2620500878875967E-6</v>
      </c>
      <c r="AB26" s="20">
        <f t="shared" si="9"/>
        <v>1.1001134462555655E-5</v>
      </c>
    </row>
    <row r="27" spans="1:28" s="20" customFormat="1" x14ac:dyDescent="0.3">
      <c r="A27" s="20">
        <v>25</v>
      </c>
      <c r="B27" s="20" t="s">
        <v>70</v>
      </c>
      <c r="C27" s="20" t="s">
        <v>71</v>
      </c>
      <c r="D27" s="25">
        <v>45111.501388888886</v>
      </c>
      <c r="E27" s="20">
        <v>0</v>
      </c>
      <c r="F27" s="20">
        <v>31.6</v>
      </c>
      <c r="G27" s="20">
        <v>0.17215937417656099</v>
      </c>
      <c r="H27" s="20">
        <v>1.77611975271387E-3</v>
      </c>
      <c r="I27" s="20">
        <v>5.4480814612835804E-3</v>
      </c>
      <c r="J27" s="20">
        <v>3600</v>
      </c>
      <c r="K27" s="20">
        <v>415</v>
      </c>
      <c r="L27" s="20">
        <v>415</v>
      </c>
      <c r="N27" s="20">
        <f t="shared" si="10"/>
        <v>1884270615201.4387</v>
      </c>
      <c r="O27" s="21">
        <f t="shared" si="11"/>
        <v>9.3649130884137979E-4</v>
      </c>
      <c r="P27" s="26">
        <f t="shared" si="12"/>
        <v>3.3713687118289672</v>
      </c>
      <c r="Q27" s="26">
        <f t="shared" si="16"/>
        <v>7.4400995820246105E-2</v>
      </c>
      <c r="S27" s="27">
        <f t="shared" si="14"/>
        <v>12.575953064888051</v>
      </c>
      <c r="T27" s="27">
        <f t="shared" si="15"/>
        <v>12.748112439064611</v>
      </c>
      <c r="V27" s="20">
        <f t="shared" si="4"/>
        <v>3.0915760104489737E-2</v>
      </c>
      <c r="W27" s="20">
        <f t="shared" si="5"/>
        <v>4.3872914117335716E-2</v>
      </c>
      <c r="X27" s="20">
        <f t="shared" si="6"/>
        <v>6.2833185757950924E-2</v>
      </c>
      <c r="Z27" s="20">
        <f t="shared" si="7"/>
        <v>8.723259998139059E-6</v>
      </c>
      <c r="AA27" s="20">
        <f t="shared" si="8"/>
        <v>1.2462344372807126E-5</v>
      </c>
      <c r="AB27" s="20">
        <f t="shared" si="9"/>
        <v>1.8026106235631189E-5</v>
      </c>
    </row>
    <row r="28" spans="1:28" x14ac:dyDescent="0.3">
      <c r="A28">
        <v>26</v>
      </c>
      <c r="B28" t="s">
        <v>72</v>
      </c>
      <c r="C28" t="s">
        <v>73</v>
      </c>
      <c r="D28" s="17">
        <v>45111.603472222225</v>
      </c>
      <c r="E28">
        <v>0</v>
      </c>
      <c r="F28">
        <v>113</v>
      </c>
      <c r="G28">
        <v>0.61553808790496001</v>
      </c>
      <c r="H28">
        <v>6.37463121302018E-3</v>
      </c>
      <c r="I28">
        <v>5.4472397159730998E-3</v>
      </c>
      <c r="J28">
        <v>3600</v>
      </c>
      <c r="K28">
        <v>460</v>
      </c>
      <c r="L28">
        <v>459.99</v>
      </c>
      <c r="N28">
        <f t="shared" si="10"/>
        <v>2353968364246.2632</v>
      </c>
      <c r="O28" s="18">
        <f t="shared" si="11"/>
        <v>1.2464380814304458E-3</v>
      </c>
      <c r="P28" s="2">
        <f t="shared" si="12"/>
        <v>4.4871770931496053</v>
      </c>
      <c r="Q28" s="2">
        <f t="shared" si="13"/>
        <v>0.17651471991891535</v>
      </c>
      <c r="S28" s="19">
        <f t="shared" si="14"/>
        <v>12.748112439064611</v>
      </c>
      <c r="T28" s="19">
        <f t="shared" si="15"/>
        <v>13.363650526969572</v>
      </c>
      <c r="V28">
        <f t="shared" si="4"/>
        <v>0.14714862515555402</v>
      </c>
      <c r="W28">
        <f t="shared" si="5"/>
        <v>0.16406091011733284</v>
      </c>
      <c r="X28">
        <f t="shared" si="6"/>
        <v>0.2111078210527203</v>
      </c>
      <c r="Z28">
        <f t="shared" si="7"/>
        <v>4.4213884677121977E-5</v>
      </c>
      <c r="AA28">
        <f t="shared" si="8"/>
        <v>4.9777646539946006E-5</v>
      </c>
      <c r="AB28">
        <f t="shared" si="9"/>
        <v>6.5868228555859555E-5</v>
      </c>
    </row>
    <row r="29" spans="1:28" x14ac:dyDescent="0.3">
      <c r="A29">
        <v>27</v>
      </c>
      <c r="B29" t="s">
        <v>74</v>
      </c>
      <c r="C29" t="s">
        <v>75</v>
      </c>
      <c r="D29" s="17">
        <v>45111.681250000001</v>
      </c>
      <c r="E29">
        <v>0</v>
      </c>
      <c r="F29">
        <v>111</v>
      </c>
      <c r="G29">
        <v>0.60366702596885802</v>
      </c>
      <c r="H29">
        <v>6.3570512117795902E-3</v>
      </c>
      <c r="I29">
        <v>5.4384416753951196E-3</v>
      </c>
      <c r="J29">
        <v>3600</v>
      </c>
      <c r="K29">
        <v>470</v>
      </c>
      <c r="L29">
        <v>469.99</v>
      </c>
      <c r="N29">
        <f t="shared" si="10"/>
        <v>2464306508896.7798</v>
      </c>
      <c r="O29" s="18">
        <f t="shared" si="11"/>
        <v>1.3226646002370123E-3</v>
      </c>
      <c r="P29" s="2">
        <f t="shared" si="12"/>
        <v>4.7615925608532441</v>
      </c>
      <c r="Q29" s="2">
        <f t="shared" si="13"/>
        <v>0.16048176834758732</v>
      </c>
      <c r="S29" s="19">
        <f t="shared" si="14"/>
        <v>13.363650526969572</v>
      </c>
      <c r="T29" s="19">
        <f t="shared" si="15"/>
        <v>13.967317552938431</v>
      </c>
      <c r="V29">
        <f t="shared" si="4"/>
        <v>0.14431626819737173</v>
      </c>
      <c r="W29">
        <f t="shared" si="5"/>
        <v>0.19247441369649987</v>
      </c>
      <c r="X29">
        <f t="shared" si="6"/>
        <v>0.24364274481762502</v>
      </c>
      <c r="Z29">
        <f t="shared" si="7"/>
        <v>4.3292900918126069E-5</v>
      </c>
      <c r="AA29">
        <f t="shared" si="8"/>
        <v>5.9383482934039618E-5</v>
      </c>
      <c r="AB29">
        <f t="shared" si="9"/>
        <v>7.7567070738544401E-5</v>
      </c>
    </row>
    <row r="30" spans="1:28" x14ac:dyDescent="0.3">
      <c r="A30">
        <v>28</v>
      </c>
      <c r="B30" t="s">
        <v>76</v>
      </c>
      <c r="C30" t="s">
        <v>77</v>
      </c>
      <c r="D30" s="17">
        <v>45111.758333333331</v>
      </c>
      <c r="E30">
        <v>0</v>
      </c>
      <c r="F30">
        <v>89.5</v>
      </c>
      <c r="G30">
        <v>0.48558460409959803</v>
      </c>
      <c r="H30">
        <v>5.2395321734653496E-3</v>
      </c>
      <c r="I30">
        <v>5.4255263027888001E-3</v>
      </c>
      <c r="J30">
        <v>3600</v>
      </c>
      <c r="K30">
        <v>480</v>
      </c>
      <c r="L30">
        <v>479.98</v>
      </c>
      <c r="N30">
        <f t="shared" si="10"/>
        <v>2576566255896.562</v>
      </c>
      <c r="O30" s="18">
        <f t="shared" si="11"/>
        <v>1.4015119118147097E-3</v>
      </c>
      <c r="P30" s="2">
        <f t="shared" si="12"/>
        <v>5.0454428825329547</v>
      </c>
      <c r="Q30" s="2">
        <f t="shared" si="13"/>
        <v>0.12003249537799954</v>
      </c>
      <c r="S30" s="19">
        <f t="shared" si="14"/>
        <v>13.967317552938431</v>
      </c>
      <c r="T30" s="19">
        <f t="shared" si="15"/>
        <v>14.452902157038029</v>
      </c>
      <c r="V30">
        <f t="shared" si="4"/>
        <v>0.13704693648779137</v>
      </c>
      <c r="W30">
        <f t="shared" si="5"/>
        <v>0.19172739348471249</v>
      </c>
      <c r="X30">
        <f t="shared" si="6"/>
        <v>0.23912081839562535</v>
      </c>
      <c r="Z30">
        <f t="shared" si="7"/>
        <v>4.0943049156947566E-5</v>
      </c>
      <c r="AA30">
        <f t="shared" si="8"/>
        <v>5.9126636961452363E-5</v>
      </c>
      <c r="AB30">
        <f t="shared" si="9"/>
        <v>7.5911304555420419E-5</v>
      </c>
    </row>
    <row r="31" spans="1:28" x14ac:dyDescent="0.3">
      <c r="A31">
        <v>29</v>
      </c>
      <c r="B31" t="s">
        <v>78</v>
      </c>
      <c r="C31" t="s">
        <v>79</v>
      </c>
      <c r="D31" s="17">
        <v>45111.835416666669</v>
      </c>
      <c r="E31">
        <v>0</v>
      </c>
      <c r="F31">
        <v>72.900000000000006</v>
      </c>
      <c r="G31">
        <v>0.393791628610276</v>
      </c>
      <c r="H31">
        <v>4.4408818780946498E-3</v>
      </c>
      <c r="I31">
        <v>5.4018056050792402E-3</v>
      </c>
      <c r="J31">
        <v>3600</v>
      </c>
      <c r="K31">
        <v>490</v>
      </c>
      <c r="L31">
        <v>489.92</v>
      </c>
      <c r="N31">
        <f t="shared" si="10"/>
        <v>2690222545489.3457</v>
      </c>
      <c r="O31" s="18">
        <f t="shared" si="11"/>
        <v>1.4826520610799372E-3</v>
      </c>
      <c r="P31" s="2">
        <f t="shared" si="12"/>
        <v>5.3375474198877741</v>
      </c>
      <c r="Q31" s="2">
        <f t="shared" si="13"/>
        <v>9.0786702827669513E-2</v>
      </c>
      <c r="S31" s="19">
        <f t="shared" si="14"/>
        <v>14.452902157038029</v>
      </c>
      <c r="T31" s="19">
        <f t="shared" si="15"/>
        <v>14.846693785648304</v>
      </c>
      <c r="V31">
        <f t="shared" si="4"/>
        <v>0.14206011932885296</v>
      </c>
      <c r="W31">
        <f t="shared" si="5"/>
        <v>0.19236580701999764</v>
      </c>
      <c r="X31">
        <f t="shared" si="6"/>
        <v>0.23671478776842589</v>
      </c>
      <c r="Z31">
        <f t="shared" si="7"/>
        <v>4.2561458638049855E-5</v>
      </c>
      <c r="AA31">
        <f t="shared" si="8"/>
        <v>5.9346126232017878E-5</v>
      </c>
      <c r="AB31">
        <f t="shared" si="9"/>
        <v>7.5034309398270947E-5</v>
      </c>
    </row>
    <row r="32" spans="1:28" x14ac:dyDescent="0.3">
      <c r="A32">
        <v>30</v>
      </c>
      <c r="B32" t="s">
        <v>80</v>
      </c>
      <c r="C32" t="s">
        <v>81</v>
      </c>
      <c r="D32" s="17">
        <v>45111.912499999999</v>
      </c>
      <c r="E32">
        <v>0</v>
      </c>
      <c r="F32">
        <v>61</v>
      </c>
      <c r="G32">
        <v>0.32850583881439799</v>
      </c>
      <c r="H32">
        <v>3.8190844432110902E-3</v>
      </c>
      <c r="I32">
        <v>5.3853416199081596E-3</v>
      </c>
      <c r="J32">
        <v>3600</v>
      </c>
      <c r="K32">
        <v>500</v>
      </c>
      <c r="L32">
        <v>499.72</v>
      </c>
      <c r="N32">
        <f t="shared" si="10"/>
        <v>2804134852453.9297</v>
      </c>
      <c r="O32" s="18">
        <f t="shared" si="11"/>
        <v>1.5652837833218607E-3</v>
      </c>
      <c r="P32" s="2">
        <f t="shared" si="12"/>
        <v>5.6350216199586987</v>
      </c>
      <c r="Q32" s="2">
        <f t="shared" si="13"/>
        <v>7.0874715535269764E-2</v>
      </c>
      <c r="S32" s="19">
        <f t="shared" si="14"/>
        <v>14.846693785648304</v>
      </c>
      <c r="T32" s="19">
        <f t="shared" si="15"/>
        <v>15.175199624462701</v>
      </c>
      <c r="V32">
        <f t="shared" si="4"/>
        <v>0.15213834722285521</v>
      </c>
      <c r="W32">
        <f t="shared" si="5"/>
        <v>0.19869630680800021</v>
      </c>
      <c r="X32">
        <f t="shared" si="6"/>
        <v>0.24156478145597193</v>
      </c>
      <c r="Z32">
        <f t="shared" si="7"/>
        <v>4.5843833836069021E-5</v>
      </c>
      <c r="AA32">
        <f t="shared" si="8"/>
        <v>6.1532017002322069E-5</v>
      </c>
      <c r="AB32">
        <f t="shared" si="9"/>
        <v>7.6804969768308305E-5</v>
      </c>
    </row>
    <row r="33" spans="1:28" x14ac:dyDescent="0.3">
      <c r="A33">
        <v>31</v>
      </c>
      <c r="B33" t="s">
        <v>82</v>
      </c>
      <c r="C33" t="s">
        <v>83</v>
      </c>
      <c r="D33" s="17">
        <v>45111.972916666666</v>
      </c>
      <c r="E33">
        <v>0</v>
      </c>
      <c r="F33">
        <v>43.9</v>
      </c>
      <c r="G33">
        <v>0.235749851767727</v>
      </c>
      <c r="H33">
        <v>2.8192645527388102E-3</v>
      </c>
      <c r="I33">
        <v>5.3701560767136199E-3</v>
      </c>
      <c r="J33">
        <v>3600</v>
      </c>
      <c r="K33">
        <v>505</v>
      </c>
      <c r="L33">
        <v>504.55999999999898</v>
      </c>
      <c r="N33">
        <f t="shared" si="10"/>
        <v>2861056878634.4126</v>
      </c>
      <c r="O33" s="18">
        <f t="shared" si="11"/>
        <v>1.6070612909727354E-3</v>
      </c>
      <c r="P33" s="2">
        <f t="shared" si="12"/>
        <v>5.785420647501847</v>
      </c>
      <c r="Q33" s="2">
        <f t="shared" si="13"/>
        <v>4.9264185770334833E-2</v>
      </c>
      <c r="S33" s="19">
        <f t="shared" si="14"/>
        <v>15.175199624462701</v>
      </c>
      <c r="T33" s="19">
        <f t="shared" si="15"/>
        <v>15.410949476230428</v>
      </c>
      <c r="V33">
        <f t="shared" si="4"/>
        <v>0.13148716984720649</v>
      </c>
      <c r="W33">
        <f t="shared" si="5"/>
        <v>0.17795122655525669</v>
      </c>
      <c r="X33">
        <f t="shared" si="6"/>
        <v>0.21513734657756931</v>
      </c>
      <c r="Z33">
        <f t="shared" si="7"/>
        <v>3.9159144621593058E-5</v>
      </c>
      <c r="AA33">
        <f t="shared" si="8"/>
        <v>5.4432097387579307E-5</v>
      </c>
      <c r="AB33">
        <f t="shared" si="9"/>
        <v>6.7290705639100158E-5</v>
      </c>
    </row>
    <row r="34" spans="1:28" x14ac:dyDescent="0.3">
      <c r="A34">
        <v>32</v>
      </c>
      <c r="B34" t="s">
        <v>84</v>
      </c>
      <c r="C34" t="s">
        <v>85</v>
      </c>
      <c r="D34" s="17">
        <v>45112.05</v>
      </c>
      <c r="E34">
        <v>0</v>
      </c>
      <c r="F34">
        <v>23.6</v>
      </c>
      <c r="G34">
        <v>0.12644385875498601</v>
      </c>
      <c r="H34">
        <v>1.54848025297457E-3</v>
      </c>
      <c r="I34">
        <v>5.3577906252112797E-3</v>
      </c>
      <c r="J34">
        <v>3600</v>
      </c>
      <c r="K34">
        <v>495</v>
      </c>
      <c r="L34">
        <v>494.98</v>
      </c>
      <c r="N34">
        <f t="shared" si="10"/>
        <v>2748811758152.9497</v>
      </c>
      <c r="O34" s="18">
        <f t="shared" si="11"/>
        <v>1.524989830443155E-3</v>
      </c>
      <c r="P34" s="2">
        <f t="shared" si="12"/>
        <v>5.4899633895953581</v>
      </c>
      <c r="Q34" s="2">
        <f t="shared" si="13"/>
        <v>2.8161445380155161E-2</v>
      </c>
      <c r="S34" s="19">
        <f t="shared" si="14"/>
        <v>15.410949476230428</v>
      </c>
      <c r="T34" s="19">
        <f t="shared" si="15"/>
        <v>15.537393334985413</v>
      </c>
      <c r="V34">
        <f t="shared" si="4"/>
        <v>7.4226473424492914E-2</v>
      </c>
      <c r="W34">
        <f t="shared" si="5"/>
        <v>0.11610467650051814</v>
      </c>
      <c r="X34">
        <f t="shared" si="6"/>
        <v>0.1419633899077519</v>
      </c>
      <c r="Z34">
        <f t="shared" si="7"/>
        <v>2.1423790550337481E-5</v>
      </c>
      <c r="AA34">
        <f t="shared" si="8"/>
        <v>3.4282398801858346E-5</v>
      </c>
      <c r="AB34">
        <f t="shared" si="9"/>
        <v>4.2530142027580805E-5</v>
      </c>
    </row>
    <row r="35" spans="1:28" x14ac:dyDescent="0.3">
      <c r="A35">
        <v>33</v>
      </c>
      <c r="B35" t="s">
        <v>86</v>
      </c>
      <c r="C35" t="s">
        <v>87</v>
      </c>
      <c r="D35" s="17">
        <v>45112.152083333334</v>
      </c>
      <c r="E35">
        <v>0</v>
      </c>
      <c r="F35">
        <v>17.5</v>
      </c>
      <c r="G35">
        <v>9.3499617908952198E-2</v>
      </c>
      <c r="H35">
        <v>1.18054549982664E-3</v>
      </c>
      <c r="I35">
        <v>5.3428353090829803E-3</v>
      </c>
      <c r="J35">
        <v>4800</v>
      </c>
      <c r="K35">
        <v>485</v>
      </c>
      <c r="L35">
        <v>484.99</v>
      </c>
      <c r="N35">
        <f t="shared" si="10"/>
        <v>2633611182304.6694</v>
      </c>
      <c r="O35" s="18">
        <f t="shared" si="11"/>
        <v>1.4420727529891447E-3</v>
      </c>
      <c r="P35" s="2">
        <f t="shared" si="12"/>
        <v>6.9219492143478947</v>
      </c>
      <c r="Q35" s="2">
        <f t="shared" si="13"/>
        <v>1.5788655816638589E-2</v>
      </c>
      <c r="S35" s="19">
        <f t="shared" si="14"/>
        <v>15.537393334985413</v>
      </c>
      <c r="T35" s="19">
        <f t="shared" si="15"/>
        <v>15.630892952894365</v>
      </c>
      <c r="V35">
        <f t="shared" si="4"/>
        <v>6.9921886436915215E-2</v>
      </c>
      <c r="W35">
        <f t="shared" si="5"/>
        <v>9.7131695953440525E-2</v>
      </c>
      <c r="X35">
        <f t="shared" si="6"/>
        <v>0.11353367652397744</v>
      </c>
      <c r="Z35">
        <f t="shared" si="7"/>
        <v>1.5101396517389742E-5</v>
      </c>
      <c r="AA35">
        <f t="shared" si="8"/>
        <v>2.1287203936681579E-5</v>
      </c>
      <c r="AB35">
        <f t="shared" si="9"/>
        <v>2.5106696327533204E-5</v>
      </c>
    </row>
    <row r="36" spans="1:28" x14ac:dyDescent="0.3">
      <c r="A36">
        <v>34</v>
      </c>
      <c r="B36" t="s">
        <v>88</v>
      </c>
      <c r="C36" t="s">
        <v>89</v>
      </c>
      <c r="D36" s="17">
        <v>45112.240277777775</v>
      </c>
      <c r="E36">
        <v>0</v>
      </c>
      <c r="F36">
        <v>12.5</v>
      </c>
      <c r="G36">
        <v>6.6713057113026802E-2</v>
      </c>
      <c r="H36">
        <v>8.5124921133501903E-4</v>
      </c>
      <c r="I36">
        <v>5.3370445690421502E-3</v>
      </c>
      <c r="J36">
        <v>6000</v>
      </c>
      <c r="K36">
        <v>475</v>
      </c>
      <c r="L36">
        <v>474.99</v>
      </c>
      <c r="N36">
        <f t="shared" si="10"/>
        <v>2520242317875.4028</v>
      </c>
      <c r="O36" s="18">
        <f t="shared" si="11"/>
        <v>1.3617899630236866E-3</v>
      </c>
      <c r="P36" s="2">
        <f t="shared" si="12"/>
        <v>8.1707397781421189</v>
      </c>
      <c r="Q36" s="2">
        <f t="shared" si="13"/>
        <v>9.3035110988662351E-3</v>
      </c>
      <c r="S36" s="19">
        <f t="shared" si="14"/>
        <v>15.630892952894365</v>
      </c>
      <c r="T36" s="19">
        <f t="shared" si="15"/>
        <v>15.697606010007393</v>
      </c>
      <c r="V36">
        <f t="shared" si="4"/>
        <v>5.9678077744771713E-2</v>
      </c>
      <c r="W36">
        <f t="shared" si="5"/>
        <v>7.676046044638532E-2</v>
      </c>
      <c r="X36">
        <f t="shared" si="6"/>
        <v>8.7465138460272651E-2</v>
      </c>
      <c r="Z36">
        <f t="shared" si="7"/>
        <v>1.0255498643905471E-5</v>
      </c>
      <c r="AA36">
        <f t="shared" si="8"/>
        <v>1.3311092556586764E-5</v>
      </c>
      <c r="AB36">
        <f t="shared" si="9"/>
        <v>1.5254831638027101E-5</v>
      </c>
    </row>
    <row r="37" spans="1:28" x14ac:dyDescent="0.3">
      <c r="A37">
        <v>35</v>
      </c>
      <c r="B37" t="s">
        <v>90</v>
      </c>
      <c r="C37" t="s">
        <v>91</v>
      </c>
      <c r="D37" s="17">
        <v>45112.342361111114</v>
      </c>
      <c r="E37">
        <v>0</v>
      </c>
      <c r="F37">
        <v>9.17</v>
      </c>
      <c r="G37">
        <v>4.8870736224704101E-2</v>
      </c>
      <c r="H37">
        <v>6.3209931010767696E-4</v>
      </c>
      <c r="I37">
        <v>5.3294150735773297E-3</v>
      </c>
      <c r="J37">
        <v>7200</v>
      </c>
      <c r="K37">
        <v>465</v>
      </c>
      <c r="L37">
        <v>464.99</v>
      </c>
      <c r="N37">
        <f t="shared" si="10"/>
        <v>2408879445449.7334</v>
      </c>
      <c r="O37" s="18">
        <f t="shared" si="11"/>
        <v>1.2842145333122157E-3</v>
      </c>
      <c r="P37" s="2">
        <f t="shared" si="12"/>
        <v>9.246344639847953</v>
      </c>
      <c r="Q37" s="2">
        <f t="shared" si="13"/>
        <v>5.9263514149713228E-3</v>
      </c>
      <c r="S37" s="19">
        <f t="shared" si="14"/>
        <v>15.697606010007393</v>
      </c>
      <c r="T37" s="19">
        <f t="shared" si="15"/>
        <v>15.746476746232096</v>
      </c>
      <c r="V37">
        <f t="shared" si="4"/>
        <v>4.9889925776222914E-2</v>
      </c>
      <c r="W37">
        <f t="shared" si="5"/>
        <v>6.0906159360882499E-2</v>
      </c>
      <c r="X37">
        <f t="shared" si="6"/>
        <v>6.829199660403773E-2</v>
      </c>
      <c r="Z37">
        <f t="shared" si="7"/>
        <v>7.1079768744037435E-6</v>
      </c>
      <c r="AA37">
        <f t="shared" si="8"/>
        <v>8.7277594422706988E-6</v>
      </c>
      <c r="AB37">
        <f t="shared" si="9"/>
        <v>9.8244186753993688E-6</v>
      </c>
    </row>
    <row r="38" spans="1:28" x14ac:dyDescent="0.3">
      <c r="A38">
        <v>36</v>
      </c>
      <c r="B38" t="s">
        <v>92</v>
      </c>
      <c r="C38" t="s">
        <v>93</v>
      </c>
      <c r="D38" s="17">
        <v>45112.458333333336</v>
      </c>
      <c r="E38">
        <v>0</v>
      </c>
      <c r="F38">
        <v>6.6</v>
      </c>
      <c r="G38">
        <v>3.5112446670626803E-2</v>
      </c>
      <c r="H38">
        <v>4.6323781890874401E-4</v>
      </c>
      <c r="I38">
        <v>5.3200676773676996E-3</v>
      </c>
      <c r="J38">
        <v>8400</v>
      </c>
      <c r="K38">
        <v>455</v>
      </c>
      <c r="L38">
        <v>455</v>
      </c>
      <c r="N38">
        <f t="shared" si="10"/>
        <v>2299688736993.0205</v>
      </c>
      <c r="O38" s="18">
        <f t="shared" si="11"/>
        <v>1.2094069919856741E-3</v>
      </c>
      <c r="P38" s="2">
        <f t="shared" si="12"/>
        <v>10.159018732679662</v>
      </c>
      <c r="Q38" s="2">
        <f t="shared" si="13"/>
        <v>3.8336472165238079E-3</v>
      </c>
      <c r="S38" s="19">
        <f t="shared" si="14"/>
        <v>15.746476746232096</v>
      </c>
      <c r="T38" s="19">
        <f t="shared" si="15"/>
        <v>15.781589192902723</v>
      </c>
      <c r="V38">
        <f t="shared" si="4"/>
        <v>3.9039882540707747E-2</v>
      </c>
      <c r="W38">
        <f t="shared" si="5"/>
        <v>4.6597694888712675E-2</v>
      </c>
      <c r="X38">
        <f t="shared" si="6"/>
        <v>5.1685324497160866E-2</v>
      </c>
      <c r="Z38">
        <f t="shared" si="7"/>
        <v>4.7407585661881991E-6</v>
      </c>
      <c r="AA38">
        <f t="shared" si="8"/>
        <v>5.6807521945842036E-6</v>
      </c>
      <c r="AB38">
        <f t="shared" si="9"/>
        <v>6.317725669203932E-6</v>
      </c>
    </row>
    <row r="39" spans="1:28" x14ac:dyDescent="0.3">
      <c r="A39">
        <v>37</v>
      </c>
      <c r="B39" t="s">
        <v>94</v>
      </c>
      <c r="C39" t="s">
        <v>95</v>
      </c>
      <c r="D39" s="17">
        <v>45112.535416666666</v>
      </c>
      <c r="E39">
        <v>0</v>
      </c>
      <c r="F39">
        <v>12.2</v>
      </c>
      <c r="G39">
        <v>6.4846123896377603E-2</v>
      </c>
      <c r="H39">
        <v>8.6675785389233901E-4</v>
      </c>
      <c r="I39">
        <v>5.3152560570801297E-3</v>
      </c>
      <c r="J39">
        <v>3600</v>
      </c>
      <c r="K39">
        <v>510</v>
      </c>
      <c r="L39">
        <v>509.99</v>
      </c>
      <c r="N39">
        <f t="shared" si="10"/>
        <v>2925428987841.4546</v>
      </c>
      <c r="O39" s="18">
        <f t="shared" si="11"/>
        <v>1.6546944624191784E-3</v>
      </c>
      <c r="P39" s="2">
        <f t="shared" si="12"/>
        <v>5.9569000647090427</v>
      </c>
      <c r="Q39" s="2">
        <f t="shared" si="13"/>
        <v>1.3081991375628814E-2</v>
      </c>
      <c r="S39" s="19">
        <f t="shared" si="14"/>
        <v>15.781589192902723</v>
      </c>
      <c r="T39" s="19">
        <f t="shared" si="15"/>
        <v>15.8464353167991</v>
      </c>
      <c r="V39">
        <f t="shared" si="4"/>
        <v>8.5382629204151253E-2</v>
      </c>
      <c r="W39">
        <f t="shared" si="5"/>
        <v>9.0263291219667169E-2</v>
      </c>
      <c r="X39">
        <f t="shared" si="6"/>
        <v>0.10847291619522441</v>
      </c>
      <c r="Z39">
        <f t="shared" si="7"/>
        <v>2.4791520877597531E-5</v>
      </c>
      <c r="AA39">
        <f t="shared" si="8"/>
        <v>2.6277792318376862E-5</v>
      </c>
      <c r="AB39">
        <f t="shared" si="9"/>
        <v>3.1894295028166106E-5</v>
      </c>
    </row>
    <row r="40" spans="1:28" x14ac:dyDescent="0.3">
      <c r="A40">
        <v>38</v>
      </c>
      <c r="B40" t="s">
        <v>96</v>
      </c>
      <c r="C40" t="s">
        <v>97</v>
      </c>
      <c r="D40" s="17">
        <v>45112.59652777778</v>
      </c>
      <c r="E40">
        <v>0</v>
      </c>
      <c r="F40">
        <v>14.4</v>
      </c>
      <c r="G40">
        <v>7.64648807910564E-2</v>
      </c>
      <c r="H40">
        <v>1.03904607826235E-3</v>
      </c>
      <c r="I40">
        <v>5.3100611660455797E-3</v>
      </c>
      <c r="J40">
        <v>3600</v>
      </c>
      <c r="K40">
        <v>520</v>
      </c>
      <c r="L40">
        <v>519.94000000000005</v>
      </c>
      <c r="N40">
        <f t="shared" si="10"/>
        <v>3044758459567.9429</v>
      </c>
      <c r="O40" s="18">
        <f t="shared" si="11"/>
        <v>1.7440752126880528E-3</v>
      </c>
      <c r="P40" s="2">
        <f t="shared" si="12"/>
        <v>6.2786707656769902</v>
      </c>
      <c r="Q40" s="2">
        <f t="shared" si="13"/>
        <v>1.4485631740522042E-2</v>
      </c>
      <c r="S40" s="19">
        <f t="shared" si="14"/>
        <v>15.8464353167991</v>
      </c>
      <c r="T40" s="19">
        <f t="shared" si="15"/>
        <v>15.922900197590156</v>
      </c>
      <c r="V40">
        <f t="shared" si="4"/>
        <v>9.8961127637651969E-2</v>
      </c>
      <c r="W40">
        <f t="shared" si="5"/>
        <v>0.11699665351646887</v>
      </c>
      <c r="X40">
        <f t="shared" si="6"/>
        <v>0.1391606903943142</v>
      </c>
      <c r="Z40">
        <f t="shared" si="7"/>
        <v>2.8946355202234322E-5</v>
      </c>
      <c r="AA40">
        <f t="shared" si="8"/>
        <v>3.4562857912023579E-5</v>
      </c>
      <c r="AB40">
        <f t="shared" si="9"/>
        <v>4.1624284514947551E-5</v>
      </c>
    </row>
    <row r="41" spans="1:28" x14ac:dyDescent="0.3">
      <c r="A41">
        <v>39</v>
      </c>
      <c r="B41" t="s">
        <v>98</v>
      </c>
      <c r="C41" t="s">
        <v>99</v>
      </c>
      <c r="D41" s="17">
        <v>45112.698611111111</v>
      </c>
      <c r="E41">
        <v>0</v>
      </c>
      <c r="F41">
        <v>14.3</v>
      </c>
      <c r="G41">
        <v>7.5802502065838107E-2</v>
      </c>
      <c r="H41">
        <v>1.09562784161953E-3</v>
      </c>
      <c r="I41">
        <v>5.3008742703383304E-3</v>
      </c>
      <c r="J41">
        <v>3600</v>
      </c>
      <c r="K41">
        <v>530</v>
      </c>
      <c r="L41">
        <v>529.87</v>
      </c>
      <c r="N41">
        <f t="shared" si="10"/>
        <v>3165571731131.8032</v>
      </c>
      <c r="O41" s="18">
        <f t="shared" si="11"/>
        <v>1.835986260799116E-3</v>
      </c>
      <c r="P41" s="2">
        <f t="shared" si="12"/>
        <v>6.6095505388768174</v>
      </c>
      <c r="Q41" s="2">
        <f t="shared" si="13"/>
        <v>1.3513115095494941E-2</v>
      </c>
      <c r="S41" s="19">
        <f t="shared" si="14"/>
        <v>15.922900197590156</v>
      </c>
      <c r="T41" s="19">
        <f t="shared" si="15"/>
        <v>15.998702699655993</v>
      </c>
      <c r="V41">
        <f t="shared" si="4"/>
        <v>0.10898564864153626</v>
      </c>
      <c r="W41">
        <f t="shared" si="5"/>
        <v>0.1313507676649745</v>
      </c>
      <c r="X41">
        <f t="shared" si="6"/>
        <v>0.15476632774499377</v>
      </c>
      <c r="Z41">
        <f t="shared" si="7"/>
        <v>3.2054095726931937E-5</v>
      </c>
      <c r="AA41">
        <f t="shared" si="8"/>
        <v>3.9115522329855909E-5</v>
      </c>
      <c r="AB41">
        <f t="shared" si="9"/>
        <v>4.6706154066875702E-5</v>
      </c>
    </row>
    <row r="42" spans="1:28" x14ac:dyDescent="0.3">
      <c r="A42">
        <v>40</v>
      </c>
      <c r="B42" t="s">
        <v>100</v>
      </c>
      <c r="C42" t="s">
        <v>101</v>
      </c>
      <c r="D42" s="17">
        <v>45112.779166666667</v>
      </c>
      <c r="E42">
        <v>0</v>
      </c>
      <c r="F42">
        <v>13.4</v>
      </c>
      <c r="G42">
        <v>7.0863847730952001E-2</v>
      </c>
      <c r="H42">
        <v>1.3813640396626501E-3</v>
      </c>
      <c r="I42">
        <v>5.2883468455934297E-3</v>
      </c>
      <c r="J42">
        <v>3600</v>
      </c>
      <c r="K42">
        <v>540</v>
      </c>
      <c r="L42">
        <v>539.11</v>
      </c>
      <c r="N42">
        <f t="shared" si="10"/>
        <v>3279487706883.7686</v>
      </c>
      <c r="O42" s="18">
        <f t="shared" si="11"/>
        <v>1.9239461094600616E-3</v>
      </c>
      <c r="P42" s="2">
        <f t="shared" si="12"/>
        <v>6.9262059940562217</v>
      </c>
      <c r="Q42" s="2">
        <f t="shared" si="13"/>
        <v>1.1957709165362455E-2</v>
      </c>
      <c r="S42" s="19">
        <f t="shared" si="14"/>
        <v>15.998702699655993</v>
      </c>
      <c r="T42" s="19">
        <f t="shared" si="15"/>
        <v>16.069566547386945</v>
      </c>
      <c r="V42">
        <f t="shared" si="4"/>
        <v>0.11757398941960083</v>
      </c>
      <c r="W42">
        <f t="shared" si="5"/>
        <v>0.14136092032078151</v>
      </c>
      <c r="X42">
        <f t="shared" si="6"/>
        <v>0.165214448271474</v>
      </c>
      <c r="Z42">
        <f t="shared" si="7"/>
        <v>3.4744537331002953E-5</v>
      </c>
      <c r="AA42">
        <f t="shared" si="8"/>
        <v>4.2335169068022698E-5</v>
      </c>
      <c r="AB42">
        <f t="shared" si="9"/>
        <v>5.0161225387082875E-5</v>
      </c>
    </row>
    <row r="43" spans="1:28" x14ac:dyDescent="0.3">
      <c r="A43">
        <v>41</v>
      </c>
      <c r="B43" t="s">
        <v>102</v>
      </c>
      <c r="C43" t="s">
        <v>103</v>
      </c>
      <c r="D43" s="17">
        <v>45112.856249999997</v>
      </c>
      <c r="E43">
        <v>0</v>
      </c>
      <c r="F43">
        <v>10.8</v>
      </c>
      <c r="G43">
        <v>5.70133379230491E-2</v>
      </c>
      <c r="H43">
        <v>1.40790430997562E-3</v>
      </c>
      <c r="I43">
        <v>5.2790127706526897E-3</v>
      </c>
      <c r="J43">
        <v>3600</v>
      </c>
      <c r="K43">
        <v>555</v>
      </c>
      <c r="L43">
        <v>535.78</v>
      </c>
      <c r="N43">
        <f t="shared" si="10"/>
        <v>3238270129766.0752</v>
      </c>
      <c r="O43" s="18">
        <f t="shared" si="11"/>
        <v>1.8919755279179899E-3</v>
      </c>
      <c r="P43" s="2">
        <f t="shared" si="12"/>
        <v>6.8111119005047636</v>
      </c>
      <c r="Q43" s="2">
        <f t="shared" si="13"/>
        <v>9.8110893232148597E-3</v>
      </c>
      <c r="S43" s="19">
        <f t="shared" si="14"/>
        <v>16.069566547386945</v>
      </c>
      <c r="T43" s="19">
        <f t="shared" si="15"/>
        <v>16.126579885309994</v>
      </c>
      <c r="V43">
        <f t="shared" si="4"/>
        <v>0.10766604627185104</v>
      </c>
      <c r="W43">
        <f t="shared" si="5"/>
        <v>0.1324556387913978</v>
      </c>
      <c r="X43">
        <f t="shared" si="6"/>
        <v>0.1552491490626236</v>
      </c>
      <c r="Z43">
        <f t="shared" si="7"/>
        <v>3.1643008022239552E-5</v>
      </c>
      <c r="AA43">
        <f t="shared" si="8"/>
        <v>3.9469064341299755E-5</v>
      </c>
      <c r="AB43">
        <f t="shared" si="9"/>
        <v>4.6864873906594182E-5</v>
      </c>
    </row>
    <row r="44" spans="1:28" x14ac:dyDescent="0.3">
      <c r="A44">
        <v>42</v>
      </c>
      <c r="B44" t="s">
        <v>104</v>
      </c>
      <c r="C44" t="s">
        <v>105</v>
      </c>
      <c r="D44" s="17">
        <v>45112.933333333334</v>
      </c>
      <c r="E44">
        <v>0</v>
      </c>
      <c r="F44">
        <v>7.31</v>
      </c>
      <c r="G44">
        <v>3.8490893390913897E-2</v>
      </c>
      <c r="H44">
        <v>1.2855959635046401E-3</v>
      </c>
      <c r="I44">
        <v>5.2655120917802899E-3</v>
      </c>
      <c r="J44">
        <v>3600</v>
      </c>
      <c r="K44">
        <v>545</v>
      </c>
      <c r="L44">
        <v>538.61</v>
      </c>
      <c r="N44">
        <f t="shared" si="10"/>
        <v>3273287246513.189</v>
      </c>
      <c r="O44" s="18">
        <f t="shared" si="11"/>
        <v>1.9191262480420712E-3</v>
      </c>
      <c r="P44" s="2">
        <f t="shared" si="12"/>
        <v>6.9088544929514564</v>
      </c>
      <c r="Q44" s="2">
        <f t="shared" si="13"/>
        <v>6.5141041189673643E-3</v>
      </c>
      <c r="S44" s="19">
        <f t="shared" si="14"/>
        <v>16.126579885309994</v>
      </c>
      <c r="T44" s="19">
        <f t="shared" si="15"/>
        <v>16.165070778700908</v>
      </c>
      <c r="V44">
        <f t="shared" si="4"/>
        <v>7.8875391057106475E-2</v>
      </c>
      <c r="W44">
        <f t="shared" si="5"/>
        <v>0.1030766471240228</v>
      </c>
      <c r="X44">
        <f t="shared" si="6"/>
        <v>0.12052108533907459</v>
      </c>
      <c r="Z44">
        <f t="shared" si="7"/>
        <v>2.282220956610942E-5</v>
      </c>
      <c r="AA44">
        <f t="shared" si="8"/>
        <v>3.0218019131403849E-5</v>
      </c>
      <c r="AB44">
        <f t="shared" si="9"/>
        <v>3.5673802590616534E-5</v>
      </c>
    </row>
    <row r="45" spans="1:28" x14ac:dyDescent="0.3">
      <c r="A45">
        <v>43</v>
      </c>
      <c r="B45" t="s">
        <v>106</v>
      </c>
      <c r="C45" t="s">
        <v>107</v>
      </c>
      <c r="D45" s="17">
        <v>45113.010416666664</v>
      </c>
      <c r="E45">
        <v>0</v>
      </c>
      <c r="F45">
        <v>6.27</v>
      </c>
      <c r="G45">
        <v>3.29676401382746E-2</v>
      </c>
      <c r="H45">
        <v>1.2760981364587499E-3</v>
      </c>
      <c r="I45">
        <v>5.25799683226071E-3</v>
      </c>
      <c r="J45">
        <v>4800</v>
      </c>
      <c r="K45">
        <v>535</v>
      </c>
      <c r="L45">
        <v>532.88</v>
      </c>
      <c r="N45">
        <f t="shared" si="10"/>
        <v>3202524474402.9302</v>
      </c>
      <c r="O45" s="18">
        <f t="shared" si="11"/>
        <v>1.8643818772761597E-3</v>
      </c>
      <c r="P45" s="2">
        <f t="shared" si="12"/>
        <v>8.9490330109255662</v>
      </c>
      <c r="Q45" s="2">
        <f t="shared" si="13"/>
        <v>4.1473774348354262E-3</v>
      </c>
      <c r="S45" s="19">
        <f t="shared" si="14"/>
        <v>16.165070778700908</v>
      </c>
      <c r="T45" s="19">
        <f t="shared" si="15"/>
        <v>16.198038418839182</v>
      </c>
      <c r="V45">
        <f t="shared" si="4"/>
        <v>8.0549081438289413E-2</v>
      </c>
      <c r="W45">
        <f t="shared" si="5"/>
        <v>9.8431662696980685E-2</v>
      </c>
      <c r="X45">
        <f t="shared" si="6"/>
        <v>0.11081451009007756</v>
      </c>
      <c r="Z45">
        <f t="shared" si="7"/>
        <v>1.7495544742059055E-5</v>
      </c>
      <c r="AA45">
        <f t="shared" si="8"/>
        <v>2.1587382336468585E-5</v>
      </c>
      <c r="AB45">
        <f t="shared" si="9"/>
        <v>2.4468628159422109E-5</v>
      </c>
    </row>
    <row r="46" spans="1:28" x14ac:dyDescent="0.3">
      <c r="A46">
        <v>44</v>
      </c>
      <c r="B46" t="s">
        <v>108</v>
      </c>
      <c r="C46" t="s">
        <v>109</v>
      </c>
      <c r="D46" s="17">
        <v>45113.125</v>
      </c>
      <c r="E46">
        <v>0</v>
      </c>
      <c r="F46">
        <v>5.04</v>
      </c>
      <c r="G46">
        <v>2.6460424341485801E-2</v>
      </c>
      <c r="H46">
        <v>1.1827649257821599E-3</v>
      </c>
      <c r="I46">
        <v>5.2500841947392398E-3</v>
      </c>
      <c r="J46">
        <v>6000</v>
      </c>
      <c r="K46">
        <v>525</v>
      </c>
      <c r="L46">
        <v>524.96</v>
      </c>
      <c r="N46">
        <f t="shared" si="10"/>
        <v>3105622554549.2607</v>
      </c>
      <c r="O46" s="18">
        <f t="shared" si="11"/>
        <v>1.7902011481442839E-3</v>
      </c>
      <c r="P46" s="2">
        <f t="shared" si="12"/>
        <v>10.741206888865703</v>
      </c>
      <c r="Q46" s="2">
        <f t="shared" si="13"/>
        <v>2.7163394272767508E-3</v>
      </c>
      <c r="S46" s="19">
        <f t="shared" si="14"/>
        <v>16.198038418839182</v>
      </c>
      <c r="T46" s="19">
        <f t="shared" si="15"/>
        <v>16.224498843180669</v>
      </c>
      <c r="V46">
        <f t="shared" si="4"/>
        <v>7.4922708949035341E-2</v>
      </c>
      <c r="W46">
        <f t="shared" si="5"/>
        <v>8.7628446770496957E-2</v>
      </c>
      <c r="X46">
        <f t="shared" si="6"/>
        <v>9.662409256369503E-2</v>
      </c>
      <c r="Z46">
        <f t="shared" si="7"/>
        <v>1.2979664511257222E-5</v>
      </c>
      <c r="AA46">
        <f t="shared" si="8"/>
        <v>1.5284661169619977E-5</v>
      </c>
      <c r="AB46">
        <f t="shared" si="9"/>
        <v>1.6936087480632362E-5</v>
      </c>
    </row>
    <row r="47" spans="1:28" x14ac:dyDescent="0.3">
      <c r="A47">
        <v>45</v>
      </c>
      <c r="B47" t="s">
        <v>110</v>
      </c>
      <c r="C47" t="s">
        <v>111</v>
      </c>
      <c r="D47" s="17">
        <v>45113.261805555558</v>
      </c>
      <c r="E47">
        <v>0</v>
      </c>
      <c r="F47">
        <v>3.94</v>
      </c>
      <c r="G47">
        <v>2.06862048730426E-2</v>
      </c>
      <c r="H47">
        <v>9.2893214371627905E-4</v>
      </c>
      <c r="I47">
        <v>5.2503058053407804E-3</v>
      </c>
      <c r="J47">
        <v>7200</v>
      </c>
      <c r="K47">
        <v>515</v>
      </c>
      <c r="L47">
        <v>514.98</v>
      </c>
      <c r="N47">
        <f t="shared" si="10"/>
        <v>2985053993009.4678</v>
      </c>
      <c r="O47" s="18">
        <f t="shared" si="11"/>
        <v>1.6991801390630033E-3</v>
      </c>
      <c r="P47" s="2">
        <f t="shared" si="12"/>
        <v>12.234097001253623</v>
      </c>
      <c r="Q47" s="2">
        <f t="shared" si="13"/>
        <v>1.8413767364421196E-3</v>
      </c>
      <c r="S47" s="19">
        <f t="shared" si="14"/>
        <v>16.224498843180669</v>
      </c>
      <c r="T47" s="19">
        <f t="shared" si="15"/>
        <v>16.245185048053713</v>
      </c>
      <c r="V47">
        <f t="shared" si="4"/>
        <v>6.5875607072145223E-2</v>
      </c>
      <c r="W47">
        <f t="shared" si="5"/>
        <v>7.5085727812781042E-2</v>
      </c>
      <c r="X47">
        <f t="shared" si="6"/>
        <v>8.1769462856585817E-2</v>
      </c>
      <c r="Z47">
        <f t="shared" si="7"/>
        <v>9.4646759187632151E-6</v>
      </c>
      <c r="AA47">
        <f t="shared" si="8"/>
        <v>1.0840864511273537E-5</v>
      </c>
      <c r="AB47">
        <f t="shared" si="9"/>
        <v>1.1848165292166496E-5</v>
      </c>
    </row>
    <row r="48" spans="1:28" x14ac:dyDescent="0.3">
      <c r="A48">
        <v>46</v>
      </c>
      <c r="B48" t="s">
        <v>112</v>
      </c>
      <c r="C48" t="s">
        <v>113</v>
      </c>
      <c r="D48" s="17">
        <v>45113.382638888892</v>
      </c>
      <c r="E48">
        <v>0</v>
      </c>
      <c r="F48">
        <v>2.64</v>
      </c>
      <c r="G48">
        <v>1.3863649895154199E-2</v>
      </c>
      <c r="H48">
        <v>6.2392714194585896E-4</v>
      </c>
      <c r="I48">
        <v>5.2513825360432798E-3</v>
      </c>
      <c r="J48">
        <v>8400</v>
      </c>
      <c r="K48">
        <v>505</v>
      </c>
      <c r="L48">
        <v>503.72</v>
      </c>
      <c r="N48">
        <f t="shared" si="10"/>
        <v>2851146843477.7695</v>
      </c>
      <c r="O48" s="18">
        <f t="shared" si="11"/>
        <v>1.5997647058651066E-3</v>
      </c>
      <c r="P48" s="2">
        <f t="shared" si="12"/>
        <v>13.438023529266896</v>
      </c>
      <c r="Q48" s="2">
        <f t="shared" si="13"/>
        <v>1.1146184007879369E-3</v>
      </c>
      <c r="S48" s="19">
        <f t="shared" si="14"/>
        <v>16.245185048053713</v>
      </c>
      <c r="T48" s="19">
        <f t="shared" si="15"/>
        <v>16.259048697948867</v>
      </c>
      <c r="V48">
        <f t="shared" si="4"/>
        <v>4.7523829904920017E-2</v>
      </c>
      <c r="W48">
        <f t="shared" si="5"/>
        <v>5.4406736297313352E-2</v>
      </c>
      <c r="X48">
        <f t="shared" si="6"/>
        <v>5.8780963132412462E-2</v>
      </c>
      <c r="Z48">
        <f t="shared" si="7"/>
        <v>5.7964512579910845E-6</v>
      </c>
      <c r="AA48">
        <f t="shared" si="8"/>
        <v>6.6598519273278671E-6</v>
      </c>
      <c r="AB48">
        <f t="shared" si="9"/>
        <v>7.2118328770616833E-6</v>
      </c>
    </row>
    <row r="49" spans="1:28" s="4" customFormat="1" x14ac:dyDescent="0.3">
      <c r="A49" s="4">
        <v>47</v>
      </c>
      <c r="B49" s="4" t="s">
        <v>114</v>
      </c>
      <c r="C49" s="4" t="s">
        <v>115</v>
      </c>
      <c r="D49" s="24">
        <v>45113.459722222222</v>
      </c>
      <c r="E49" s="4">
        <v>0</v>
      </c>
      <c r="F49" s="4">
        <v>0</v>
      </c>
      <c r="G49" s="4">
        <v>0</v>
      </c>
      <c r="H49" s="4">
        <v>0</v>
      </c>
      <c r="I49" s="4">
        <v>5.2522174112137098E-3</v>
      </c>
      <c r="J49" s="4">
        <v>3600</v>
      </c>
      <c r="K49" s="4">
        <v>460</v>
      </c>
      <c r="L49" s="4">
        <v>460.01</v>
      </c>
      <c r="N49" s="4">
        <f t="shared" si="10"/>
        <v>2354186971156.1348</v>
      </c>
      <c r="O49" s="5">
        <f t="shared" si="11"/>
        <v>1.2465878477350481E-3</v>
      </c>
      <c r="P49" s="6">
        <f t="shared" si="12"/>
        <v>4.4877162518461731</v>
      </c>
      <c r="Q49" s="6">
        <f t="shared" ref="Q49:Q50" si="17">G49/((O49*J49)-1) + (Q48*EXP(-P49))</f>
        <v>1.2535330933558158E-5</v>
      </c>
      <c r="S49" s="7">
        <f t="shared" si="14"/>
        <v>16.259048697948867</v>
      </c>
      <c r="T49" s="7">
        <f t="shared" si="15"/>
        <v>16.259048697948867</v>
      </c>
      <c r="V49" s="4">
        <f t="shared" si="4"/>
        <v>-4.6474058255947318E-3</v>
      </c>
      <c r="W49" s="4">
        <f t="shared" si="5"/>
        <v>0</v>
      </c>
      <c r="X49" s="4">
        <f t="shared" si="6"/>
        <v>5.2024333659329965E-5</v>
      </c>
      <c r="Z49" s="4">
        <f t="shared" si="7"/>
        <v>-1.2879555493788958E-6</v>
      </c>
      <c r="AA49" s="4">
        <f t="shared" si="8"/>
        <v>0</v>
      </c>
      <c r="AB49" s="4">
        <f t="shared" si="9"/>
        <v>1.4451579714429196E-8</v>
      </c>
    </row>
    <row r="50" spans="1:28" s="4" customFormat="1" x14ac:dyDescent="0.3">
      <c r="A50" s="4">
        <v>48</v>
      </c>
      <c r="B50" s="4" t="s">
        <v>116</v>
      </c>
      <c r="C50" s="4" t="s">
        <v>117</v>
      </c>
      <c r="D50" s="24">
        <v>45113.536111111112</v>
      </c>
      <c r="E50" s="4">
        <v>0</v>
      </c>
      <c r="F50" s="4">
        <v>0</v>
      </c>
      <c r="G50" s="4">
        <v>0</v>
      </c>
      <c r="H50" s="4">
        <v>0</v>
      </c>
      <c r="I50" s="4">
        <v>5.2532530735360204E-3</v>
      </c>
      <c r="J50" s="4">
        <v>3600</v>
      </c>
      <c r="K50" s="4">
        <v>470</v>
      </c>
      <c r="L50" s="4">
        <v>470.01</v>
      </c>
      <c r="N50" s="4">
        <f t="shared" si="10"/>
        <v>2464529243539.7246</v>
      </c>
      <c r="O50" s="5">
        <f t="shared" si="11"/>
        <v>1.3228197554151979E-3</v>
      </c>
      <c r="P50" s="6">
        <f t="shared" si="12"/>
        <v>4.7621511194947121</v>
      </c>
      <c r="Q50" s="6">
        <f t="shared" si="17"/>
        <v>1.0714202507858758E-7</v>
      </c>
      <c r="S50" s="7">
        <f t="shared" si="14"/>
        <v>16.259048697948867</v>
      </c>
      <c r="T50" s="7">
        <f t="shared" si="15"/>
        <v>16.259048697948867</v>
      </c>
      <c r="V50" s="4">
        <f t="shared" si="4"/>
        <v>-5.2027040331435791E-5</v>
      </c>
      <c r="W50" s="4">
        <f t="shared" si="5"/>
        <v>0</v>
      </c>
      <c r="X50" s="4">
        <f t="shared" si="6"/>
        <v>4.4466256943426057E-7</v>
      </c>
      <c r="Z50" s="4">
        <f t="shared" si="7"/>
        <v>-1.4451579714430074E-8</v>
      </c>
      <c r="AA50" s="4">
        <f t="shared" si="8"/>
        <v>0</v>
      </c>
      <c r="AB50" s="4">
        <f t="shared" si="9"/>
        <v>1.2351740785959078E-10</v>
      </c>
    </row>
    <row r="51" spans="1:28" x14ac:dyDescent="0.3">
      <c r="A51">
        <v>49</v>
      </c>
      <c r="B51" t="s">
        <v>118</v>
      </c>
      <c r="C51" t="s">
        <v>119</v>
      </c>
      <c r="D51" s="17">
        <v>45113.612500000003</v>
      </c>
      <c r="E51">
        <v>0</v>
      </c>
      <c r="F51">
        <v>0.53200000000000003</v>
      </c>
      <c r="G51">
        <v>2.7957600967233299E-3</v>
      </c>
      <c r="H51">
        <v>1.2601670970654701E-4</v>
      </c>
      <c r="I51">
        <v>5.2551881517355799E-3</v>
      </c>
      <c r="J51">
        <v>3600</v>
      </c>
      <c r="K51">
        <v>480</v>
      </c>
      <c r="L51">
        <v>480</v>
      </c>
      <c r="N51">
        <f t="shared" si="10"/>
        <v>2576792998460.7334</v>
      </c>
      <c r="O51" s="18">
        <f t="shared" si="11"/>
        <v>1.4016724764544376E-3</v>
      </c>
      <c r="P51" s="2">
        <f t="shared" si="12"/>
        <v>5.0460209152359754</v>
      </c>
      <c r="Q51" s="2">
        <f t="shared" si="13"/>
        <v>6.90990025828938E-4</v>
      </c>
      <c r="S51" s="19">
        <f t="shared" si="14"/>
        <v>16.259048697948867</v>
      </c>
      <c r="T51" s="19">
        <f t="shared" si="15"/>
        <v>16.261844458045591</v>
      </c>
      <c r="V51">
        <f t="shared" si="4"/>
        <v>1.1602569374071078E-2</v>
      </c>
      <c r="W51">
        <f t="shared" si="5"/>
        <v>1.1603008877412205E-2</v>
      </c>
      <c r="X51">
        <f t="shared" si="6"/>
        <v>1.447076688472233E-2</v>
      </c>
      <c r="Z51">
        <f t="shared" si="7"/>
        <v>3.2417789999065927E-6</v>
      </c>
      <c r="AA51">
        <f t="shared" si="8"/>
        <v>3.2419025173144334E-6</v>
      </c>
      <c r="AB51">
        <f t="shared" si="9"/>
        <v>4.0490248881009496E-6</v>
      </c>
    </row>
    <row r="52" spans="1:28" x14ac:dyDescent="0.3">
      <c r="A52">
        <v>50</v>
      </c>
      <c r="B52" t="s">
        <v>120</v>
      </c>
      <c r="C52" t="s">
        <v>121</v>
      </c>
      <c r="D52" s="17">
        <v>45113.673611111109</v>
      </c>
      <c r="E52">
        <v>0</v>
      </c>
      <c r="F52">
        <v>0.61499999999999999</v>
      </c>
      <c r="G52">
        <v>3.23289263972338E-3</v>
      </c>
      <c r="H52">
        <v>1.45707554387487E-4</v>
      </c>
      <c r="I52">
        <v>5.2567359995502197E-3</v>
      </c>
      <c r="J52">
        <v>3600</v>
      </c>
      <c r="K52">
        <v>490</v>
      </c>
      <c r="L52">
        <v>489.95</v>
      </c>
      <c r="N52">
        <f t="shared" si="10"/>
        <v>2690568471610.9492</v>
      </c>
      <c r="O52" s="18">
        <f t="shared" si="11"/>
        <v>1.4829010192547805E-3</v>
      </c>
      <c r="P52" s="2">
        <f t="shared" si="12"/>
        <v>5.3384436693172095</v>
      </c>
      <c r="Q52" s="2">
        <f t="shared" si="13"/>
        <v>7.4517335849889628E-4</v>
      </c>
      <c r="S52" s="19">
        <f t="shared" si="14"/>
        <v>16.261844458045591</v>
      </c>
      <c r="T52" s="19">
        <f t="shared" si="15"/>
        <v>16.265077350685313</v>
      </c>
      <c r="V52">
        <f t="shared" si="4"/>
        <v>1.0704345525469941E-2</v>
      </c>
      <c r="W52">
        <f t="shared" si="5"/>
        <v>1.3574710935520708E-2</v>
      </c>
      <c r="X52">
        <f t="shared" si="6"/>
        <v>1.6703646556265349E-2</v>
      </c>
      <c r="Z52">
        <f t="shared" si="7"/>
        <v>2.9894581078055704E-6</v>
      </c>
      <c r="AA52">
        <f t="shared" si="8"/>
        <v>3.7965804785921022E-6</v>
      </c>
      <c r="AB52">
        <f t="shared" si="9"/>
        <v>4.6790904696994856E-6</v>
      </c>
    </row>
    <row r="53" spans="1:28" x14ac:dyDescent="0.3">
      <c r="A53">
        <v>51</v>
      </c>
      <c r="B53" t="s">
        <v>122</v>
      </c>
      <c r="C53" t="s">
        <v>123</v>
      </c>
      <c r="D53" s="17">
        <v>45113.776388888888</v>
      </c>
      <c r="E53">
        <v>0</v>
      </c>
      <c r="F53">
        <v>0.95299999999999996</v>
      </c>
      <c r="G53">
        <v>5.0360717088200196E-3</v>
      </c>
      <c r="H53">
        <v>2.2568116122341999E-4</v>
      </c>
      <c r="I53">
        <v>5.2844404079958303E-3</v>
      </c>
      <c r="J53">
        <v>3600</v>
      </c>
      <c r="K53">
        <v>500</v>
      </c>
      <c r="L53">
        <v>499.99</v>
      </c>
      <c r="N53">
        <f t="shared" si="10"/>
        <v>2807298824077.5527</v>
      </c>
      <c r="O53" s="18">
        <f t="shared" si="11"/>
        <v>1.5675974808414901E-3</v>
      </c>
      <c r="P53" s="2">
        <f t="shared" si="12"/>
        <v>5.6433509310293646</v>
      </c>
      <c r="Q53" s="2">
        <f t="shared" si="13"/>
        <v>1.0845770185419939E-3</v>
      </c>
      <c r="S53" s="19">
        <f t="shared" si="14"/>
        <v>16.265077350685313</v>
      </c>
      <c r="T53" s="19">
        <f t="shared" si="15"/>
        <v>16.270113422394132</v>
      </c>
      <c r="V53">
        <f t="shared" si="4"/>
        <v>1.8323275254379788E-2</v>
      </c>
      <c r="W53">
        <f t="shared" si="5"/>
        <v>2.1437148455081646E-2</v>
      </c>
      <c r="X53">
        <f t="shared" si="6"/>
        <v>2.6053889419419943E-2</v>
      </c>
      <c r="Z53">
        <f t="shared" si="7"/>
        <v>5.1370071378370152E-6</v>
      </c>
      <c r="AA53">
        <f t="shared" si="8"/>
        <v>6.0195171289443867E-6</v>
      </c>
      <c r="AB53">
        <f t="shared" si="9"/>
        <v>7.3331402267404543E-6</v>
      </c>
    </row>
    <row r="54" spans="1:28" x14ac:dyDescent="0.3">
      <c r="A54">
        <v>52</v>
      </c>
      <c r="B54" t="s">
        <v>124</v>
      </c>
      <c r="C54" t="s">
        <v>125</v>
      </c>
      <c r="D54" s="17">
        <v>45113.862500000003</v>
      </c>
      <c r="E54">
        <v>0</v>
      </c>
      <c r="F54">
        <v>0.96399999999999997</v>
      </c>
      <c r="G54">
        <v>5.1669385535343896E-3</v>
      </c>
      <c r="H54">
        <v>2.2793017137128101E-4</v>
      </c>
      <c r="I54">
        <v>5.3598947650771696E-3</v>
      </c>
      <c r="J54">
        <v>3600</v>
      </c>
      <c r="K54">
        <v>505</v>
      </c>
      <c r="L54">
        <v>505.02</v>
      </c>
      <c r="N54">
        <f t="shared" si="10"/>
        <v>2866489290434.896</v>
      </c>
      <c r="O54" s="18">
        <f t="shared" si="11"/>
        <v>1.6110652207501242E-3</v>
      </c>
      <c r="P54" s="2">
        <f t="shared" si="12"/>
        <v>5.7998347947004474</v>
      </c>
      <c r="Q54" s="2">
        <f t="shared" si="13"/>
        <v>1.0764825821170483E-3</v>
      </c>
      <c r="S54" s="19">
        <f t="shared" si="14"/>
        <v>16.270113422394132</v>
      </c>
      <c r="T54" s="19">
        <f t="shared" si="15"/>
        <v>16.275280360947665</v>
      </c>
      <c r="V54">
        <f t="shared" si="4"/>
        <v>1.7842333216113209E-2</v>
      </c>
      <c r="W54">
        <f t="shared" si="5"/>
        <v>2.2476034083176978E-2</v>
      </c>
      <c r="X54">
        <f t="shared" si="6"/>
        <v>2.7158702350841734E-2</v>
      </c>
      <c r="Z54">
        <f t="shared" si="7"/>
        <v>5.0009518636482407E-6</v>
      </c>
      <c r="AA54">
        <f t="shared" si="8"/>
        <v>6.3145749614442948E-6</v>
      </c>
      <c r="AB54">
        <f t="shared" si="9"/>
        <v>7.6484211994849414E-6</v>
      </c>
    </row>
    <row r="55" spans="1:28" ht="15" thickBot="1" x14ac:dyDescent="0.35">
      <c r="A55" t="s">
        <v>144</v>
      </c>
      <c r="G55">
        <v>16.5</v>
      </c>
    </row>
    <row r="56" spans="1:28" x14ac:dyDescent="0.3">
      <c r="B56" s="8" t="s">
        <v>132</v>
      </c>
      <c r="C56" s="9"/>
      <c r="D56" s="9"/>
      <c r="E56" s="10"/>
    </row>
    <row r="57" spans="1:28" x14ac:dyDescent="0.3">
      <c r="B57" s="11" t="s">
        <v>133</v>
      </c>
      <c r="C57">
        <v>6.1699999999999998E-2</v>
      </c>
      <c r="E57" s="12"/>
    </row>
    <row r="58" spans="1:28" x14ac:dyDescent="0.3">
      <c r="B58" s="11" t="s">
        <v>134</v>
      </c>
      <c r="C58">
        <v>9.1700000000000004E-2</v>
      </c>
      <c r="E58" s="12"/>
    </row>
    <row r="59" spans="1:28" x14ac:dyDescent="0.3">
      <c r="B59" s="11" t="s">
        <v>135</v>
      </c>
      <c r="C59">
        <f>2/((LN(C58/C57)*((C57/2)^2)))</f>
        <v>5303.5057570467325</v>
      </c>
      <c r="E59" s="12"/>
    </row>
    <row r="60" spans="1:28" ht="58.2" thickBot="1" x14ac:dyDescent="0.35">
      <c r="B60" s="13" t="s">
        <v>136</v>
      </c>
      <c r="C60" s="14">
        <v>1.3621000000000001E-22</v>
      </c>
      <c r="D60" s="15"/>
      <c r="E6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A8FF-312F-4968-8CF6-3E2CF3117191}">
  <dimension ref="A1:AC57"/>
  <sheetViews>
    <sheetView topLeftCell="P1" workbookViewId="0">
      <selection activeCell="J12" sqref="J12"/>
    </sheetView>
  </sheetViews>
  <sheetFormatPr defaultRowHeight="14.4" x14ac:dyDescent="0.3"/>
  <sheetData>
    <row r="1" spans="1:29" ht="16.8" x14ac:dyDescent="0.35">
      <c r="A1">
        <v>3</v>
      </c>
      <c r="D1" t="s">
        <v>0</v>
      </c>
      <c r="E1" s="2" t="s">
        <v>128</v>
      </c>
      <c r="F1" t="s">
        <v>137</v>
      </c>
      <c r="G1" t="s">
        <v>138</v>
      </c>
      <c r="H1" t="s">
        <v>139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Q1" t="s">
        <v>1</v>
      </c>
      <c r="R1" t="s">
        <v>2</v>
      </c>
      <c r="S1" t="s">
        <v>3</v>
      </c>
      <c r="T1" t="s">
        <v>4</v>
      </c>
      <c r="U1" t="s">
        <v>6</v>
      </c>
      <c r="V1" s="1" t="s">
        <v>140</v>
      </c>
      <c r="X1" t="s">
        <v>1</v>
      </c>
      <c r="Y1" t="s">
        <v>2</v>
      </c>
      <c r="Z1" t="s">
        <v>3</v>
      </c>
      <c r="AA1" t="s">
        <v>4</v>
      </c>
      <c r="AB1" t="s">
        <v>6</v>
      </c>
      <c r="AC1" s="1" t="s">
        <v>140</v>
      </c>
    </row>
    <row r="2" spans="1:29" x14ac:dyDescent="0.3">
      <c r="J2" t="s">
        <v>141</v>
      </c>
      <c r="Q2" t="s">
        <v>142</v>
      </c>
      <c r="X2" t="s">
        <v>143</v>
      </c>
    </row>
    <row r="3" spans="1:29" x14ac:dyDescent="0.3">
      <c r="A3" t="s">
        <v>7</v>
      </c>
      <c r="B3" t="s">
        <v>8</v>
      </c>
      <c r="C3" t="s">
        <v>9</v>
      </c>
      <c r="D3">
        <v>0</v>
      </c>
      <c r="E3">
        <v>0</v>
      </c>
      <c r="G3">
        <v>0</v>
      </c>
    </row>
    <row r="4" spans="1:29" s="22" customFormat="1" x14ac:dyDescent="0.3">
      <c r="A4" s="22">
        <v>0</v>
      </c>
      <c r="B4" s="22" cm="1">
        <f t="array" ref="B4:B56">ReducedGalTS230630!L2:L54</f>
        <v>200</v>
      </c>
      <c r="C4" s="22" cm="1">
        <f t="array" ref="C4:C56">ReducedGalTS230630!J2:J54</f>
        <v>14400</v>
      </c>
      <c r="D4" s="23" cm="1">
        <f t="array" ref="D4:D56">ReducedGalTS230630!T2:T54</f>
        <v>1.64588363585302E-2</v>
      </c>
      <c r="E4" s="28" cm="1">
        <f t="array" ref="E4:F56">ReducedGalTS230630!P2:Q54</f>
        <v>1.7837531085209026</v>
      </c>
      <c r="F4" s="28">
        <v>2.1000026895703527E-2</v>
      </c>
      <c r="G4" s="23">
        <f>D4/$D$57</f>
        <v>9.9750523385031507E-4</v>
      </c>
      <c r="H4" s="23">
        <f t="shared" ref="H4:H35" si="0">(D4+F4)/$D$57</f>
        <v>2.2702341366202259E-3</v>
      </c>
      <c r="J4" s="22">
        <f t="shared" ref="J4:J35" si="1">((G4^2-G3^2)*PI())/(36*C4)</f>
        <v>6.0299713125004992E-12</v>
      </c>
      <c r="K4" s="23">
        <f t="shared" ref="K4:K39" si="2">(1/(PI()*PI()*C4))*(-(G4-G3)*PI()*PI()/3-2*PI()*(SQRT(1-PI()/3*G4)-SQRT(1-PI()/3*G3)))</f>
        <v>6.0331227768666482E-12</v>
      </c>
      <c r="L4" s="23">
        <f t="shared" ref="L4:L35" si="3">(1/(PI()^2*C4))*LN((1-G3)/(1-G4))</f>
        <v>7.0221425461307393E-9</v>
      </c>
      <c r="M4" s="23">
        <f t="shared" ref="M4:M35" si="4">(G4&lt;0.05)*J4+((G4&gt;=0.05)*(G4&lt;0.9))*K4+(G4&gt;=0.9)*L4</f>
        <v>6.0299713125004992E-12</v>
      </c>
      <c r="N4" s="22">
        <f t="shared" ref="N4:N35" si="5">10000/(273+B4)</f>
        <v>21.141649048625794</v>
      </c>
      <c r="O4" s="22">
        <f>LN(M4)</f>
        <v>-25.834278862663375</v>
      </c>
      <c r="Q4" s="23">
        <f t="shared" ref="Q4:Q35" si="6">((G4^2-H3^2)*PI())/(36*C4)</f>
        <v>6.0299713125004992E-12</v>
      </c>
      <c r="R4" s="22">
        <f t="shared" ref="R4:R39" si="7">(1/(PI()*PI()*C4))*(-(G4-H3)*PI()*PI()/3-2*PI()*(SQRT(1-PI()/3*G4)-SQRT(1-PI()/3*H3)))</f>
        <v>6.0331227768666482E-12</v>
      </c>
      <c r="S4" s="22">
        <f t="shared" ref="S4:S35" si="8">(1/(PI()^2*C4))*LN((1-H3)/(1-G4))</f>
        <v>7.0221425461307393E-9</v>
      </c>
      <c r="T4" s="22">
        <f t="shared" ref="T4:T35" si="9">(G4&lt;0.05)*Q4+((G4&gt;=0.05)*(G4&lt;0.9))*R4+(G4&gt;=0.9)*S4</f>
        <v>6.0299713125004992E-12</v>
      </c>
      <c r="U4" s="22">
        <f>LN(T4)</f>
        <v>-25.834278862663375</v>
      </c>
      <c r="V4" s="22">
        <f>IFERROR(O4-U4,5)</f>
        <v>0</v>
      </c>
      <c r="X4" s="23">
        <f t="shared" ref="X4:X35" si="10">((H4^2-G3^2)*PI())/(36*C4)</f>
        <v>3.1233897391719579E-11</v>
      </c>
      <c r="Y4" s="23">
        <f t="shared" ref="Y4:Y39" si="11">(1/(PI()*PI()*C4))*(-(H4-G3)*PI()*PI()/3-2*PI()*(SQRT(1-PI()/3*H4)-SQRT(1-PI()/3*G3)))</f>
        <v>3.1271080125050207E-11</v>
      </c>
      <c r="Z4" s="23">
        <f t="shared" ref="Z4:Z35" si="12">(1/(PI()^2*C4))*LN((1-G3)/(1-H4))</f>
        <v>1.599196587052813E-8</v>
      </c>
      <c r="AA4" s="23">
        <f>(H4&lt;0.05)*X4+((H4&gt;=0.05)*(H4&lt;0.9))*Y4+(H4&gt;=0.9)*Z4</f>
        <v>3.1233897391719579E-11</v>
      </c>
      <c r="AB4" s="22">
        <f>LN(AA4)</f>
        <v>-24.18951715601526</v>
      </c>
      <c r="AC4" s="22">
        <f>AB4-O4</f>
        <v>1.6447617066481151</v>
      </c>
    </row>
    <row r="5" spans="1:29" s="22" customFormat="1" x14ac:dyDescent="0.3">
      <c r="A5" s="22">
        <v>1</v>
      </c>
      <c r="B5" s="22">
        <v>27.0199999999999</v>
      </c>
      <c r="C5" s="22">
        <v>3600</v>
      </c>
      <c r="D5" s="22">
        <v>1.6925921055537946E-2</v>
      </c>
      <c r="E5" s="22">
        <v>1.3517837162880806E-2</v>
      </c>
      <c r="F5" s="22">
        <v>-4.7348519274227228E-4</v>
      </c>
      <c r="G5" s="23">
        <f t="shared" ref="G5:G56" si="13">D5/$D$57</f>
        <v>1.0258133973053301E-3</v>
      </c>
      <c r="H5" s="23">
        <f t="shared" si="0"/>
        <v>9.9711732501791953E-4</v>
      </c>
      <c r="J5" s="22">
        <f t="shared" si="1"/>
        <v>1.3884199533224396E-12</v>
      </c>
      <c r="K5" s="23">
        <f t="shared" si="2"/>
        <v>1.3895241838798294E-12</v>
      </c>
      <c r="L5" s="23">
        <f t="shared" si="3"/>
        <v>7.9753367353629002E-10</v>
      </c>
      <c r="M5" s="23">
        <f t="shared" si="4"/>
        <v>1.3884199533224396E-12</v>
      </c>
      <c r="N5" s="22">
        <f t="shared" si="5"/>
        <v>33.33111125924939</v>
      </c>
      <c r="O5" s="22">
        <f t="shared" ref="O5:O56" si="14">LN(M5)</f>
        <v>-27.302854739575416</v>
      </c>
      <c r="Q5" s="22">
        <f t="shared" si="6"/>
        <v>-9.9427284363553901E-11</v>
      </c>
      <c r="R5" s="22">
        <f t="shared" si="7"/>
        <v>-9.9562305208809011E-11</v>
      </c>
      <c r="S5" s="22">
        <f t="shared" si="8"/>
        <v>-3.5081759624054967E-8</v>
      </c>
      <c r="T5" s="22">
        <f t="shared" si="9"/>
        <v>-9.9427284363553901E-11</v>
      </c>
      <c r="U5" s="22" t="e">
        <f t="shared" ref="U5:U56" si="15">LN(T5)</f>
        <v>#NUM!</v>
      </c>
      <c r="V5" s="22">
        <f t="shared" ref="V5:V56" si="16">IFERROR(O5-U5,5)</f>
        <v>5</v>
      </c>
      <c r="X5" s="23">
        <f t="shared" si="10"/>
        <v>-1.8755785874433818E-14</v>
      </c>
      <c r="Y5" s="23">
        <f t="shared" si="11"/>
        <v>-1.8770482214820803E-14</v>
      </c>
      <c r="Z5" s="23">
        <f t="shared" si="12"/>
        <v>-1.0928505243076532E-11</v>
      </c>
      <c r="AA5" s="23">
        <f t="shared" ref="AA5:AA56" si="17">(H5&lt;0.05)*X5+((H5&gt;=0.05)*(H5&lt;0.9))*Y5+(H5&gt;=0.9)*Z5</f>
        <v>-1.8755785874433818E-14</v>
      </c>
      <c r="AB5" s="22" t="e">
        <f t="shared" ref="AB5:AB56" si="18">LN(AA5)</f>
        <v>#NUM!</v>
      </c>
      <c r="AC5" s="22" t="e">
        <f t="shared" ref="AC5:AC56" si="19">AB5-O5</f>
        <v>#NUM!</v>
      </c>
    </row>
    <row r="6" spans="1:29" s="22" customFormat="1" x14ac:dyDescent="0.3">
      <c r="A6" s="22">
        <v>2</v>
      </c>
      <c r="B6" s="22">
        <v>250</v>
      </c>
      <c r="C6" s="22">
        <v>3600</v>
      </c>
      <c r="D6" s="22">
        <v>5.8927631427712249E-2</v>
      </c>
      <c r="E6" s="22">
        <v>0.81639319707221514</v>
      </c>
      <c r="F6" s="22">
        <v>-0.22875900948340225</v>
      </c>
      <c r="G6" s="23">
        <f t="shared" si="13"/>
        <v>3.5713716016795303E-3</v>
      </c>
      <c r="H6" s="23">
        <f t="shared" si="0"/>
        <v>-1.0292810791253939E-2</v>
      </c>
      <c r="J6" s="22">
        <f t="shared" si="1"/>
        <v>2.8367422935866571E-10</v>
      </c>
      <c r="K6" s="23">
        <f t="shared" si="2"/>
        <v>2.8424003501270006E-10</v>
      </c>
      <c r="L6" s="23">
        <f t="shared" si="3"/>
        <v>7.1809257502259301E-8</v>
      </c>
      <c r="M6" s="23">
        <f t="shared" si="4"/>
        <v>2.8367422935866571E-10</v>
      </c>
      <c r="N6" s="22">
        <f t="shared" si="5"/>
        <v>19.120458891013385</v>
      </c>
      <c r="O6" s="22">
        <f t="shared" si="14"/>
        <v>-21.983194615889836</v>
      </c>
      <c r="Q6" s="22">
        <f t="shared" si="6"/>
        <v>2.8508140509786256E-10</v>
      </c>
      <c r="R6" s="22">
        <f t="shared" si="7"/>
        <v>2.8564832967880938E-10</v>
      </c>
      <c r="S6" s="22">
        <f t="shared" si="8"/>
        <v>7.2617719681037355E-8</v>
      </c>
      <c r="T6" s="22">
        <f t="shared" si="9"/>
        <v>2.8508140509786256E-10</v>
      </c>
      <c r="U6" s="22">
        <f t="shared" si="15"/>
        <v>-21.978246344522603</v>
      </c>
      <c r="V6" s="22">
        <f t="shared" si="16"/>
        <v>-4.9482713672333034E-3</v>
      </c>
      <c r="X6" s="23">
        <f t="shared" si="10"/>
        <v>2.542597129556099E-9</v>
      </c>
      <c r="Y6" s="23">
        <f t="shared" si="11"/>
        <v>2.5288356599221005E-9</v>
      </c>
      <c r="Z6" s="23">
        <f t="shared" si="12"/>
        <v>-3.1709422512214921E-7</v>
      </c>
      <c r="AA6" s="23">
        <f t="shared" si="17"/>
        <v>2.542597129556099E-9</v>
      </c>
      <c r="AB6" s="22">
        <f t="shared" si="18"/>
        <v>-19.79007978635358</v>
      </c>
      <c r="AC6" s="22">
        <f t="shared" si="19"/>
        <v>2.1931148295362561</v>
      </c>
    </row>
    <row r="7" spans="1:29" s="22" customFormat="1" x14ac:dyDescent="0.3">
      <c r="A7" s="22">
        <v>3</v>
      </c>
      <c r="B7" s="22">
        <v>260</v>
      </c>
      <c r="C7" s="22">
        <v>3600</v>
      </c>
      <c r="D7" s="22">
        <v>0.15128584731595546</v>
      </c>
      <c r="E7" s="22">
        <v>0.90989544227214725</v>
      </c>
      <c r="F7" s="22">
        <v>-1.0250115889497764</v>
      </c>
      <c r="G7" s="23">
        <f t="shared" si="13"/>
        <v>9.1688392312700272E-3</v>
      </c>
      <c r="H7" s="23">
        <f t="shared" si="0"/>
        <v>-5.2953075250534602E-2</v>
      </c>
      <c r="J7" s="22">
        <f t="shared" si="1"/>
        <v>1.7286739078057633E-9</v>
      </c>
      <c r="K7" s="23">
        <f t="shared" si="2"/>
        <v>1.7379368261094973E-9</v>
      </c>
      <c r="L7" s="23">
        <f t="shared" si="3"/>
        <v>1.5854985302066305E-7</v>
      </c>
      <c r="M7" s="23">
        <f t="shared" si="4"/>
        <v>1.7286739078057633E-9</v>
      </c>
      <c r="N7" s="22">
        <f t="shared" si="5"/>
        <v>18.761726078799249</v>
      </c>
      <c r="O7" s="22">
        <f t="shared" si="14"/>
        <v>-20.17591124964888</v>
      </c>
      <c r="Q7" s="22">
        <f t="shared" si="6"/>
        <v>-5.3024899239166996E-10</v>
      </c>
      <c r="R7" s="22">
        <f t="shared" si="7"/>
        <v>-5.0665879879995203E-10</v>
      </c>
      <c r="S7" s="22">
        <f t="shared" si="8"/>
        <v>5.4745333564507178E-7</v>
      </c>
      <c r="T7" s="22">
        <f t="shared" si="9"/>
        <v>-5.3024899239166996E-10</v>
      </c>
      <c r="U7" s="22" t="e">
        <f t="shared" si="15"/>
        <v>#NUM!</v>
      </c>
      <c r="V7" s="22">
        <f t="shared" si="16"/>
        <v>5</v>
      </c>
      <c r="X7" s="23">
        <f t="shared" si="10"/>
        <v>6.7662378622838634E-8</v>
      </c>
      <c r="Y7" s="23">
        <f t="shared" si="11"/>
        <v>6.5840089670554749E-8</v>
      </c>
      <c r="Z7" s="23">
        <f t="shared" si="12"/>
        <v>-1.5529282064054506E-6</v>
      </c>
      <c r="AA7" s="23">
        <f t="shared" si="17"/>
        <v>6.7662378622838634E-8</v>
      </c>
      <c r="AB7" s="22">
        <f t="shared" si="18"/>
        <v>-16.508735518686535</v>
      </c>
      <c r="AC7" s="22">
        <f t="shared" si="19"/>
        <v>3.6671757309623452</v>
      </c>
    </row>
    <row r="8" spans="1:29" s="22" customFormat="1" x14ac:dyDescent="0.3">
      <c r="A8" s="22">
        <v>4</v>
      </c>
      <c r="B8" s="22">
        <v>269.99</v>
      </c>
      <c r="C8" s="22">
        <v>3600</v>
      </c>
      <c r="D8" s="22">
        <v>0.30568409346294545</v>
      </c>
      <c r="E8" s="22">
        <v>1.0103094325931856</v>
      </c>
      <c r="F8" s="22">
        <v>14.976405806178406</v>
      </c>
      <c r="G8" s="23">
        <f t="shared" si="13"/>
        <v>1.8526308694723968E-2</v>
      </c>
      <c r="H8" s="23">
        <f t="shared" si="0"/>
        <v>0.92618726664493034</v>
      </c>
      <c r="J8" s="22">
        <f t="shared" si="1"/>
        <v>6.2821308617445427E-9</v>
      </c>
      <c r="K8" s="23">
        <f t="shared" si="2"/>
        <v>6.3539873297151155E-9</v>
      </c>
      <c r="L8" s="23">
        <f t="shared" si="3"/>
        <v>2.6706402097899203E-7</v>
      </c>
      <c r="M8" s="23">
        <f t="shared" si="4"/>
        <v>6.2821308617445427E-9</v>
      </c>
      <c r="N8" s="22">
        <f t="shared" si="5"/>
        <v>18.416545424409289</v>
      </c>
      <c r="O8" s="22">
        <f t="shared" si="14"/>
        <v>-18.885556604823659</v>
      </c>
      <c r="Q8" s="22">
        <f t="shared" si="6"/>
        <v>-5.9651573853288322E-8</v>
      </c>
      <c r="R8" s="22">
        <f t="shared" si="7"/>
        <v>-5.7748165514731604E-8</v>
      </c>
      <c r="S8" s="22">
        <f t="shared" si="8"/>
        <v>1.9785420804051104E-6</v>
      </c>
      <c r="T8" s="22">
        <f t="shared" si="9"/>
        <v>-5.9651573853288322E-8</v>
      </c>
      <c r="U8" s="22" t="e">
        <f t="shared" si="15"/>
        <v>#NUM!</v>
      </c>
      <c r="V8" s="22">
        <f t="shared" si="16"/>
        <v>5</v>
      </c>
      <c r="X8" s="23">
        <f t="shared" si="10"/>
        <v>2.0792174896158103E-5</v>
      </c>
      <c r="Y8" s="23">
        <f t="shared" si="11"/>
        <v>6.0398836931063929E-5</v>
      </c>
      <c r="Z8" s="23">
        <f t="shared" si="12"/>
        <v>7.3092338926017078E-5</v>
      </c>
      <c r="AA8" s="23">
        <f t="shared" si="17"/>
        <v>7.3092338926017078E-5</v>
      </c>
      <c r="AB8" s="22">
        <f t="shared" si="18"/>
        <v>-9.5237869993543889</v>
      </c>
      <c r="AC8" s="22">
        <f t="shared" si="19"/>
        <v>9.3617696054692701</v>
      </c>
    </row>
    <row r="9" spans="1:29" s="22" customFormat="1" x14ac:dyDescent="0.3">
      <c r="A9" s="22">
        <v>5</v>
      </c>
      <c r="B9" s="22">
        <v>279.99</v>
      </c>
      <c r="C9" s="22">
        <v>3600</v>
      </c>
      <c r="D9" s="22">
        <v>0.53091831405386447</v>
      </c>
      <c r="E9" s="22">
        <v>1.1180528258898472</v>
      </c>
      <c r="F9" s="22">
        <v>1.9079104535886386</v>
      </c>
      <c r="G9" s="23">
        <f t="shared" si="13"/>
        <v>3.217686751841603E-2</v>
      </c>
      <c r="H9" s="23">
        <f t="shared" si="0"/>
        <v>0.14780780409954566</v>
      </c>
      <c r="J9" s="22">
        <f t="shared" si="1"/>
        <v>1.6777624405211273E-8</v>
      </c>
      <c r="K9" s="23">
        <f t="shared" si="2"/>
        <v>1.7127884605599694E-8</v>
      </c>
      <c r="L9" s="23">
        <f t="shared" si="3"/>
        <v>3.9419154464608486E-7</v>
      </c>
      <c r="M9" s="23">
        <f t="shared" si="4"/>
        <v>1.6777624405211273E-8</v>
      </c>
      <c r="N9" s="22">
        <f t="shared" si="5"/>
        <v>18.083509647552397</v>
      </c>
      <c r="O9" s="22">
        <f t="shared" si="14"/>
        <v>-17.903219718920738</v>
      </c>
      <c r="Q9" s="22">
        <f t="shared" si="6"/>
        <v>-2.0769115140891149E-5</v>
      </c>
      <c r="R9" s="22">
        <f t="shared" si="7"/>
        <v>-6.037535505912862E-5</v>
      </c>
      <c r="S9" s="22">
        <f t="shared" si="8"/>
        <v>-7.2431083360391992E-5</v>
      </c>
      <c r="T9" s="22">
        <f t="shared" si="9"/>
        <v>-2.0769115140891149E-5</v>
      </c>
      <c r="U9" s="22" t="e">
        <f t="shared" si="15"/>
        <v>#NUM!</v>
      </c>
      <c r="V9" s="22">
        <f t="shared" si="16"/>
        <v>5</v>
      </c>
      <c r="X9" s="23">
        <f t="shared" si="10"/>
        <v>5.2126979949058033E-7</v>
      </c>
      <c r="Y9" s="23">
        <f t="shared" si="11"/>
        <v>5.6662550507458092E-7</v>
      </c>
      <c r="Z9" s="23">
        <f t="shared" si="12"/>
        <v>3.9752557337087609E-6</v>
      </c>
      <c r="AA9" s="23">
        <f t="shared" si="17"/>
        <v>5.6662550507458092E-7</v>
      </c>
      <c r="AB9" s="22">
        <f t="shared" si="18"/>
        <v>-14.383567236312169</v>
      </c>
      <c r="AC9" s="22">
        <f t="shared" si="19"/>
        <v>3.5196524826085689</v>
      </c>
    </row>
    <row r="10" spans="1:29" s="22" customFormat="1" x14ac:dyDescent="0.3">
      <c r="A10" s="22">
        <v>6</v>
      </c>
      <c r="B10" s="22">
        <v>290</v>
      </c>
      <c r="C10" s="22">
        <v>3600</v>
      </c>
      <c r="D10" s="22">
        <v>0.82614235941392244</v>
      </c>
      <c r="E10" s="22">
        <v>1.2333555046810785</v>
      </c>
      <c r="F10" s="22">
        <v>1.265125696364154</v>
      </c>
      <c r="G10" s="23">
        <f t="shared" si="13"/>
        <v>5.0069233903874084E-2</v>
      </c>
      <c r="H10" s="23">
        <f t="shared" si="0"/>
        <v>0.12674351853200463</v>
      </c>
      <c r="J10" s="22">
        <f t="shared" si="1"/>
        <v>3.5672042342023947E-8</v>
      </c>
      <c r="K10" s="23">
        <f t="shared" si="2"/>
        <v>3.688743463508083E-8</v>
      </c>
      <c r="L10" s="23">
        <f t="shared" si="3"/>
        <v>5.2518856267327407E-7</v>
      </c>
      <c r="M10" s="23">
        <f t="shared" si="4"/>
        <v>3.688743463508083E-8</v>
      </c>
      <c r="N10" s="22">
        <f t="shared" si="5"/>
        <v>17.761989342806395</v>
      </c>
      <c r="O10" s="22">
        <f t="shared" si="14"/>
        <v>-17.11539486868622</v>
      </c>
      <c r="Q10" s="22">
        <f t="shared" si="6"/>
        <v>-4.6882013274334509E-7</v>
      </c>
      <c r="R10" s="22">
        <f t="shared" si="7"/>
        <v>-5.1261018583390083E-7</v>
      </c>
      <c r="S10" s="22">
        <f t="shared" si="8"/>
        <v>-3.0558756263893952E-6</v>
      </c>
      <c r="T10" s="22">
        <f t="shared" si="9"/>
        <v>-5.1261018583390083E-7</v>
      </c>
      <c r="U10" s="22" t="e">
        <f t="shared" si="15"/>
        <v>#NUM!</v>
      </c>
      <c r="V10" s="22">
        <f t="shared" si="16"/>
        <v>5</v>
      </c>
      <c r="X10" s="23">
        <f t="shared" si="10"/>
        <v>3.6430278533729423E-7</v>
      </c>
      <c r="Y10" s="23">
        <f t="shared" si="11"/>
        <v>3.9207747043635065E-7</v>
      </c>
      <c r="Z10" s="23">
        <f t="shared" si="12"/>
        <v>2.8938469998219231E-6</v>
      </c>
      <c r="AA10" s="23">
        <f t="shared" si="17"/>
        <v>3.9207747043635065E-7</v>
      </c>
      <c r="AB10" s="22">
        <f t="shared" si="18"/>
        <v>-14.75180638801776</v>
      </c>
      <c r="AC10" s="22">
        <f t="shared" si="19"/>
        <v>2.3635884806684597</v>
      </c>
    </row>
    <row r="11" spans="1:29" s="22" customFormat="1" x14ac:dyDescent="0.3">
      <c r="A11" s="22">
        <v>7</v>
      </c>
      <c r="B11" s="22">
        <v>300</v>
      </c>
      <c r="C11" s="22">
        <v>3600</v>
      </c>
      <c r="D11" s="22">
        <v>0.84190016527780631</v>
      </c>
      <c r="E11" s="22">
        <v>1.3561860446675191</v>
      </c>
      <c r="F11" s="22">
        <v>4.4240379711094471E-2</v>
      </c>
      <c r="G11" s="23">
        <f t="shared" si="13"/>
        <v>5.1024252441079172E-2</v>
      </c>
      <c r="H11" s="23">
        <f t="shared" si="0"/>
        <v>5.37054875750849E-2</v>
      </c>
      <c r="J11" s="22">
        <f t="shared" si="1"/>
        <v>2.3403448025559427E-9</v>
      </c>
      <c r="K11" s="23">
        <f t="shared" si="2"/>
        <v>2.4375556820708287E-9</v>
      </c>
      <c r="L11" s="23">
        <f t="shared" si="3"/>
        <v>2.8309747991105452E-8</v>
      </c>
      <c r="M11" s="23">
        <f t="shared" si="4"/>
        <v>2.4375556820708287E-9</v>
      </c>
      <c r="N11" s="22">
        <f t="shared" si="5"/>
        <v>17.452006980802793</v>
      </c>
      <c r="O11" s="22">
        <f t="shared" si="14"/>
        <v>-19.832270069390972</v>
      </c>
      <c r="Q11" s="22">
        <f t="shared" si="6"/>
        <v>-3.262903981927144E-7</v>
      </c>
      <c r="R11" s="22">
        <f t="shared" si="7"/>
        <v>-3.5275248011919789E-7</v>
      </c>
      <c r="S11" s="22">
        <f t="shared" si="8"/>
        <v>-2.3403486891575415E-6</v>
      </c>
      <c r="T11" s="22">
        <f t="shared" si="9"/>
        <v>-3.5275248011919789E-7</v>
      </c>
      <c r="U11" s="22" t="e">
        <f t="shared" si="15"/>
        <v>#NUM!</v>
      </c>
      <c r="V11" s="22">
        <f t="shared" si="16"/>
        <v>5</v>
      </c>
      <c r="X11" s="23">
        <f t="shared" si="10"/>
        <v>9.1472515069947004E-9</v>
      </c>
      <c r="Y11" s="23">
        <f t="shared" si="11"/>
        <v>9.5379208856052677E-9</v>
      </c>
      <c r="Z11" s="23">
        <f t="shared" si="12"/>
        <v>1.0794251253124908E-7</v>
      </c>
      <c r="AA11" s="23">
        <f t="shared" si="17"/>
        <v>9.5379208856052677E-9</v>
      </c>
      <c r="AB11" s="22">
        <f t="shared" si="18"/>
        <v>-18.467990311757195</v>
      </c>
      <c r="AC11" s="22">
        <f t="shared" si="19"/>
        <v>1.3642797576337777</v>
      </c>
    </row>
    <row r="12" spans="1:29" s="22" customFormat="1" x14ac:dyDescent="0.3">
      <c r="A12" s="22">
        <v>8</v>
      </c>
      <c r="B12" s="22">
        <v>329.99</v>
      </c>
      <c r="C12" s="22">
        <v>3600</v>
      </c>
      <c r="D12" s="22">
        <v>1.7115458501289003</v>
      </c>
      <c r="E12" s="22">
        <v>1.7722122261390105</v>
      </c>
      <c r="F12" s="22">
        <v>1.1261744575053436</v>
      </c>
      <c r="G12" s="23">
        <f t="shared" si="13"/>
        <v>0.10373005152296365</v>
      </c>
      <c r="H12" s="23">
        <f t="shared" si="0"/>
        <v>0.17198304894752994</v>
      </c>
      <c r="J12" s="22">
        <f t="shared" si="1"/>
        <v>1.9771790932706778E-7</v>
      </c>
      <c r="K12" s="23">
        <f t="shared" si="2"/>
        <v>2.11181089682976E-7</v>
      </c>
      <c r="L12" s="23">
        <f t="shared" si="3"/>
        <v>1.6082371804812677E-6</v>
      </c>
      <c r="M12" s="23">
        <f t="shared" si="4"/>
        <v>2.11181089682976E-7</v>
      </c>
      <c r="N12" s="22">
        <f t="shared" si="5"/>
        <v>16.584022952287764</v>
      </c>
      <c r="O12" s="22">
        <f t="shared" si="14"/>
        <v>-15.370549826608935</v>
      </c>
      <c r="Q12" s="22">
        <f t="shared" si="6"/>
        <v>1.90911002622629E-7</v>
      </c>
      <c r="R12" s="22">
        <f t="shared" si="7"/>
        <v>2.0408072447944181E-7</v>
      </c>
      <c r="S12" s="22">
        <f t="shared" si="8"/>
        <v>1.52860441594112E-6</v>
      </c>
      <c r="T12" s="22">
        <f t="shared" si="9"/>
        <v>2.0408072447944181E-7</v>
      </c>
      <c r="U12" s="22">
        <f t="shared" si="15"/>
        <v>-15.404750213141492</v>
      </c>
      <c r="V12" s="22">
        <f t="shared" si="16"/>
        <v>3.4200386532557303E-2</v>
      </c>
      <c r="X12" s="23">
        <f t="shared" si="10"/>
        <v>6.5388505385167309E-7</v>
      </c>
      <c r="Y12" s="23">
        <f t="shared" si="11"/>
        <v>7.2503416545206084E-7</v>
      </c>
      <c r="Z12" s="23">
        <f t="shared" si="12"/>
        <v>3.8375290238710735E-6</v>
      </c>
      <c r="AA12" s="23">
        <f t="shared" si="17"/>
        <v>7.2503416545206084E-7</v>
      </c>
      <c r="AB12" s="22">
        <f t="shared" si="18"/>
        <v>-14.13704705844061</v>
      </c>
      <c r="AC12" s="22">
        <f t="shared" si="19"/>
        <v>1.233502768168325</v>
      </c>
    </row>
    <row r="13" spans="1:29" s="22" customFormat="1" x14ac:dyDescent="0.3">
      <c r="A13" s="22">
        <v>9</v>
      </c>
      <c r="B13" s="22">
        <v>360</v>
      </c>
      <c r="C13" s="22">
        <v>3600</v>
      </c>
      <c r="D13" s="22">
        <v>3.2552586063417603</v>
      </c>
      <c r="E13" s="22">
        <v>2.2635663662497998</v>
      </c>
      <c r="F13" s="22">
        <v>1.2217108633514204</v>
      </c>
      <c r="G13" s="23">
        <f t="shared" si="13"/>
        <v>0.19728840038434911</v>
      </c>
      <c r="H13" s="23">
        <f t="shared" si="0"/>
        <v>0.27133148301170795</v>
      </c>
      <c r="J13" s="22">
        <f t="shared" si="1"/>
        <v>6.8268527844543536E-7</v>
      </c>
      <c r="K13" s="23">
        <f t="shared" si="2"/>
        <v>7.7968471574144463E-7</v>
      </c>
      <c r="L13" s="23">
        <f t="shared" si="3"/>
        <v>3.1028529929820014E-6</v>
      </c>
      <c r="M13" s="23">
        <f t="shared" si="4"/>
        <v>7.7968471574144463E-7</v>
      </c>
      <c r="N13" s="22">
        <f t="shared" si="5"/>
        <v>15.797788309636651</v>
      </c>
      <c r="O13" s="22">
        <f t="shared" si="14"/>
        <v>-14.064376209565786</v>
      </c>
      <c r="Q13" s="22">
        <f t="shared" si="6"/>
        <v>2.2651813392082995E-7</v>
      </c>
      <c r="R13" s="22">
        <f t="shared" si="7"/>
        <v>2.6583163997235746E-7</v>
      </c>
      <c r="S13" s="22">
        <f t="shared" si="8"/>
        <v>8.7356114959219978E-7</v>
      </c>
      <c r="T13" s="22">
        <f t="shared" si="9"/>
        <v>2.6583163997235746E-7</v>
      </c>
      <c r="U13" s="22">
        <f t="shared" si="15"/>
        <v>-15.14040266098575</v>
      </c>
      <c r="V13" s="22">
        <f t="shared" si="16"/>
        <v>1.0760264514199633</v>
      </c>
      <c r="X13" s="23">
        <f t="shared" si="10"/>
        <v>1.5237900063540524E-6</v>
      </c>
      <c r="Y13" s="23">
        <f t="shared" si="11"/>
        <v>1.8185646188325864E-6</v>
      </c>
      <c r="Z13" s="23">
        <f t="shared" si="12"/>
        <v>5.8266077898696814E-6</v>
      </c>
      <c r="AA13" s="23">
        <f t="shared" si="17"/>
        <v>1.8185646188325864E-6</v>
      </c>
      <c r="AB13" s="22">
        <f t="shared" si="18"/>
        <v>-13.217463039011243</v>
      </c>
      <c r="AC13" s="22">
        <f t="shared" si="19"/>
        <v>0.84691317055454363</v>
      </c>
    </row>
    <row r="14" spans="1:29" s="22" customFormat="1" x14ac:dyDescent="0.3">
      <c r="A14" s="22">
        <v>10</v>
      </c>
      <c r="B14" s="22">
        <v>390.02</v>
      </c>
      <c r="C14" s="22">
        <v>3600</v>
      </c>
      <c r="D14" s="22">
        <v>5.3938616853953105</v>
      </c>
      <c r="E14" s="22">
        <v>2.8340877822831736</v>
      </c>
      <c r="F14" s="22">
        <v>1.1660309281332757</v>
      </c>
      <c r="G14" s="23">
        <f t="shared" si="13"/>
        <v>0.32690070820577638</v>
      </c>
      <c r="H14" s="23">
        <f t="shared" si="0"/>
        <v>0.39756924930476278</v>
      </c>
      <c r="J14" s="22">
        <f t="shared" si="1"/>
        <v>1.6469450444646403E-6</v>
      </c>
      <c r="K14" s="23">
        <f t="shared" si="2"/>
        <v>2.1037526717534892E-6</v>
      </c>
      <c r="L14" s="23">
        <f t="shared" si="3"/>
        <v>4.9563688946174503E-6</v>
      </c>
      <c r="M14" s="23">
        <f t="shared" si="4"/>
        <v>2.1037526717534892E-6</v>
      </c>
      <c r="N14" s="22">
        <f t="shared" si="5"/>
        <v>15.082501282012609</v>
      </c>
      <c r="O14" s="22">
        <f t="shared" si="14"/>
        <v>-13.071787821446485</v>
      </c>
      <c r="Q14" s="22">
        <f t="shared" si="6"/>
        <v>8.0584031655602335E-7</v>
      </c>
      <c r="R14" s="22">
        <f t="shared" si="7"/>
        <v>1.0648727686623451E-6</v>
      </c>
      <c r="S14" s="22">
        <f t="shared" si="8"/>
        <v>2.2326140977297759E-6</v>
      </c>
      <c r="T14" s="22">
        <f t="shared" si="9"/>
        <v>1.0648727686623451E-6</v>
      </c>
      <c r="U14" s="22">
        <f t="shared" si="15"/>
        <v>-13.752655231984269</v>
      </c>
      <c r="V14" s="22">
        <f t="shared" si="16"/>
        <v>0.68086741053778432</v>
      </c>
      <c r="X14" s="23">
        <f t="shared" si="10"/>
        <v>2.8880010418213191E-6</v>
      </c>
      <c r="Y14" s="23">
        <f t="shared" si="11"/>
        <v>3.8696942313547572E-6</v>
      </c>
      <c r="Z14" s="23">
        <f t="shared" si="12"/>
        <v>8.0781908767412516E-6</v>
      </c>
      <c r="AA14" s="23">
        <f t="shared" si="17"/>
        <v>3.8696942313547572E-6</v>
      </c>
      <c r="AB14" s="22">
        <f t="shared" si="18"/>
        <v>-12.462335064029888</v>
      </c>
      <c r="AC14" s="22">
        <f t="shared" si="19"/>
        <v>0.60945275741659621</v>
      </c>
    </row>
    <row r="15" spans="1:29" s="22" customFormat="1" x14ac:dyDescent="0.3">
      <c r="A15" s="22">
        <v>11</v>
      </c>
      <c r="B15" s="22">
        <v>424.98</v>
      </c>
      <c r="C15" s="22">
        <v>3600</v>
      </c>
      <c r="D15" s="22">
        <v>8.6642904802480203</v>
      </c>
      <c r="E15" s="22">
        <v>3.6022801012430294</v>
      </c>
      <c r="F15" s="22">
        <v>1.2567551023006811</v>
      </c>
      <c r="G15" s="23">
        <f t="shared" si="13"/>
        <v>0.52510851395442548</v>
      </c>
      <c r="H15" s="23">
        <f t="shared" si="0"/>
        <v>0.60127548985143653</v>
      </c>
      <c r="J15" s="22">
        <f t="shared" si="1"/>
        <v>4.0936425722496273E-6</v>
      </c>
      <c r="K15" s="23">
        <f t="shared" si="2"/>
        <v>6.4169150709062831E-6</v>
      </c>
      <c r="L15" s="23">
        <f t="shared" si="3"/>
        <v>9.8170806149465345E-6</v>
      </c>
      <c r="M15" s="23">
        <f t="shared" si="4"/>
        <v>6.4169150709062831E-6</v>
      </c>
      <c r="N15" s="22">
        <f t="shared" si="5"/>
        <v>14.327058081893464</v>
      </c>
      <c r="O15" s="22">
        <f t="shared" si="14"/>
        <v>-11.956573074298863</v>
      </c>
      <c r="Q15" s="22">
        <f t="shared" si="6"/>
        <v>2.8525865748929483E-6</v>
      </c>
      <c r="R15" s="22">
        <f t="shared" si="7"/>
        <v>4.6509735113050193E-6</v>
      </c>
      <c r="S15" s="22">
        <f t="shared" si="8"/>
        <v>6.6952586328227324E-6</v>
      </c>
      <c r="T15" s="22">
        <f t="shared" si="9"/>
        <v>4.6509735113050193E-6</v>
      </c>
      <c r="U15" s="22">
        <f t="shared" si="15"/>
        <v>-12.278434003007288</v>
      </c>
      <c r="V15" s="22">
        <f t="shared" si="16"/>
        <v>0.32186092870842486</v>
      </c>
      <c r="X15" s="23">
        <f t="shared" si="10"/>
        <v>6.1733299612335537E-6</v>
      </c>
      <c r="Y15" s="23">
        <f t="shared" si="11"/>
        <v>1.0388586915506881E-5</v>
      </c>
      <c r="Z15" s="23">
        <f t="shared" si="12"/>
        <v>1.4737226030262611E-5</v>
      </c>
      <c r="AA15" s="23">
        <f t="shared" si="17"/>
        <v>1.0388586915506881E-5</v>
      </c>
      <c r="AB15" s="22">
        <f t="shared" si="18"/>
        <v>-11.474802766384862</v>
      </c>
      <c r="AC15" s="22">
        <f t="shared" si="19"/>
        <v>0.48177030791400099</v>
      </c>
    </row>
    <row r="16" spans="1:29" s="22" customFormat="1" x14ac:dyDescent="0.3">
      <c r="A16" s="22">
        <v>12</v>
      </c>
      <c r="B16" s="22">
        <v>414.99</v>
      </c>
      <c r="C16" s="22">
        <v>3600</v>
      </c>
      <c r="D16" s="22">
        <v>9.5199133705552299</v>
      </c>
      <c r="E16" s="22">
        <v>3.3711420291979253</v>
      </c>
      <c r="F16" s="22">
        <v>0.36084843496137442</v>
      </c>
      <c r="G16" s="23">
        <f t="shared" si="13"/>
        <v>0.57696444670031699</v>
      </c>
      <c r="H16" s="23">
        <f t="shared" si="0"/>
        <v>0.59883404881918811</v>
      </c>
      <c r="J16" s="22">
        <f t="shared" si="1"/>
        <v>1.3853313701106089E-6</v>
      </c>
      <c r="K16" s="23">
        <f t="shared" si="2"/>
        <v>2.5852371439567462E-6</v>
      </c>
      <c r="L16" s="23">
        <f t="shared" si="3"/>
        <v>3.2543829896067688E-6</v>
      </c>
      <c r="M16" s="23">
        <f t="shared" si="4"/>
        <v>2.5852371439567462E-6</v>
      </c>
      <c r="N16" s="22">
        <f t="shared" si="5"/>
        <v>14.535094986845738</v>
      </c>
      <c r="O16" s="22">
        <f t="shared" si="14"/>
        <v>-12.865693315737035</v>
      </c>
      <c r="Q16" s="22">
        <f t="shared" si="6"/>
        <v>-6.9435601887331795E-7</v>
      </c>
      <c r="R16" s="22">
        <f t="shared" si="7"/>
        <v>-1.3864347006438487E-6</v>
      </c>
      <c r="S16" s="22">
        <f t="shared" si="8"/>
        <v>-1.6657624257093066E-6</v>
      </c>
      <c r="T16" s="22">
        <f t="shared" si="9"/>
        <v>-1.3864347006438487E-6</v>
      </c>
      <c r="U16" s="22" t="e">
        <f t="shared" si="15"/>
        <v>#NUM!</v>
      </c>
      <c r="V16" s="22">
        <f t="shared" si="16"/>
        <v>5</v>
      </c>
      <c r="X16" s="23">
        <f t="shared" si="10"/>
        <v>2.0086622654009648E-6</v>
      </c>
      <c r="Y16" s="23">
        <f t="shared" si="11"/>
        <v>3.8269043407525064E-6</v>
      </c>
      <c r="Z16" s="23">
        <f t="shared" si="12"/>
        <v>4.7483368467178231E-6</v>
      </c>
      <c r="AA16" s="23">
        <f t="shared" si="17"/>
        <v>3.8269043407525064E-6</v>
      </c>
      <c r="AB16" s="22">
        <f t="shared" si="18"/>
        <v>-12.473454347716961</v>
      </c>
      <c r="AC16" s="22">
        <f t="shared" si="19"/>
        <v>0.39223896802007374</v>
      </c>
    </row>
    <row r="17" spans="1:29" s="22" customFormat="1" x14ac:dyDescent="0.3">
      <c r="A17" s="22">
        <v>13</v>
      </c>
      <c r="B17" s="22">
        <v>405.01</v>
      </c>
      <c r="C17" s="22">
        <v>3600</v>
      </c>
      <c r="D17" s="22">
        <v>10.545994914129601</v>
      </c>
      <c r="E17" s="22">
        <v>3.1495666051021933</v>
      </c>
      <c r="F17" s="22">
        <v>0.47734345199579831</v>
      </c>
      <c r="G17" s="23">
        <f t="shared" si="13"/>
        <v>0.63915120691694549</v>
      </c>
      <c r="H17" s="23">
        <f t="shared" si="0"/>
        <v>0.66808111309850904</v>
      </c>
      <c r="J17" s="22">
        <f t="shared" si="1"/>
        <v>1.8332330639233754E-6</v>
      </c>
      <c r="K17" s="23">
        <f t="shared" si="2"/>
        <v>3.8053788924734572E-6</v>
      </c>
      <c r="L17" s="23">
        <f t="shared" si="3"/>
        <v>4.4749404485826048E-6</v>
      </c>
      <c r="M17" s="23">
        <f t="shared" si="4"/>
        <v>3.8053788924734572E-6</v>
      </c>
      <c r="N17" s="22">
        <f t="shared" si="5"/>
        <v>14.749044999336293</v>
      </c>
      <c r="O17" s="22">
        <f t="shared" si="14"/>
        <v>-12.479094994085546</v>
      </c>
      <c r="Q17" s="22">
        <f t="shared" si="6"/>
        <v>1.2099021686330198E-6</v>
      </c>
      <c r="R17" s="22">
        <f t="shared" si="7"/>
        <v>2.5637116956776965E-6</v>
      </c>
      <c r="S17" s="22">
        <f t="shared" si="8"/>
        <v>2.9809865914715433E-6</v>
      </c>
      <c r="T17" s="22">
        <f t="shared" si="9"/>
        <v>2.5637116956776965E-6</v>
      </c>
      <c r="U17" s="22">
        <f t="shared" si="15"/>
        <v>-12.874054468411485</v>
      </c>
      <c r="V17" s="22">
        <f t="shared" si="16"/>
        <v>0.39495947432593859</v>
      </c>
      <c r="X17" s="23">
        <f t="shared" si="10"/>
        <v>2.7499698806309793E-6</v>
      </c>
      <c r="Y17" s="23">
        <f t="shared" si="11"/>
        <v>5.8967553307868728E-6</v>
      </c>
      <c r="Z17" s="23">
        <f t="shared" si="12"/>
        <v>6.8269539010311475E-6</v>
      </c>
      <c r="AA17" s="23">
        <f t="shared" si="17"/>
        <v>5.8967553307868728E-6</v>
      </c>
      <c r="AB17" s="22">
        <f t="shared" si="18"/>
        <v>-12.041108302261659</v>
      </c>
      <c r="AC17" s="22">
        <f t="shared" si="19"/>
        <v>0.4379866918238875</v>
      </c>
    </row>
    <row r="18" spans="1:29" s="22" customFormat="1" x14ac:dyDescent="0.3">
      <c r="A18" s="22">
        <v>14</v>
      </c>
      <c r="B18" s="22">
        <v>395</v>
      </c>
      <c r="C18" s="22">
        <v>4800</v>
      </c>
      <c r="D18" s="22">
        <v>11.024045270439851</v>
      </c>
      <c r="E18" s="22">
        <v>3.9154729953192984</v>
      </c>
      <c r="F18" s="22">
        <v>0.16397008549821798</v>
      </c>
      <c r="G18" s="23">
        <f t="shared" si="13"/>
        <v>0.66812395578423345</v>
      </c>
      <c r="H18" s="23">
        <f t="shared" si="0"/>
        <v>0.67806153672351932</v>
      </c>
      <c r="J18" s="22">
        <f t="shared" si="1"/>
        <v>6.8859338534001819E-7</v>
      </c>
      <c r="K18" s="23">
        <f t="shared" si="2"/>
        <v>1.5709857664226649E-6</v>
      </c>
      <c r="L18" s="23">
        <f t="shared" si="3"/>
        <v>1.7667348713879103E-6</v>
      </c>
      <c r="M18" s="23">
        <f t="shared" si="4"/>
        <v>1.5709857664226649E-6</v>
      </c>
      <c r="N18" s="22">
        <f t="shared" si="5"/>
        <v>14.970059880239521</v>
      </c>
      <c r="O18" s="22">
        <f t="shared" si="14"/>
        <v>-13.36380725893383</v>
      </c>
      <c r="Q18" s="22">
        <f t="shared" si="6"/>
        <v>1.0407728093150628E-9</v>
      </c>
      <c r="R18" s="22">
        <f t="shared" si="7"/>
        <v>2.4534376876017449E-9</v>
      </c>
      <c r="S18" s="22">
        <f t="shared" si="8"/>
        <v>2.7247820514979029E-9</v>
      </c>
      <c r="T18" s="22">
        <f t="shared" si="9"/>
        <v>2.4534376876017449E-9</v>
      </c>
      <c r="U18" s="22">
        <f t="shared" si="15"/>
        <v>-19.82577565807112</v>
      </c>
      <c r="V18" s="22">
        <f t="shared" si="16"/>
        <v>6.4619683991372892</v>
      </c>
      <c r="X18" s="23">
        <f t="shared" si="10"/>
        <v>9.318091488740216E-7</v>
      </c>
      <c r="Y18" s="23">
        <f t="shared" si="11"/>
        <v>2.1512213721176252E-6</v>
      </c>
      <c r="Z18" s="23">
        <f t="shared" si="12"/>
        <v>2.4084593207824121E-6</v>
      </c>
      <c r="AA18" s="23">
        <f t="shared" si="17"/>
        <v>2.1512213721176252E-6</v>
      </c>
      <c r="AB18" s="22">
        <f t="shared" si="18"/>
        <v>-13.049474797066384</v>
      </c>
      <c r="AC18" s="22">
        <f t="shared" si="19"/>
        <v>0.3143324618674459</v>
      </c>
    </row>
    <row r="19" spans="1:29" x14ac:dyDescent="0.3">
      <c r="A19">
        <v>15</v>
      </c>
      <c r="B19">
        <v>385</v>
      </c>
      <c r="C19">
        <v>6000</v>
      </c>
      <c r="D19">
        <v>11.320871106935909</v>
      </c>
      <c r="E19">
        <v>4.5550638293176311</v>
      </c>
      <c r="F19">
        <v>8.3493813542310308E-2</v>
      </c>
      <c r="G19" s="18">
        <f t="shared" si="13"/>
        <v>0.68611340042035818</v>
      </c>
      <c r="H19" s="18">
        <f t="shared" si="0"/>
        <v>0.69117363154413447</v>
      </c>
      <c r="J19">
        <f t="shared" si="1"/>
        <v>3.5433060617859049E-7</v>
      </c>
      <c r="K19" s="18">
        <f t="shared" si="2"/>
        <v>8.5374748044394876E-7</v>
      </c>
      <c r="L19" s="18">
        <f t="shared" si="3"/>
        <v>9.4110096845802364E-7</v>
      </c>
      <c r="M19" s="18">
        <f t="shared" si="4"/>
        <v>8.5374748044394876E-7</v>
      </c>
      <c r="N19">
        <f t="shared" si="5"/>
        <v>15.19756838905775</v>
      </c>
      <c r="O19">
        <f t="shared" si="14"/>
        <v>-13.973630377229515</v>
      </c>
      <c r="Q19">
        <f t="shared" si="6"/>
        <v>1.5975799535138773E-7</v>
      </c>
      <c r="R19">
        <f t="shared" si="7"/>
        <v>3.8955899588798054E-7</v>
      </c>
      <c r="S19">
        <f t="shared" si="8"/>
        <v>4.2772140894242113E-7</v>
      </c>
      <c r="T19">
        <f t="shared" si="9"/>
        <v>3.8955899588798054E-7</v>
      </c>
      <c r="U19">
        <f t="shared" si="15"/>
        <v>-14.758250517410948</v>
      </c>
      <c r="V19">
        <f t="shared" si="16"/>
        <v>0.784620140181433</v>
      </c>
      <c r="X19" s="18">
        <f t="shared" si="10"/>
        <v>4.5569628506960573E-7</v>
      </c>
      <c r="Y19" s="18">
        <f t="shared" si="11"/>
        <v>1.1049942438064789E-6</v>
      </c>
      <c r="Z19" s="18">
        <f t="shared" si="12"/>
        <v>1.2155558773592343E-6</v>
      </c>
      <c r="AA19" s="18">
        <f t="shared" si="17"/>
        <v>1.1049942438064789E-6</v>
      </c>
      <c r="AB19">
        <f t="shared" si="18"/>
        <v>-13.715670432233033</v>
      </c>
      <c r="AC19">
        <f t="shared" si="19"/>
        <v>0.25795994499648245</v>
      </c>
    </row>
    <row r="20" spans="1:29" x14ac:dyDescent="0.3">
      <c r="A20">
        <v>16</v>
      </c>
      <c r="B20">
        <v>375</v>
      </c>
      <c r="C20">
        <v>7200</v>
      </c>
      <c r="D20">
        <v>11.521250816978656</v>
      </c>
      <c r="E20">
        <v>5.0770897084229469</v>
      </c>
      <c r="F20">
        <v>4.914773143911385E-2</v>
      </c>
      <c r="G20" s="18">
        <f t="shared" si="13"/>
        <v>0.69825762527143365</v>
      </c>
      <c r="H20" s="18">
        <f t="shared" si="0"/>
        <v>0.70123627566168301</v>
      </c>
      <c r="J20">
        <f t="shared" si="1"/>
        <v>2.0376855993037055E-7</v>
      </c>
      <c r="K20" s="18">
        <f t="shared" si="2"/>
        <v>5.0969191215541176E-7</v>
      </c>
      <c r="L20" s="18">
        <f t="shared" si="3"/>
        <v>5.5527081126246671E-7</v>
      </c>
      <c r="M20" s="18">
        <f t="shared" si="4"/>
        <v>5.0969191215541176E-7</v>
      </c>
      <c r="N20">
        <f t="shared" si="5"/>
        <v>15.432098765432098</v>
      </c>
      <c r="O20">
        <f t="shared" si="14"/>
        <v>-14.489459387579142</v>
      </c>
      <c r="Q20">
        <f t="shared" si="6"/>
        <v>1.1929716085452446E-7</v>
      </c>
      <c r="R20">
        <f t="shared" si="7"/>
        <v>3.0031960935330373E-7</v>
      </c>
      <c r="S20">
        <f t="shared" si="8"/>
        <v>3.2655838717812145E-7</v>
      </c>
      <c r="T20">
        <f t="shared" si="9"/>
        <v>3.0031960935330373E-7</v>
      </c>
      <c r="U20">
        <f t="shared" si="15"/>
        <v>-15.018418564877226</v>
      </c>
      <c r="V20">
        <f t="shared" si="16"/>
        <v>0.52895917729808417</v>
      </c>
      <c r="X20" s="18">
        <f t="shared" si="10"/>
        <v>2.5429345472473803E-7</v>
      </c>
      <c r="Y20" s="18">
        <f t="shared" si="11"/>
        <v>6.38555725624211E-7</v>
      </c>
      <c r="Z20" s="18">
        <f t="shared" si="12"/>
        <v>6.9487659954823332E-7</v>
      </c>
      <c r="AA20" s="18">
        <f t="shared" si="17"/>
        <v>6.38555725624211E-7</v>
      </c>
      <c r="AB20">
        <f t="shared" si="18"/>
        <v>-14.264056889441552</v>
      </c>
      <c r="AC20">
        <f t="shared" si="19"/>
        <v>0.22540249813759061</v>
      </c>
    </row>
    <row r="21" spans="1:29" x14ac:dyDescent="0.3">
      <c r="A21">
        <v>17</v>
      </c>
      <c r="B21">
        <v>380</v>
      </c>
      <c r="C21">
        <v>6600</v>
      </c>
      <c r="D21">
        <v>11.723480749365999</v>
      </c>
      <c r="E21">
        <v>4.8302179497515239</v>
      </c>
      <c r="F21">
        <v>5.2798544375382651E-2</v>
      </c>
      <c r="G21" s="18">
        <f t="shared" si="13"/>
        <v>0.71051398481006056</v>
      </c>
      <c r="H21" s="18">
        <f t="shared" si="0"/>
        <v>0.71371389659038675</v>
      </c>
      <c r="J21">
        <f t="shared" si="1"/>
        <v>2.2829979413080785E-7</v>
      </c>
      <c r="K21" s="18">
        <f t="shared" si="2"/>
        <v>5.8956414769773513E-7</v>
      </c>
      <c r="L21" s="18">
        <f t="shared" si="3"/>
        <v>6.3658258124590467E-7</v>
      </c>
      <c r="M21" s="18">
        <f t="shared" si="4"/>
        <v>5.8956414769773513E-7</v>
      </c>
      <c r="N21">
        <f t="shared" si="5"/>
        <v>15.313935681470138</v>
      </c>
      <c r="O21">
        <f t="shared" si="14"/>
        <v>-14.343882305759818</v>
      </c>
      <c r="Q21">
        <f t="shared" si="6"/>
        <v>1.7318172708240697E-7</v>
      </c>
      <c r="R21">
        <f t="shared" si="7"/>
        <v>4.4898544209540861E-7</v>
      </c>
      <c r="S21">
        <f t="shared" si="8"/>
        <v>4.8428535766143246E-7</v>
      </c>
      <c r="T21">
        <f t="shared" si="9"/>
        <v>4.4898544209540861E-7</v>
      </c>
      <c r="U21">
        <f t="shared" si="15"/>
        <v>-14.616275372679885</v>
      </c>
      <c r="V21">
        <f t="shared" si="16"/>
        <v>0.27239306692006693</v>
      </c>
      <c r="X21" s="18">
        <f t="shared" si="10"/>
        <v>2.8855865605181156E-7</v>
      </c>
      <c r="Y21" s="18">
        <f t="shared" si="11"/>
        <v>7.4844833200440954E-7</v>
      </c>
      <c r="Z21" s="18">
        <f t="shared" si="12"/>
        <v>8.0722152758221236E-7</v>
      </c>
      <c r="AA21" s="18">
        <f t="shared" si="17"/>
        <v>7.4844833200440954E-7</v>
      </c>
      <c r="AB21">
        <f t="shared" si="18"/>
        <v>-14.105263664187543</v>
      </c>
      <c r="AC21">
        <f t="shared" si="19"/>
        <v>0.23861864157227508</v>
      </c>
    </row>
    <row r="22" spans="1:29" x14ac:dyDescent="0.3">
      <c r="A22">
        <v>18</v>
      </c>
      <c r="B22">
        <v>390</v>
      </c>
      <c r="C22">
        <v>5400</v>
      </c>
      <c r="D22">
        <v>11.914120527900058</v>
      </c>
      <c r="E22">
        <v>4.2505209598223708</v>
      </c>
      <c r="F22">
        <v>5.8648992235533152E-2</v>
      </c>
      <c r="G22" s="18">
        <f t="shared" si="13"/>
        <v>0.72206791078182175</v>
      </c>
      <c r="H22" s="18">
        <f t="shared" si="0"/>
        <v>0.72562239515973281</v>
      </c>
      <c r="J22">
        <f t="shared" si="1"/>
        <v>2.6748698224885064E-7</v>
      </c>
      <c r="K22" s="18">
        <f t="shared" si="2"/>
        <v>7.1358986327732802E-7</v>
      </c>
      <c r="L22" s="18">
        <f t="shared" si="3"/>
        <v>7.6422794823092519E-7</v>
      </c>
      <c r="M22" s="18">
        <f t="shared" si="4"/>
        <v>7.1358986327732802E-7</v>
      </c>
      <c r="N22">
        <f t="shared" si="5"/>
        <v>15.082956259426847</v>
      </c>
      <c r="O22">
        <f t="shared" si="14"/>
        <v>-14.152957460830091</v>
      </c>
      <c r="Q22">
        <f t="shared" si="6"/>
        <v>1.9383726212317938E-7</v>
      </c>
      <c r="R22">
        <f t="shared" si="7"/>
        <v>5.1939808245805931E-7</v>
      </c>
      <c r="S22">
        <f t="shared" si="8"/>
        <v>5.5566923604210805E-7</v>
      </c>
      <c r="T22">
        <f t="shared" si="9"/>
        <v>5.1939808245805931E-7</v>
      </c>
      <c r="U22">
        <f t="shared" si="15"/>
        <v>-14.470595229565049</v>
      </c>
      <c r="V22">
        <f t="shared" si="16"/>
        <v>0.31763776873495786</v>
      </c>
      <c r="X22" s="18">
        <f t="shared" si="10"/>
        <v>3.506453369571853E-7</v>
      </c>
      <c r="Y22" s="18">
        <f t="shared" si="11"/>
        <v>9.4020828848516862E-7</v>
      </c>
      <c r="Z22" s="18">
        <f t="shared" si="12"/>
        <v>1.0057386780287172E-6</v>
      </c>
      <c r="AA22" s="18">
        <f t="shared" si="17"/>
        <v>9.4020828848516862E-7</v>
      </c>
      <c r="AB22">
        <f t="shared" si="18"/>
        <v>-13.877164402733499</v>
      </c>
      <c r="AC22">
        <f t="shared" si="19"/>
        <v>0.2757930580965926</v>
      </c>
    </row>
    <row r="23" spans="1:29" s="20" customFormat="1" x14ac:dyDescent="0.3">
      <c r="A23" s="20">
        <v>19</v>
      </c>
      <c r="B23" s="20">
        <v>400.01</v>
      </c>
      <c r="C23" s="20">
        <v>4200</v>
      </c>
      <c r="D23" s="20">
        <v>12.269946234500114</v>
      </c>
      <c r="E23" s="20">
        <v>3.5490422731143769</v>
      </c>
      <c r="F23" s="20">
        <v>0.14127820599792271</v>
      </c>
      <c r="G23" s="21">
        <f t="shared" si="13"/>
        <v>0.74363310512121905</v>
      </c>
      <c r="H23" s="21">
        <f t="shared" si="0"/>
        <v>0.75219542063624467</v>
      </c>
      <c r="J23" s="20">
        <f t="shared" si="1"/>
        <v>6.5674510824559015E-7</v>
      </c>
      <c r="K23" s="21">
        <f t="shared" si="2"/>
        <v>1.8385940524164176E-6</v>
      </c>
      <c r="L23" s="21">
        <f t="shared" si="3"/>
        <v>1.9484352835176714E-6</v>
      </c>
      <c r="M23" s="21">
        <f t="shared" si="4"/>
        <v>1.8385940524164176E-6</v>
      </c>
      <c r="N23" s="20">
        <f t="shared" si="5"/>
        <v>14.858620228525579</v>
      </c>
      <c r="O23" s="20">
        <f t="shared" si="14"/>
        <v>-13.206509380365665</v>
      </c>
      <c r="Q23" s="20">
        <f t="shared" si="6"/>
        <v>5.4982722362058851E-7</v>
      </c>
      <c r="R23" s="20">
        <f t="shared" si="7"/>
        <v>1.5472275057206223E-6</v>
      </c>
      <c r="S23" s="20">
        <f t="shared" si="8"/>
        <v>1.6379214880633649E-6</v>
      </c>
      <c r="T23" s="20">
        <f t="shared" si="9"/>
        <v>1.5472275057206223E-6</v>
      </c>
      <c r="U23" s="20">
        <f t="shared" si="15"/>
        <v>-13.379045934664568</v>
      </c>
      <c r="V23" s="20">
        <f t="shared" si="16"/>
        <v>0.1725365542989028</v>
      </c>
      <c r="X23" s="21">
        <f t="shared" si="10"/>
        <v>9.2286118966836121E-7</v>
      </c>
      <c r="Y23" s="21">
        <f t="shared" si="11"/>
        <v>2.6186264382823917E-6</v>
      </c>
      <c r="Z23" s="21">
        <f t="shared" si="12"/>
        <v>2.7679102205398141E-6</v>
      </c>
      <c r="AA23" s="21">
        <f t="shared" si="17"/>
        <v>2.6186264382823917E-6</v>
      </c>
      <c r="AB23" s="20">
        <f t="shared" si="18"/>
        <v>-12.852860637861257</v>
      </c>
      <c r="AC23" s="20">
        <f t="shared" si="19"/>
        <v>0.35364874250440792</v>
      </c>
    </row>
    <row r="24" spans="1:29" s="20" customFormat="1" x14ac:dyDescent="0.3">
      <c r="A24" s="20">
        <v>20</v>
      </c>
      <c r="B24" s="20">
        <v>410</v>
      </c>
      <c r="C24" s="20">
        <v>3600</v>
      </c>
      <c r="D24" s="20">
        <v>12.364645552850266</v>
      </c>
      <c r="E24" s="20">
        <v>3.2591938493819548</v>
      </c>
      <c r="F24" s="20">
        <v>4.7345123193481768E-2</v>
      </c>
      <c r="G24" s="21">
        <f t="shared" si="13"/>
        <v>0.74937245774850103</v>
      </c>
      <c r="H24" s="21">
        <f t="shared" si="0"/>
        <v>0.75224185915416653</v>
      </c>
      <c r="J24" s="20">
        <f t="shared" si="1"/>
        <v>2.0771564368421104E-7</v>
      </c>
      <c r="K24" s="21">
        <f t="shared" si="2"/>
        <v>6.0609645388467388E-7</v>
      </c>
      <c r="L24" s="21">
        <f t="shared" si="3"/>
        <v>6.3724438399963861E-7</v>
      </c>
      <c r="M24" s="21">
        <f t="shared" si="4"/>
        <v>6.0609645388467388E-7</v>
      </c>
      <c r="N24" s="20">
        <f t="shared" si="5"/>
        <v>14.641288433382138</v>
      </c>
      <c r="O24" s="20">
        <f t="shared" si="14"/>
        <v>-14.31622669871628</v>
      </c>
      <c r="Q24" s="20">
        <f t="shared" si="6"/>
        <v>-1.0275311797568852E-7</v>
      </c>
      <c r="R24" s="20">
        <f t="shared" si="7"/>
        <v>-3.0394132962562956E-7</v>
      </c>
      <c r="S24" s="20">
        <f t="shared" si="8"/>
        <v>-3.1880970919285949E-7</v>
      </c>
      <c r="T24" s="20">
        <f t="shared" si="9"/>
        <v>-3.0394132962562956E-7</v>
      </c>
      <c r="U24" s="20" t="e">
        <f t="shared" si="15"/>
        <v>#NUM!</v>
      </c>
      <c r="V24" s="20">
        <f t="shared" si="16"/>
        <v>5</v>
      </c>
      <c r="X24" s="21">
        <f t="shared" si="10"/>
        <v>3.1216230887357697E-7</v>
      </c>
      <c r="Y24" s="21">
        <f t="shared" si="11"/>
        <v>9.1507049832480257E-7</v>
      </c>
      <c r="Z24" s="21">
        <f t="shared" si="12"/>
        <v>9.6132891111869702E-7</v>
      </c>
      <c r="AA24" s="21">
        <f t="shared" si="17"/>
        <v>9.1507049832480257E-7</v>
      </c>
      <c r="AB24" s="20">
        <f t="shared" si="18"/>
        <v>-13.904264727289373</v>
      </c>
      <c r="AC24" s="20">
        <f t="shared" si="19"/>
        <v>0.41196197142690671</v>
      </c>
    </row>
    <row r="25" spans="1:29" s="20" customFormat="1" x14ac:dyDescent="0.3">
      <c r="A25" s="20">
        <v>21</v>
      </c>
      <c r="B25" s="20">
        <v>300.01</v>
      </c>
      <c r="C25" s="20">
        <v>3600</v>
      </c>
      <c r="D25" s="20">
        <v>12.402013999956697</v>
      </c>
      <c r="E25" s="20">
        <v>1.3563127627366534</v>
      </c>
      <c r="F25" s="20">
        <v>0.11707193484949746</v>
      </c>
      <c r="G25" s="21">
        <f t="shared" si="13"/>
        <v>0.75163721211858769</v>
      </c>
      <c r="H25" s="21">
        <f t="shared" si="0"/>
        <v>0.75873248089734513</v>
      </c>
      <c r="J25" s="20">
        <f t="shared" si="1"/>
        <v>8.2404222785865905E-8</v>
      </c>
      <c r="K25" s="21">
        <f t="shared" si="2"/>
        <v>2.4352973130136748E-7</v>
      </c>
      <c r="L25" s="21">
        <f t="shared" si="3"/>
        <v>2.5548164768659871E-7</v>
      </c>
      <c r="M25" s="21">
        <f t="shared" si="4"/>
        <v>2.4352973130136748E-7</v>
      </c>
      <c r="N25" s="20">
        <f t="shared" si="5"/>
        <v>17.451702413570445</v>
      </c>
      <c r="O25" s="20">
        <f t="shared" si="14"/>
        <v>-15.228026802077064</v>
      </c>
      <c r="Q25" s="20">
        <f t="shared" si="6"/>
        <v>-2.2042442403500051E-8</v>
      </c>
      <c r="R25" s="20">
        <f t="shared" si="7"/>
        <v>-6.5444313138761305E-8</v>
      </c>
      <c r="S25" s="20">
        <f t="shared" si="8"/>
        <v>-6.860287943245645E-8</v>
      </c>
      <c r="T25" s="20">
        <f t="shared" si="9"/>
        <v>-6.5444313138761305E-8</v>
      </c>
      <c r="U25" s="20" t="e">
        <f t="shared" si="15"/>
        <v>#NUM!</v>
      </c>
      <c r="V25" s="20">
        <f t="shared" si="16"/>
        <v>5</v>
      </c>
      <c r="X25" s="21">
        <f t="shared" si="10"/>
        <v>3.4217900264820196E-7</v>
      </c>
      <c r="Y25" s="21">
        <f t="shared" si="11"/>
        <v>1.0230753821408055E-6</v>
      </c>
      <c r="Z25" s="21">
        <f t="shared" si="12"/>
        <v>1.0712347077862361E-6</v>
      </c>
      <c r="AA25" s="21">
        <f t="shared" si="17"/>
        <v>1.0230753821408055E-6</v>
      </c>
      <c r="AB25" s="20">
        <f t="shared" si="18"/>
        <v>-13.792697386377396</v>
      </c>
      <c r="AC25" s="20">
        <f t="shared" si="19"/>
        <v>1.4353294156996679</v>
      </c>
    </row>
    <row r="26" spans="1:29" s="20" customFormat="1" x14ac:dyDescent="0.3">
      <c r="A26" s="20">
        <v>22</v>
      </c>
      <c r="B26" s="20">
        <v>350</v>
      </c>
      <c r="C26" s="20">
        <v>3600</v>
      </c>
      <c r="D26" s="20">
        <v>12.426161391591455</v>
      </c>
      <c r="E26" s="20">
        <v>2.0912410396695935</v>
      </c>
      <c r="F26" s="20">
        <v>3.6590708471044606E-2</v>
      </c>
      <c r="G26" s="21">
        <f t="shared" si="13"/>
        <v>0.75310069039948213</v>
      </c>
      <c r="H26" s="21">
        <f t="shared" si="0"/>
        <v>0.75531830909469688</v>
      </c>
      <c r="J26" s="20">
        <f t="shared" si="1"/>
        <v>5.3381652421494351E-8</v>
      </c>
      <c r="K26" s="21">
        <f t="shared" si="2"/>
        <v>1.5871216371657278E-7</v>
      </c>
      <c r="L26" s="21">
        <f t="shared" si="3"/>
        <v>1.6633368248354154E-7</v>
      </c>
      <c r="M26" s="21">
        <f t="shared" si="4"/>
        <v>1.5871216371657278E-7</v>
      </c>
      <c r="N26" s="20">
        <f t="shared" si="5"/>
        <v>16.051364365971107</v>
      </c>
      <c r="O26" s="20">
        <f t="shared" si="14"/>
        <v>-15.656173566374056</v>
      </c>
      <c r="Q26" s="20">
        <f t="shared" si="6"/>
        <v>-2.0639312744084171E-7</v>
      </c>
      <c r="R26" s="20">
        <f t="shared" si="7"/>
        <v>-6.2083348712286518E-7</v>
      </c>
      <c r="S26" s="20">
        <f t="shared" si="8"/>
        <v>-6.4941937761609393E-7</v>
      </c>
      <c r="T26" s="20">
        <f t="shared" si="9"/>
        <v>-6.2083348712286518E-7</v>
      </c>
      <c r="U26" s="20" t="e">
        <f t="shared" si="15"/>
        <v>#NUM!</v>
      </c>
      <c r="V26" s="20">
        <f t="shared" si="16"/>
        <v>5</v>
      </c>
      <c r="X26" s="21">
        <f t="shared" si="10"/>
        <v>1.3446912037974827E-7</v>
      </c>
      <c r="Y26" s="21">
        <f t="shared" si="11"/>
        <v>4.0125019070795853E-7</v>
      </c>
      <c r="Z26" s="21">
        <f t="shared" si="12"/>
        <v>4.2026863372614367E-7</v>
      </c>
      <c r="AA26" s="21">
        <f t="shared" si="17"/>
        <v>4.0125019070795853E-7</v>
      </c>
      <c r="AB26" s="20">
        <f t="shared" si="18"/>
        <v>-14.728680687217667</v>
      </c>
      <c r="AC26" s="20">
        <f t="shared" si="19"/>
        <v>0.92749287915638945</v>
      </c>
    </row>
    <row r="27" spans="1:29" s="20" customFormat="1" x14ac:dyDescent="0.3">
      <c r="A27" s="20">
        <v>23</v>
      </c>
      <c r="B27" s="20">
        <v>375.01</v>
      </c>
      <c r="C27" s="20">
        <v>3600</v>
      </c>
      <c r="D27" s="20">
        <v>12.472012454035657</v>
      </c>
      <c r="E27" s="20">
        <v>2.5387348527056997</v>
      </c>
      <c r="F27" s="20">
        <v>3.2687327552336512E-2</v>
      </c>
      <c r="G27" s="21">
        <f t="shared" si="13"/>
        <v>0.75587954266882762</v>
      </c>
      <c r="H27" s="21">
        <f t="shared" si="0"/>
        <v>0.7578605928235147</v>
      </c>
      <c r="J27" s="20">
        <f t="shared" si="1"/>
        <v>1.0164683984033754E-7</v>
      </c>
      <c r="K27" s="21">
        <f t="shared" si="2"/>
        <v>3.0431335153415039E-7</v>
      </c>
      <c r="L27" s="21">
        <f t="shared" si="3"/>
        <v>3.1856559443231511E-7</v>
      </c>
      <c r="M27" s="21">
        <f t="shared" si="4"/>
        <v>3.0431335153415039E-7</v>
      </c>
      <c r="N27" s="20">
        <f t="shared" si="5"/>
        <v>15.431860619434886</v>
      </c>
      <c r="O27" s="20">
        <f t="shared" si="14"/>
        <v>-15.00520790478469</v>
      </c>
      <c r="Q27" s="20">
        <f t="shared" si="6"/>
        <v>2.0559371882083632E-8</v>
      </c>
      <c r="R27" s="20">
        <f t="shared" si="7"/>
        <v>6.1775324542764677E-8</v>
      </c>
      <c r="S27" s="20">
        <f t="shared" si="8"/>
        <v>6.4630643189715085E-8</v>
      </c>
      <c r="T27" s="20">
        <f t="shared" si="9"/>
        <v>6.1775324542764677E-8</v>
      </c>
      <c r="U27" s="20">
        <f t="shared" si="15"/>
        <v>-16.599761831459237</v>
      </c>
      <c r="V27" s="20">
        <f t="shared" si="16"/>
        <v>1.5945539266745463</v>
      </c>
      <c r="X27" s="21">
        <f t="shared" si="10"/>
        <v>1.7433968512342237E-7</v>
      </c>
      <c r="Y27" s="21">
        <f t="shared" si="11"/>
        <v>5.2365622274190586E-7</v>
      </c>
      <c r="Z27" s="21">
        <f t="shared" si="12"/>
        <v>5.478936550883874E-7</v>
      </c>
      <c r="AA27" s="21">
        <f t="shared" si="17"/>
        <v>5.2365622274190586E-7</v>
      </c>
      <c r="AB27" s="20">
        <f t="shared" si="18"/>
        <v>-14.462430431398825</v>
      </c>
      <c r="AC27" s="20">
        <f t="shared" si="19"/>
        <v>0.54277747338586479</v>
      </c>
    </row>
    <row r="28" spans="1:29" s="20" customFormat="1" x14ac:dyDescent="0.3">
      <c r="A28" s="20">
        <v>24</v>
      </c>
      <c r="B28" s="20">
        <v>400</v>
      </c>
      <c r="C28" s="20">
        <v>3600</v>
      </c>
      <c r="D28" s="20">
        <v>12.575953064888051</v>
      </c>
      <c r="E28" s="20">
        <v>3.0418234890350759</v>
      </c>
      <c r="F28" s="20">
        <v>5.2466522928248209E-2</v>
      </c>
      <c r="G28" s="21">
        <f t="shared" si="13"/>
        <v>0.76217897362957887</v>
      </c>
      <c r="H28" s="21">
        <f t="shared" si="0"/>
        <v>0.76535876289795757</v>
      </c>
      <c r="J28" s="20">
        <f t="shared" si="1"/>
        <v>2.3181135434094E-7</v>
      </c>
      <c r="K28" s="21">
        <f t="shared" si="2"/>
        <v>7.0455259188429707E-7</v>
      </c>
      <c r="L28" s="21">
        <f t="shared" si="3"/>
        <v>7.3579951057472089E-7</v>
      </c>
      <c r="M28" s="21">
        <f t="shared" si="4"/>
        <v>7.0455259188429707E-7</v>
      </c>
      <c r="N28" s="20">
        <f t="shared" si="5"/>
        <v>14.858841010401189</v>
      </c>
      <c r="O28" s="20">
        <f t="shared" si="14"/>
        <v>-14.165702857032279</v>
      </c>
      <c r="Q28" s="20">
        <f t="shared" si="6"/>
        <v>1.5911850905785519E-7</v>
      </c>
      <c r="R28" s="20">
        <f t="shared" si="7"/>
        <v>4.8520972067654166E-7</v>
      </c>
      <c r="S28" s="20">
        <f t="shared" si="8"/>
        <v>5.0647144991865035E-7</v>
      </c>
      <c r="T28" s="20">
        <f t="shared" si="9"/>
        <v>4.8520972067654166E-7</v>
      </c>
      <c r="U28" s="20">
        <f t="shared" si="15"/>
        <v>-14.538684625706752</v>
      </c>
      <c r="V28" s="20">
        <f t="shared" si="16"/>
        <v>0.37298176867447275</v>
      </c>
      <c r="X28" s="21">
        <f t="shared" si="10"/>
        <v>3.4955437095219365E-7</v>
      </c>
      <c r="Y28" s="21">
        <f t="shared" si="11"/>
        <v>1.0681863388543964E-6</v>
      </c>
      <c r="Z28" s="21">
        <f t="shared" si="12"/>
        <v>1.1146479651546575E-6</v>
      </c>
      <c r="AA28" s="21">
        <f t="shared" si="17"/>
        <v>1.0681863388543964E-6</v>
      </c>
      <c r="AB28" s="20">
        <f t="shared" si="18"/>
        <v>-13.749548358062423</v>
      </c>
      <c r="AC28" s="20">
        <f t="shared" si="19"/>
        <v>0.41615449896985623</v>
      </c>
    </row>
    <row r="29" spans="1:29" s="20" customFormat="1" x14ac:dyDescent="0.3">
      <c r="A29" s="20">
        <v>25</v>
      </c>
      <c r="B29" s="20">
        <v>415</v>
      </c>
      <c r="C29" s="20">
        <v>3600</v>
      </c>
      <c r="D29" s="20">
        <v>12.748112439064611</v>
      </c>
      <c r="E29" s="20">
        <v>3.3713687118289672</v>
      </c>
      <c r="F29" s="20">
        <v>7.4400995820246105E-2</v>
      </c>
      <c r="G29" s="21">
        <f t="shared" si="13"/>
        <v>0.7726128750948249</v>
      </c>
      <c r="H29" s="21">
        <f t="shared" si="0"/>
        <v>0.77712202635665806</v>
      </c>
      <c r="J29" s="20">
        <f t="shared" si="1"/>
        <v>3.8818708849606877E-7</v>
      </c>
      <c r="K29" s="21">
        <f t="shared" si="2"/>
        <v>1.2141715798972299E-6</v>
      </c>
      <c r="L29" s="21">
        <f t="shared" si="3"/>
        <v>1.2626994828112323E-6</v>
      </c>
      <c r="M29" s="21">
        <f t="shared" si="4"/>
        <v>1.2141715798972299E-6</v>
      </c>
      <c r="N29" s="20">
        <f t="shared" si="5"/>
        <v>14.534883720930232</v>
      </c>
      <c r="O29" s="20">
        <f t="shared" si="14"/>
        <v>-13.621448540966748</v>
      </c>
      <c r="Q29" s="20">
        <f t="shared" si="6"/>
        <v>2.704440718848152E-7</v>
      </c>
      <c r="R29" s="20">
        <f t="shared" si="7"/>
        <v>8.5053783292713036E-7</v>
      </c>
      <c r="S29" s="20">
        <f t="shared" si="8"/>
        <v>8.8385102823129255E-7</v>
      </c>
      <c r="T29" s="20">
        <f t="shared" si="9"/>
        <v>8.5053783292713036E-7</v>
      </c>
      <c r="U29" s="20">
        <f t="shared" si="15"/>
        <v>-13.97739694294037</v>
      </c>
      <c r="V29" s="20">
        <f t="shared" si="16"/>
        <v>0.3559484019736221</v>
      </c>
      <c r="X29" s="21">
        <f t="shared" si="10"/>
        <v>5.5758072412229284E-7</v>
      </c>
      <c r="Y29" s="21">
        <f t="shared" si="11"/>
        <v>1.7581679291138861E-6</v>
      </c>
      <c r="Z29" s="21">
        <f t="shared" si="12"/>
        <v>1.8264264202566729E-6</v>
      </c>
      <c r="AA29" s="21">
        <f t="shared" si="17"/>
        <v>1.7581679291138861E-6</v>
      </c>
      <c r="AB29" s="20">
        <f t="shared" si="18"/>
        <v>-13.251238240445392</v>
      </c>
      <c r="AC29" s="20">
        <f t="shared" si="19"/>
        <v>0.37021030052135551</v>
      </c>
    </row>
    <row r="30" spans="1:29" x14ac:dyDescent="0.3">
      <c r="A30">
        <v>26</v>
      </c>
      <c r="B30">
        <v>459.99</v>
      </c>
      <c r="C30">
        <v>3600</v>
      </c>
      <c r="D30">
        <v>13.363650526969572</v>
      </c>
      <c r="E30">
        <v>4.4871770931496053</v>
      </c>
      <c r="F30">
        <v>0.17651471991891535</v>
      </c>
      <c r="G30" s="18">
        <f t="shared" si="13"/>
        <v>0.80991821375573159</v>
      </c>
      <c r="H30" s="18">
        <f t="shared" si="0"/>
        <v>0.82061607556899918</v>
      </c>
      <c r="J30">
        <f t="shared" si="1"/>
        <v>1.4310938275204318E-6</v>
      </c>
      <c r="K30" s="18">
        <f t="shared" si="2"/>
        <v>4.9030786540568998E-6</v>
      </c>
      <c r="L30" s="18">
        <f t="shared" si="3"/>
        <v>5.0435300663572527E-6</v>
      </c>
      <c r="M30" s="18">
        <f t="shared" si="4"/>
        <v>4.9030786540568998E-6</v>
      </c>
      <c r="N30">
        <f t="shared" si="5"/>
        <v>13.642750924296376</v>
      </c>
      <c r="O30">
        <f t="shared" si="14"/>
        <v>-12.225647253397153</v>
      </c>
      <c r="Q30">
        <f t="shared" si="6"/>
        <v>1.2617001918942077E-6</v>
      </c>
      <c r="R30">
        <f t="shared" si="7"/>
        <v>4.3590823048402419E-6</v>
      </c>
      <c r="S30">
        <f t="shared" si="8"/>
        <v>4.4798031289118125E-6</v>
      </c>
      <c r="T30">
        <f t="shared" si="9"/>
        <v>4.3590823048402419E-6</v>
      </c>
      <c r="U30">
        <f t="shared" si="15"/>
        <v>-12.343249003298698</v>
      </c>
      <c r="V30">
        <f t="shared" si="16"/>
        <v>0.11760174990154582</v>
      </c>
      <c r="X30" s="18">
        <f t="shared" si="10"/>
        <v>1.8539296671957227E-6</v>
      </c>
      <c r="Y30" s="18">
        <f t="shared" si="11"/>
        <v>6.503125770341376E-6</v>
      </c>
      <c r="Z30" s="18">
        <f t="shared" si="12"/>
        <v>6.6738468817037273E-6</v>
      </c>
      <c r="AA30" s="18">
        <f t="shared" si="17"/>
        <v>6.503125770341376E-6</v>
      </c>
      <c r="AB30">
        <f t="shared" si="18"/>
        <v>-11.943227608907312</v>
      </c>
      <c r="AC30">
        <f t="shared" si="19"/>
        <v>0.28241964448984014</v>
      </c>
    </row>
    <row r="31" spans="1:29" x14ac:dyDescent="0.3">
      <c r="A31">
        <v>27</v>
      </c>
      <c r="B31">
        <v>469.99</v>
      </c>
      <c r="C31">
        <v>3600</v>
      </c>
      <c r="D31">
        <v>13.967317552938431</v>
      </c>
      <c r="E31">
        <v>4.7615925608532441</v>
      </c>
      <c r="F31">
        <v>0.16048176834758732</v>
      </c>
      <c r="G31" s="18">
        <f t="shared" si="13"/>
        <v>0.84650409411748062</v>
      </c>
      <c r="H31" s="18">
        <f t="shared" si="0"/>
        <v>0.85623026189612228</v>
      </c>
      <c r="J31">
        <f t="shared" si="1"/>
        <v>1.4690258965405696E-6</v>
      </c>
      <c r="K31" s="18">
        <f t="shared" si="2"/>
        <v>5.936277105466847E-6</v>
      </c>
      <c r="L31" s="18">
        <f t="shared" si="3"/>
        <v>6.0168047796814696E-6</v>
      </c>
      <c r="M31" s="18">
        <f t="shared" si="4"/>
        <v>5.936277105466847E-6</v>
      </c>
      <c r="N31">
        <f t="shared" si="5"/>
        <v>13.459131347662822</v>
      </c>
      <c r="O31">
        <f t="shared" si="14"/>
        <v>-12.034428371000963</v>
      </c>
      <c r="Q31">
        <f t="shared" si="6"/>
        <v>1.0461900568652788E-6</v>
      </c>
      <c r="R31">
        <f t="shared" si="7"/>
        <v>4.3362299891823691E-6</v>
      </c>
      <c r="S31">
        <f t="shared" si="8"/>
        <v>4.386487964334995E-6</v>
      </c>
      <c r="T31">
        <f t="shared" si="9"/>
        <v>4.3362299891823691E-6</v>
      </c>
      <c r="U31">
        <f t="shared" si="15"/>
        <v>-12.348505253447993</v>
      </c>
      <c r="V31">
        <f t="shared" si="16"/>
        <v>0.31407688244702925</v>
      </c>
      <c r="X31" s="18">
        <f t="shared" si="10"/>
        <v>1.8704778051421319E-6</v>
      </c>
      <c r="Y31" s="18">
        <f t="shared" si="11"/>
        <v>7.7711150350498373E-6</v>
      </c>
      <c r="Z31" s="18">
        <f t="shared" si="12"/>
        <v>7.8591874188982725E-6</v>
      </c>
      <c r="AA31" s="18">
        <f t="shared" si="17"/>
        <v>7.7711150350498373E-6</v>
      </c>
      <c r="AB31">
        <f t="shared" si="18"/>
        <v>-11.765096898726178</v>
      </c>
      <c r="AC31">
        <f t="shared" si="19"/>
        <v>0.26933147227478571</v>
      </c>
    </row>
    <row r="32" spans="1:29" x14ac:dyDescent="0.3">
      <c r="A32">
        <v>28</v>
      </c>
      <c r="B32">
        <v>479.98</v>
      </c>
      <c r="C32">
        <v>3600</v>
      </c>
      <c r="D32">
        <v>14.452902157038029</v>
      </c>
      <c r="E32">
        <v>5.0454428825329547</v>
      </c>
      <c r="F32">
        <v>0.12003249537799954</v>
      </c>
      <c r="G32" s="18">
        <f t="shared" si="13"/>
        <v>0.87593346406291084</v>
      </c>
      <c r="H32" s="18">
        <f t="shared" si="0"/>
        <v>0.88320816075248665</v>
      </c>
      <c r="J32">
        <f t="shared" si="1"/>
        <v>1.2287663860326593E-6</v>
      </c>
      <c r="K32" s="18">
        <f t="shared" si="2"/>
        <v>6.0007313576318952E-6</v>
      </c>
      <c r="L32" s="18">
        <f t="shared" si="3"/>
        <v>5.9907808417251573E-6</v>
      </c>
      <c r="M32" s="18">
        <f t="shared" si="4"/>
        <v>6.0007313576318952E-6</v>
      </c>
      <c r="N32">
        <f t="shared" si="5"/>
        <v>13.280565220855799</v>
      </c>
      <c r="O32">
        <f t="shared" si="14"/>
        <v>-12.02362920322591</v>
      </c>
      <c r="Q32">
        <f t="shared" si="6"/>
        <v>8.27314477431097E-7</v>
      </c>
      <c r="R32">
        <f t="shared" si="7"/>
        <v>4.1658934280489031E-6</v>
      </c>
      <c r="S32">
        <f t="shared" si="8"/>
        <v>4.1483982025083561E-6</v>
      </c>
      <c r="T32">
        <f t="shared" si="9"/>
        <v>4.1658934280489031E-6</v>
      </c>
      <c r="U32">
        <f t="shared" si="15"/>
        <v>-12.388579796813984</v>
      </c>
      <c r="V32">
        <f t="shared" si="16"/>
        <v>0.36495059358807325</v>
      </c>
      <c r="X32" s="18">
        <f t="shared" si="10"/>
        <v>1.5389797953723274E-6</v>
      </c>
      <c r="Y32" s="18">
        <f t="shared" si="11"/>
        <v>7.7256293672045429E-6</v>
      </c>
      <c r="Z32" s="18">
        <f t="shared" si="12"/>
        <v>7.6914232293892108E-6</v>
      </c>
      <c r="AA32" s="18">
        <f t="shared" si="17"/>
        <v>7.7256293672045429E-6</v>
      </c>
      <c r="AB32">
        <f t="shared" si="18"/>
        <v>-11.770967267016298</v>
      </c>
      <c r="AC32">
        <f t="shared" si="19"/>
        <v>0.25266193620961275</v>
      </c>
    </row>
    <row r="33" spans="1:29" x14ac:dyDescent="0.3">
      <c r="A33">
        <v>29</v>
      </c>
      <c r="B33">
        <v>489.92</v>
      </c>
      <c r="C33">
        <v>3600</v>
      </c>
      <c r="D33">
        <v>14.846693785648304</v>
      </c>
      <c r="E33">
        <v>5.3375474198877741</v>
      </c>
      <c r="F33">
        <v>9.0786702827669513E-2</v>
      </c>
      <c r="G33" s="18">
        <f t="shared" si="13"/>
        <v>0.89979962337262442</v>
      </c>
      <c r="H33" s="18">
        <f t="shared" si="0"/>
        <v>0.90530184778642264</v>
      </c>
      <c r="J33">
        <f t="shared" si="1"/>
        <v>1.0273184632742615E-6</v>
      </c>
      <c r="K33" s="18">
        <f t="shared" si="2"/>
        <v>6.162420877909305E-6</v>
      </c>
      <c r="L33" s="18">
        <f t="shared" si="3"/>
        <v>6.013019754415613E-6</v>
      </c>
      <c r="M33" s="18">
        <f t="shared" si="4"/>
        <v>6.162420877909305E-6</v>
      </c>
      <c r="N33">
        <f t="shared" si="5"/>
        <v>13.107534210664289</v>
      </c>
      <c r="O33">
        <f t="shared" si="14"/>
        <v>-11.997040857962384</v>
      </c>
      <c r="Q33">
        <f t="shared" si="6"/>
        <v>7.1710505393459328E-7</v>
      </c>
      <c r="R33">
        <f t="shared" si="7"/>
        <v>4.4375228683366598E-6</v>
      </c>
      <c r="S33">
        <f t="shared" si="8"/>
        <v>4.3123773667515629E-6</v>
      </c>
      <c r="T33">
        <f t="shared" si="9"/>
        <v>4.4375228683366598E-6</v>
      </c>
      <c r="U33">
        <f t="shared" si="15"/>
        <v>-12.325414249748039</v>
      </c>
      <c r="V33">
        <f t="shared" si="16"/>
        <v>0.3283733917856555</v>
      </c>
      <c r="X33" s="18">
        <f t="shared" si="10"/>
        <v>1.2680787161914793E-6</v>
      </c>
      <c r="Y33" s="18">
        <f t="shared" si="11"/>
        <v>7.8290206799069284E-6</v>
      </c>
      <c r="Z33" s="18">
        <f t="shared" si="12"/>
        <v>7.6025650420181933E-6</v>
      </c>
      <c r="AA33" s="18">
        <f t="shared" si="17"/>
        <v>7.6025650420181933E-6</v>
      </c>
      <c r="AB33">
        <f t="shared" si="18"/>
        <v>-11.787024862085458</v>
      </c>
      <c r="AC33">
        <f t="shared" si="19"/>
        <v>0.2100159958769261</v>
      </c>
    </row>
    <row r="34" spans="1:29" x14ac:dyDescent="0.3">
      <c r="A34">
        <v>30</v>
      </c>
      <c r="B34">
        <v>499.72</v>
      </c>
      <c r="C34">
        <v>3600</v>
      </c>
      <c r="D34">
        <v>15.175199624462701</v>
      </c>
      <c r="E34">
        <v>5.6350216199586987</v>
      </c>
      <c r="F34">
        <v>7.0874715535269764E-2</v>
      </c>
      <c r="G34" s="18">
        <f t="shared" si="13"/>
        <v>0.91970906814925457</v>
      </c>
      <c r="H34" s="18">
        <f t="shared" si="0"/>
        <v>0.92400450545442248</v>
      </c>
      <c r="J34">
        <f t="shared" si="1"/>
        <v>8.7812866561096467E-7</v>
      </c>
      <c r="K34" s="18">
        <f t="shared" si="2"/>
        <v>6.6847032472032288E-6</v>
      </c>
      <c r="L34" s="18">
        <f t="shared" si="3"/>
        <v>6.234496794575709E-6</v>
      </c>
      <c r="M34" s="18">
        <f t="shared" si="4"/>
        <v>6.234496794575709E-6</v>
      </c>
      <c r="N34">
        <f t="shared" si="5"/>
        <v>12.94129827104255</v>
      </c>
      <c r="O34">
        <f t="shared" si="14"/>
        <v>-11.985412688652863</v>
      </c>
      <c r="Q34">
        <f t="shared" si="6"/>
        <v>6.3736841269374667E-7</v>
      </c>
      <c r="R34">
        <f t="shared" si="7"/>
        <v>5.0181034452056054E-6</v>
      </c>
      <c r="S34">
        <f t="shared" si="8"/>
        <v>4.6449515069731329E-6</v>
      </c>
      <c r="T34">
        <f t="shared" si="9"/>
        <v>4.6449515069731329E-6</v>
      </c>
      <c r="U34">
        <f t="shared" si="15"/>
        <v>-12.279729625586524</v>
      </c>
      <c r="V34">
        <f t="shared" si="16"/>
        <v>0.29431693693366157</v>
      </c>
      <c r="X34" s="18">
        <f t="shared" si="10"/>
        <v>1.0701041220204885E-6</v>
      </c>
      <c r="Y34" s="18">
        <f t="shared" si="11"/>
        <v>8.4252481525217397E-6</v>
      </c>
      <c r="Z34" s="18">
        <f t="shared" si="12"/>
        <v>7.781970446538967E-6</v>
      </c>
      <c r="AA34" s="18">
        <f t="shared" si="17"/>
        <v>7.781970446538967E-6</v>
      </c>
      <c r="AB34">
        <f t="shared" si="18"/>
        <v>-11.763700981078236</v>
      </c>
      <c r="AC34">
        <f t="shared" si="19"/>
        <v>0.22171170757462733</v>
      </c>
    </row>
    <row r="35" spans="1:29" x14ac:dyDescent="0.3">
      <c r="A35">
        <v>31</v>
      </c>
      <c r="B35">
        <v>504.55999999999898</v>
      </c>
      <c r="C35">
        <v>3600</v>
      </c>
      <c r="D35">
        <v>15.410949476230428</v>
      </c>
      <c r="E35">
        <v>5.785420647501847</v>
      </c>
      <c r="F35">
        <v>4.9264185770334833E-2</v>
      </c>
      <c r="G35" s="18">
        <f t="shared" si="13"/>
        <v>0.93399693795335925</v>
      </c>
      <c r="H35" s="18">
        <f t="shared" si="0"/>
        <v>0.93698264618186444</v>
      </c>
      <c r="J35">
        <f t="shared" si="1"/>
        <v>6.4202688166183327E-7</v>
      </c>
      <c r="K35" s="18">
        <f t="shared" si="2"/>
        <v>6.4566960457712569E-6</v>
      </c>
      <c r="L35" s="18">
        <f t="shared" si="3"/>
        <v>5.5151245354445395E-6</v>
      </c>
      <c r="M35" s="18">
        <f t="shared" si="4"/>
        <v>5.5151245354445395E-6</v>
      </c>
      <c r="N35">
        <f t="shared" si="5"/>
        <v>12.860743865425192</v>
      </c>
      <c r="O35">
        <f t="shared" si="14"/>
        <v>-12.108016324290816</v>
      </c>
      <c r="Q35">
        <f t="shared" si="6"/>
        <v>4.5005142525230959E-7</v>
      </c>
      <c r="R35">
        <f t="shared" si="7"/>
        <v>4.7161511404527451E-6</v>
      </c>
      <c r="S35">
        <f t="shared" si="8"/>
        <v>3.9676508834812841E-6</v>
      </c>
      <c r="T35">
        <f t="shared" si="9"/>
        <v>3.9676508834812841E-6</v>
      </c>
      <c r="U35">
        <f t="shared" si="15"/>
        <v>-12.437336355406007</v>
      </c>
      <c r="V35">
        <f t="shared" si="16"/>
        <v>0.32932003111519137</v>
      </c>
      <c r="X35" s="18">
        <f t="shared" si="10"/>
        <v>7.7744017007870629E-7</v>
      </c>
      <c r="Y35" s="18">
        <f t="shared" si="11"/>
        <v>8.1192670505478957E-6</v>
      </c>
      <c r="Z35" s="18">
        <f t="shared" si="12"/>
        <v>6.8179739434817837E-6</v>
      </c>
      <c r="AA35" s="18">
        <f t="shared" si="17"/>
        <v>6.8179739434817837E-6</v>
      </c>
      <c r="AB35">
        <f t="shared" si="18"/>
        <v>-11.895948205980449</v>
      </c>
      <c r="AC35">
        <f t="shared" si="19"/>
        <v>0.21206811831036632</v>
      </c>
    </row>
    <row r="36" spans="1:29" x14ac:dyDescent="0.3">
      <c r="A36">
        <v>32</v>
      </c>
      <c r="B36">
        <v>494.98</v>
      </c>
      <c r="C36">
        <v>3600</v>
      </c>
      <c r="D36">
        <v>15.537393334985413</v>
      </c>
      <c r="E36">
        <v>5.4899633895953581</v>
      </c>
      <c r="F36">
        <v>2.8161445380155161E-2</v>
      </c>
      <c r="G36" s="18">
        <f t="shared" si="13"/>
        <v>0.94166020212032808</v>
      </c>
      <c r="H36" s="18">
        <f t="shared" ref="H36:H56" si="20">(D36+F36)/$D$57</f>
        <v>0.94336695638579204</v>
      </c>
      <c r="J36">
        <f t="shared" ref="J36:J56" si="21">((G36^2-G35^2)*PI())/(36*C36)</f>
        <v>3.484272574795646E-7</v>
      </c>
      <c r="K36" s="18">
        <f t="shared" si="2"/>
        <v>4.6267594398373728E-6</v>
      </c>
      <c r="L36" s="18">
        <f t="shared" ref="L36:L56" si="22">(1/(PI()^2*C36))*LN((1-G35)/(1-G36))</f>
        <v>3.4735332247029409E-6</v>
      </c>
      <c r="M36" s="18">
        <f t="shared" ref="M36:M67" si="23">(G36&lt;0.05)*J36+((G36&gt;=0.05)*(G36&lt;0.9))*K36+(G36&gt;=0.9)*L36</f>
        <v>3.4735332247029409E-6</v>
      </c>
      <c r="N36">
        <f t="shared" ref="N36:N56" si="24">10000/(273+B36)</f>
        <v>13.02117242636527</v>
      </c>
      <c r="O36">
        <f t="shared" si="14"/>
        <v>-12.570338261664766</v>
      </c>
      <c r="Q36">
        <f t="shared" ref="Q36:Q56" si="25">((G36^2-H35^2)*PI())/(36*C36)</f>
        <v>2.1301396906269166E-7</v>
      </c>
      <c r="R36">
        <f t="shared" si="7"/>
        <v>2.964188435060734E-6</v>
      </c>
      <c r="S36">
        <f t="shared" ref="S36:S56" si="26">(1/(PI()^2*C36))*LN((1-H35)/(1-G36))</f>
        <v>2.1706838166656912E-6</v>
      </c>
      <c r="T36">
        <f t="shared" ref="T36:T67" si="27">(G36&lt;0.05)*Q36+((G36&gt;=0.05)*(G36&lt;0.9))*R36+(G36&gt;=0.9)*S36</f>
        <v>2.1706838166656912E-6</v>
      </c>
      <c r="U36">
        <f t="shared" si="15"/>
        <v>-13.04046831716528</v>
      </c>
      <c r="V36">
        <f t="shared" si="16"/>
        <v>0.47013005550051368</v>
      </c>
      <c r="X36" s="18">
        <f t="shared" ref="X36:X56" si="28">((H36^2-G35^2)*PI())/(36*C36)</f>
        <v>4.2641628046978531E-7</v>
      </c>
      <c r="Y36" s="18">
        <f t="shared" si="11"/>
        <v>5.8554748088224031E-6</v>
      </c>
      <c r="Z36" s="18">
        <f t="shared" ref="Z36:Z56" si="29">(1/(PI()^2*C36))*LN((1-G35)/(1-H36))</f>
        <v>4.3092043307112184E-6</v>
      </c>
      <c r="AA36" s="18">
        <f t="shared" si="17"/>
        <v>4.3092043307112184E-6</v>
      </c>
      <c r="AB36">
        <f t="shared" si="18"/>
        <v>-12.354757280934949</v>
      </c>
      <c r="AC36">
        <f t="shared" si="19"/>
        <v>0.21558098072981657</v>
      </c>
    </row>
    <row r="37" spans="1:29" x14ac:dyDescent="0.3">
      <c r="A37">
        <v>33</v>
      </c>
      <c r="B37">
        <v>484.99</v>
      </c>
      <c r="C37">
        <v>4800</v>
      </c>
      <c r="D37">
        <v>15.630892952894365</v>
      </c>
      <c r="E37">
        <v>6.9219492143478947</v>
      </c>
      <c r="F37">
        <v>1.5788655816638589E-2</v>
      </c>
      <c r="G37" s="18">
        <f t="shared" si="13"/>
        <v>0.9473268456299615</v>
      </c>
      <c r="H37" s="18">
        <f t="shared" si="20"/>
        <v>0.94828373386127296</v>
      </c>
      <c r="J37">
        <f t="shared" si="21"/>
        <v>1.9460814211367177E-7</v>
      </c>
      <c r="K37" s="18">
        <f t="shared" si="2"/>
        <v>3.4065913079215092E-6</v>
      </c>
      <c r="L37" s="18">
        <f t="shared" si="22"/>
        <v>2.1568446993003921E-6</v>
      </c>
      <c r="M37" s="18">
        <f t="shared" si="23"/>
        <v>2.1568446993003921E-6</v>
      </c>
      <c r="N37">
        <f t="shared" si="24"/>
        <v>13.192786184514308</v>
      </c>
      <c r="O37">
        <f t="shared" si="14"/>
        <v>-13.046864191619184</v>
      </c>
      <c r="Q37">
        <f t="shared" si="25"/>
        <v>1.3611637487100621E-7</v>
      </c>
      <c r="R37">
        <f t="shared" si="7"/>
        <v>2.4850547811827363E-6</v>
      </c>
      <c r="S37">
        <f t="shared" si="26"/>
        <v>1.530091369794182E-6</v>
      </c>
      <c r="T37">
        <f t="shared" si="27"/>
        <v>1.530091369794182E-6</v>
      </c>
      <c r="U37">
        <f t="shared" si="15"/>
        <v>-13.390183105523301</v>
      </c>
      <c r="V37">
        <f t="shared" si="16"/>
        <v>0.34331891390411684</v>
      </c>
      <c r="X37" s="18">
        <f t="shared" si="28"/>
        <v>2.2758554663921188E-7</v>
      </c>
      <c r="Y37" s="18">
        <f t="shared" si="11"/>
        <v>4.1099027225853554E-6</v>
      </c>
      <c r="Z37" s="18">
        <f t="shared" si="29"/>
        <v>2.5438401892543933E-6</v>
      </c>
      <c r="AA37" s="18">
        <f t="shared" si="17"/>
        <v>2.5438401892543933E-6</v>
      </c>
      <c r="AB37">
        <f t="shared" si="18"/>
        <v>-12.881835733148886</v>
      </c>
      <c r="AC37">
        <f t="shared" si="19"/>
        <v>0.16502845847029768</v>
      </c>
    </row>
    <row r="38" spans="1:29" x14ac:dyDescent="0.3">
      <c r="A38">
        <v>34</v>
      </c>
      <c r="B38">
        <v>474.99</v>
      </c>
      <c r="C38">
        <v>6000</v>
      </c>
      <c r="D38">
        <v>15.697606010007393</v>
      </c>
      <c r="E38">
        <v>8.1707397781421189</v>
      </c>
      <c r="F38">
        <v>9.3035110988662351E-3</v>
      </c>
      <c r="G38" s="18">
        <f t="shared" si="13"/>
        <v>0.95137006121256928</v>
      </c>
      <c r="H38" s="18">
        <f t="shared" si="20"/>
        <v>0.95193391037007624</v>
      </c>
      <c r="J38">
        <f t="shared" si="21"/>
        <v>1.1165512517727056E-7</v>
      </c>
      <c r="K38" s="18">
        <f t="shared" si="2"/>
        <v>2.7647284520045039E-6</v>
      </c>
      <c r="L38" s="18">
        <f t="shared" si="22"/>
        <v>1.3486956534061168E-6</v>
      </c>
      <c r="M38" s="18">
        <f t="shared" si="23"/>
        <v>1.3486956534061168E-6</v>
      </c>
      <c r="N38">
        <f t="shared" si="24"/>
        <v>13.369162689340767</v>
      </c>
      <c r="O38">
        <f t="shared" si="14"/>
        <v>-13.516372615231404</v>
      </c>
      <c r="Q38">
        <f t="shared" si="25"/>
        <v>8.5273201556838427E-8</v>
      </c>
      <c r="R38">
        <f t="shared" si="7"/>
        <v>2.2020793202734261E-6</v>
      </c>
      <c r="S38">
        <f t="shared" si="26"/>
        <v>1.0390992614429164E-6</v>
      </c>
      <c r="T38">
        <f t="shared" si="27"/>
        <v>1.0390992614429164E-6</v>
      </c>
      <c r="U38">
        <f t="shared" si="15"/>
        <v>-13.77715631485419</v>
      </c>
      <c r="V38">
        <f t="shared" si="16"/>
        <v>0.26078369962278636</v>
      </c>
      <c r="X38" s="18">
        <f t="shared" si="28"/>
        <v>1.2726384234597908E-7</v>
      </c>
      <c r="Y38" s="18">
        <f t="shared" si="11"/>
        <v>3.2685788187878753E-6</v>
      </c>
      <c r="Z38" s="18">
        <f t="shared" si="29"/>
        <v>1.5456375978294917E-6</v>
      </c>
      <c r="AA38" s="18">
        <f t="shared" si="17"/>
        <v>1.5456375978294917E-6</v>
      </c>
      <c r="AB38">
        <f t="shared" si="18"/>
        <v>-13.380074048066184</v>
      </c>
      <c r="AC38">
        <f t="shared" si="19"/>
        <v>0.13629856716521971</v>
      </c>
    </row>
    <row r="39" spans="1:29" x14ac:dyDescent="0.3">
      <c r="A39">
        <v>35</v>
      </c>
      <c r="B39">
        <v>464.99</v>
      </c>
      <c r="C39">
        <v>7200</v>
      </c>
      <c r="D39">
        <v>15.746476746232096</v>
      </c>
      <c r="E39">
        <v>9.246344639847953</v>
      </c>
      <c r="F39">
        <v>5.9263514149713228E-3</v>
      </c>
      <c r="G39" s="18">
        <f t="shared" si="13"/>
        <v>0.95433192401406641</v>
      </c>
      <c r="H39" s="18">
        <f t="shared" si="20"/>
        <v>0.95469109682709496</v>
      </c>
      <c r="J39">
        <f t="shared" si="21"/>
        <v>6.8412395738758652E-8</v>
      </c>
      <c r="K39" s="18">
        <f t="shared" si="2"/>
        <v>3.0490854638275034E-6</v>
      </c>
      <c r="L39" s="18">
        <f t="shared" si="22"/>
        <v>8.8430691723643055E-7</v>
      </c>
      <c r="M39" s="18">
        <f t="shared" si="23"/>
        <v>8.8430691723643055E-7</v>
      </c>
      <c r="N39">
        <f t="shared" si="24"/>
        <v>13.550319110015041</v>
      </c>
      <c r="O39">
        <f t="shared" si="14"/>
        <v>-13.938461643121844</v>
      </c>
      <c r="Q39">
        <f t="shared" si="25"/>
        <v>5.5405131431501563E-8</v>
      </c>
      <c r="R39">
        <f t="shared" si="7"/>
        <v>2.6292101581746942E-6</v>
      </c>
      <c r="S39">
        <f t="shared" si="26"/>
        <v>7.2018863021695081E-7</v>
      </c>
      <c r="T39">
        <f t="shared" si="27"/>
        <v>7.2018863021695081E-7</v>
      </c>
      <c r="U39">
        <f t="shared" si="15"/>
        <v>-14.143752672836326</v>
      </c>
      <c r="V39">
        <f t="shared" si="16"/>
        <v>0.20529102971448232</v>
      </c>
      <c r="X39" s="18">
        <f t="shared" si="28"/>
        <v>7.6722940579239734E-8</v>
      </c>
      <c r="Y39" s="18">
        <f t="shared" si="11"/>
        <v>3.8470811374287906E-6</v>
      </c>
      <c r="Z39" s="18">
        <f t="shared" si="29"/>
        <v>9.9542172878932086E-7</v>
      </c>
      <c r="AA39" s="18">
        <f t="shared" si="17"/>
        <v>9.9542172878932086E-7</v>
      </c>
      <c r="AB39">
        <f t="shared" si="18"/>
        <v>-13.820099341556553</v>
      </c>
      <c r="AC39">
        <f t="shared" si="19"/>
        <v>0.11836230156529126</v>
      </c>
    </row>
    <row r="40" spans="1:29" x14ac:dyDescent="0.3">
      <c r="A40">
        <v>36</v>
      </c>
      <c r="B40">
        <v>455</v>
      </c>
      <c r="C40">
        <v>8400</v>
      </c>
      <c r="D40">
        <v>15.781589192902723</v>
      </c>
      <c r="E40">
        <v>10.159018732679662</v>
      </c>
      <c r="F40">
        <v>3.8336472165238079E-3</v>
      </c>
      <c r="G40" s="18">
        <f t="shared" si="13"/>
        <v>0.95645995108501358</v>
      </c>
      <c r="H40" s="18">
        <f t="shared" si="20"/>
        <v>0.9566922933405605</v>
      </c>
      <c r="J40">
        <f t="shared" si="21"/>
        <v>4.224337613596206E-8</v>
      </c>
      <c r="K40" s="18"/>
      <c r="L40" s="18">
        <f t="shared" si="22"/>
        <v>5.7558053633410331E-7</v>
      </c>
      <c r="M40" s="18">
        <f t="shared" si="23"/>
        <v>5.7558053633410331E-7</v>
      </c>
      <c r="N40">
        <f t="shared" si="24"/>
        <v>13.736263736263735</v>
      </c>
      <c r="O40">
        <f>LN(M40)</f>
        <v>-14.367886677073889</v>
      </c>
      <c r="Q40">
        <f t="shared" si="25"/>
        <v>3.5120051986978268E-8</v>
      </c>
      <c r="S40">
        <f t="shared" si="26"/>
        <v>4.8033926928876785E-7</v>
      </c>
      <c r="T40">
        <f t="shared" si="27"/>
        <v>4.8033926928876785E-7</v>
      </c>
      <c r="U40">
        <f t="shared" si="15"/>
        <v>-14.548773171699475</v>
      </c>
      <c r="V40">
        <f t="shared" si="16"/>
        <v>0.18088649462558593</v>
      </c>
      <c r="X40" s="18">
        <f t="shared" si="28"/>
        <v>4.6861289900333099E-8</v>
      </c>
      <c r="Y40" s="18"/>
      <c r="Z40" s="18">
        <f t="shared" si="29"/>
        <v>6.4011944273135125E-7</v>
      </c>
      <c r="AA40" s="18">
        <f t="shared" si="17"/>
        <v>6.4011944273135125E-7</v>
      </c>
      <c r="AB40">
        <f t="shared" si="18"/>
        <v>-14.261611048738033</v>
      </c>
      <c r="AC40">
        <f t="shared" si="19"/>
        <v>0.10627562833585635</v>
      </c>
    </row>
    <row r="41" spans="1:29" x14ac:dyDescent="0.3">
      <c r="A41">
        <v>37</v>
      </c>
      <c r="B41">
        <v>509.99</v>
      </c>
      <c r="C41">
        <v>3600</v>
      </c>
      <c r="D41">
        <v>15.8464353167991</v>
      </c>
      <c r="E41">
        <v>5.9569000647090427</v>
      </c>
      <c r="F41">
        <v>1.3081991375628814E-2</v>
      </c>
      <c r="G41" s="18">
        <f t="shared" si="13"/>
        <v>0.96039001919994549</v>
      </c>
      <c r="H41" s="18">
        <f t="shared" si="20"/>
        <v>0.96118286716210477</v>
      </c>
      <c r="J41">
        <f t="shared" si="21"/>
        <v>1.8261358024161494E-7</v>
      </c>
      <c r="K41" s="18"/>
      <c r="L41" s="18">
        <f t="shared" si="22"/>
        <v>2.662497021205428E-6</v>
      </c>
      <c r="M41" s="18">
        <f t="shared" si="23"/>
        <v>2.662497021205428E-6</v>
      </c>
      <c r="N41">
        <f t="shared" si="24"/>
        <v>12.771555192275763</v>
      </c>
      <c r="O41">
        <f t="shared" si="14"/>
        <v>-12.83624614572544</v>
      </c>
      <c r="Q41">
        <f t="shared" si="25"/>
        <v>1.7183844812474915E-7</v>
      </c>
      <c r="S41">
        <f t="shared" si="26"/>
        <v>2.5119062396118512E-6</v>
      </c>
      <c r="T41">
        <f t="shared" si="27"/>
        <v>2.5119062396118512E-6</v>
      </c>
      <c r="U41">
        <f t="shared" si="15"/>
        <v>-12.894468635050199</v>
      </c>
      <c r="V41">
        <f t="shared" si="16"/>
        <v>5.8222489324759152E-2</v>
      </c>
      <c r="X41" s="18">
        <f t="shared" si="28"/>
        <v>2.1954462957602238E-7</v>
      </c>
      <c r="Y41" s="18"/>
      <c r="Z41" s="18">
        <f t="shared" si="29"/>
        <v>3.2315677236916439E-6</v>
      </c>
      <c r="AA41" s="18">
        <f t="shared" si="17"/>
        <v>3.2315677236916439E-6</v>
      </c>
      <c r="AB41">
        <f t="shared" si="18"/>
        <v>-12.642543175108385</v>
      </c>
      <c r="AC41">
        <f t="shared" si="19"/>
        <v>0.19370297061705521</v>
      </c>
    </row>
    <row r="42" spans="1:29" x14ac:dyDescent="0.3">
      <c r="A42">
        <v>38</v>
      </c>
      <c r="B42">
        <v>519.94000000000005</v>
      </c>
      <c r="C42">
        <v>3600</v>
      </c>
      <c r="D42">
        <v>15.922900197590156</v>
      </c>
      <c r="E42">
        <v>6.2786707656769902</v>
      </c>
      <c r="F42">
        <v>1.4485631740522042E-2</v>
      </c>
      <c r="G42" s="18">
        <f t="shared" si="13"/>
        <v>0.96502425439940342</v>
      </c>
      <c r="H42" s="18">
        <f t="shared" si="20"/>
        <v>0.96590217147458657</v>
      </c>
      <c r="J42">
        <f t="shared" si="21"/>
        <v>2.162953235357985E-7</v>
      </c>
      <c r="K42" s="18"/>
      <c r="L42" s="18">
        <f t="shared" si="22"/>
        <v>3.5019496737081517E-6</v>
      </c>
      <c r="M42" s="18">
        <f t="shared" si="23"/>
        <v>3.5019496737081517E-6</v>
      </c>
      <c r="N42">
        <f t="shared" si="24"/>
        <v>12.611294675511386</v>
      </c>
      <c r="O42">
        <f t="shared" si="14"/>
        <v>-12.562190694932557</v>
      </c>
      <c r="Q42">
        <f t="shared" si="25"/>
        <v>1.7936427420139106E-7</v>
      </c>
      <c r="S42">
        <f t="shared" si="26"/>
        <v>2.9328789712219349E-6</v>
      </c>
      <c r="T42">
        <f t="shared" si="27"/>
        <v>2.9328789712219349E-6</v>
      </c>
      <c r="U42">
        <f t="shared" si="15"/>
        <v>-12.739526033320216</v>
      </c>
      <c r="V42">
        <f t="shared" si="16"/>
        <v>0.17733533838765858</v>
      </c>
      <c r="X42" s="18">
        <f t="shared" si="28"/>
        <v>2.5738796825402305E-7</v>
      </c>
      <c r="Y42" s="18"/>
      <c r="Z42" s="18">
        <f t="shared" si="29"/>
        <v>4.2174217753198849E-6</v>
      </c>
      <c r="AA42" s="18">
        <f t="shared" si="17"/>
        <v>4.2174217753198849E-6</v>
      </c>
      <c r="AB42">
        <f t="shared" si="18"/>
        <v>-12.376286570340293</v>
      </c>
      <c r="AC42">
        <f t="shared" si="19"/>
        <v>0.18590412459226435</v>
      </c>
    </row>
    <row r="43" spans="1:29" x14ac:dyDescent="0.3">
      <c r="A43">
        <v>39</v>
      </c>
      <c r="B43">
        <v>529.87</v>
      </c>
      <c r="C43">
        <v>3600</v>
      </c>
      <c r="D43">
        <v>15.998702699655993</v>
      </c>
      <c r="E43">
        <v>6.6095505388768174</v>
      </c>
      <c r="F43">
        <v>1.3513115095494941E-2</v>
      </c>
      <c r="G43" s="18">
        <f t="shared" si="13"/>
        <v>0.96961834543369652</v>
      </c>
      <c r="H43" s="18">
        <f t="shared" si="20"/>
        <v>0.97043732210615086</v>
      </c>
      <c r="J43">
        <f t="shared" si="21"/>
        <v>2.1544936298554264E-7</v>
      </c>
      <c r="K43" s="18"/>
      <c r="L43" s="18">
        <f t="shared" si="22"/>
        <v>3.963231021249177E-6</v>
      </c>
      <c r="M43" s="18">
        <f t="shared" si="23"/>
        <v>3.963231021249177E-6</v>
      </c>
      <c r="N43">
        <f t="shared" si="24"/>
        <v>12.455316551870165</v>
      </c>
      <c r="O43">
        <f t="shared" si="14"/>
        <v>-12.438450950918277</v>
      </c>
      <c r="Q43">
        <f t="shared" si="25"/>
        <v>1.7435671826731805E-7</v>
      </c>
      <c r="S43">
        <f t="shared" si="26"/>
        <v>3.2477589196374429E-6</v>
      </c>
      <c r="T43">
        <f t="shared" si="27"/>
        <v>3.2477589196374429E-6</v>
      </c>
      <c r="U43">
        <f t="shared" si="15"/>
        <v>-12.637545362669155</v>
      </c>
      <c r="V43">
        <f t="shared" si="16"/>
        <v>0.1990944117508775</v>
      </c>
      <c r="X43" s="18">
        <f t="shared" si="28"/>
        <v>2.5396442437402237E-7</v>
      </c>
      <c r="Y43" s="18"/>
      <c r="Z43" s="18">
        <f t="shared" si="29"/>
        <v>4.7323228134372156E-6</v>
      </c>
      <c r="AA43" s="18">
        <f t="shared" si="17"/>
        <v>4.7323228134372156E-6</v>
      </c>
      <c r="AB43">
        <f t="shared" si="18"/>
        <v>-12.261094394936327</v>
      </c>
      <c r="AC43">
        <f t="shared" si="19"/>
        <v>0.17735655598194988</v>
      </c>
    </row>
    <row r="44" spans="1:29" x14ac:dyDescent="0.3">
      <c r="A44">
        <v>40</v>
      </c>
      <c r="B44">
        <v>539.11</v>
      </c>
      <c r="C44">
        <v>3600</v>
      </c>
      <c r="D44">
        <v>16.069566547386945</v>
      </c>
      <c r="E44">
        <v>6.9262059940562217</v>
      </c>
      <c r="F44">
        <v>1.1957709165362455E-2</v>
      </c>
      <c r="G44" s="18">
        <f t="shared" si="13"/>
        <v>0.97391312408405728</v>
      </c>
      <c r="H44" s="18">
        <f t="shared" si="20"/>
        <v>0.97463783373044277</v>
      </c>
      <c r="J44">
        <f t="shared" si="21"/>
        <v>2.0233789790561181E-7</v>
      </c>
      <c r="K44" s="18"/>
      <c r="L44" s="18">
        <f t="shared" si="22"/>
        <v>4.2894494396705793E-6</v>
      </c>
      <c r="M44" s="18">
        <f t="shared" si="23"/>
        <v>4.2894494396705793E-6</v>
      </c>
      <c r="N44">
        <f t="shared" si="24"/>
        <v>12.313602837054093</v>
      </c>
      <c r="O44">
        <f t="shared" si="14"/>
        <v>-12.359352169001209</v>
      </c>
      <c r="Q44">
        <f t="shared" si="25"/>
        <v>1.6382283651713207E-7</v>
      </c>
      <c r="S44">
        <f t="shared" si="26"/>
        <v>3.5203576474825415E-6</v>
      </c>
      <c r="T44">
        <f t="shared" si="27"/>
        <v>3.5203576474825415E-6</v>
      </c>
      <c r="U44">
        <f t="shared" si="15"/>
        <v>-12.556947969117196</v>
      </c>
      <c r="V44">
        <f t="shared" si="16"/>
        <v>0.19759580011598743</v>
      </c>
      <c r="X44" s="18">
        <f t="shared" si="28"/>
        <v>2.365689841799764E-7</v>
      </c>
      <c r="Y44" s="18"/>
      <c r="Z44" s="18">
        <f t="shared" si="29"/>
        <v>5.0823947291692233E-6</v>
      </c>
      <c r="AA44" s="18">
        <f t="shared" si="17"/>
        <v>5.0823947291692233E-6</v>
      </c>
      <c r="AB44">
        <f t="shared" si="18"/>
        <v>-12.189728004069782</v>
      </c>
      <c r="AC44">
        <f t="shared" si="19"/>
        <v>0.1696241649314274</v>
      </c>
    </row>
    <row r="45" spans="1:29" x14ac:dyDescent="0.3">
      <c r="A45">
        <v>41</v>
      </c>
      <c r="B45">
        <v>535.78</v>
      </c>
      <c r="C45">
        <v>3600</v>
      </c>
      <c r="D45">
        <v>16.126579885309994</v>
      </c>
      <c r="E45">
        <v>6.8111119005047636</v>
      </c>
      <c r="F45">
        <v>9.8110893232148597E-3</v>
      </c>
      <c r="G45" s="18">
        <f t="shared" si="13"/>
        <v>0.97736847789757542</v>
      </c>
      <c r="H45" s="18">
        <f t="shared" si="20"/>
        <v>0.97796308937170962</v>
      </c>
      <c r="J45">
        <f t="shared" si="21"/>
        <v>1.6343962034361685E-7</v>
      </c>
      <c r="K45" s="18"/>
      <c r="L45" s="18">
        <f t="shared" si="22"/>
        <v>3.9990523163160922E-6</v>
      </c>
      <c r="M45" s="18">
        <f t="shared" si="23"/>
        <v>3.9990523163160922E-6</v>
      </c>
      <c r="N45">
        <f t="shared" si="24"/>
        <v>12.364301787878039</v>
      </c>
      <c r="O45">
        <f t="shared" si="14"/>
        <v>-12.429453145835556</v>
      </c>
      <c r="Q45">
        <f t="shared" si="25"/>
        <v>1.2920853406925228E-7</v>
      </c>
      <c r="S45">
        <f t="shared" si="26"/>
        <v>3.2061070268174444E-6</v>
      </c>
      <c r="T45">
        <f t="shared" si="27"/>
        <v>3.2061070268174444E-6</v>
      </c>
      <c r="U45">
        <f t="shared" si="15"/>
        <v>-12.650453121047335</v>
      </c>
      <c r="V45">
        <f t="shared" si="16"/>
        <v>0.22099997521177883</v>
      </c>
      <c r="X45" s="18">
        <f t="shared" si="28"/>
        <v>1.9162335674512182E-7</v>
      </c>
      <c r="Y45" s="18"/>
      <c r="Z45" s="18">
        <f t="shared" si="29"/>
        <v>4.748404495465005E-6</v>
      </c>
      <c r="AA45" s="18">
        <f t="shared" si="17"/>
        <v>4.748404495465005E-6</v>
      </c>
      <c r="AB45">
        <f t="shared" si="18"/>
        <v>-12.257701892034897</v>
      </c>
      <c r="AC45">
        <f t="shared" si="19"/>
        <v>0.17175125380065914</v>
      </c>
    </row>
    <row r="46" spans="1:29" x14ac:dyDescent="0.3">
      <c r="A46">
        <v>42</v>
      </c>
      <c r="B46">
        <v>538.61</v>
      </c>
      <c r="C46">
        <v>3600</v>
      </c>
      <c r="D46">
        <v>16.165070778700908</v>
      </c>
      <c r="E46">
        <v>6.9088544929514564</v>
      </c>
      <c r="F46">
        <v>6.5141041189673643E-3</v>
      </c>
      <c r="G46" s="18">
        <f t="shared" si="13"/>
        <v>0.97970125931520657</v>
      </c>
      <c r="H46" s="18">
        <f t="shared" si="20"/>
        <v>0.9800960535042349</v>
      </c>
      <c r="J46">
        <f t="shared" si="21"/>
        <v>1.1066880480107409E-7</v>
      </c>
      <c r="K46" s="18"/>
      <c r="L46" s="18">
        <f t="shared" si="22"/>
        <v>3.0617254657206707E-6</v>
      </c>
      <c r="M46" s="18">
        <f t="shared" si="23"/>
        <v>3.0617254657206707E-6</v>
      </c>
      <c r="N46">
        <f t="shared" si="24"/>
        <v>12.321188748290435</v>
      </c>
      <c r="O46">
        <f t="shared" si="14"/>
        <v>-12.696531923232776</v>
      </c>
      <c r="Q46">
        <f t="shared" si="25"/>
        <v>8.2485068399569101E-8</v>
      </c>
      <c r="S46">
        <f t="shared" si="26"/>
        <v>2.3123732865717591E-6</v>
      </c>
      <c r="T46">
        <f t="shared" si="27"/>
        <v>2.3123732865717591E-6</v>
      </c>
      <c r="U46">
        <f t="shared" si="15"/>
        <v>-12.977236164057128</v>
      </c>
      <c r="V46">
        <f t="shared" si="16"/>
        <v>0.28070424082435252</v>
      </c>
      <c r="X46" s="18">
        <f t="shared" si="28"/>
        <v>1.2942422422651718E-7</v>
      </c>
      <c r="Y46" s="18"/>
      <c r="Z46" s="18">
        <f t="shared" si="29"/>
        <v>3.6145119035043861E-6</v>
      </c>
      <c r="AA46" s="18">
        <f t="shared" si="17"/>
        <v>3.6145119035043861E-6</v>
      </c>
      <c r="AB46">
        <f t="shared" si="18"/>
        <v>-12.530553731247023</v>
      </c>
      <c r="AC46">
        <f t="shared" si="19"/>
        <v>0.16597819198575259</v>
      </c>
    </row>
    <row r="47" spans="1:29" x14ac:dyDescent="0.3">
      <c r="A47">
        <v>43</v>
      </c>
      <c r="B47">
        <v>532.88</v>
      </c>
      <c r="C47">
        <v>4800</v>
      </c>
      <c r="D47">
        <v>16.198038418839182</v>
      </c>
      <c r="E47">
        <v>8.9490330109255662</v>
      </c>
      <c r="F47">
        <v>4.1473774348354262E-3</v>
      </c>
      <c r="G47" s="18">
        <f t="shared" si="13"/>
        <v>0.98169929811146561</v>
      </c>
      <c r="H47" s="18">
        <f t="shared" si="20"/>
        <v>0.98195065431963757</v>
      </c>
      <c r="J47">
        <f t="shared" si="21"/>
        <v>7.1248601737609883E-8</v>
      </c>
      <c r="K47" s="18"/>
      <c r="L47" s="18">
        <f t="shared" si="22"/>
        <v>2.1872591300706633E-6</v>
      </c>
      <c r="M47" s="18">
        <f t="shared" si="23"/>
        <v>2.1872591300706633E-6</v>
      </c>
      <c r="N47">
        <f t="shared" si="24"/>
        <v>12.408795354147019</v>
      </c>
      <c r="O47">
        <f t="shared" si="14"/>
        <v>-13.032861336745107</v>
      </c>
      <c r="Q47">
        <f t="shared" si="25"/>
        <v>5.7182037168527578E-8</v>
      </c>
      <c r="S47">
        <f t="shared" si="26"/>
        <v>1.7726693017328729E-6</v>
      </c>
      <c r="T47">
        <f t="shared" si="27"/>
        <v>1.7726693017328729E-6</v>
      </c>
      <c r="U47">
        <f t="shared" si="15"/>
        <v>-13.243024067314236</v>
      </c>
      <c r="V47">
        <f t="shared" si="16"/>
        <v>0.21016273056912915</v>
      </c>
      <c r="X47" s="18">
        <f t="shared" si="28"/>
        <v>8.0222059483515779E-8</v>
      </c>
      <c r="Y47" s="18"/>
      <c r="Z47" s="18">
        <f t="shared" si="29"/>
        <v>2.4791903672169893E-6</v>
      </c>
      <c r="AA47" s="18">
        <f t="shared" si="17"/>
        <v>2.4791903672169893E-6</v>
      </c>
      <c r="AB47">
        <f t="shared" si="18"/>
        <v>-12.907578515920486</v>
      </c>
      <c r="AC47">
        <f t="shared" si="19"/>
        <v>0.12528282082462106</v>
      </c>
    </row>
    <row r="48" spans="1:29" x14ac:dyDescent="0.3">
      <c r="A48">
        <v>44</v>
      </c>
      <c r="B48">
        <v>524.96</v>
      </c>
      <c r="C48">
        <v>6000</v>
      </c>
      <c r="D48">
        <v>16.224498843180669</v>
      </c>
      <c r="E48">
        <v>10.741206888865703</v>
      </c>
      <c r="F48">
        <v>2.7163394272767508E-3</v>
      </c>
      <c r="G48" s="18">
        <f t="shared" si="13"/>
        <v>0.98330296019276786</v>
      </c>
      <c r="H48" s="18">
        <f t="shared" si="20"/>
        <v>0.98346758682472402</v>
      </c>
      <c r="J48">
        <f t="shared" si="21"/>
        <v>4.5832340504188916E-8</v>
      </c>
      <c r="K48" s="18"/>
      <c r="L48" s="18">
        <f t="shared" si="22"/>
        <v>1.548659961278057E-6</v>
      </c>
      <c r="M48" s="18">
        <f t="shared" si="23"/>
        <v>1.548659961278057E-6</v>
      </c>
      <c r="N48">
        <f t="shared" si="24"/>
        <v>12.531956489047069</v>
      </c>
      <c r="O48">
        <f t="shared" si="14"/>
        <v>-13.378120542075251</v>
      </c>
      <c r="Q48">
        <f t="shared" si="25"/>
        <v>3.8653574307464211E-8</v>
      </c>
      <c r="S48">
        <f t="shared" si="26"/>
        <v>1.3151149715609924E-6</v>
      </c>
      <c r="T48">
        <f t="shared" si="27"/>
        <v>1.3151149715609924E-6</v>
      </c>
      <c r="U48">
        <f t="shared" si="15"/>
        <v>-13.541586465311539</v>
      </c>
      <c r="V48">
        <f t="shared" si="16"/>
        <v>0.16346592323628784</v>
      </c>
      <c r="X48" s="18">
        <f t="shared" si="28"/>
        <v>5.0541570598413933E-8</v>
      </c>
      <c r="Y48" s="18"/>
      <c r="Z48" s="18">
        <f t="shared" si="29"/>
        <v>1.7159844298079188E-6</v>
      </c>
      <c r="AA48" s="18">
        <f t="shared" si="17"/>
        <v>1.7159844298079188E-6</v>
      </c>
      <c r="AB48">
        <f t="shared" si="18"/>
        <v>-13.275523630478178</v>
      </c>
      <c r="AC48">
        <f t="shared" si="19"/>
        <v>0.10259691159707351</v>
      </c>
    </row>
    <row r="49" spans="1:29" x14ac:dyDescent="0.3">
      <c r="A49">
        <v>45</v>
      </c>
      <c r="B49">
        <v>514.98</v>
      </c>
      <c r="C49">
        <v>7200</v>
      </c>
      <c r="D49">
        <v>16.245185048053713</v>
      </c>
      <c r="E49">
        <v>12.234097001253623</v>
      </c>
      <c r="F49">
        <v>1.8413767364421196E-3</v>
      </c>
      <c r="G49" s="18">
        <f t="shared" si="13"/>
        <v>0.98455666957901289</v>
      </c>
      <c r="H49" s="18">
        <f t="shared" si="20"/>
        <v>0.98466826816910036</v>
      </c>
      <c r="J49">
        <f t="shared" si="21"/>
        <v>2.9902387779402124E-8</v>
      </c>
      <c r="K49" s="18"/>
      <c r="L49" s="18">
        <f t="shared" si="22"/>
        <v>1.0984092239884722E-6</v>
      </c>
      <c r="M49" s="18">
        <f t="shared" si="23"/>
        <v>1.0984092239884722E-6</v>
      </c>
      <c r="N49">
        <f t="shared" si="24"/>
        <v>12.690677428361125</v>
      </c>
      <c r="O49">
        <f t="shared" si="14"/>
        <v>-13.721647584869068</v>
      </c>
      <c r="Q49">
        <f t="shared" si="25"/>
        <v>2.5978029367547943E-8</v>
      </c>
      <c r="S49">
        <f t="shared" si="26"/>
        <v>9.5897216688025261E-7</v>
      </c>
      <c r="T49">
        <f t="shared" si="27"/>
        <v>9.5897216688025261E-7</v>
      </c>
      <c r="U49">
        <f t="shared" si="15"/>
        <v>-13.857403785549581</v>
      </c>
      <c r="V49">
        <f t="shared" si="16"/>
        <v>0.13575620068051286</v>
      </c>
      <c r="X49" s="18">
        <f t="shared" si="28"/>
        <v>3.2565987190957292E-8</v>
      </c>
      <c r="Y49" s="18"/>
      <c r="Z49" s="18">
        <f t="shared" si="29"/>
        <v>1.2004701313924602E-6</v>
      </c>
      <c r="AA49" s="18">
        <f t="shared" si="17"/>
        <v>1.2004701313924602E-6</v>
      </c>
      <c r="AB49">
        <f t="shared" si="18"/>
        <v>-13.632797301734177</v>
      </c>
      <c r="AC49">
        <f t="shared" si="19"/>
        <v>8.8850283134890518E-2</v>
      </c>
    </row>
    <row r="50" spans="1:29" x14ac:dyDescent="0.3">
      <c r="A50">
        <v>46</v>
      </c>
      <c r="B50">
        <v>503.72</v>
      </c>
      <c r="C50">
        <v>8400</v>
      </c>
      <c r="D50">
        <v>16.259048697948867</v>
      </c>
      <c r="E50">
        <v>13.438023529266896</v>
      </c>
      <c r="F50">
        <v>1.1146184007879369E-3</v>
      </c>
      <c r="G50" s="18">
        <f t="shared" si="13"/>
        <v>0.98539689078477977</v>
      </c>
      <c r="H50" s="18">
        <f t="shared" si="20"/>
        <v>0.98546444341513062</v>
      </c>
      <c r="J50">
        <f t="shared" si="21"/>
        <v>1.7195614974361425E-8</v>
      </c>
      <c r="K50" s="18"/>
      <c r="L50" s="18">
        <f t="shared" si="22"/>
        <v>6.7478408015952832E-7</v>
      </c>
      <c r="M50" s="18">
        <f t="shared" si="23"/>
        <v>6.7478408015952832E-7</v>
      </c>
      <c r="N50">
        <f t="shared" si="24"/>
        <v>12.874652384385621</v>
      </c>
      <c r="O50">
        <f t="shared" si="14"/>
        <v>-14.208873078491942</v>
      </c>
      <c r="Q50">
        <f t="shared" si="25"/>
        <v>1.4912529764456994E-8</v>
      </c>
      <c r="S50">
        <f t="shared" si="26"/>
        <v>5.8730330238467989E-7</v>
      </c>
      <c r="T50">
        <f t="shared" si="27"/>
        <v>5.8730330238467989E-7</v>
      </c>
      <c r="U50">
        <f t="shared" si="15"/>
        <v>-14.347724451439229</v>
      </c>
      <c r="V50">
        <f t="shared" si="16"/>
        <v>0.13885137294728622</v>
      </c>
      <c r="X50" s="18">
        <f t="shared" si="28"/>
        <v>1.8578755860144625E-8</v>
      </c>
      <c r="Y50" s="18"/>
      <c r="Z50" s="18">
        <f t="shared" si="29"/>
        <v>7.3071144333463535E-7</v>
      </c>
      <c r="AA50" s="18">
        <f t="shared" si="17"/>
        <v>7.3071144333463535E-7</v>
      </c>
      <c r="AB50">
        <f t="shared" si="18"/>
        <v>-14.129247197488187</v>
      </c>
      <c r="AC50">
        <f t="shared" si="19"/>
        <v>7.9625881003755339E-2</v>
      </c>
    </row>
    <row r="51" spans="1:29" s="4" customFormat="1" x14ac:dyDescent="0.3">
      <c r="A51" s="4">
        <v>47</v>
      </c>
      <c r="B51" s="4">
        <v>460.01</v>
      </c>
      <c r="C51" s="4">
        <v>3600</v>
      </c>
      <c r="D51" s="4">
        <v>16.259048697948867</v>
      </c>
      <c r="E51" s="4">
        <v>4.4877162518461731</v>
      </c>
      <c r="F51" s="4">
        <v>1.2535330933558158E-5</v>
      </c>
      <c r="G51" s="5">
        <f t="shared" si="13"/>
        <v>0.98539689078477977</v>
      </c>
      <c r="H51" s="5">
        <f t="shared" si="20"/>
        <v>0.98539765050180617</v>
      </c>
      <c r="J51" s="4">
        <f t="shared" si="21"/>
        <v>0</v>
      </c>
      <c r="K51" s="5"/>
      <c r="L51" s="5">
        <f t="shared" si="22"/>
        <v>0</v>
      </c>
      <c r="M51" s="5">
        <f t="shared" si="23"/>
        <v>0</v>
      </c>
      <c r="N51" s="4">
        <f t="shared" si="24"/>
        <v>13.642378685147543</v>
      </c>
      <c r="O51" s="4" t="e">
        <f>LN(M51)</f>
        <v>#NUM!</v>
      </c>
      <c r="Q51" s="4">
        <f t="shared" si="25"/>
        <v>-3.2273287334941377E-9</v>
      </c>
      <c r="S51" s="4">
        <f t="shared" si="26"/>
        <v>-1.3049718074191944E-7</v>
      </c>
      <c r="T51" s="4">
        <f t="shared" si="27"/>
        <v>-1.3049718074191944E-7</v>
      </c>
      <c r="U51" s="4" t="e">
        <f t="shared" si="15"/>
        <v>#NUM!</v>
      </c>
      <c r="V51" s="4">
        <f t="shared" si="16"/>
        <v>5</v>
      </c>
      <c r="X51" s="5">
        <f t="shared" si="28"/>
        <v>3.6294271323674438E-11</v>
      </c>
      <c r="Y51" s="5"/>
      <c r="Z51" s="5">
        <f t="shared" si="29"/>
        <v>1.4642511624051174E-9</v>
      </c>
      <c r="AA51" s="5">
        <f t="shared" si="17"/>
        <v>1.4642511624051174E-9</v>
      </c>
      <c r="AB51" s="4">
        <f t="shared" si="18"/>
        <v>-20.341921877101967</v>
      </c>
      <c r="AC51" s="4" t="e">
        <f t="shared" si="19"/>
        <v>#NUM!</v>
      </c>
    </row>
    <row r="52" spans="1:29" s="4" customFormat="1" x14ac:dyDescent="0.3">
      <c r="A52" s="4">
        <v>48</v>
      </c>
      <c r="B52" s="4">
        <v>470.01</v>
      </c>
      <c r="C52" s="4">
        <v>3600</v>
      </c>
      <c r="D52" s="4">
        <v>16.259048697948867</v>
      </c>
      <c r="E52" s="4">
        <v>4.7621511194947121</v>
      </c>
      <c r="F52" s="4">
        <v>1.0714202507858758E-7</v>
      </c>
      <c r="G52" s="5">
        <f t="shared" si="13"/>
        <v>0.98539689078477977</v>
      </c>
      <c r="H52" s="5">
        <f t="shared" si="20"/>
        <v>0.98539689727823587</v>
      </c>
      <c r="J52" s="4">
        <f t="shared" si="21"/>
        <v>0</v>
      </c>
      <c r="K52" s="5"/>
      <c r="L52" s="5">
        <f t="shared" si="22"/>
        <v>0</v>
      </c>
      <c r="M52" s="5">
        <f t="shared" si="23"/>
        <v>0</v>
      </c>
      <c r="N52" s="4">
        <f t="shared" si="24"/>
        <v>13.458769060981682</v>
      </c>
      <c r="O52" s="4" t="e">
        <f t="shared" si="14"/>
        <v>#NUM!</v>
      </c>
      <c r="Q52" s="4">
        <f t="shared" si="25"/>
        <v>-3.6294271323674438E-11</v>
      </c>
      <c r="S52" s="4">
        <f t="shared" si="26"/>
        <v>-1.4642511624050533E-9</v>
      </c>
      <c r="T52" s="4">
        <f t="shared" si="27"/>
        <v>-1.4642511624050533E-9</v>
      </c>
      <c r="U52" s="4" t="e">
        <f t="shared" si="15"/>
        <v>#NUM!</v>
      </c>
      <c r="V52" s="4">
        <f t="shared" si="16"/>
        <v>5</v>
      </c>
      <c r="X52" s="5">
        <f t="shared" si="28"/>
        <v>3.1021440712238001E-13</v>
      </c>
      <c r="Y52" s="5"/>
      <c r="Z52" s="5">
        <f t="shared" si="29"/>
        <v>1.2514930043048679E-11</v>
      </c>
      <c r="AA52" s="5">
        <f t="shared" si="17"/>
        <v>1.2514930043048679E-11</v>
      </c>
      <c r="AB52" s="4">
        <f t="shared" si="18"/>
        <v>-25.104098780908721</v>
      </c>
      <c r="AC52" s="4" t="e">
        <f t="shared" si="19"/>
        <v>#NUM!</v>
      </c>
    </row>
    <row r="53" spans="1:29" x14ac:dyDescent="0.3">
      <c r="A53">
        <v>49</v>
      </c>
      <c r="B53">
        <v>480</v>
      </c>
      <c r="C53">
        <v>3600</v>
      </c>
      <c r="D53">
        <v>16.261844458045591</v>
      </c>
      <c r="E53">
        <v>5.0460209152359754</v>
      </c>
      <c r="F53">
        <v>6.90990025828938E-4</v>
      </c>
      <c r="G53" s="18">
        <f t="shared" si="13"/>
        <v>0.98556633079064182</v>
      </c>
      <c r="H53" s="18">
        <f t="shared" si="20"/>
        <v>0.98560820897402535</v>
      </c>
      <c r="J53">
        <f t="shared" si="21"/>
        <v>8.0954193275582074E-9</v>
      </c>
      <c r="K53" s="18"/>
      <c r="L53" s="18">
        <f t="shared" si="22"/>
        <v>3.2847340030744032E-7</v>
      </c>
      <c r="M53" s="18">
        <f t="shared" si="23"/>
        <v>3.2847340030744032E-7</v>
      </c>
      <c r="N53">
        <f t="shared" si="24"/>
        <v>13.280212483399735</v>
      </c>
      <c r="O53">
        <f t="shared" si="14"/>
        <v>-14.92880997548917</v>
      </c>
      <c r="Q53">
        <f t="shared" si="25"/>
        <v>8.0951091131510839E-9</v>
      </c>
      <c r="S53">
        <f t="shared" si="26"/>
        <v>3.2846088537739579E-7</v>
      </c>
      <c r="T53">
        <f t="shared" si="27"/>
        <v>3.2846088537739579E-7</v>
      </c>
      <c r="U53">
        <f t="shared" si="15"/>
        <v>-14.928848076499632</v>
      </c>
      <c r="V53">
        <f t="shared" si="16"/>
        <v>3.810101046219927E-5</v>
      </c>
      <c r="X53" s="18">
        <f t="shared" si="28"/>
        <v>1.0096468618495077E-8</v>
      </c>
      <c r="Y53" s="18"/>
      <c r="Z53" s="18">
        <f t="shared" si="29"/>
        <v>4.1025199425964545E-7</v>
      </c>
      <c r="AA53" s="18">
        <f t="shared" si="17"/>
        <v>4.1025199425964545E-7</v>
      </c>
      <c r="AB53">
        <f t="shared" si="18"/>
        <v>-14.706494245904185</v>
      </c>
      <c r="AC53">
        <f t="shared" si="19"/>
        <v>0.22231572958498447</v>
      </c>
    </row>
    <row r="54" spans="1:29" x14ac:dyDescent="0.3">
      <c r="A54">
        <v>50</v>
      </c>
      <c r="B54">
        <v>489.95</v>
      </c>
      <c r="C54">
        <v>3600</v>
      </c>
      <c r="D54">
        <v>16.265077350685313</v>
      </c>
      <c r="E54">
        <v>5.3384436693172095</v>
      </c>
      <c r="F54">
        <v>7.4517335849889628E-4</v>
      </c>
      <c r="G54" s="18">
        <f t="shared" si="13"/>
        <v>0.98576226367789777</v>
      </c>
      <c r="H54" s="18">
        <f t="shared" si="20"/>
        <v>0.98580742569962498</v>
      </c>
      <c r="J54">
        <f t="shared" si="21"/>
        <v>9.3629182377771545E-9</v>
      </c>
      <c r="K54" s="18"/>
      <c r="L54" s="18">
        <f t="shared" si="22"/>
        <v>3.8467402788430765E-7</v>
      </c>
      <c r="M54" s="18">
        <f t="shared" si="23"/>
        <v>3.8467402788430765E-7</v>
      </c>
      <c r="N54">
        <f t="shared" si="24"/>
        <v>13.10701880857199</v>
      </c>
      <c r="O54">
        <f t="shared" si="14"/>
        <v>-14.77086954211526</v>
      </c>
      <c r="Q54">
        <f t="shared" si="25"/>
        <v>7.3618689468402855E-9</v>
      </c>
      <c r="S54">
        <f t="shared" si="26"/>
        <v>3.0289543393209882E-7</v>
      </c>
      <c r="T54">
        <f t="shared" si="27"/>
        <v>3.0289543393209882E-7</v>
      </c>
      <c r="U54">
        <f t="shared" si="15"/>
        <v>-15.009878193532952</v>
      </c>
      <c r="V54">
        <f t="shared" si="16"/>
        <v>0.23900865141769145</v>
      </c>
      <c r="X54" s="18">
        <f t="shared" si="28"/>
        <v>1.1521310519243115E-8</v>
      </c>
      <c r="Y54" s="18"/>
      <c r="Z54" s="18">
        <f t="shared" si="29"/>
        <v>4.7409098475952497E-7</v>
      </c>
      <c r="AA54" s="18">
        <f t="shared" si="17"/>
        <v>4.7409098475952497E-7</v>
      </c>
      <c r="AB54">
        <f t="shared" si="18"/>
        <v>-14.561866582702104</v>
      </c>
      <c r="AC54">
        <f t="shared" si="19"/>
        <v>0.20900295941315683</v>
      </c>
    </row>
    <row r="55" spans="1:29" x14ac:dyDescent="0.3">
      <c r="A55">
        <v>51</v>
      </c>
      <c r="B55">
        <v>499.99</v>
      </c>
      <c r="C55">
        <v>3600</v>
      </c>
      <c r="D55">
        <v>16.270113422394132</v>
      </c>
      <c r="E55">
        <v>5.6433509310293646</v>
      </c>
      <c r="F55">
        <v>1.0845770185419939E-3</v>
      </c>
      <c r="G55" s="18">
        <f t="shared" si="13"/>
        <v>0.98606748014509893</v>
      </c>
      <c r="H55" s="18">
        <f t="shared" si="20"/>
        <v>0.98613321208561666</v>
      </c>
      <c r="J55">
        <f t="shared" si="21"/>
        <v>1.4588889866427191E-8</v>
      </c>
      <c r="K55" s="18"/>
      <c r="L55" s="18">
        <f t="shared" si="22"/>
        <v>6.0990460045987138E-7</v>
      </c>
      <c r="M55" s="18">
        <f t="shared" si="23"/>
        <v>6.0990460045987138E-7</v>
      </c>
      <c r="N55">
        <f t="shared" si="24"/>
        <v>12.936777966079768</v>
      </c>
      <c r="O55">
        <f t="shared" si="14"/>
        <v>-14.309963284698402</v>
      </c>
      <c r="Q55">
        <f t="shared" si="25"/>
        <v>1.243049758496123E-8</v>
      </c>
      <c r="S55">
        <f t="shared" si="26"/>
        <v>5.2048764358465634E-7</v>
      </c>
      <c r="T55">
        <f t="shared" si="27"/>
        <v>5.2048764358465634E-7</v>
      </c>
      <c r="U55">
        <f t="shared" si="15"/>
        <v>-14.46849968868392</v>
      </c>
      <c r="V55">
        <f t="shared" si="16"/>
        <v>0.1585364039855186</v>
      </c>
      <c r="X55" s="18">
        <f t="shared" si="28"/>
        <v>1.7731369210079153E-8</v>
      </c>
      <c r="Y55" s="18"/>
      <c r="Z55" s="18">
        <f t="shared" si="29"/>
        <v>7.4300244758855217E-7</v>
      </c>
      <c r="AA55" s="18">
        <f t="shared" si="17"/>
        <v>7.4300244758855217E-7</v>
      </c>
      <c r="AB55">
        <f t="shared" si="18"/>
        <v>-14.112566498036834</v>
      </c>
      <c r="AC55">
        <f t="shared" si="19"/>
        <v>0.19739678666156735</v>
      </c>
    </row>
    <row r="56" spans="1:29" x14ac:dyDescent="0.3">
      <c r="A56">
        <v>52</v>
      </c>
      <c r="B56">
        <v>505.02</v>
      </c>
      <c r="C56">
        <v>3600</v>
      </c>
      <c r="D56">
        <v>16.275280360947665</v>
      </c>
      <c r="E56">
        <v>5.7998347947004474</v>
      </c>
      <c r="F56">
        <v>1.0764825821170483E-3</v>
      </c>
      <c r="G56" s="18">
        <f t="shared" si="13"/>
        <v>0.98638062793622217</v>
      </c>
      <c r="H56" s="18">
        <f t="shared" si="20"/>
        <v>0.98644586930483535</v>
      </c>
      <c r="J56">
        <f t="shared" si="21"/>
        <v>1.4972689218996604E-8</v>
      </c>
      <c r="K56" s="18"/>
      <c r="L56" s="18">
        <f t="shared" si="22"/>
        <v>6.3980020929168216E-7</v>
      </c>
      <c r="M56" s="18">
        <f t="shared" si="23"/>
        <v>6.3980020929168216E-7</v>
      </c>
      <c r="N56">
        <f t="shared" si="24"/>
        <v>12.853140022107402</v>
      </c>
      <c r="O56">
        <f t="shared" si="14"/>
        <v>-14.262109882310568</v>
      </c>
      <c r="Q56">
        <f t="shared" si="25"/>
        <v>1.1830209875344641E-8</v>
      </c>
      <c r="S56">
        <f t="shared" si="26"/>
        <v>5.0670236216299566E-7</v>
      </c>
      <c r="T56">
        <f t="shared" si="27"/>
        <v>5.0670236216299566E-7</v>
      </c>
      <c r="U56">
        <f t="shared" si="15"/>
        <v>-14.495342062618308</v>
      </c>
      <c r="V56">
        <f t="shared" si="16"/>
        <v>0.23323218030773951</v>
      </c>
      <c r="X56" s="18">
        <f t="shared" si="28"/>
        <v>1.8092705257075867E-8</v>
      </c>
      <c r="Y56" s="18"/>
      <c r="Z56" s="18">
        <f t="shared" si="29"/>
        <v>7.7494708892691304E-7</v>
      </c>
      <c r="AA56" s="18">
        <f t="shared" si="17"/>
        <v>7.7494708892691304E-7</v>
      </c>
      <c r="AB56">
        <f t="shared" si="18"/>
        <v>-14.070471082276098</v>
      </c>
      <c r="AC56">
        <f t="shared" si="19"/>
        <v>0.19163880003446998</v>
      </c>
    </row>
    <row r="57" spans="1:29" x14ac:dyDescent="0.3">
      <c r="A57" t="s">
        <v>144</v>
      </c>
      <c r="D57">
        <v>16.5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ReducedGalTS230630</vt:lpstr>
      <vt:lpstr>Diffusivities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Thyer, Benjamin J.</cp:lastModifiedBy>
  <dcterms:created xsi:type="dcterms:W3CDTF">2025-02-27T01:27:59Z</dcterms:created>
  <dcterms:modified xsi:type="dcterms:W3CDTF">2026-08-01T18:05:37Z</dcterms:modified>
</cp:coreProperties>
</file>