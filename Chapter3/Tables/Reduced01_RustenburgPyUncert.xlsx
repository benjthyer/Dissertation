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_Repositories\Dissertation\Chapter3\Tables\"/>
    </mc:Choice>
  </mc:AlternateContent>
  <xr:revisionPtr revIDLastSave="0" documentId="13_ncr:1_{AE822852-92E3-4F0B-9984-2496C1738BC5}" xr6:coauthVersionLast="47" xr6:coauthVersionMax="47" xr10:uidLastSave="{00000000-0000-0000-0000-000000000000}"/>
  <bookViews>
    <workbookView xWindow="43095" yWindow="-2925" windowWidth="14610" windowHeight="15585" xr2:uid="{91943F66-DACF-4049-9660-A0E089DADBF0}"/>
  </bookViews>
  <sheets>
    <sheet name="Batch 55" sheetId="1" r:id="rId1"/>
    <sheet name="Diffusivities" sheetId="3" r:id="rId2"/>
    <sheet name="STD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" i="1" l="1"/>
  <c r="AE6" i="1"/>
  <c r="AF6" i="1"/>
  <c r="AD7" i="1"/>
  <c r="AE7" i="1"/>
  <c r="AF7" i="1"/>
  <c r="AD8" i="1"/>
  <c r="AE8" i="1"/>
  <c r="AF8" i="1"/>
  <c r="AD9" i="1"/>
  <c r="AE9" i="1"/>
  <c r="AF9" i="1"/>
  <c r="AD10" i="1"/>
  <c r="AE10" i="1"/>
  <c r="AF10" i="1"/>
  <c r="AD11" i="1"/>
  <c r="AE11" i="1"/>
  <c r="AF11" i="1"/>
  <c r="AD12" i="1"/>
  <c r="AE12" i="1"/>
  <c r="AF12" i="1"/>
  <c r="AD13" i="1"/>
  <c r="AE13" i="1"/>
  <c r="AF13" i="1"/>
  <c r="AD14" i="1"/>
  <c r="AE14" i="1"/>
  <c r="AF14" i="1"/>
  <c r="AD15" i="1"/>
  <c r="AE15" i="1"/>
  <c r="AF15" i="1"/>
  <c r="AD16" i="1"/>
  <c r="AE16" i="1"/>
  <c r="AF16" i="1"/>
  <c r="AD17" i="1"/>
  <c r="AE17" i="1"/>
  <c r="AF17" i="1"/>
  <c r="AD18" i="1"/>
  <c r="AE18" i="1"/>
  <c r="AF18" i="1"/>
  <c r="AD19" i="1"/>
  <c r="AE19" i="1"/>
  <c r="AF19" i="1"/>
  <c r="AD20" i="1"/>
  <c r="AE20" i="1"/>
  <c r="AF20" i="1"/>
  <c r="AD21" i="1"/>
  <c r="AE21" i="1"/>
  <c r="AF21" i="1"/>
  <c r="AD22" i="1"/>
  <c r="AE22" i="1"/>
  <c r="AF22" i="1"/>
  <c r="AD23" i="1"/>
  <c r="AE23" i="1"/>
  <c r="AF23" i="1"/>
  <c r="AD24" i="1"/>
  <c r="AE24" i="1"/>
  <c r="AF24" i="1"/>
  <c r="AD25" i="1"/>
  <c r="AE25" i="1"/>
  <c r="AF25" i="1"/>
  <c r="AD26" i="1"/>
  <c r="AE26" i="1"/>
  <c r="AF26" i="1"/>
  <c r="AD27" i="1"/>
  <c r="AE27" i="1"/>
  <c r="AF27" i="1"/>
  <c r="AD28" i="1"/>
  <c r="AE28" i="1"/>
  <c r="AF28" i="1"/>
  <c r="AD29" i="1"/>
  <c r="AE29" i="1"/>
  <c r="AF29" i="1"/>
  <c r="AD30" i="1"/>
  <c r="AE30" i="1"/>
  <c r="AF30" i="1"/>
  <c r="AD31" i="1"/>
  <c r="AE31" i="1"/>
  <c r="AF31" i="1"/>
  <c r="AD32" i="1"/>
  <c r="AE32" i="1"/>
  <c r="AF32" i="1"/>
  <c r="AD33" i="1"/>
  <c r="AE33" i="1"/>
  <c r="AF33" i="1"/>
  <c r="AD34" i="1"/>
  <c r="AE34" i="1"/>
  <c r="AF34" i="1"/>
  <c r="AD35" i="1"/>
  <c r="AE35" i="1"/>
  <c r="AF35" i="1"/>
  <c r="AD36" i="1"/>
  <c r="AE36" i="1"/>
  <c r="AF36" i="1"/>
  <c r="AD37" i="1"/>
  <c r="AE37" i="1"/>
  <c r="AF37" i="1"/>
  <c r="AD38" i="1"/>
  <c r="AE38" i="1"/>
  <c r="AF38" i="1"/>
  <c r="AD39" i="1"/>
  <c r="AE39" i="1"/>
  <c r="AF39" i="1"/>
  <c r="AD40" i="1"/>
  <c r="AE40" i="1"/>
  <c r="AF40" i="1"/>
  <c r="AD41" i="1"/>
  <c r="AE41" i="1"/>
  <c r="AF41" i="1"/>
  <c r="AD42" i="1"/>
  <c r="AE42" i="1"/>
  <c r="AF42" i="1"/>
  <c r="AD43" i="1"/>
  <c r="AE43" i="1"/>
  <c r="AF43" i="1"/>
  <c r="AD44" i="1"/>
  <c r="AE44" i="1"/>
  <c r="AF44" i="1"/>
  <c r="AD45" i="1"/>
  <c r="AE45" i="1"/>
  <c r="AF45" i="1"/>
  <c r="AD46" i="1"/>
  <c r="AE46" i="1"/>
  <c r="AF46" i="1"/>
  <c r="AD47" i="1"/>
  <c r="AE47" i="1"/>
  <c r="AF47" i="1"/>
  <c r="AD48" i="1"/>
  <c r="AE48" i="1"/>
  <c r="AF48" i="1"/>
  <c r="AD49" i="1"/>
  <c r="AE49" i="1"/>
  <c r="AF49" i="1"/>
  <c r="AD50" i="1"/>
  <c r="AE50" i="1"/>
  <c r="AF50" i="1"/>
  <c r="AD51" i="1"/>
  <c r="AE51" i="1"/>
  <c r="AF51" i="1"/>
  <c r="AD52" i="1"/>
  <c r="AE52" i="1"/>
  <c r="AF52" i="1"/>
  <c r="AD53" i="1"/>
  <c r="AE53" i="1"/>
  <c r="AF53" i="1"/>
  <c r="AD54" i="1"/>
  <c r="AE54" i="1"/>
  <c r="AF54" i="1"/>
  <c r="AD55" i="1"/>
  <c r="AE55" i="1"/>
  <c r="AF55" i="1"/>
  <c r="AD56" i="1"/>
  <c r="AE56" i="1"/>
  <c r="AF56" i="1"/>
  <c r="AD57" i="1"/>
  <c r="AE57" i="1"/>
  <c r="AF57" i="1"/>
  <c r="AD58" i="1"/>
  <c r="AE58" i="1"/>
  <c r="AF58" i="1"/>
  <c r="AD59" i="1"/>
  <c r="AE59" i="1"/>
  <c r="AF59" i="1"/>
  <c r="AD60" i="1"/>
  <c r="AE60" i="1"/>
  <c r="AF60" i="1"/>
  <c r="AD61" i="1"/>
  <c r="AE61" i="1"/>
  <c r="AF61" i="1"/>
  <c r="AD62" i="1"/>
  <c r="AE62" i="1"/>
  <c r="AF62" i="1"/>
  <c r="AD63" i="1"/>
  <c r="AE63" i="1"/>
  <c r="AF63" i="1"/>
  <c r="AD64" i="1"/>
  <c r="AE64" i="1"/>
  <c r="AF64" i="1"/>
  <c r="AD65" i="1"/>
  <c r="AE65" i="1"/>
  <c r="AF65" i="1"/>
  <c r="AD66" i="1"/>
  <c r="AE66" i="1"/>
  <c r="AF66" i="1"/>
  <c r="AD67" i="1"/>
  <c r="AE67" i="1"/>
  <c r="AF67" i="1"/>
  <c r="AD68" i="1"/>
  <c r="AE68" i="1"/>
  <c r="AF68" i="1"/>
  <c r="AD69" i="1"/>
  <c r="AE69" i="1"/>
  <c r="AF69" i="1"/>
  <c r="AD70" i="1"/>
  <c r="AE70" i="1"/>
  <c r="AF70" i="1"/>
  <c r="AD71" i="1"/>
  <c r="AE71" i="1"/>
  <c r="AF71" i="1"/>
  <c r="AD72" i="1"/>
  <c r="AE72" i="1"/>
  <c r="AF72" i="1"/>
  <c r="AD73" i="1"/>
  <c r="AE73" i="1"/>
  <c r="AF73" i="1"/>
  <c r="AD74" i="1"/>
  <c r="AE74" i="1"/>
  <c r="AF74" i="1"/>
  <c r="AD75" i="1"/>
  <c r="AE75" i="1"/>
  <c r="AF75" i="1"/>
  <c r="AD76" i="1"/>
  <c r="AE76" i="1"/>
  <c r="AF76" i="1"/>
  <c r="AD77" i="1"/>
  <c r="AE77" i="1"/>
  <c r="AF77" i="1"/>
  <c r="AD78" i="1"/>
  <c r="AE78" i="1"/>
  <c r="AF78" i="1"/>
  <c r="AD79" i="1"/>
  <c r="AE79" i="1"/>
  <c r="AF79" i="1"/>
  <c r="AD80" i="1"/>
  <c r="AE80" i="1"/>
  <c r="AF80" i="1"/>
  <c r="AD81" i="1"/>
  <c r="AE81" i="1"/>
  <c r="AF81" i="1"/>
  <c r="AD82" i="1"/>
  <c r="AE82" i="1"/>
  <c r="AF82" i="1"/>
  <c r="AD83" i="1"/>
  <c r="AE83" i="1"/>
  <c r="AF83" i="1"/>
  <c r="AF5" i="1"/>
  <c r="AE5" i="1"/>
  <c r="AD5" i="1"/>
  <c r="Z5" i="1" l="1"/>
  <c r="D4" i="3" a="1"/>
  <c r="D4" i="3" s="1"/>
  <c r="E4" i="3" a="1"/>
  <c r="E4" i="3" s="1"/>
  <c r="AB5" i="1"/>
  <c r="F8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4" i="1"/>
  <c r="P88" i="1"/>
  <c r="Z6" i="1"/>
  <c r="AA6" i="1"/>
  <c r="AB6" i="1"/>
  <c r="Z7" i="1"/>
  <c r="AA7" i="1"/>
  <c r="AB7" i="1"/>
  <c r="Z8" i="1"/>
  <c r="AA8" i="1"/>
  <c r="AB8" i="1"/>
  <c r="Z9" i="1"/>
  <c r="AA9" i="1"/>
  <c r="AB9" i="1"/>
  <c r="Z10" i="1"/>
  <c r="AA10" i="1"/>
  <c r="AB10" i="1"/>
  <c r="Z11" i="1"/>
  <c r="AA11" i="1"/>
  <c r="AB11" i="1"/>
  <c r="Z12" i="1"/>
  <c r="AA12" i="1"/>
  <c r="AB12" i="1"/>
  <c r="Z13" i="1"/>
  <c r="AA13" i="1"/>
  <c r="AB13" i="1"/>
  <c r="Z14" i="1"/>
  <c r="AA14" i="1"/>
  <c r="AB14" i="1"/>
  <c r="Z15" i="1"/>
  <c r="AA15" i="1"/>
  <c r="AB15" i="1"/>
  <c r="Z16" i="1"/>
  <c r="AA16" i="1"/>
  <c r="AB16" i="1"/>
  <c r="Z17" i="1"/>
  <c r="AA17" i="1"/>
  <c r="AB17" i="1"/>
  <c r="Z18" i="1"/>
  <c r="AA18" i="1"/>
  <c r="AB18" i="1"/>
  <c r="Z19" i="1"/>
  <c r="AA19" i="1"/>
  <c r="AB19" i="1"/>
  <c r="Z20" i="1"/>
  <c r="AA20" i="1"/>
  <c r="AB20" i="1"/>
  <c r="Z21" i="1"/>
  <c r="AA21" i="1"/>
  <c r="AB21" i="1"/>
  <c r="Z22" i="1"/>
  <c r="AA22" i="1"/>
  <c r="AB22" i="1"/>
  <c r="Z23" i="1"/>
  <c r="AA23" i="1"/>
  <c r="AB23" i="1"/>
  <c r="Z24" i="1"/>
  <c r="AA24" i="1"/>
  <c r="AB24" i="1"/>
  <c r="Z25" i="1"/>
  <c r="AA25" i="1"/>
  <c r="AB25" i="1"/>
  <c r="Z26" i="1"/>
  <c r="AA26" i="1"/>
  <c r="AB26" i="1"/>
  <c r="Z27" i="1"/>
  <c r="AA27" i="1"/>
  <c r="AB27" i="1"/>
  <c r="Z28" i="1"/>
  <c r="AA28" i="1"/>
  <c r="AB28" i="1"/>
  <c r="Z29" i="1"/>
  <c r="AA29" i="1"/>
  <c r="AB29" i="1"/>
  <c r="Z30" i="1"/>
  <c r="AA30" i="1"/>
  <c r="AB30" i="1"/>
  <c r="Z31" i="1"/>
  <c r="AA31" i="1"/>
  <c r="AB31" i="1"/>
  <c r="Z32" i="1"/>
  <c r="AA32" i="1"/>
  <c r="AB32" i="1"/>
  <c r="Z33" i="1"/>
  <c r="AA33" i="1"/>
  <c r="AB33" i="1"/>
  <c r="Z34" i="1"/>
  <c r="AA34" i="1"/>
  <c r="AB34" i="1"/>
  <c r="Z35" i="1"/>
  <c r="AA35" i="1"/>
  <c r="AB35" i="1"/>
  <c r="Z36" i="1"/>
  <c r="AA36" i="1"/>
  <c r="AB36" i="1"/>
  <c r="Z37" i="1"/>
  <c r="AA37" i="1"/>
  <c r="AB37" i="1"/>
  <c r="Z38" i="1"/>
  <c r="AA38" i="1"/>
  <c r="AB38" i="1"/>
  <c r="Z39" i="1"/>
  <c r="AA39" i="1"/>
  <c r="AB39" i="1"/>
  <c r="Z40" i="1"/>
  <c r="AA40" i="1"/>
  <c r="AB40" i="1"/>
  <c r="Z41" i="1"/>
  <c r="AA41" i="1"/>
  <c r="AB41" i="1"/>
  <c r="Z42" i="1"/>
  <c r="AA42" i="1"/>
  <c r="AB42" i="1"/>
  <c r="Z43" i="1"/>
  <c r="AA43" i="1"/>
  <c r="AB43" i="1"/>
  <c r="Z44" i="1"/>
  <c r="AA44" i="1"/>
  <c r="AB44" i="1"/>
  <c r="Z45" i="1"/>
  <c r="AA45" i="1"/>
  <c r="AB45" i="1"/>
  <c r="Z46" i="1"/>
  <c r="AA46" i="1"/>
  <c r="AB46" i="1"/>
  <c r="Z47" i="1"/>
  <c r="AA47" i="1"/>
  <c r="AB47" i="1"/>
  <c r="Z48" i="1"/>
  <c r="AA48" i="1"/>
  <c r="AB48" i="1"/>
  <c r="Z49" i="1"/>
  <c r="AA49" i="1"/>
  <c r="AB49" i="1"/>
  <c r="Z50" i="1"/>
  <c r="AA50" i="1"/>
  <c r="AB50" i="1"/>
  <c r="Z51" i="1"/>
  <c r="AA51" i="1"/>
  <c r="AB51" i="1"/>
  <c r="Z52" i="1"/>
  <c r="AA52" i="1"/>
  <c r="AB52" i="1"/>
  <c r="Z53" i="1"/>
  <c r="AA53" i="1"/>
  <c r="AB53" i="1"/>
  <c r="Z54" i="1"/>
  <c r="AA54" i="1"/>
  <c r="AB54" i="1"/>
  <c r="Z55" i="1"/>
  <c r="AA55" i="1"/>
  <c r="AB55" i="1"/>
  <c r="Z56" i="1"/>
  <c r="AA56" i="1"/>
  <c r="AB56" i="1"/>
  <c r="Z57" i="1"/>
  <c r="AA57" i="1"/>
  <c r="AB57" i="1"/>
  <c r="Z58" i="1"/>
  <c r="AA58" i="1"/>
  <c r="AB58" i="1"/>
  <c r="Z59" i="1"/>
  <c r="AA59" i="1"/>
  <c r="AB59" i="1"/>
  <c r="Z60" i="1"/>
  <c r="AA60" i="1"/>
  <c r="AB60" i="1"/>
  <c r="Z61" i="1"/>
  <c r="AA61" i="1"/>
  <c r="AB61" i="1"/>
  <c r="Z62" i="1"/>
  <c r="AA62" i="1"/>
  <c r="AB62" i="1"/>
  <c r="Z63" i="1"/>
  <c r="AA63" i="1"/>
  <c r="AB63" i="1"/>
  <c r="Z64" i="1"/>
  <c r="AA64" i="1"/>
  <c r="AB64" i="1"/>
  <c r="Z65" i="1"/>
  <c r="AA65" i="1"/>
  <c r="AB65" i="1"/>
  <c r="Z66" i="1"/>
  <c r="AA66" i="1"/>
  <c r="AB66" i="1"/>
  <c r="Z67" i="1"/>
  <c r="AA67" i="1"/>
  <c r="AB67" i="1"/>
  <c r="Z68" i="1"/>
  <c r="AA68" i="1"/>
  <c r="AB68" i="1"/>
  <c r="Z69" i="1"/>
  <c r="AA69" i="1"/>
  <c r="AB69" i="1"/>
  <c r="Z70" i="1"/>
  <c r="AA70" i="1"/>
  <c r="AB70" i="1"/>
  <c r="Z71" i="1"/>
  <c r="AA71" i="1"/>
  <c r="AB71" i="1"/>
  <c r="Z72" i="1"/>
  <c r="AA72" i="1"/>
  <c r="AB72" i="1"/>
  <c r="Z73" i="1"/>
  <c r="AA73" i="1"/>
  <c r="AB73" i="1"/>
  <c r="Z74" i="1"/>
  <c r="AA74" i="1"/>
  <c r="AB74" i="1"/>
  <c r="Z75" i="1"/>
  <c r="AA75" i="1"/>
  <c r="AB75" i="1"/>
  <c r="Z76" i="1"/>
  <c r="AA76" i="1"/>
  <c r="AB76" i="1"/>
  <c r="Z77" i="1"/>
  <c r="AA77" i="1"/>
  <c r="AB77" i="1"/>
  <c r="Z78" i="1"/>
  <c r="AA78" i="1"/>
  <c r="AB78" i="1"/>
  <c r="Z79" i="1"/>
  <c r="AA79" i="1"/>
  <c r="AB79" i="1"/>
  <c r="Z80" i="1"/>
  <c r="AA80" i="1"/>
  <c r="AB80" i="1"/>
  <c r="Z81" i="1"/>
  <c r="AA81" i="1"/>
  <c r="AB81" i="1"/>
  <c r="Z82" i="1"/>
  <c r="AA82" i="1"/>
  <c r="AB82" i="1"/>
  <c r="Z83" i="1"/>
  <c r="AA83" i="1"/>
  <c r="AB83" i="1"/>
  <c r="AA5" i="1"/>
  <c r="AF17" i="3"/>
  <c r="AG19" i="3" s="1"/>
  <c r="AF16" i="3"/>
  <c r="AF18" i="3"/>
  <c r="H5" i="3" l="1"/>
  <c r="G5" i="3"/>
  <c r="G4" i="3"/>
  <c r="H4" i="3"/>
  <c r="AH16" i="3"/>
  <c r="AG17" i="3" s="1"/>
  <c r="AH17" i="3" s="1"/>
  <c r="AI17" i="3" s="1"/>
  <c r="AJ17" i="3" s="1"/>
  <c r="R87" i="1" l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2" i="1"/>
  <c r="P87" i="1" l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Q6" i="4"/>
  <c r="Q5" i="4"/>
  <c r="Q4" i="4"/>
  <c r="Q3" i="4"/>
  <c r="P5" i="4"/>
  <c r="P4" i="4"/>
  <c r="P3" i="4"/>
  <c r="G7" i="3" l="1"/>
  <c r="X56" i="1"/>
  <c r="W56" i="1"/>
  <c r="B4" i="3" a="1"/>
  <c r="C4" i="3" a="1"/>
  <c r="S70" i="1"/>
  <c r="S31" i="1"/>
  <c r="X4" i="1"/>
  <c r="C92" i="1"/>
  <c r="K5" i="3" l="1"/>
  <c r="Q5" i="3"/>
  <c r="Y5" i="3"/>
  <c r="R5" i="3"/>
  <c r="S5" i="3"/>
  <c r="Z5" i="3"/>
  <c r="L5" i="3"/>
  <c r="J5" i="3"/>
  <c r="X5" i="3"/>
  <c r="N33" i="3"/>
  <c r="N5" i="3"/>
  <c r="N16" i="3"/>
  <c r="N78" i="3"/>
  <c r="N14" i="3"/>
  <c r="N70" i="3"/>
  <c r="N11" i="3"/>
  <c r="N62" i="3"/>
  <c r="S9" i="1"/>
  <c r="T9" i="1" s="1"/>
  <c r="U9" i="1" s="1"/>
  <c r="N41" i="3"/>
  <c r="N49" i="3"/>
  <c r="N54" i="3"/>
  <c r="C4" i="3"/>
  <c r="S2" i="1"/>
  <c r="S24" i="1"/>
  <c r="S63" i="1"/>
  <c r="T63" i="1" s="1"/>
  <c r="U63" i="1" s="1"/>
  <c r="B4" i="3"/>
  <c r="N4" i="3" s="1"/>
  <c r="N80" i="3"/>
  <c r="N61" i="3"/>
  <c r="N59" i="3"/>
  <c r="N35" i="3"/>
  <c r="N85" i="3"/>
  <c r="N73" i="3"/>
  <c r="N66" i="3"/>
  <c r="N57" i="3"/>
  <c r="N53" i="3"/>
  <c r="N44" i="3"/>
  <c r="N32" i="3"/>
  <c r="N27" i="3"/>
  <c r="N84" i="3"/>
  <c r="N69" i="3"/>
  <c r="N65" i="3"/>
  <c r="N48" i="3"/>
  <c r="N40" i="3"/>
  <c r="N36" i="3"/>
  <c r="N29" i="3"/>
  <c r="N24" i="3"/>
  <c r="N76" i="3"/>
  <c r="N72" i="3"/>
  <c r="N60" i="3"/>
  <c r="N56" i="3"/>
  <c r="N52" i="3"/>
  <c r="N83" i="3"/>
  <c r="N68" i="3"/>
  <c r="N64" i="3"/>
  <c r="N51" i="3"/>
  <c r="N47" i="3"/>
  <c r="N43" i="3"/>
  <c r="N39" i="3"/>
  <c r="N31" i="3"/>
  <c r="N79" i="3"/>
  <c r="N63" i="3"/>
  <c r="N28" i="3"/>
  <c r="N23" i="3"/>
  <c r="N13" i="3"/>
  <c r="N8" i="3"/>
  <c r="N6" i="3"/>
  <c r="N58" i="3"/>
  <c r="N7" i="3"/>
  <c r="N71" i="3"/>
  <c r="N55" i="3"/>
  <c r="N42" i="3"/>
  <c r="N20" i="3"/>
  <c r="N18" i="3"/>
  <c r="N77" i="3"/>
  <c r="N50" i="3"/>
  <c r="N75" i="3"/>
  <c r="N82" i="3"/>
  <c r="N45" i="3"/>
  <c r="N34" i="3"/>
  <c r="N25" i="3"/>
  <c r="N15" i="3"/>
  <c r="N74" i="3"/>
  <c r="N37" i="3"/>
  <c r="N17" i="3"/>
  <c r="N12" i="3"/>
  <c r="N10" i="3"/>
  <c r="N46" i="3"/>
  <c r="N26" i="3"/>
  <c r="N22" i="3"/>
  <c r="N9" i="3"/>
  <c r="N67" i="3"/>
  <c r="S17" i="1"/>
  <c r="T17" i="1" s="1"/>
  <c r="U17" i="1" s="1"/>
  <c r="S49" i="1"/>
  <c r="S56" i="1"/>
  <c r="T56" i="1" s="1"/>
  <c r="U56" i="1" s="1"/>
  <c r="N30" i="3"/>
  <c r="N38" i="3"/>
  <c r="N81" i="3"/>
  <c r="S73" i="1"/>
  <c r="T73" i="1" s="1"/>
  <c r="U73" i="1" s="1"/>
  <c r="S81" i="1"/>
  <c r="T81" i="1" s="1"/>
  <c r="U81" i="1" s="1"/>
  <c r="N19" i="3"/>
  <c r="N21" i="3"/>
  <c r="N86" i="3"/>
  <c r="S36" i="1"/>
  <c r="T36" i="1" s="1"/>
  <c r="S43" i="1"/>
  <c r="T43" i="1" s="1"/>
  <c r="U43" i="1" s="1"/>
  <c r="S21" i="1"/>
  <c r="S76" i="1"/>
  <c r="S82" i="1"/>
  <c r="T82" i="1" s="1"/>
  <c r="U82" i="1" s="1"/>
  <c r="S14" i="1"/>
  <c r="T14" i="1" s="1"/>
  <c r="U14" i="1" s="1"/>
  <c r="S38" i="1"/>
  <c r="S77" i="1"/>
  <c r="S85" i="1"/>
  <c r="S5" i="1"/>
  <c r="S15" i="1"/>
  <c r="T15" i="1" s="1"/>
  <c r="U15" i="1" s="1"/>
  <c r="S22" i="1"/>
  <c r="S29" i="1"/>
  <c r="S44" i="1"/>
  <c r="T44" i="1" s="1"/>
  <c r="U44" i="1" s="1"/>
  <c r="S50" i="1"/>
  <c r="T50" i="1" s="1"/>
  <c r="S57" i="1"/>
  <c r="T57" i="1" s="1"/>
  <c r="U57" i="1" s="1"/>
  <c r="S71" i="1"/>
  <c r="T71" i="1" s="1"/>
  <c r="U71" i="1" s="1"/>
  <c r="S83" i="1"/>
  <c r="T83" i="1" s="1"/>
  <c r="U83" i="1" s="1"/>
  <c r="S6" i="1"/>
  <c r="T6" i="1" s="1"/>
  <c r="U6" i="1" s="1"/>
  <c r="S10" i="1"/>
  <c r="T10" i="1" s="1"/>
  <c r="U10" i="1" s="1"/>
  <c r="S16" i="1"/>
  <c r="T16" i="1" s="1"/>
  <c r="U16" i="1" s="1"/>
  <c r="S23" i="1"/>
  <c r="T23" i="1" s="1"/>
  <c r="U23" i="1" s="1"/>
  <c r="S30" i="1"/>
  <c r="S37" i="1"/>
  <c r="S51" i="1"/>
  <c r="S58" i="1"/>
  <c r="T58" i="1" s="1"/>
  <c r="U58" i="1" s="1"/>
  <c r="S64" i="1"/>
  <c r="T64" i="1" s="1"/>
  <c r="U64" i="1" s="1"/>
  <c r="S72" i="1"/>
  <c r="T72" i="1" s="1"/>
  <c r="U72" i="1" s="1"/>
  <c r="S45" i="1"/>
  <c r="T45" i="1" s="1"/>
  <c r="U45" i="1" s="1"/>
  <c r="S52" i="1"/>
  <c r="S59" i="1"/>
  <c r="T59" i="1" s="1"/>
  <c r="U59" i="1" s="1"/>
  <c r="S65" i="1"/>
  <c r="T65" i="1" s="1"/>
  <c r="U65" i="1" s="1"/>
  <c r="S78" i="1"/>
  <c r="T78" i="1" s="1"/>
  <c r="U78" i="1" s="1"/>
  <c r="S84" i="1"/>
  <c r="T84" i="1" s="1"/>
  <c r="U84" i="1" s="1"/>
  <c r="S7" i="1"/>
  <c r="T7" i="1" s="1"/>
  <c r="U7" i="1" s="1"/>
  <c r="S11" i="1"/>
  <c r="S18" i="1"/>
  <c r="S25" i="1"/>
  <c r="T25" i="1" s="1"/>
  <c r="U25" i="1" s="1"/>
  <c r="S32" i="1"/>
  <c r="T32" i="1" s="1"/>
  <c r="U32" i="1" s="1"/>
  <c r="S39" i="1"/>
  <c r="S46" i="1"/>
  <c r="T46" i="1" s="1"/>
  <c r="U46" i="1" s="1"/>
  <c r="S53" i="1"/>
  <c r="T53" i="1" s="1"/>
  <c r="U53" i="1" s="1"/>
  <c r="S66" i="1"/>
  <c r="T66" i="1" s="1"/>
  <c r="U66" i="1" s="1"/>
  <c r="S79" i="1"/>
  <c r="S8" i="1"/>
  <c r="T8" i="1" s="1"/>
  <c r="U8" i="1" s="1"/>
  <c r="S12" i="1"/>
  <c r="T12" i="1" s="1"/>
  <c r="U12" i="1" s="1"/>
  <c r="S19" i="1"/>
  <c r="T19" i="1" s="1"/>
  <c r="U19" i="1" s="1"/>
  <c r="S26" i="1"/>
  <c r="S33" i="1"/>
  <c r="S40" i="1"/>
  <c r="T40" i="1" s="1"/>
  <c r="S47" i="1"/>
  <c r="T47" i="1" s="1"/>
  <c r="U47" i="1" s="1"/>
  <c r="S54" i="1"/>
  <c r="T54" i="1" s="1"/>
  <c r="U54" i="1" s="1"/>
  <c r="S60" i="1"/>
  <c r="T60" i="1" s="1"/>
  <c r="U60" i="1" s="1"/>
  <c r="S67" i="1"/>
  <c r="T67" i="1" s="1"/>
  <c r="U67" i="1" s="1"/>
  <c r="S74" i="1"/>
  <c r="T74" i="1" s="1"/>
  <c r="U74" i="1" s="1"/>
  <c r="S80" i="1"/>
  <c r="T80" i="1" s="1"/>
  <c r="U80" i="1" s="1"/>
  <c r="S20" i="1"/>
  <c r="T20" i="1" s="1"/>
  <c r="U20" i="1" s="1"/>
  <c r="S27" i="1"/>
  <c r="T27" i="1" s="1"/>
  <c r="U27" i="1" s="1"/>
  <c r="S34" i="1"/>
  <c r="T34" i="1" s="1"/>
  <c r="U34" i="1" s="1"/>
  <c r="S41" i="1"/>
  <c r="T41" i="1" s="1"/>
  <c r="U41" i="1" s="1"/>
  <c r="S48" i="1"/>
  <c r="T48" i="1" s="1"/>
  <c r="U48" i="1" s="1"/>
  <c r="S55" i="1"/>
  <c r="S61" i="1"/>
  <c r="T61" i="1" s="1"/>
  <c r="U61" i="1" s="1"/>
  <c r="S68" i="1"/>
  <c r="T68" i="1" s="1"/>
  <c r="U68" i="1" s="1"/>
  <c r="S75" i="1"/>
  <c r="T75" i="1" s="1"/>
  <c r="U75" i="1" s="1"/>
  <c r="S86" i="1"/>
  <c r="T86" i="1" s="1"/>
  <c r="U86" i="1" s="1"/>
  <c r="S4" i="1"/>
  <c r="T4" i="1" s="1"/>
  <c r="U4" i="1" s="1"/>
  <c r="S13" i="1"/>
  <c r="S28" i="1"/>
  <c r="T28" i="1" s="1"/>
  <c r="U28" i="1" s="1"/>
  <c r="S35" i="1"/>
  <c r="S42" i="1"/>
  <c r="S62" i="1"/>
  <c r="T62" i="1" s="1"/>
  <c r="U62" i="1" s="1"/>
  <c r="S69" i="1"/>
  <c r="T69" i="1" s="1"/>
  <c r="U69" i="1" s="1"/>
  <c r="S87" i="1"/>
  <c r="T87" i="1" s="1"/>
  <c r="U87" i="1" s="1"/>
  <c r="T5" i="1"/>
  <c r="U5" i="1" s="1"/>
  <c r="T18" i="1"/>
  <c r="U18" i="1" s="1"/>
  <c r="T51" i="1"/>
  <c r="U51" i="1" s="1"/>
  <c r="T11" i="1"/>
  <c r="U11" i="1" s="1"/>
  <c r="T39" i="1"/>
  <c r="T49" i="1"/>
  <c r="U49" i="1" s="1"/>
  <c r="T70" i="1"/>
  <c r="U70" i="1" s="1"/>
  <c r="T79" i="1"/>
  <c r="U79" i="1" s="1"/>
  <c r="T21" i="1"/>
  <c r="U21" i="1" s="1"/>
  <c r="T30" i="1"/>
  <c r="U30" i="1" s="1"/>
  <c r="T37" i="1"/>
  <c r="U37" i="1" s="1"/>
  <c r="T35" i="1"/>
  <c r="U35" i="1" s="1"/>
  <c r="U36" i="1" s="1"/>
  <c r="T42" i="1"/>
  <c r="U42" i="1" s="1"/>
  <c r="T26" i="1"/>
  <c r="U26" i="1" s="1"/>
  <c r="T33" i="1"/>
  <c r="U33" i="1" s="1"/>
  <c r="T52" i="1"/>
  <c r="U52" i="1" s="1"/>
  <c r="W5" i="1"/>
  <c r="T13" i="1"/>
  <c r="U13" i="1" s="1"/>
  <c r="T24" i="1"/>
  <c r="U24" i="1" s="1"/>
  <c r="T31" i="1"/>
  <c r="U31" i="1" s="1"/>
  <c r="T55" i="1"/>
  <c r="U55" i="1" s="1"/>
  <c r="T76" i="1"/>
  <c r="U76" i="1" s="1"/>
  <c r="T22" i="1"/>
  <c r="U22" i="1" s="1"/>
  <c r="T29" i="1"/>
  <c r="U29" i="1" s="1"/>
  <c r="T38" i="1"/>
  <c r="T77" i="1"/>
  <c r="U77" i="1" s="1"/>
  <c r="T85" i="1"/>
  <c r="U85" i="1" s="1"/>
  <c r="T2" i="1"/>
  <c r="U2" i="1" s="1"/>
  <c r="T5" i="3" l="1"/>
  <c r="AA5" i="3"/>
  <c r="AB5" i="3" s="1"/>
  <c r="AC5" i="3" s="1"/>
  <c r="M5" i="3"/>
  <c r="O5" i="3" s="1"/>
  <c r="R4" i="3"/>
  <c r="S4" i="3"/>
  <c r="Q4" i="3"/>
  <c r="T4" i="3" s="1"/>
  <c r="K4" i="3"/>
  <c r="J4" i="3"/>
  <c r="X4" i="3"/>
  <c r="Y4" i="3"/>
  <c r="Z4" i="3"/>
  <c r="L4" i="3"/>
  <c r="U5" i="3"/>
  <c r="U38" i="1"/>
  <c r="U39" i="1" s="1"/>
  <c r="U40" i="1" s="1"/>
  <c r="U50" i="1"/>
  <c r="X5" i="1"/>
  <c r="W6" i="1"/>
  <c r="M4" i="3" l="1"/>
  <c r="O4" i="3" s="1"/>
  <c r="U4" i="3"/>
  <c r="AA4" i="3"/>
  <c r="AB4" i="3" s="1"/>
  <c r="V5" i="3"/>
  <c r="W7" i="1"/>
  <c r="X6" i="1"/>
  <c r="V4" i="3" l="1"/>
  <c r="AC4" i="3"/>
  <c r="X7" i="1"/>
  <c r="W8" i="1"/>
  <c r="X8" i="1" l="1"/>
  <c r="W9" i="1"/>
  <c r="X9" i="1" l="1"/>
  <c r="W10" i="1"/>
  <c r="X10" i="1" l="1"/>
  <c r="W11" i="1"/>
  <c r="X11" i="1" l="1"/>
  <c r="W12" i="1"/>
  <c r="X12" i="1" l="1"/>
  <c r="W13" i="1"/>
  <c r="X13" i="1" l="1"/>
  <c r="W14" i="1"/>
  <c r="X14" i="1" l="1"/>
  <c r="W15" i="1"/>
  <c r="X15" i="1" l="1"/>
  <c r="W16" i="1"/>
  <c r="X16" i="1" l="1"/>
  <c r="W17" i="1"/>
  <c r="X17" i="1" l="1"/>
  <c r="W18" i="1"/>
  <c r="X18" i="1" l="1"/>
  <c r="W19" i="1"/>
  <c r="X19" i="1" l="1"/>
  <c r="W20" i="1"/>
  <c r="X20" i="1" l="1"/>
  <c r="W21" i="1"/>
  <c r="X21" i="1" l="1"/>
  <c r="W22" i="1"/>
  <c r="X22" i="1" l="1"/>
  <c r="W23" i="1"/>
  <c r="X23" i="1" l="1"/>
  <c r="W24" i="1"/>
  <c r="X24" i="1" l="1"/>
  <c r="W25" i="1"/>
  <c r="X25" i="1" l="1"/>
  <c r="W26" i="1"/>
  <c r="X26" i="1" l="1"/>
  <c r="W27" i="1"/>
  <c r="X27" i="1" l="1"/>
  <c r="W28" i="1"/>
  <c r="X28" i="1" l="1"/>
  <c r="W29" i="1"/>
  <c r="X29" i="1" l="1"/>
  <c r="W30" i="1"/>
  <c r="X30" i="1" l="1"/>
  <c r="W31" i="1"/>
  <c r="X31" i="1" l="1"/>
  <c r="W32" i="1"/>
  <c r="X32" i="1" l="1"/>
  <c r="W33" i="1"/>
  <c r="X33" i="1" l="1"/>
  <c r="W34" i="1"/>
  <c r="X34" i="1" l="1"/>
  <c r="W35" i="1"/>
  <c r="W36" i="1" s="1"/>
  <c r="X36" i="1" s="1"/>
  <c r="W37" i="1" s="1"/>
  <c r="X35" i="1" l="1"/>
  <c r="X37" i="1" l="1"/>
  <c r="W38" i="1"/>
  <c r="X38" i="1" l="1"/>
  <c r="W39" i="1"/>
  <c r="X39" i="1" l="1"/>
  <c r="W40" i="1"/>
  <c r="X40" i="1" l="1"/>
  <c r="W41" i="1"/>
  <c r="X41" i="1" l="1"/>
  <c r="W42" i="1"/>
  <c r="X42" i="1" l="1"/>
  <c r="W43" i="1"/>
  <c r="X43" i="1" l="1"/>
  <c r="W44" i="1"/>
  <c r="X44" i="1" l="1"/>
  <c r="W45" i="1"/>
  <c r="X45" i="1" l="1"/>
  <c r="W46" i="1"/>
  <c r="X46" i="1" l="1"/>
  <c r="W47" i="1"/>
  <c r="X47" i="1" l="1"/>
  <c r="W48" i="1"/>
  <c r="X48" i="1" l="1"/>
  <c r="W49" i="1"/>
  <c r="X49" i="1" l="1"/>
  <c r="W50" i="1"/>
  <c r="X50" i="1" l="1"/>
  <c r="W51" i="1"/>
  <c r="X51" i="1" l="1"/>
  <c r="W52" i="1"/>
  <c r="X52" i="1" l="1"/>
  <c r="W53" i="1"/>
  <c r="X53" i="1" l="1"/>
  <c r="W54" i="1"/>
  <c r="X54" i="1" l="1"/>
  <c r="W55" i="1"/>
  <c r="X55" i="1" l="1"/>
  <c r="W57" i="1" l="1"/>
  <c r="X57" i="1" l="1"/>
  <c r="W58" i="1"/>
  <c r="X58" i="1" l="1"/>
  <c r="W59" i="1"/>
  <c r="X59" i="1" l="1"/>
  <c r="W60" i="1"/>
  <c r="X60" i="1" l="1"/>
  <c r="W61" i="1"/>
  <c r="X61" i="1" l="1"/>
  <c r="W62" i="1"/>
  <c r="X62" i="1" l="1"/>
  <c r="W63" i="1"/>
  <c r="X63" i="1" l="1"/>
  <c r="W64" i="1"/>
  <c r="X64" i="1" l="1"/>
  <c r="W65" i="1"/>
  <c r="X65" i="1" l="1"/>
  <c r="W66" i="1"/>
  <c r="X66" i="1" l="1"/>
  <c r="W67" i="1"/>
  <c r="X67" i="1" l="1"/>
  <c r="W68" i="1"/>
  <c r="X68" i="1" l="1"/>
  <c r="W69" i="1"/>
  <c r="X69" i="1" l="1"/>
  <c r="W70" i="1"/>
  <c r="X70" i="1" l="1"/>
  <c r="W71" i="1"/>
  <c r="X71" i="1" l="1"/>
  <c r="W72" i="1"/>
  <c r="X72" i="1" l="1"/>
  <c r="W73" i="1"/>
  <c r="X73" i="1" l="1"/>
  <c r="W74" i="1"/>
  <c r="X74" i="1" l="1"/>
  <c r="W75" i="1"/>
  <c r="X75" i="1" l="1"/>
  <c r="W76" i="1"/>
  <c r="X76" i="1" l="1"/>
  <c r="W77" i="1"/>
  <c r="X77" i="1" l="1"/>
  <c r="W78" i="1"/>
  <c r="X78" i="1" l="1"/>
  <c r="W79" i="1"/>
  <c r="X79" i="1" l="1"/>
  <c r="W80" i="1"/>
  <c r="X80" i="1" l="1"/>
  <c r="W81" i="1"/>
  <c r="X81" i="1" l="1"/>
  <c r="W82" i="1"/>
  <c r="X82" i="1" l="1"/>
  <c r="W83" i="1"/>
  <c r="X83" i="1" l="1"/>
  <c r="W84" i="1"/>
  <c r="X84" i="1" l="1"/>
  <c r="W85" i="1"/>
  <c r="X85" i="1" l="1"/>
  <c r="W86" i="1"/>
  <c r="X86" i="1" l="1"/>
  <c r="W87" i="1"/>
  <c r="X87" i="1" s="1"/>
  <c r="G85" i="3" l="1"/>
  <c r="H79" i="3"/>
  <c r="G77" i="3"/>
  <c r="H71" i="3"/>
  <c r="G69" i="3"/>
  <c r="H63" i="3"/>
  <c r="G61" i="3"/>
  <c r="H55" i="3"/>
  <c r="G53" i="3"/>
  <c r="H47" i="3"/>
  <c r="G45" i="3"/>
  <c r="H39" i="3"/>
  <c r="G37" i="3"/>
  <c r="H31" i="3"/>
  <c r="G29" i="3"/>
  <c r="H23" i="3"/>
  <c r="G21" i="3"/>
  <c r="H15" i="3"/>
  <c r="G13" i="3"/>
  <c r="H7" i="3"/>
  <c r="H86" i="3"/>
  <c r="H78" i="3"/>
  <c r="G68" i="3"/>
  <c r="H62" i="3"/>
  <c r="H54" i="3"/>
  <c r="G44" i="3"/>
  <c r="G36" i="3"/>
  <c r="H30" i="3"/>
  <c r="H22" i="3"/>
  <c r="G12" i="3"/>
  <c r="H84" i="3"/>
  <c r="G82" i="3"/>
  <c r="H76" i="3"/>
  <c r="G74" i="3"/>
  <c r="H68" i="3"/>
  <c r="G66" i="3"/>
  <c r="H60" i="3"/>
  <c r="G58" i="3"/>
  <c r="H52" i="3"/>
  <c r="G50" i="3"/>
  <c r="H44" i="3"/>
  <c r="G42" i="3"/>
  <c r="H36" i="3"/>
  <c r="G34" i="3"/>
  <c r="H28" i="3"/>
  <c r="G26" i="3"/>
  <c r="H20" i="3"/>
  <c r="G18" i="3"/>
  <c r="H12" i="3"/>
  <c r="G10" i="3"/>
  <c r="G84" i="3"/>
  <c r="H70" i="3"/>
  <c r="H81" i="3"/>
  <c r="G79" i="3"/>
  <c r="H73" i="3"/>
  <c r="G71" i="3"/>
  <c r="H65" i="3"/>
  <c r="G63" i="3"/>
  <c r="H57" i="3"/>
  <c r="G55" i="3"/>
  <c r="H49" i="3"/>
  <c r="G47" i="3"/>
  <c r="H41" i="3"/>
  <c r="G39" i="3"/>
  <c r="H33" i="3"/>
  <c r="G31" i="3"/>
  <c r="H25" i="3"/>
  <c r="G23" i="3"/>
  <c r="H17" i="3"/>
  <c r="G15" i="3"/>
  <c r="H9" i="3"/>
  <c r="G76" i="3"/>
  <c r="G60" i="3"/>
  <c r="G52" i="3"/>
  <c r="H46" i="3"/>
  <c r="H38" i="3"/>
  <c r="G28" i="3"/>
  <c r="G20" i="3"/>
  <c r="H14" i="3"/>
  <c r="H6" i="3"/>
  <c r="H83" i="3"/>
  <c r="G73" i="3"/>
  <c r="H67" i="3"/>
  <c r="G57" i="3"/>
  <c r="H51" i="3"/>
  <c r="G41" i="3"/>
  <c r="H35" i="3"/>
  <c r="S36" i="3" s="1"/>
  <c r="G25" i="3"/>
  <c r="H19" i="3"/>
  <c r="G9" i="3"/>
  <c r="G81" i="3"/>
  <c r="G65" i="3"/>
  <c r="H27" i="3"/>
  <c r="S28" i="3" s="1"/>
  <c r="H11" i="3"/>
  <c r="S12" i="3" s="1"/>
  <c r="G70" i="3"/>
  <c r="G54" i="3"/>
  <c r="G43" i="3"/>
  <c r="G27" i="3"/>
  <c r="H42" i="3"/>
  <c r="H26" i="3"/>
  <c r="G78" i="3"/>
  <c r="H72" i="3"/>
  <c r="G62" i="3"/>
  <c r="H56" i="3"/>
  <c r="G46" i="3"/>
  <c r="H40" i="3"/>
  <c r="G30" i="3"/>
  <c r="H24" i="3"/>
  <c r="G14" i="3"/>
  <c r="H8" i="3"/>
  <c r="G72" i="3"/>
  <c r="G8" i="3"/>
  <c r="G49" i="3"/>
  <c r="H80" i="3"/>
  <c r="H64" i="3"/>
  <c r="G38" i="3"/>
  <c r="H16" i="3"/>
  <c r="G75" i="3"/>
  <c r="G59" i="3"/>
  <c r="G11" i="3"/>
  <c r="G80" i="3"/>
  <c r="H58" i="3"/>
  <c r="H10" i="3"/>
  <c r="G83" i="3"/>
  <c r="H77" i="3"/>
  <c r="S78" i="3" s="1"/>
  <c r="G67" i="3"/>
  <c r="H61" i="3"/>
  <c r="S62" i="3" s="1"/>
  <c r="G51" i="3"/>
  <c r="H45" i="3"/>
  <c r="S46" i="3" s="1"/>
  <c r="G35" i="3"/>
  <c r="H29" i="3"/>
  <c r="S30" i="3" s="1"/>
  <c r="G19" i="3"/>
  <c r="H13" i="3"/>
  <c r="S14" i="3" s="1"/>
  <c r="H82" i="3"/>
  <c r="H66" i="3"/>
  <c r="G56" i="3"/>
  <c r="H50" i="3"/>
  <c r="G40" i="3"/>
  <c r="H34" i="3"/>
  <c r="G24" i="3"/>
  <c r="H18" i="3"/>
  <c r="H75" i="3"/>
  <c r="H59" i="3"/>
  <c r="H43" i="3"/>
  <c r="G33" i="3"/>
  <c r="G17" i="3"/>
  <c r="G86" i="3"/>
  <c r="H48" i="3"/>
  <c r="H32" i="3"/>
  <c r="S33" i="3" s="1"/>
  <c r="G22" i="3"/>
  <c r="G6" i="3"/>
  <c r="H85" i="3"/>
  <c r="S86" i="3" s="1"/>
  <c r="H69" i="3"/>
  <c r="H53" i="3"/>
  <c r="H37" i="3"/>
  <c r="H21" i="3"/>
  <c r="H74" i="3"/>
  <c r="G64" i="3"/>
  <c r="G48" i="3"/>
  <c r="G32" i="3"/>
  <c r="G16" i="3"/>
  <c r="S6" i="3" l="1"/>
  <c r="T51" i="3"/>
  <c r="T37" i="3"/>
  <c r="T65" i="3"/>
  <c r="T36" i="3"/>
  <c r="T27" i="3"/>
  <c r="T74" i="3"/>
  <c r="T16" i="3"/>
  <c r="S13" i="3"/>
  <c r="S45" i="3"/>
  <c r="S77" i="3"/>
  <c r="S57" i="3"/>
  <c r="S63" i="3"/>
  <c r="S60" i="3"/>
  <c r="S10" i="3"/>
  <c r="S42" i="3"/>
  <c r="S74" i="3"/>
  <c r="S21" i="3"/>
  <c r="S53" i="3"/>
  <c r="S85" i="3"/>
  <c r="T85" i="3" s="1"/>
  <c r="S44" i="3"/>
  <c r="S83" i="3"/>
  <c r="S9" i="3"/>
  <c r="S73" i="3"/>
  <c r="S52" i="3"/>
  <c r="S49" i="3"/>
  <c r="S27" i="3"/>
  <c r="S35" i="3"/>
  <c r="S75" i="3"/>
  <c r="Q13" i="3"/>
  <c r="T13" i="3" s="1"/>
  <c r="S24" i="3"/>
  <c r="S37" i="3"/>
  <c r="S69" i="3"/>
  <c r="S84" i="3"/>
  <c r="S32" i="3"/>
  <c r="S64" i="3"/>
  <c r="S19" i="3"/>
  <c r="S17" i="3"/>
  <c r="S29" i="3"/>
  <c r="S61" i="3"/>
  <c r="S38" i="3"/>
  <c r="S65" i="3"/>
  <c r="S68" i="3"/>
  <c r="S70" i="3"/>
  <c r="S34" i="3"/>
  <c r="S66" i="3"/>
  <c r="Q11" i="3"/>
  <c r="T11" i="3" s="1"/>
  <c r="R11" i="3"/>
  <c r="X6" i="3"/>
  <c r="S7" i="3"/>
  <c r="R7" i="3"/>
  <c r="Q7" i="3"/>
  <c r="T7" i="3" s="1"/>
  <c r="Q18" i="3"/>
  <c r="T18" i="3" s="1"/>
  <c r="R18" i="3"/>
  <c r="Q50" i="3"/>
  <c r="T50" i="3" s="1"/>
  <c r="R50" i="3"/>
  <c r="Q82" i="3"/>
  <c r="T82" i="3" s="1"/>
  <c r="R82" i="3"/>
  <c r="S56" i="3"/>
  <c r="Q64" i="3"/>
  <c r="T64" i="3" s="1"/>
  <c r="R64" i="3"/>
  <c r="Q6" i="3"/>
  <c r="T6" i="3" s="1"/>
  <c r="J6" i="3"/>
  <c r="R6" i="3"/>
  <c r="S67" i="3"/>
  <c r="Q59" i="3"/>
  <c r="R59" i="3"/>
  <c r="T59" i="3" s="1"/>
  <c r="Q72" i="3"/>
  <c r="T72" i="3" s="1"/>
  <c r="R72" i="3"/>
  <c r="Q62" i="3"/>
  <c r="R62" i="3"/>
  <c r="T62" i="3" s="1"/>
  <c r="Q70" i="3"/>
  <c r="T70" i="3" s="1"/>
  <c r="R70" i="3"/>
  <c r="S15" i="3"/>
  <c r="Q68" i="3"/>
  <c r="T68" i="3" s="1"/>
  <c r="R68" i="3"/>
  <c r="Q29" i="3"/>
  <c r="R29" i="3"/>
  <c r="T29" i="3" s="1"/>
  <c r="Q61" i="3"/>
  <c r="T61" i="3" s="1"/>
  <c r="R61" i="3"/>
  <c r="Q39" i="3"/>
  <c r="R39" i="3"/>
  <c r="T39" i="3" s="1"/>
  <c r="Q67" i="3"/>
  <c r="T67" i="3" s="1"/>
  <c r="R67" i="3"/>
  <c r="Q41" i="3"/>
  <c r="R41" i="3"/>
  <c r="Q14" i="3"/>
  <c r="T14" i="3" s="1"/>
  <c r="R14" i="3"/>
  <c r="Q78" i="3"/>
  <c r="T78" i="3" s="1"/>
  <c r="R78" i="3"/>
  <c r="Q28" i="3"/>
  <c r="T28" i="3" s="1"/>
  <c r="R28" i="3"/>
  <c r="S18" i="3"/>
  <c r="S50" i="3"/>
  <c r="S82" i="3"/>
  <c r="S23" i="3"/>
  <c r="Q37" i="3"/>
  <c r="R37" i="3"/>
  <c r="Q69" i="3"/>
  <c r="T69" i="3" s="1"/>
  <c r="R69" i="3"/>
  <c r="Q58" i="3"/>
  <c r="T58" i="3" s="1"/>
  <c r="R58" i="3"/>
  <c r="Q24" i="3"/>
  <c r="T24" i="3" s="1"/>
  <c r="R24" i="3"/>
  <c r="Q19" i="3"/>
  <c r="T19" i="3" s="1"/>
  <c r="R19" i="3"/>
  <c r="Q83" i="3"/>
  <c r="T83" i="3" s="1"/>
  <c r="R83" i="3"/>
  <c r="Q38" i="3"/>
  <c r="T38" i="3" s="1"/>
  <c r="R38" i="3"/>
  <c r="S25" i="3"/>
  <c r="Q65" i="3"/>
  <c r="R65" i="3"/>
  <c r="Q57" i="3"/>
  <c r="T57" i="3" s="1"/>
  <c r="R57" i="3"/>
  <c r="S39" i="3"/>
  <c r="Q23" i="3"/>
  <c r="R23" i="3"/>
  <c r="T23" i="3" s="1"/>
  <c r="Q55" i="3"/>
  <c r="T55" i="3" s="1"/>
  <c r="R55" i="3"/>
  <c r="S71" i="3"/>
  <c r="Q34" i="3"/>
  <c r="R34" i="3"/>
  <c r="T34" i="3" s="1"/>
  <c r="Q66" i="3"/>
  <c r="T66" i="3" s="1"/>
  <c r="R66" i="3"/>
  <c r="S31" i="3"/>
  <c r="T31" i="3" s="1"/>
  <c r="S8" i="3"/>
  <c r="T8" i="3" s="1"/>
  <c r="S40" i="3"/>
  <c r="S72" i="3"/>
  <c r="Q51" i="3"/>
  <c r="R51" i="3"/>
  <c r="Q25" i="3"/>
  <c r="T25" i="3" s="1"/>
  <c r="R25" i="3"/>
  <c r="S76" i="3"/>
  <c r="Q75" i="3"/>
  <c r="T75" i="3" s="1"/>
  <c r="R75" i="3"/>
  <c r="S43" i="3"/>
  <c r="Q81" i="3"/>
  <c r="T81" i="3" s="1"/>
  <c r="R81" i="3"/>
  <c r="S47" i="3"/>
  <c r="S26" i="3"/>
  <c r="S58" i="3"/>
  <c r="Q84" i="3"/>
  <c r="T84" i="3" s="1"/>
  <c r="R84" i="3"/>
  <c r="Q36" i="3"/>
  <c r="R36" i="3"/>
  <c r="R13" i="3"/>
  <c r="Q45" i="3"/>
  <c r="T45" i="3" s="1"/>
  <c r="R45" i="3"/>
  <c r="Q77" i="3"/>
  <c r="T77" i="3" s="1"/>
  <c r="R77" i="3"/>
  <c r="Q8" i="3"/>
  <c r="R8" i="3"/>
  <c r="Q71" i="3"/>
  <c r="R71" i="3"/>
  <c r="T71" i="3" s="1"/>
  <c r="Q20" i="3"/>
  <c r="T20" i="3" s="1"/>
  <c r="R20" i="3"/>
  <c r="Q47" i="3"/>
  <c r="T47" i="3" s="1"/>
  <c r="R47" i="3"/>
  <c r="Q79" i="3"/>
  <c r="R79" i="3"/>
  <c r="Q26" i="3"/>
  <c r="R26" i="3"/>
  <c r="T26" i="3" s="1"/>
  <c r="Q12" i="3"/>
  <c r="T12" i="3" s="1"/>
  <c r="R12" i="3"/>
  <c r="S22" i="3"/>
  <c r="Q86" i="3"/>
  <c r="T86" i="3" s="1"/>
  <c r="R86" i="3"/>
  <c r="S11" i="3"/>
  <c r="Q30" i="3"/>
  <c r="T30" i="3" s="1"/>
  <c r="R30" i="3"/>
  <c r="Q16" i="3"/>
  <c r="R16" i="3"/>
  <c r="S54" i="3"/>
  <c r="Q17" i="3"/>
  <c r="T17" i="3" s="1"/>
  <c r="R17" i="3"/>
  <c r="Q40" i="3"/>
  <c r="T40" i="3" s="1"/>
  <c r="R40" i="3"/>
  <c r="Q35" i="3"/>
  <c r="T35" i="3" s="1"/>
  <c r="R35" i="3"/>
  <c r="S59" i="3"/>
  <c r="S81" i="3"/>
  <c r="S41" i="3"/>
  <c r="T41" i="3" s="1"/>
  <c r="Q27" i="3"/>
  <c r="R27" i="3"/>
  <c r="Q9" i="3"/>
  <c r="T9" i="3" s="1"/>
  <c r="R9" i="3"/>
  <c r="Q73" i="3"/>
  <c r="T73" i="3" s="1"/>
  <c r="R73" i="3"/>
  <c r="Q52" i="3"/>
  <c r="T52" i="3" s="1"/>
  <c r="R52" i="3"/>
  <c r="Q31" i="3"/>
  <c r="R31" i="3"/>
  <c r="Q63" i="3"/>
  <c r="R63" i="3"/>
  <c r="T63" i="3" s="1"/>
  <c r="Q10" i="3"/>
  <c r="T10" i="3" s="1"/>
  <c r="R10" i="3"/>
  <c r="Q42" i="3"/>
  <c r="T42" i="3" s="1"/>
  <c r="R42" i="3"/>
  <c r="Q74" i="3"/>
  <c r="R74" i="3"/>
  <c r="Q44" i="3"/>
  <c r="T44" i="3" s="1"/>
  <c r="R44" i="3"/>
  <c r="S16" i="3"/>
  <c r="S48" i="3"/>
  <c r="S80" i="3"/>
  <c r="Q48" i="3"/>
  <c r="T48" i="3" s="1"/>
  <c r="R48" i="3"/>
  <c r="Q56" i="3"/>
  <c r="T56" i="3" s="1"/>
  <c r="R56" i="3"/>
  <c r="Q54" i="3"/>
  <c r="T54" i="3" s="1"/>
  <c r="R54" i="3"/>
  <c r="Q76" i="3"/>
  <c r="T76" i="3" s="1"/>
  <c r="R76" i="3"/>
  <c r="Q22" i="3"/>
  <c r="T22" i="3" s="1"/>
  <c r="R22" i="3"/>
  <c r="Q15" i="3"/>
  <c r="T15" i="3" s="1"/>
  <c r="R15" i="3"/>
  <c r="S79" i="3"/>
  <c r="T79" i="3" s="1"/>
  <c r="Q32" i="3"/>
  <c r="T32" i="3" s="1"/>
  <c r="R32" i="3"/>
  <c r="Q33" i="3"/>
  <c r="T33" i="3" s="1"/>
  <c r="R33" i="3"/>
  <c r="S51" i="3"/>
  <c r="Q80" i="3"/>
  <c r="T80" i="3" s="1"/>
  <c r="R80" i="3"/>
  <c r="Q49" i="3"/>
  <c r="T49" i="3" s="1"/>
  <c r="R49" i="3"/>
  <c r="Q46" i="3"/>
  <c r="R46" i="3"/>
  <c r="T46" i="3" s="1"/>
  <c r="Q43" i="3"/>
  <c r="T43" i="3" s="1"/>
  <c r="R43" i="3"/>
  <c r="S20" i="3"/>
  <c r="Q60" i="3"/>
  <c r="T60" i="3" s="1"/>
  <c r="R60" i="3"/>
  <c r="S55" i="3"/>
  <c r="Q21" i="3"/>
  <c r="T21" i="3" s="1"/>
  <c r="R21" i="3"/>
  <c r="Q53" i="3"/>
  <c r="T53" i="3" s="1"/>
  <c r="R53" i="3"/>
  <c r="Q85" i="3"/>
  <c r="R85" i="3"/>
  <c r="X48" i="3"/>
  <c r="Y48" i="3"/>
  <c r="J31" i="3"/>
  <c r="K31" i="3"/>
  <c r="L32" i="3"/>
  <c r="Z32" i="3"/>
  <c r="J21" i="3"/>
  <c r="L22" i="3"/>
  <c r="Z22" i="3"/>
  <c r="K21" i="3"/>
  <c r="J72" i="3"/>
  <c r="L73" i="3"/>
  <c r="Z73" i="3"/>
  <c r="K72" i="3"/>
  <c r="J82" i="3"/>
  <c r="L83" i="3"/>
  <c r="Z83" i="3"/>
  <c r="K82" i="3"/>
  <c r="J36" i="3"/>
  <c r="K36" i="3"/>
  <c r="L37" i="3"/>
  <c r="Z37" i="3"/>
  <c r="J32" i="3"/>
  <c r="L33" i="3"/>
  <c r="Z33" i="3"/>
  <c r="K32" i="3"/>
  <c r="X50" i="3"/>
  <c r="Y50" i="3"/>
  <c r="J54" i="3"/>
  <c r="Z55" i="3"/>
  <c r="L55" i="3"/>
  <c r="K54" i="3"/>
  <c r="Y6" i="3"/>
  <c r="J79" i="3"/>
  <c r="K79" i="3"/>
  <c r="L80" i="3"/>
  <c r="Z80" i="3"/>
  <c r="X20" i="3"/>
  <c r="Y20" i="3"/>
  <c r="J48" i="3"/>
  <c r="Z49" i="3"/>
  <c r="K48" i="3"/>
  <c r="L49" i="3"/>
  <c r="X69" i="3"/>
  <c r="Y69" i="3"/>
  <c r="J86" i="3"/>
  <c r="K86" i="3"/>
  <c r="J56" i="3"/>
  <c r="K56" i="3"/>
  <c r="Z57" i="3"/>
  <c r="L57" i="3"/>
  <c r="J19" i="3"/>
  <c r="L20" i="3"/>
  <c r="K19" i="3"/>
  <c r="Z20" i="3"/>
  <c r="X61" i="3"/>
  <c r="Y61" i="3"/>
  <c r="X58" i="3"/>
  <c r="Y58" i="3"/>
  <c r="X64" i="3"/>
  <c r="Y64" i="3"/>
  <c r="J14" i="3"/>
  <c r="K14" i="3"/>
  <c r="Z15" i="3"/>
  <c r="L15" i="3"/>
  <c r="X56" i="3"/>
  <c r="Y56" i="3"/>
  <c r="J43" i="3"/>
  <c r="K43" i="3"/>
  <c r="L44" i="3"/>
  <c r="Z44" i="3"/>
  <c r="J70" i="3"/>
  <c r="K70" i="3"/>
  <c r="L71" i="3"/>
  <c r="Z71" i="3"/>
  <c r="J57" i="3"/>
  <c r="Z58" i="3"/>
  <c r="L58" i="3"/>
  <c r="K57" i="3"/>
  <c r="X14" i="3"/>
  <c r="Y14" i="3"/>
  <c r="X17" i="3"/>
  <c r="Y17" i="3"/>
  <c r="J39" i="3"/>
  <c r="Z40" i="3"/>
  <c r="L40" i="3"/>
  <c r="K39" i="3"/>
  <c r="X81" i="3"/>
  <c r="Y81" i="3"/>
  <c r="X70" i="3"/>
  <c r="Y70" i="3"/>
  <c r="X44" i="3"/>
  <c r="Y44" i="3"/>
  <c r="J66" i="3"/>
  <c r="L67" i="3"/>
  <c r="Z67" i="3"/>
  <c r="K66" i="3"/>
  <c r="X7" i="3"/>
  <c r="Y7" i="3"/>
  <c r="J29" i="3"/>
  <c r="K29" i="3"/>
  <c r="L30" i="3"/>
  <c r="Z30" i="3"/>
  <c r="X71" i="3"/>
  <c r="Y71" i="3"/>
  <c r="X45" i="3"/>
  <c r="Y45" i="3"/>
  <c r="J41" i="3"/>
  <c r="L42" i="3"/>
  <c r="K41" i="3"/>
  <c r="Z42" i="3"/>
  <c r="X9" i="3"/>
  <c r="Y9" i="3"/>
  <c r="X73" i="3"/>
  <c r="Y73" i="3"/>
  <c r="X30" i="3"/>
  <c r="Y30" i="3"/>
  <c r="X86" i="3"/>
  <c r="Y86" i="3"/>
  <c r="X13" i="3"/>
  <c r="Y13" i="3"/>
  <c r="L6" i="3"/>
  <c r="Z6" i="3"/>
  <c r="J64" i="3"/>
  <c r="L65" i="3"/>
  <c r="Z65" i="3"/>
  <c r="K64" i="3"/>
  <c r="X85" i="3"/>
  <c r="Y85" i="3"/>
  <c r="X18" i="3"/>
  <c r="Y18" i="3"/>
  <c r="J67" i="3"/>
  <c r="Z68" i="3"/>
  <c r="K67" i="3"/>
  <c r="L68" i="3"/>
  <c r="J80" i="3"/>
  <c r="L81" i="3"/>
  <c r="Z81" i="3"/>
  <c r="K80" i="3"/>
  <c r="X80" i="3"/>
  <c r="Y80" i="3"/>
  <c r="J62" i="3"/>
  <c r="L63" i="3"/>
  <c r="Z63" i="3"/>
  <c r="K62" i="3"/>
  <c r="X26" i="3"/>
  <c r="Y26" i="3"/>
  <c r="X11" i="3"/>
  <c r="Y11" i="3"/>
  <c r="X19" i="3"/>
  <c r="Y19" i="3"/>
  <c r="J20" i="3"/>
  <c r="Z21" i="3"/>
  <c r="L21" i="3"/>
  <c r="K20" i="3"/>
  <c r="J76" i="3"/>
  <c r="Z77" i="3"/>
  <c r="L77" i="3"/>
  <c r="K76" i="3"/>
  <c r="X41" i="3"/>
  <c r="Y41" i="3"/>
  <c r="J63" i="3"/>
  <c r="K63" i="3"/>
  <c r="L64" i="3"/>
  <c r="Z64" i="3"/>
  <c r="J84" i="3"/>
  <c r="Z85" i="3"/>
  <c r="K84" i="3"/>
  <c r="L85" i="3"/>
  <c r="J26" i="3"/>
  <c r="Z27" i="3"/>
  <c r="K26" i="3"/>
  <c r="L27" i="3"/>
  <c r="X68" i="3"/>
  <c r="Y68" i="3"/>
  <c r="X54" i="3"/>
  <c r="Y54" i="3"/>
  <c r="X31" i="3"/>
  <c r="Y31" i="3"/>
  <c r="J53" i="3"/>
  <c r="K53" i="3"/>
  <c r="Z54" i="3"/>
  <c r="L54" i="3"/>
  <c r="X21" i="3"/>
  <c r="Y21" i="3"/>
  <c r="K75" i="3"/>
  <c r="J75" i="3"/>
  <c r="L76" i="3"/>
  <c r="Z76" i="3"/>
  <c r="X46" i="3"/>
  <c r="Y46" i="3"/>
  <c r="X36" i="3"/>
  <c r="Y36" i="3"/>
  <c r="X78" i="3"/>
  <c r="Y78" i="3"/>
  <c r="J85" i="3"/>
  <c r="Z86" i="3"/>
  <c r="L86" i="3"/>
  <c r="K85" i="3"/>
  <c r="X37" i="3"/>
  <c r="Y37" i="3"/>
  <c r="X10" i="3"/>
  <c r="Y10" i="3"/>
  <c r="J45" i="3"/>
  <c r="K45" i="3"/>
  <c r="Z46" i="3"/>
  <c r="L46" i="3"/>
  <c r="J38" i="3"/>
  <c r="Z39" i="3"/>
  <c r="L39" i="3"/>
  <c r="K38" i="3"/>
  <c r="J9" i="3"/>
  <c r="Z10" i="3"/>
  <c r="L10" i="3"/>
  <c r="K9" i="3"/>
  <c r="X84" i="3"/>
  <c r="Y84" i="3"/>
  <c r="X74" i="3"/>
  <c r="Y74" i="3"/>
  <c r="L7" i="3"/>
  <c r="Z7" i="3"/>
  <c r="K6" i="3"/>
  <c r="J17" i="3"/>
  <c r="Z18" i="3"/>
  <c r="L18" i="3"/>
  <c r="K17" i="3"/>
  <c r="J24" i="3"/>
  <c r="K24" i="3"/>
  <c r="Z25" i="3"/>
  <c r="L25" i="3"/>
  <c r="X66" i="3"/>
  <c r="Y66" i="3"/>
  <c r="X29" i="3"/>
  <c r="Y29" i="3"/>
  <c r="J11" i="3"/>
  <c r="Z12" i="3"/>
  <c r="L12" i="3"/>
  <c r="K11" i="3"/>
  <c r="X24" i="3"/>
  <c r="Y24" i="3"/>
  <c r="X42" i="3"/>
  <c r="Y42" i="3"/>
  <c r="X27" i="3"/>
  <c r="Y27" i="3"/>
  <c r="J25" i="3"/>
  <c r="Z26" i="3"/>
  <c r="K25" i="3"/>
  <c r="L26" i="3"/>
  <c r="X67" i="3"/>
  <c r="Y67" i="3"/>
  <c r="J28" i="3"/>
  <c r="K28" i="3"/>
  <c r="L29" i="3"/>
  <c r="Z29" i="3"/>
  <c r="J23" i="3"/>
  <c r="Z24" i="3"/>
  <c r="L24" i="3"/>
  <c r="K23" i="3"/>
  <c r="X65" i="3"/>
  <c r="Y65" i="3"/>
  <c r="X28" i="3"/>
  <c r="Y28" i="3"/>
  <c r="J50" i="3"/>
  <c r="K50" i="3"/>
  <c r="Z51" i="3"/>
  <c r="L51" i="3"/>
  <c r="K12" i="3"/>
  <c r="J12" i="3"/>
  <c r="Z13" i="3"/>
  <c r="L13" i="3"/>
  <c r="X62" i="3"/>
  <c r="Y62" i="3"/>
  <c r="J13" i="3"/>
  <c r="L14" i="3"/>
  <c r="K13" i="3"/>
  <c r="Z14" i="3"/>
  <c r="X55" i="3"/>
  <c r="Y55" i="3"/>
  <c r="J77" i="3"/>
  <c r="L78" i="3"/>
  <c r="Z78" i="3"/>
  <c r="K77" i="3"/>
  <c r="J40" i="3"/>
  <c r="K40" i="3"/>
  <c r="Z41" i="3"/>
  <c r="L41" i="3"/>
  <c r="X40" i="3"/>
  <c r="Y40" i="3"/>
  <c r="X83" i="3"/>
  <c r="Y83" i="3"/>
  <c r="J58" i="3"/>
  <c r="Z59" i="3"/>
  <c r="L59" i="3"/>
  <c r="K58" i="3"/>
  <c r="X63" i="3"/>
  <c r="Y63" i="3"/>
  <c r="J51" i="3"/>
  <c r="K51" i="3"/>
  <c r="L52" i="3"/>
  <c r="Z52" i="3"/>
  <c r="Z47" i="3"/>
  <c r="J46" i="3"/>
  <c r="L47" i="3"/>
  <c r="K46" i="3"/>
  <c r="J81" i="3"/>
  <c r="Z82" i="3"/>
  <c r="K81" i="3"/>
  <c r="L82" i="3"/>
  <c r="J55" i="3"/>
  <c r="K55" i="3"/>
  <c r="Z56" i="3"/>
  <c r="L56" i="3"/>
  <c r="X23" i="3"/>
  <c r="Y23" i="3"/>
  <c r="X53" i="3"/>
  <c r="Y53" i="3"/>
  <c r="J27" i="3"/>
  <c r="K27" i="3"/>
  <c r="L28" i="3"/>
  <c r="Z28" i="3"/>
  <c r="L16" i="3"/>
  <c r="J15" i="3"/>
  <c r="K15" i="3"/>
  <c r="Z16" i="3"/>
  <c r="X47" i="3"/>
  <c r="Y47" i="3"/>
  <c r="J22" i="3"/>
  <c r="K22" i="3"/>
  <c r="Z23" i="3"/>
  <c r="L23" i="3"/>
  <c r="J33" i="3"/>
  <c r="L34" i="3"/>
  <c r="K33" i="3"/>
  <c r="Z34" i="3"/>
  <c r="J35" i="3"/>
  <c r="K35" i="3"/>
  <c r="Z36" i="3"/>
  <c r="L36" i="3"/>
  <c r="X77" i="3"/>
  <c r="Y77" i="3"/>
  <c r="J49" i="3"/>
  <c r="Z50" i="3"/>
  <c r="K49" i="3"/>
  <c r="L50" i="3"/>
  <c r="J30" i="3"/>
  <c r="K30" i="3"/>
  <c r="Z31" i="3"/>
  <c r="L31" i="3"/>
  <c r="X72" i="3"/>
  <c r="Y72" i="3"/>
  <c r="J73" i="3"/>
  <c r="Z74" i="3"/>
  <c r="L74" i="3"/>
  <c r="K73" i="3"/>
  <c r="X25" i="3"/>
  <c r="Y25" i="3"/>
  <c r="J47" i="3"/>
  <c r="Z48" i="3"/>
  <c r="K47" i="3"/>
  <c r="L48" i="3"/>
  <c r="J10" i="3"/>
  <c r="K10" i="3"/>
  <c r="L11" i="3"/>
  <c r="Z11" i="3"/>
  <c r="Y52" i="3"/>
  <c r="X52" i="3"/>
  <c r="J74" i="3"/>
  <c r="K74" i="3"/>
  <c r="L75" i="3"/>
  <c r="Z75" i="3"/>
  <c r="J68" i="3"/>
  <c r="L69" i="3"/>
  <c r="Z69" i="3"/>
  <c r="K68" i="3"/>
  <c r="X15" i="3"/>
  <c r="Y15" i="3"/>
  <c r="J37" i="3"/>
  <c r="L38" i="3"/>
  <c r="Z38" i="3"/>
  <c r="K37" i="3"/>
  <c r="X79" i="3"/>
  <c r="Y79" i="3"/>
  <c r="X59" i="3"/>
  <c r="Y59" i="3"/>
  <c r="J8" i="3"/>
  <c r="L9" i="3"/>
  <c r="K8" i="3"/>
  <c r="Z9" i="3"/>
  <c r="J65" i="3"/>
  <c r="K65" i="3"/>
  <c r="Z66" i="3"/>
  <c r="L66" i="3"/>
  <c r="J16" i="3"/>
  <c r="Z17" i="3"/>
  <c r="K16" i="3"/>
  <c r="L17" i="3"/>
  <c r="X75" i="3"/>
  <c r="Y75" i="3"/>
  <c r="X16" i="3"/>
  <c r="Y16" i="3"/>
  <c r="J52" i="3"/>
  <c r="L53" i="3"/>
  <c r="Z53" i="3"/>
  <c r="K52" i="3"/>
  <c r="X33" i="3"/>
  <c r="Y33" i="3"/>
  <c r="J18" i="3"/>
  <c r="Z19" i="3"/>
  <c r="L19" i="3"/>
  <c r="K18" i="3"/>
  <c r="X60" i="3"/>
  <c r="Y60" i="3"/>
  <c r="X8" i="3"/>
  <c r="Y8" i="3"/>
  <c r="X51" i="3"/>
  <c r="Y51" i="3"/>
  <c r="J60" i="3"/>
  <c r="L61" i="3"/>
  <c r="K60" i="3"/>
  <c r="Z61" i="3"/>
  <c r="X57" i="3"/>
  <c r="Y57" i="3"/>
  <c r="J42" i="3"/>
  <c r="K42" i="3"/>
  <c r="Z43" i="3"/>
  <c r="L43" i="3"/>
  <c r="J44" i="3"/>
  <c r="Z45" i="3"/>
  <c r="L45" i="3"/>
  <c r="K44" i="3"/>
  <c r="J69" i="3"/>
  <c r="L70" i="3"/>
  <c r="Z70" i="3"/>
  <c r="K69" i="3"/>
  <c r="X32" i="3"/>
  <c r="Y32" i="3"/>
  <c r="X43" i="3"/>
  <c r="Y43" i="3"/>
  <c r="X34" i="3"/>
  <c r="Y34" i="3"/>
  <c r="X82" i="3"/>
  <c r="Y82" i="3"/>
  <c r="J83" i="3"/>
  <c r="K83" i="3"/>
  <c r="Z84" i="3"/>
  <c r="L84" i="3"/>
  <c r="J59" i="3"/>
  <c r="K59" i="3"/>
  <c r="Z60" i="3"/>
  <c r="L60" i="3"/>
  <c r="J78" i="3"/>
  <c r="Z79" i="3"/>
  <c r="K78" i="3"/>
  <c r="L79" i="3"/>
  <c r="X35" i="3"/>
  <c r="Y35" i="3"/>
  <c r="X38" i="3"/>
  <c r="Y38" i="3"/>
  <c r="K7" i="3"/>
  <c r="J7" i="3"/>
  <c r="Z8" i="3"/>
  <c r="L8" i="3"/>
  <c r="X49" i="3"/>
  <c r="Y49" i="3"/>
  <c r="J71" i="3"/>
  <c r="Z72" i="3"/>
  <c r="L72" i="3"/>
  <c r="K71" i="3"/>
  <c r="Y12" i="3"/>
  <c r="X12" i="3"/>
  <c r="J34" i="3"/>
  <c r="K34" i="3"/>
  <c r="Z35" i="3"/>
  <c r="L35" i="3"/>
  <c r="X76" i="3"/>
  <c r="Y76" i="3"/>
  <c r="X22" i="3"/>
  <c r="Y22" i="3"/>
  <c r="X39" i="3"/>
  <c r="Y39" i="3"/>
  <c r="J61" i="3"/>
  <c r="L62" i="3"/>
  <c r="Z62" i="3"/>
  <c r="K61" i="3"/>
  <c r="M21" i="3" l="1"/>
  <c r="O21" i="3" s="1"/>
  <c r="M69" i="3"/>
  <c r="O69" i="3" s="1"/>
  <c r="AA56" i="3"/>
  <c r="AB56" i="3" s="1"/>
  <c r="AA11" i="3"/>
  <c r="AB11" i="3" s="1"/>
  <c r="U49" i="3"/>
  <c r="AA47" i="3"/>
  <c r="AB47" i="3" s="1"/>
  <c r="M65" i="3"/>
  <c r="O65" i="3" s="1"/>
  <c r="M13" i="3"/>
  <c r="O13" i="3" s="1"/>
  <c r="M78" i="3"/>
  <c r="O78" i="3" s="1"/>
  <c r="M51" i="3"/>
  <c r="O51" i="3" s="1"/>
  <c r="U22" i="3"/>
  <c r="AA39" i="3"/>
  <c r="AB39" i="3" s="1"/>
  <c r="M48" i="3"/>
  <c r="O48" i="3" s="1"/>
  <c r="U43" i="3"/>
  <c r="AA80" i="3"/>
  <c r="AB80" i="3" s="1"/>
  <c r="AA75" i="3"/>
  <c r="AB75" i="3" s="1"/>
  <c r="U86" i="3"/>
  <c r="AA61" i="3"/>
  <c r="AB61" i="3" s="1"/>
  <c r="U54" i="3"/>
  <c r="U56" i="3"/>
  <c r="U80" i="3"/>
  <c r="AA58" i="3"/>
  <c r="AB58" i="3" s="1"/>
  <c r="U85" i="3"/>
  <c r="AA23" i="3"/>
  <c r="AB23" i="3" s="1"/>
  <c r="U75" i="3"/>
  <c r="U42" i="3"/>
  <c r="U58" i="3"/>
  <c r="AA77" i="3"/>
  <c r="AB77" i="3" s="1"/>
  <c r="AA68" i="3"/>
  <c r="AB68" i="3" s="1"/>
  <c r="M33" i="3"/>
  <c r="O33" i="3" s="1"/>
  <c r="U62" i="3"/>
  <c r="AA51" i="3"/>
  <c r="AB51" i="3" s="1"/>
  <c r="AA15" i="3"/>
  <c r="AB15" i="3" s="1"/>
  <c r="U15" i="3"/>
  <c r="U8" i="3"/>
  <c r="AA45" i="3"/>
  <c r="AB45" i="3" s="1"/>
  <c r="M66" i="3"/>
  <c r="O66" i="3" s="1"/>
  <c r="M68" i="3"/>
  <c r="O68" i="3" s="1"/>
  <c r="M73" i="3"/>
  <c r="O73" i="3" s="1"/>
  <c r="M64" i="3"/>
  <c r="O64" i="3" s="1"/>
  <c r="AA43" i="3"/>
  <c r="AB43" i="3" s="1"/>
  <c r="M60" i="3"/>
  <c r="O60" i="3" s="1"/>
  <c r="M45" i="3"/>
  <c r="O45" i="3" s="1"/>
  <c r="U40" i="3"/>
  <c r="M77" i="3"/>
  <c r="O77" i="3" s="1"/>
  <c r="U67" i="3"/>
  <c r="M17" i="3"/>
  <c r="O17" i="3" s="1"/>
  <c r="AA74" i="3"/>
  <c r="AB74" i="3" s="1"/>
  <c r="M9" i="3"/>
  <c r="O9" i="3" s="1"/>
  <c r="AA31" i="3"/>
  <c r="AB31" i="3" s="1"/>
  <c r="M31" i="3"/>
  <c r="O31" i="3" s="1"/>
  <c r="U73" i="3"/>
  <c r="AA82" i="3"/>
  <c r="AB82" i="3" s="1"/>
  <c r="AA55" i="3"/>
  <c r="AB55" i="3" s="1"/>
  <c r="AA28" i="3"/>
  <c r="AB28" i="3" s="1"/>
  <c r="AA24" i="3"/>
  <c r="AB24" i="3" s="1"/>
  <c r="U66" i="3"/>
  <c r="U68" i="3"/>
  <c r="U77" i="3"/>
  <c r="AA63" i="3"/>
  <c r="AB63" i="3" s="1"/>
  <c r="AA27" i="3"/>
  <c r="AB27" i="3" s="1"/>
  <c r="AC68" i="3"/>
  <c r="M70" i="3"/>
  <c r="O70" i="3" s="1"/>
  <c r="AA64" i="3"/>
  <c r="AB64" i="3" s="1"/>
  <c r="AC64" i="3" s="1"/>
  <c r="M86" i="3"/>
  <c r="O86" i="3" s="1"/>
  <c r="V86" i="3" s="1"/>
  <c r="U27" i="3"/>
  <c r="U78" i="3"/>
  <c r="U76" i="3"/>
  <c r="M81" i="3"/>
  <c r="O81" i="3" s="1"/>
  <c r="AA83" i="3"/>
  <c r="AB83" i="3" s="1"/>
  <c r="AA67" i="3"/>
  <c r="AB67" i="3" s="1"/>
  <c r="M38" i="3"/>
  <c r="O38" i="3" s="1"/>
  <c r="U79" i="3"/>
  <c r="U74" i="3"/>
  <c r="M67" i="3"/>
  <c r="O67" i="3" s="1"/>
  <c r="U6" i="3"/>
  <c r="U60" i="3"/>
  <c r="U65" i="3"/>
  <c r="M57" i="3"/>
  <c r="O57" i="3" s="1"/>
  <c r="M61" i="3"/>
  <c r="O61" i="3" s="1"/>
  <c r="M34" i="3"/>
  <c r="O34" i="3" s="1"/>
  <c r="U70" i="3"/>
  <c r="AA60" i="3"/>
  <c r="AB60" i="3" s="1"/>
  <c r="U46" i="3"/>
  <c r="U30" i="3"/>
  <c r="AA72" i="3"/>
  <c r="AB72" i="3" s="1"/>
  <c r="U34" i="3"/>
  <c r="U81" i="3"/>
  <c r="U72" i="3"/>
  <c r="U10" i="3"/>
  <c r="M62" i="3"/>
  <c r="O62" i="3" s="1"/>
  <c r="AA35" i="3"/>
  <c r="AB35" i="3" s="1"/>
  <c r="M44" i="3"/>
  <c r="O44" i="3" s="1"/>
  <c r="M18" i="3"/>
  <c r="O18" i="3" s="1"/>
  <c r="M16" i="3"/>
  <c r="O16" i="3" s="1"/>
  <c r="AA59" i="3"/>
  <c r="AB59" i="3" s="1"/>
  <c r="M10" i="3"/>
  <c r="O10" i="3" s="1"/>
  <c r="U44" i="3"/>
  <c r="AA36" i="3"/>
  <c r="AB36" i="3" s="1"/>
  <c r="U48" i="3"/>
  <c r="U19" i="3"/>
  <c r="M41" i="3"/>
  <c r="O41" i="3" s="1"/>
  <c r="M29" i="3"/>
  <c r="O29" i="3" s="1"/>
  <c r="AA14" i="3"/>
  <c r="AB14" i="3" s="1"/>
  <c r="U14" i="3"/>
  <c r="U26" i="3"/>
  <c r="U35" i="3"/>
  <c r="U82" i="3"/>
  <c r="M83" i="3"/>
  <c r="O83" i="3" s="1"/>
  <c r="AA57" i="3"/>
  <c r="AB57" i="3" s="1"/>
  <c r="U53" i="3"/>
  <c r="AA79" i="3"/>
  <c r="AB79" i="3" s="1"/>
  <c r="U38" i="3"/>
  <c r="M49" i="3"/>
  <c r="O49" i="3" s="1"/>
  <c r="M35" i="3"/>
  <c r="O35" i="3" s="1"/>
  <c r="M55" i="3"/>
  <c r="O55" i="3" s="1"/>
  <c r="U51" i="3"/>
  <c r="AA42" i="3"/>
  <c r="AB42" i="3" s="1"/>
  <c r="AA29" i="3"/>
  <c r="AB29" i="3" s="1"/>
  <c r="M63" i="3"/>
  <c r="O63" i="3" s="1"/>
  <c r="AA71" i="3"/>
  <c r="AB71" i="3" s="1"/>
  <c r="AA40" i="3"/>
  <c r="AB40" i="3" s="1"/>
  <c r="M79" i="3"/>
  <c r="O79" i="3" s="1"/>
  <c r="AA48" i="3"/>
  <c r="AB48" i="3" s="1"/>
  <c r="AC48" i="3" s="1"/>
  <c r="M37" i="3"/>
  <c r="O37" i="3" s="1"/>
  <c r="M30" i="3"/>
  <c r="O30" i="3" s="1"/>
  <c r="V30" i="3" s="1"/>
  <c r="M46" i="3"/>
  <c r="O46" i="3" s="1"/>
  <c r="U59" i="3"/>
  <c r="AA66" i="3"/>
  <c r="AB66" i="3" s="1"/>
  <c r="M85" i="3"/>
  <c r="O85" i="3" s="1"/>
  <c r="M53" i="3"/>
  <c r="O53" i="3" s="1"/>
  <c r="AA54" i="3"/>
  <c r="AB54" i="3" s="1"/>
  <c r="M76" i="3"/>
  <c r="O76" i="3" s="1"/>
  <c r="U83" i="3"/>
  <c r="AA7" i="3"/>
  <c r="AB7" i="3" s="1"/>
  <c r="M54" i="3"/>
  <c r="O54" i="3" s="1"/>
  <c r="U18" i="3"/>
  <c r="U55" i="3"/>
  <c r="U9" i="3"/>
  <c r="V9" i="3" s="1"/>
  <c r="AA49" i="3"/>
  <c r="AB49" i="3" s="1"/>
  <c r="AC49" i="3" s="1"/>
  <c r="AA38" i="3"/>
  <c r="AB38" i="3" s="1"/>
  <c r="AA32" i="3"/>
  <c r="AB32" i="3" s="1"/>
  <c r="U31" i="3"/>
  <c r="M50" i="3"/>
  <c r="O50" i="3" s="1"/>
  <c r="M25" i="3"/>
  <c r="O25" i="3" s="1"/>
  <c r="AA84" i="3"/>
  <c r="AB84" i="3" s="1"/>
  <c r="AA41" i="3"/>
  <c r="AB41" i="3" s="1"/>
  <c r="M20" i="3"/>
  <c r="O20" i="3" s="1"/>
  <c r="AA19" i="3"/>
  <c r="AB19" i="3" s="1"/>
  <c r="AA86" i="3"/>
  <c r="AB86" i="3" s="1"/>
  <c r="AC86" i="3" s="1"/>
  <c r="AA9" i="3"/>
  <c r="AB9" i="3" s="1"/>
  <c r="AC9" i="3" s="1"/>
  <c r="U50" i="3"/>
  <c r="M39" i="3"/>
  <c r="O39" i="3" s="1"/>
  <c r="U63" i="3"/>
  <c r="M27" i="3"/>
  <c r="O27" i="3" s="1"/>
  <c r="V27" i="3" s="1"/>
  <c r="AA81" i="3"/>
  <c r="AB81" i="3" s="1"/>
  <c r="AC81" i="3" s="1"/>
  <c r="AA20" i="3"/>
  <c r="AB20" i="3" s="1"/>
  <c r="AA22" i="3"/>
  <c r="AB22" i="3" s="1"/>
  <c r="M8" i="3"/>
  <c r="O8" i="3" s="1"/>
  <c r="M74" i="3"/>
  <c r="O74" i="3" s="1"/>
  <c r="U33" i="3"/>
  <c r="U37" i="3"/>
  <c r="M58" i="3"/>
  <c r="O58" i="3" s="1"/>
  <c r="U64" i="3"/>
  <c r="M11" i="3"/>
  <c r="O11" i="3" s="1"/>
  <c r="AA78" i="3"/>
  <c r="AB78" i="3" s="1"/>
  <c r="AC78" i="3" s="1"/>
  <c r="AA85" i="3"/>
  <c r="AB85" i="3" s="1"/>
  <c r="U13" i="3"/>
  <c r="AA6" i="3"/>
  <c r="AB6" i="3" s="1"/>
  <c r="U39" i="3"/>
  <c r="U28" i="3"/>
  <c r="AA33" i="3"/>
  <c r="AB33" i="3" s="1"/>
  <c r="M12" i="3"/>
  <c r="O12" i="3" s="1"/>
  <c r="U20" i="3"/>
  <c r="U24" i="3"/>
  <c r="AA34" i="3"/>
  <c r="AB34" i="3" s="1"/>
  <c r="AC34" i="3" s="1"/>
  <c r="M42" i="3"/>
  <c r="O42" i="3" s="1"/>
  <c r="AA8" i="3"/>
  <c r="AB8" i="3" s="1"/>
  <c r="AA52" i="3"/>
  <c r="AB52" i="3" s="1"/>
  <c r="M22" i="3"/>
  <c r="O22" i="3" s="1"/>
  <c r="M15" i="3"/>
  <c r="O15" i="3" s="1"/>
  <c r="AA62" i="3"/>
  <c r="AB62" i="3" s="1"/>
  <c r="U71" i="3"/>
  <c r="U12" i="3"/>
  <c r="U52" i="3"/>
  <c r="M75" i="3"/>
  <c r="O75" i="3" s="1"/>
  <c r="AA21" i="3"/>
  <c r="AB21" i="3" s="1"/>
  <c r="AC21" i="3" s="1"/>
  <c r="U61" i="3"/>
  <c r="AA30" i="3"/>
  <c r="AB30" i="3" s="1"/>
  <c r="AA44" i="3"/>
  <c r="AB44" i="3" s="1"/>
  <c r="AC44" i="3" s="1"/>
  <c r="AA17" i="3"/>
  <c r="AB17" i="3" s="1"/>
  <c r="AC17" i="3" s="1"/>
  <c r="AA69" i="3"/>
  <c r="AB69" i="3" s="1"/>
  <c r="AC69" i="3" s="1"/>
  <c r="M32" i="3"/>
  <c r="O32" i="3" s="1"/>
  <c r="M36" i="3"/>
  <c r="O36" i="3" s="1"/>
  <c r="U41" i="3"/>
  <c r="U84" i="3"/>
  <c r="M56" i="3"/>
  <c r="O56" i="3" s="1"/>
  <c r="U69" i="3"/>
  <c r="V69" i="3" s="1"/>
  <c r="U57" i="3"/>
  <c r="V57" i="3" s="1"/>
  <c r="U17" i="3"/>
  <c r="V17" i="3" s="1"/>
  <c r="M47" i="3"/>
  <c r="O47" i="3" s="1"/>
  <c r="U32" i="3"/>
  <c r="U25" i="3"/>
  <c r="U7" i="3"/>
  <c r="AA65" i="3"/>
  <c r="AB65" i="3" s="1"/>
  <c r="M23" i="3"/>
  <c r="O23" i="3" s="1"/>
  <c r="M28" i="3"/>
  <c r="O28" i="3" s="1"/>
  <c r="M24" i="3"/>
  <c r="O24" i="3" s="1"/>
  <c r="U47" i="3"/>
  <c r="AA18" i="3"/>
  <c r="AB18" i="3" s="1"/>
  <c r="U23" i="3"/>
  <c r="M43" i="3"/>
  <c r="O43" i="3" s="1"/>
  <c r="AC43" i="3" s="1"/>
  <c r="M19" i="3"/>
  <c r="O19" i="3" s="1"/>
  <c r="M82" i="3"/>
  <c r="O82" i="3" s="1"/>
  <c r="U45" i="3"/>
  <c r="AA37" i="3"/>
  <c r="AB37" i="3" s="1"/>
  <c r="AA26" i="3"/>
  <c r="AB26" i="3" s="1"/>
  <c r="U11" i="3"/>
  <c r="AA76" i="3"/>
  <c r="AB76" i="3" s="1"/>
  <c r="AC76" i="3" s="1"/>
  <c r="M71" i="3"/>
  <c r="O71" i="3" s="1"/>
  <c r="M7" i="3"/>
  <c r="O7" i="3" s="1"/>
  <c r="AA16" i="3"/>
  <c r="AB16" i="3" s="1"/>
  <c r="AA53" i="3"/>
  <c r="AB53" i="3" s="1"/>
  <c r="M6" i="3"/>
  <c r="O6" i="3" s="1"/>
  <c r="U16" i="3"/>
  <c r="AA46" i="3"/>
  <c r="AB46" i="3" s="1"/>
  <c r="M80" i="3"/>
  <c r="O80" i="3" s="1"/>
  <c r="AA13" i="3"/>
  <c r="AB13" i="3" s="1"/>
  <c r="AA73" i="3"/>
  <c r="AB73" i="3" s="1"/>
  <c r="U21" i="3"/>
  <c r="V21" i="3" s="1"/>
  <c r="M14" i="3"/>
  <c r="O14" i="3" s="1"/>
  <c r="U29" i="3"/>
  <c r="U36" i="3"/>
  <c r="AA12" i="3"/>
  <c r="AB12" i="3" s="1"/>
  <c r="M59" i="3"/>
  <c r="O59" i="3" s="1"/>
  <c r="M52" i="3"/>
  <c r="O52" i="3" s="1"/>
  <c r="AA25" i="3"/>
  <c r="AB25" i="3" s="1"/>
  <c r="AC25" i="3" s="1"/>
  <c r="M40" i="3"/>
  <c r="O40" i="3" s="1"/>
  <c r="AA10" i="3"/>
  <c r="AB10" i="3" s="1"/>
  <c r="M26" i="3"/>
  <c r="O26" i="3" s="1"/>
  <c r="M84" i="3"/>
  <c r="O84" i="3" s="1"/>
  <c r="AA70" i="3"/>
  <c r="AB70" i="3" s="1"/>
  <c r="AA50" i="3"/>
  <c r="AB50" i="3" s="1"/>
  <c r="M72" i="3"/>
  <c r="O72" i="3" s="1"/>
  <c r="V40" i="3" l="1"/>
  <c r="AC60" i="3"/>
  <c r="V78" i="3"/>
  <c r="V48" i="3"/>
  <c r="V77" i="3"/>
  <c r="AC57" i="3"/>
  <c r="V65" i="3"/>
  <c r="AC16" i="3"/>
  <c r="AC73" i="3"/>
  <c r="AC65" i="3"/>
  <c r="AC50" i="3"/>
  <c r="AC70" i="3"/>
  <c r="AC46" i="3"/>
  <c r="V63" i="3"/>
  <c r="V73" i="3"/>
  <c r="V16" i="3"/>
  <c r="AC47" i="3"/>
  <c r="AC61" i="3"/>
  <c r="AC85" i="3"/>
  <c r="AC42" i="3"/>
  <c r="V67" i="3"/>
  <c r="V51" i="3"/>
  <c r="V60" i="3"/>
  <c r="V14" i="3"/>
  <c r="V8" i="3"/>
  <c r="V15" i="3"/>
  <c r="V74" i="3"/>
  <c r="V26" i="3"/>
  <c r="V42" i="3"/>
  <c r="V22" i="3"/>
  <c r="V64" i="3"/>
  <c r="AC38" i="3"/>
  <c r="AC53" i="3"/>
  <c r="V45" i="3"/>
  <c r="V58" i="3"/>
  <c r="AC54" i="3"/>
  <c r="AC45" i="3"/>
  <c r="AC13" i="3"/>
  <c r="V13" i="3"/>
  <c r="V31" i="3"/>
  <c r="V25" i="3"/>
  <c r="AC77" i="3"/>
  <c r="V39" i="3"/>
  <c r="V55" i="3"/>
  <c r="V33" i="3"/>
  <c r="V81" i="3"/>
  <c r="AC51" i="3"/>
  <c r="V53" i="3"/>
  <c r="V34" i="3"/>
  <c r="V54" i="3"/>
  <c r="V82" i="3"/>
  <c r="V56" i="3"/>
  <c r="V72" i="3"/>
  <c r="V75" i="3"/>
  <c r="V49" i="3"/>
  <c r="V19" i="3"/>
  <c r="V84" i="3"/>
  <c r="AC39" i="3"/>
  <c r="V76" i="3"/>
  <c r="AC24" i="3"/>
  <c r="AC28" i="3"/>
  <c r="V62" i="3"/>
  <c r="AC41" i="3"/>
  <c r="AC55" i="3"/>
  <c r="V20" i="3"/>
  <c r="AC18" i="3"/>
  <c r="AC20" i="3"/>
  <c r="V10" i="3"/>
  <c r="V68" i="3"/>
  <c r="V41" i="3"/>
  <c r="AC33" i="3"/>
  <c r="V18" i="3"/>
  <c r="AC8" i="3"/>
  <c r="V46" i="3"/>
  <c r="V80" i="3"/>
  <c r="V44" i="3"/>
  <c r="V85" i="3"/>
  <c r="AC66" i="3"/>
  <c r="AC29" i="3"/>
  <c r="V7" i="3"/>
  <c r="AC32" i="3"/>
  <c r="V11" i="3"/>
  <c r="V66" i="3"/>
  <c r="AC31" i="3"/>
  <c r="AC59" i="3"/>
  <c r="AC30" i="3"/>
  <c r="AC27" i="3"/>
  <c r="V61" i="3"/>
  <c r="V29" i="3"/>
  <c r="AC72" i="3"/>
  <c r="V43" i="3"/>
  <c r="V6" i="3"/>
  <c r="V23" i="3"/>
  <c r="AC63" i="3"/>
  <c r="AC52" i="3"/>
  <c r="V12" i="3"/>
  <c r="V50" i="3"/>
  <c r="V35" i="3"/>
  <c r="V79" i="3"/>
  <c r="AC37" i="3"/>
  <c r="V38" i="3"/>
  <c r="AC58" i="3"/>
  <c r="V37" i="3"/>
  <c r="AC23" i="3"/>
  <c r="AC35" i="3"/>
  <c r="AC67" i="3"/>
  <c r="AC74" i="3"/>
  <c r="AC79" i="3"/>
  <c r="AC83" i="3"/>
  <c r="V70" i="3"/>
  <c r="AC10" i="3"/>
  <c r="V71" i="3"/>
  <c r="AC62" i="3"/>
  <c r="AC82" i="3"/>
  <c r="V83" i="3"/>
  <c r="AC80" i="3"/>
  <c r="V47" i="3"/>
  <c r="V24" i="3"/>
  <c r="V32" i="3"/>
  <c r="AC15" i="3"/>
  <c r="V36" i="3"/>
  <c r="V52" i="3"/>
  <c r="V28" i="3"/>
  <c r="AC6" i="3"/>
  <c r="V59" i="3"/>
  <c r="AC75" i="3"/>
  <c r="AC11" i="3"/>
  <c r="AC19" i="3"/>
  <c r="AC56" i="3"/>
  <c r="AC14" i="3"/>
  <c r="AC84" i="3"/>
  <c r="AC12" i="3"/>
  <c r="AC26" i="3"/>
  <c r="AC36" i="3"/>
  <c r="AC22" i="3"/>
  <c r="AC40" i="3"/>
  <c r="AC7" i="3"/>
  <c r="AC7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<sst xmlns="http://schemas.openxmlformats.org/spreadsheetml/2006/main" count="446" uniqueCount="198">
  <si>
    <t>Name</t>
  </si>
  <si>
    <t>He RefNo</t>
  </si>
  <si>
    <t>Avg Temp</t>
  </si>
  <si>
    <t>Batch No</t>
  </si>
  <si>
    <t>Analysis</t>
  </si>
  <si>
    <t>Mineral</t>
  </si>
  <si>
    <t>Time (min)</t>
  </si>
  <si>
    <t>Set Temp</t>
  </si>
  <si>
    <t>Timestamp</t>
  </si>
  <si>
    <t>2 Int</t>
  </si>
  <si>
    <t>3 Int</t>
  </si>
  <si>
    <t>4 Int</t>
  </si>
  <si>
    <t>Ratio Int</t>
  </si>
  <si>
    <t>Raw nCC</t>
  </si>
  <si>
    <t>BC nCC</t>
  </si>
  <si>
    <t>CB: 60.0_25.0</t>
  </si>
  <si>
    <t>Batch-55</t>
  </si>
  <si>
    <t>Diff Cell</t>
  </si>
  <si>
    <t>25C</t>
  </si>
  <si>
    <t>Q8924</t>
  </si>
  <si>
    <t>4He STD</t>
  </si>
  <si>
    <t>degas: 60.0_200.0</t>
  </si>
  <si>
    <t>200C</t>
  </si>
  <si>
    <t>degas: 240.0_200.0</t>
  </si>
  <si>
    <t>BVPy: 60.0_250.0</t>
  </si>
  <si>
    <t>250C</t>
  </si>
  <si>
    <t>BVPy: 60.0_270.0</t>
  </si>
  <si>
    <t>270C</t>
  </si>
  <si>
    <t>BVPy: 60.0_290.0</t>
  </si>
  <si>
    <t>290C</t>
  </si>
  <si>
    <t>BVPy: 60.0_300.0</t>
  </si>
  <si>
    <t>300C</t>
  </si>
  <si>
    <t>BVPy: 60.0_285.0</t>
  </si>
  <si>
    <t>285C</t>
  </si>
  <si>
    <t>BVPy: 80.0_275.0</t>
  </si>
  <si>
    <t>275C</t>
  </si>
  <si>
    <t>BVPy: 100.0_255.0</t>
  </si>
  <si>
    <t>255C</t>
  </si>
  <si>
    <t>BVPy: 60.0_310.0</t>
  </si>
  <si>
    <t>310C</t>
  </si>
  <si>
    <t>BVPy: 60.0_320.0</t>
  </si>
  <si>
    <t>320C</t>
  </si>
  <si>
    <t>BVPy: 60.0_330.0</t>
  </si>
  <si>
    <t>330C</t>
  </si>
  <si>
    <t>BVPy: 60.0_340.0</t>
  </si>
  <si>
    <t>340C</t>
  </si>
  <si>
    <t>BVPy: 60.0_350.0</t>
  </si>
  <si>
    <t>350C</t>
  </si>
  <si>
    <t>BVPy: 60.0_360.0</t>
  </si>
  <si>
    <t>360C</t>
  </si>
  <si>
    <t>BVPy: 60.0_370.0</t>
  </si>
  <si>
    <t>370C</t>
  </si>
  <si>
    <t>BVPy: 60.0_385.0</t>
  </si>
  <si>
    <t>385C</t>
  </si>
  <si>
    <t>BVPy: 60.0_375.0</t>
  </si>
  <si>
    <t>375C</t>
  </si>
  <si>
    <t>BVPy: 60.0_365.0</t>
  </si>
  <si>
    <t>365C</t>
  </si>
  <si>
    <t>BVPy: 60.0_355.0</t>
  </si>
  <si>
    <t>355C</t>
  </si>
  <si>
    <t>BVPy: 60.0_345.0</t>
  </si>
  <si>
    <t>345C</t>
  </si>
  <si>
    <t>BVPy: 80.0_335.0</t>
  </si>
  <si>
    <t>335C</t>
  </si>
  <si>
    <t>BVPy: 100.0_325.0</t>
  </si>
  <si>
    <t>325C</t>
  </si>
  <si>
    <t>BVPy: 60.0_390.0</t>
  </si>
  <si>
    <t>390C</t>
  </si>
  <si>
    <t>BVPy: 240.0_400.0</t>
  </si>
  <si>
    <t>400C</t>
  </si>
  <si>
    <t>BVPy: 60.0_400.0</t>
  </si>
  <si>
    <t>BVPy: 80.0_380.0</t>
  </si>
  <si>
    <t>DiffCell</t>
  </si>
  <si>
    <t>380C</t>
  </si>
  <si>
    <t>BVPy: 100.0_360.0</t>
  </si>
  <si>
    <t>BVPy: 60.0_410.0</t>
  </si>
  <si>
    <t>410C</t>
  </si>
  <si>
    <t>BVPy: 60.0_420.0</t>
  </si>
  <si>
    <t>420C</t>
  </si>
  <si>
    <t>BVPy: 60.0_430.0</t>
  </si>
  <si>
    <t>430C</t>
  </si>
  <si>
    <t>BVPy: 60.0_440.0</t>
  </si>
  <si>
    <t>440C</t>
  </si>
  <si>
    <t>BVPy: 60.0_450.0</t>
  </si>
  <si>
    <t>450C</t>
  </si>
  <si>
    <t>BVPy: 60.0_435.0</t>
  </si>
  <si>
    <t>435C</t>
  </si>
  <si>
    <t>BVPy: 60.0_425.0</t>
  </si>
  <si>
    <t>425C</t>
  </si>
  <si>
    <t>BVPy: 60.0_415.0</t>
  </si>
  <si>
    <t>415C</t>
  </si>
  <si>
    <t>BVPy: 60.0_405.0</t>
  </si>
  <si>
    <t>405C</t>
  </si>
  <si>
    <t>BVPy: 60.0_455.0</t>
  </si>
  <si>
    <t>455C</t>
  </si>
  <si>
    <t>BVPy: 60.0_465.0</t>
  </si>
  <si>
    <t>465C</t>
  </si>
  <si>
    <t>BVPy</t>
  </si>
  <si>
    <t>475C</t>
  </si>
  <si>
    <t>BVPy: 60.0_485.0</t>
  </si>
  <si>
    <t>485C</t>
  </si>
  <si>
    <t>BVPy: 60.0_495.0</t>
  </si>
  <si>
    <t>495C</t>
  </si>
  <si>
    <t>500C</t>
  </si>
  <si>
    <t>BVPy: 60.0_490.0</t>
  </si>
  <si>
    <t>490C</t>
  </si>
  <si>
    <t>BVPy: 70.0_480.0</t>
  </si>
  <si>
    <t>480C</t>
  </si>
  <si>
    <t>BVPy: 80.0_470.0</t>
  </si>
  <si>
    <t>470C</t>
  </si>
  <si>
    <t>BVPy: 90.0_460.0</t>
  </si>
  <si>
    <t>460C</t>
  </si>
  <si>
    <t>BVPy: 100.0_450.0</t>
  </si>
  <si>
    <t>BVPy: 60.0_500.0</t>
  </si>
  <si>
    <t>BVPy: 60.0_510.0</t>
  </si>
  <si>
    <t>510C</t>
  </si>
  <si>
    <t>BVPy: 60.0_520.0</t>
  </si>
  <si>
    <t>520C</t>
  </si>
  <si>
    <t>BVPy: 60.0_530.0</t>
  </si>
  <si>
    <t>530C</t>
  </si>
  <si>
    <t>BVPy: 60.0_540.0</t>
  </si>
  <si>
    <t>540C</t>
  </si>
  <si>
    <t>BVPy: 60.0_550.0</t>
  </si>
  <si>
    <t>550C</t>
  </si>
  <si>
    <t>BVPy: 70.0_540.0</t>
  </si>
  <si>
    <t>BVPy: 80.0_530.0</t>
  </si>
  <si>
    <t>BVPy: 90.0_520.0</t>
  </si>
  <si>
    <t>BVPy: 100.0_510.0</t>
  </si>
  <si>
    <t>BVPy: 120.0_500.0</t>
  </si>
  <si>
    <t>BVPy: 60.0_560.0</t>
  </si>
  <si>
    <t>560C</t>
  </si>
  <si>
    <t>BVPy: 60.0_570.0</t>
  </si>
  <si>
    <t>570C</t>
  </si>
  <si>
    <t>BVPy: 60.0_580.0</t>
  </si>
  <si>
    <t>580C</t>
  </si>
  <si>
    <t>BVPy: 60.0_590.0</t>
  </si>
  <si>
    <t>590C</t>
  </si>
  <si>
    <t>BVPy: 60.0_600.0</t>
  </si>
  <si>
    <t>600C</t>
  </si>
  <si>
    <t>BVPy: 80.0_580.0</t>
  </si>
  <si>
    <t>BVPy: 100.0_560.0</t>
  </si>
  <si>
    <t>BVPy: 120.0_540.0</t>
  </si>
  <si>
    <t>BVPy: 140.0_520.0</t>
  </si>
  <si>
    <t>BVPy: 160.0_500.0</t>
  </si>
  <si>
    <t>BVPy: 20.0_700.0</t>
  </si>
  <si>
    <t>700C</t>
  </si>
  <si>
    <t>Q8925</t>
  </si>
  <si>
    <t>Q8926</t>
  </si>
  <si>
    <t>Line Blank</t>
  </si>
  <si>
    <t>Endseq</t>
  </si>
  <si>
    <t>K (atoms/(s*atm*cm))</t>
  </si>
  <si>
    <t>λ = KGRT</t>
  </si>
  <si>
    <t xml:space="preserve">λt </t>
  </si>
  <si>
    <t>nt UB</t>
  </si>
  <si>
    <t>Prev. Cum Yield</t>
  </si>
  <si>
    <r>
      <t>2</t>
    </r>
    <r>
      <rPr>
        <sz val="11"/>
        <color theme="1"/>
        <rFont val="Aptos Narrow"/>
        <family val="2"/>
      </rPr>
      <t>σ</t>
    </r>
  </si>
  <si>
    <t>Cum Yield</t>
  </si>
  <si>
    <t>CONSTANTS</t>
  </si>
  <si>
    <t>ID (cm)</t>
  </si>
  <si>
    <t>OD (cm)</t>
  </si>
  <si>
    <t>G (cm^-1)</t>
  </si>
  <si>
    <t>R (cm^3 * atm  * atoms^-1 * K^1)</t>
  </si>
  <si>
    <t>Cum 3He</t>
  </si>
  <si>
    <t>D&lt;10%</t>
  </si>
  <si>
    <t>D&lt;90%</t>
  </si>
  <si>
    <t>D&gt;90%</t>
  </si>
  <si>
    <t>D/a^2</t>
  </si>
  <si>
    <t>10000/TK</t>
  </si>
  <si>
    <t>ln(d/a^2)</t>
  </si>
  <si>
    <t>Step</t>
  </si>
  <si>
    <t>Temp ©</t>
  </si>
  <si>
    <t>Seconds</t>
  </si>
  <si>
    <r>
      <t>n</t>
    </r>
    <r>
      <rPr>
        <vertAlign val="subscript"/>
        <sz val="11"/>
        <color theme="1"/>
        <rFont val="Aptos Narrow"/>
        <family val="2"/>
        <scheme val="minor"/>
      </rPr>
      <t>t</t>
    </r>
    <r>
      <rPr>
        <vertAlign val="superscript"/>
        <sz val="11"/>
        <color theme="1"/>
        <rFont val="Aptos Narrow"/>
        <family val="2"/>
        <scheme val="minor"/>
      </rPr>
      <t>UB</t>
    </r>
  </si>
  <si>
    <t>Fim</t>
  </si>
  <si>
    <t>FiUP</t>
  </si>
  <si>
    <t>Δln(d/a^2)</t>
  </si>
  <si>
    <t>m</t>
  </si>
  <si>
    <t>LB</t>
  </si>
  <si>
    <t>UB</t>
  </si>
  <si>
    <t>TOTAL</t>
  </si>
  <si>
    <t>Blank</t>
  </si>
  <si>
    <t>Sensitivity</t>
  </si>
  <si>
    <t>Reproducibility (1 sigma)</t>
  </si>
  <si>
    <t>Closure Temperature Calculation</t>
  </si>
  <si>
    <t>Do/a2</t>
  </si>
  <si>
    <r>
      <t>Tc (</t>
    </r>
    <r>
      <rPr>
        <sz val="11"/>
        <color theme="1"/>
        <rFont val="Aptos Narrow"/>
        <family val="2"/>
      </rPr>
      <t>°</t>
    </r>
    <r>
      <rPr>
        <sz val="9.35"/>
        <color theme="1"/>
        <rFont val="Aptos Narrow"/>
        <family val="2"/>
      </rPr>
      <t>C)</t>
    </r>
  </si>
  <si>
    <t>Ea (cal)</t>
  </si>
  <si>
    <t>Cool Rate</t>
  </si>
  <si>
    <t>(C/sec)</t>
  </si>
  <si>
    <t/>
  </si>
  <si>
    <t>C/Ma</t>
  </si>
  <si>
    <t>Total</t>
  </si>
  <si>
    <r>
      <t>F</t>
    </r>
    <r>
      <rPr>
        <vertAlign val="subscript"/>
        <sz val="11"/>
        <color theme="1"/>
        <rFont val="Aptos Narrow"/>
        <family val="2"/>
        <scheme val="minor"/>
      </rPr>
      <t>LB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</si>
  <si>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m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</si>
  <si>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UB</t>
    </r>
  </si>
  <si>
    <r>
      <t>λ</t>
    </r>
    <r>
      <rPr>
        <vertAlign val="subscript"/>
        <sz val="11"/>
        <color theme="1"/>
        <rFont val="Aptos Narrow"/>
        <family val="2"/>
        <scheme val="minor"/>
      </rPr>
      <t>LB</t>
    </r>
  </si>
  <si>
    <r>
      <t>λ</t>
    </r>
    <r>
      <rPr>
        <vertAlign val="subscript"/>
        <sz val="11"/>
        <color theme="1"/>
        <rFont val="Aptos Narrow"/>
        <family val="2"/>
        <scheme val="minor"/>
      </rPr>
      <t>m</t>
    </r>
  </si>
  <si>
    <r>
      <t>λ</t>
    </r>
    <r>
      <rPr>
        <vertAlign val="subscript"/>
        <sz val="11"/>
        <color theme="1"/>
        <rFont val="Aptos Narrow"/>
        <family val="2"/>
        <scheme val="minor"/>
      </rPr>
      <t>UB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</si>
</sst>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9.35"/>
      <color theme="1"/>
      <name val="Aptos Narrow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22" fontId="0" fillId="0" borderId="0" xfId="0" applyNumberFormat="1"/>
    <xf numFmtId="0" fontId="18" fillId="0" borderId="0" xfId="0" applyFont="1"/>
    <xf numFmtId="2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wrapText="1"/>
    </xf>
    <xf numFmtId="11" fontId="0" fillId="0" borderId="16" xfId="0" applyNumberFormat="1" applyBorder="1"/>
    <xf numFmtId="0" fontId="0" fillId="0" borderId="16" xfId="0" applyBorder="1"/>
    <xf numFmtId="0" fontId="0" fillId="0" borderId="17" xfId="0" applyBorder="1"/>
    <xf numFmtId="0" fontId="0" fillId="33" borderId="0" xfId="0" applyFill="1"/>
    <xf numFmtId="22" fontId="0" fillId="33" borderId="0" xfId="0" applyNumberFormat="1" applyFill="1"/>
    <xf numFmtId="11" fontId="0" fillId="33" borderId="0" xfId="0" applyNumberFormat="1" applyFill="1"/>
    <xf numFmtId="2" fontId="0" fillId="33" borderId="0" xfId="0" applyNumberFormat="1" applyFill="1"/>
    <xf numFmtId="164" fontId="0" fillId="33" borderId="0" xfId="0" applyNumberFormat="1" applyFill="1"/>
    <xf numFmtId="0" fontId="0" fillId="34" borderId="0" xfId="0" applyFill="1"/>
    <xf numFmtId="22" fontId="0" fillId="34" borderId="0" xfId="0" applyNumberFormat="1" applyFill="1"/>
    <xf numFmtId="11" fontId="0" fillId="34" borderId="0" xfId="0" applyNumberFormat="1" applyFill="1"/>
    <xf numFmtId="2" fontId="0" fillId="34" borderId="0" xfId="0" applyNumberFormat="1" applyFill="1"/>
    <xf numFmtId="164" fontId="0" fillId="34" borderId="0" xfId="0" applyNumberFormat="1" applyFill="1"/>
    <xf numFmtId="0" fontId="0" fillId="35" borderId="0" xfId="0" applyFill="1"/>
    <xf numFmtId="22" fontId="0" fillId="35" borderId="0" xfId="0" applyNumberFormat="1" applyFill="1"/>
    <xf numFmtId="11" fontId="0" fillId="35" borderId="0" xfId="0" applyNumberFormat="1" applyFill="1"/>
    <xf numFmtId="2" fontId="0" fillId="35" borderId="0" xfId="0" applyNumberFormat="1" applyFill="1"/>
    <xf numFmtId="164" fontId="0" fillId="35" borderId="0" xfId="0" applyNumberFormat="1" applyFill="1"/>
    <xf numFmtId="11" fontId="0" fillId="0" borderId="0" xfId="0" applyNumberFormat="1"/>
    <xf numFmtId="164" fontId="0" fillId="0" borderId="0" xfId="0" applyNumberFormat="1"/>
    <xf numFmtId="0" fontId="0" fillId="36" borderId="0" xfId="0" applyFill="1"/>
    <xf numFmtId="11" fontId="0" fillId="36" borderId="0" xfId="0" applyNumberFormat="1" applyFill="1"/>
    <xf numFmtId="2" fontId="0" fillId="36" borderId="0" xfId="0" applyNumberFormat="1" applyFill="1"/>
    <xf numFmtId="0" fontId="0" fillId="37" borderId="0" xfId="0" applyFill="1"/>
    <xf numFmtId="11" fontId="0" fillId="37" borderId="0" xfId="0" applyNumberFormat="1" applyFill="1"/>
    <xf numFmtId="22" fontId="0" fillId="37" borderId="0" xfId="0" applyNumberFormat="1" applyFill="1"/>
    <xf numFmtId="2" fontId="0" fillId="37" borderId="0" xfId="0" applyNumberFormat="1" applyFill="1"/>
    <xf numFmtId="164" fontId="0" fillId="37" borderId="0" xfId="0" applyNumberFormat="1" applyFill="1"/>
    <xf numFmtId="0" fontId="0" fillId="38" borderId="0" xfId="0" applyFill="1"/>
    <xf numFmtId="11" fontId="0" fillId="38" borderId="0" xfId="0" applyNumberFormat="1" applyFill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Apparent Helium Diffusivity Rustenburg Pyrite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rgbClr val="0070C0">
                  <a:alpha val="5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(Diffusivities!$AC$37,Diffusivities!$AC$39:$AC$84)</c:f>
                <c:numCache>
                  <c:formatCode>General</c:formatCode>
                  <c:ptCount val="47"/>
                  <c:pt idx="0">
                    <c:v>0.13442647444465194</c:v>
                  </c:pt>
                  <c:pt idx="1">
                    <c:v>0.41492096548263291</c:v>
                  </c:pt>
                  <c:pt idx="2">
                    <c:v>0.40126546178503375</c:v>
                  </c:pt>
                  <c:pt idx="3">
                    <c:v>0.40173593644939842</c:v>
                  </c:pt>
                  <c:pt idx="4">
                    <c:v>0.34784736234565017</c:v>
                  </c:pt>
                  <c:pt idx="5">
                    <c:v>0.31209493862343862</c:v>
                  </c:pt>
                  <c:pt idx="6">
                    <c:v>0.3642149611426504</c:v>
                  </c:pt>
                  <c:pt idx="7">
                    <c:v>0.34333568753953969</c:v>
                  </c:pt>
                  <c:pt idx="8">
                    <c:v>0.32361423010485169</c:v>
                  </c:pt>
                  <c:pt idx="9">
                    <c:v>0.30543234345254788</c:v>
                  </c:pt>
                  <c:pt idx="10">
                    <c:v>0.28919909521206222</c:v>
                  </c:pt>
                  <c:pt idx="11">
                    <c:v>0.30989457550309396</c:v>
                  </c:pt>
                  <c:pt idx="12">
                    <c:v>0.32826808659321216</c:v>
                  </c:pt>
                  <c:pt idx="13">
                    <c:v>0.3621433797211111</c:v>
                  </c:pt>
                  <c:pt idx="14">
                    <c:v>0.39268824061847241</c:v>
                  </c:pt>
                  <c:pt idx="15">
                    <c:v>0.27814046114575319</c:v>
                  </c:pt>
                  <c:pt idx="16">
                    <c:v>0.26737567361021775</c:v>
                  </c:pt>
                  <c:pt idx="17">
                    <c:v>0.25320850616115109</c:v>
                  </c:pt>
                  <c:pt idx="18">
                    <c:v>0.24136494136052633</c:v>
                  </c:pt>
                  <c:pt idx="19">
                    <c:v>0.23206775132823054</c:v>
                  </c:pt>
                  <c:pt idx="20">
                    <c:v>0.23323588762313108</c:v>
                  </c:pt>
                  <c:pt idx="21">
                    <c:v>0.21433175945375638</c:v>
                  </c:pt>
                  <c:pt idx="22">
                    <c:v>0.20127689883777933</c:v>
                  </c:pt>
                  <c:pt idx="23">
                    <c:v>0.19195672115193929</c:v>
                  </c:pt>
                  <c:pt idx="24">
                    <c:v>0.18538714560917668</c:v>
                  </c:pt>
                  <c:pt idx="25">
                    <c:v>0.22338390770738314</c:v>
                  </c:pt>
                  <c:pt idx="26">
                    <c:v>0.22291766895467191</c:v>
                  </c:pt>
                  <c:pt idx="27">
                    <c:v>0.21584698587546214</c:v>
                  </c:pt>
                  <c:pt idx="28">
                    <c:v>0.2069252000589934</c:v>
                  </c:pt>
                  <c:pt idx="29">
                    <c:v>0.19944098830110946</c:v>
                  </c:pt>
                  <c:pt idx="30">
                    <c:v>0.19234033926340288</c:v>
                  </c:pt>
                  <c:pt idx="31">
                    <c:v>0.18717553412510313</c:v>
                  </c:pt>
                  <c:pt idx="32">
                    <c:v>0.16964948195060359</c:v>
                  </c:pt>
                  <c:pt idx="33">
                    <c:v>0.15935927362863112</c:v>
                  </c:pt>
                  <c:pt idx="34">
                    <c:v>0.15180712139475361</c:v>
                  </c:pt>
                  <c:pt idx="35">
                    <c:v>0.14643353042574603</c:v>
                  </c:pt>
                  <c:pt idx="36">
                    <c:v>0.13496844901173333</c:v>
                  </c:pt>
                  <c:pt idx="37">
                    <c:v>0.17865360423208188</c:v>
                  </c:pt>
                  <c:pt idx="38">
                    <c:v>0.17572660631217829</c:v>
                  </c:pt>
                  <c:pt idx="39">
                    <c:v>0.16943224711580029</c:v>
                  </c:pt>
                  <c:pt idx="40">
                    <c:v>0.16694852921225944</c:v>
                  </c:pt>
                  <c:pt idx="41">
                    <c:v>0.16447714430391613</c:v>
                  </c:pt>
                  <c:pt idx="42">
                    <c:v>0.1380980297567298</c:v>
                  </c:pt>
                  <c:pt idx="43">
                    <c:v>0.12621355088285924</c:v>
                  </c:pt>
                  <c:pt idx="44">
                    <c:v>0.1197988608294196</c:v>
                  </c:pt>
                  <c:pt idx="45">
                    <c:v>0.116282412791751</c:v>
                  </c:pt>
                  <c:pt idx="46">
                    <c:v>0.11454286827803273</c:v>
                  </c:pt>
                </c:numCache>
              </c:numRef>
            </c:plus>
            <c:minus>
              <c:numRef>
                <c:f>(Diffusivities!$V$37,Diffusivities!$V$39:$V$84)</c:f>
                <c:numCache>
                  <c:formatCode>General</c:formatCode>
                  <c:ptCount val="47"/>
                  <c:pt idx="0">
                    <c:v>0.15775892122223212</c:v>
                  </c:pt>
                  <c:pt idx="1">
                    <c:v>5</c:v>
                  </c:pt>
                  <c:pt idx="2">
                    <c:v>0.81282362953222531</c:v>
                  </c:pt>
                  <c:pt idx="3">
                    <c:v>0.90687642774351218</c:v>
                  </c:pt>
                  <c:pt idx="4">
                    <c:v>2.542267059371337</c:v>
                  </c:pt>
                  <c:pt idx="5">
                    <c:v>5</c:v>
                  </c:pt>
                  <c:pt idx="6">
                    <c:v>2.5671565488678993E-2</c:v>
                  </c:pt>
                  <c:pt idx="7">
                    <c:v>0.27575172401448356</c:v>
                  </c:pt>
                  <c:pt idx="8">
                    <c:v>0.37693599020670732</c:v>
                  </c:pt>
                  <c:pt idx="9">
                    <c:v>0.39057193434113557</c:v>
                  </c:pt>
                  <c:pt idx="10">
                    <c:v>0.35245506799711634</c:v>
                  </c:pt>
                  <c:pt idx="11">
                    <c:v>5</c:v>
                  </c:pt>
                  <c:pt idx="12">
                    <c:v>1.4104149642842785</c:v>
                  </c:pt>
                  <c:pt idx="13">
                    <c:v>1.5677421113163916</c:v>
                  </c:pt>
                  <c:pt idx="14">
                    <c:v>3.1918734495499024</c:v>
                  </c:pt>
                  <c:pt idx="15">
                    <c:v>2.667433919566875E-2</c:v>
                  </c:pt>
                  <c:pt idx="16">
                    <c:v>0.1543375425707616</c:v>
                  </c:pt>
                  <c:pt idx="17">
                    <c:v>0.40471462886045728</c:v>
                  </c:pt>
                  <c:pt idx="18">
                    <c:v>0.29320543257921017</c:v>
                  </c:pt>
                  <c:pt idx="19">
                    <c:v>0.20765649735383462</c:v>
                  </c:pt>
                  <c:pt idx="20">
                    <c:v>1.0232882038613837</c:v>
                  </c:pt>
                  <c:pt idx="21">
                    <c:v>0.53621305178048573</c:v>
                  </c:pt>
                  <c:pt idx="22">
                    <c:v>0.48648599371104595</c:v>
                  </c:pt>
                  <c:pt idx="23">
                    <c:v>0.5628244223807144</c:v>
                  </c:pt>
                  <c:pt idx="24">
                    <c:v>0.41863509473026639</c:v>
                  </c:pt>
                  <c:pt idx="25">
                    <c:v>1.975192206575116E-2</c:v>
                  </c:pt>
                  <c:pt idx="26">
                    <c:v>0.33552126078356181</c:v>
                  </c:pt>
                  <c:pt idx="27">
                    <c:v>0.1238085029528122</c:v>
                  </c:pt>
                  <c:pt idx="28">
                    <c:v>0.25474355335460075</c:v>
                  </c:pt>
                  <c:pt idx="29">
                    <c:v>0.21289305981471429</c:v>
                  </c:pt>
                  <c:pt idx="30">
                    <c:v>0.20216499010142286</c:v>
                  </c:pt>
                  <c:pt idx="31">
                    <c:v>0.14858958532119004</c:v>
                  </c:pt>
                  <c:pt idx="32">
                    <c:v>0.72788237623201013</c:v>
                  </c:pt>
                  <c:pt idx="33">
                    <c:v>0.34559039037141304</c:v>
                  </c:pt>
                  <c:pt idx="34">
                    <c:v>0.36700021838186458</c:v>
                  </c:pt>
                  <c:pt idx="35">
                    <c:v>0.27728326291346761</c:v>
                  </c:pt>
                  <c:pt idx="36">
                    <c:v>0.25528989811682834</c:v>
                  </c:pt>
                  <c:pt idx="37">
                    <c:v>1.1786203786567029E-2</c:v>
                  </c:pt>
                  <c:pt idx="38">
                    <c:v>0.10427431721852187</c:v>
                  </c:pt>
                  <c:pt idx="39">
                    <c:v>0.20413488058183304</c:v>
                  </c:pt>
                  <c:pt idx="40">
                    <c:v>0.11325498557202351</c:v>
                  </c:pt>
                  <c:pt idx="41">
                    <c:v>0.11753698840645654</c:v>
                  </c:pt>
                  <c:pt idx="42">
                    <c:v>0.7302689920078933</c:v>
                  </c:pt>
                  <c:pt idx="43">
                    <c:v>0.52309863410874868</c:v>
                  </c:pt>
                  <c:pt idx="44">
                    <c:v>0.46353409350964014</c:v>
                  </c:pt>
                  <c:pt idx="45">
                    <c:v>0.31718990344493392</c:v>
                  </c:pt>
                  <c:pt idx="46">
                    <c:v>0.25918784489289237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(Diffusivities!$N$37,Diffusivities!$N$39:$N$84)</c:f>
              <c:numCache>
                <c:formatCode>General</c:formatCode>
                <c:ptCount val="47"/>
                <c:pt idx="0">
                  <c:v>14.858841010401189</c:v>
                </c:pt>
                <c:pt idx="1">
                  <c:v>14.858841010401189</c:v>
                </c:pt>
                <c:pt idx="2">
                  <c:v>14.858841010401189</c:v>
                </c:pt>
                <c:pt idx="3">
                  <c:v>14.858841010401189</c:v>
                </c:pt>
                <c:pt idx="4">
                  <c:v>15.313935681470138</c:v>
                </c:pt>
                <c:pt idx="5">
                  <c:v>15.797788309636651</c:v>
                </c:pt>
                <c:pt idx="6">
                  <c:v>14.641288433382138</c:v>
                </c:pt>
                <c:pt idx="7">
                  <c:v>14.430014430014429</c:v>
                </c:pt>
                <c:pt idx="8">
                  <c:v>14.22475106685633</c:v>
                </c:pt>
                <c:pt idx="9">
                  <c:v>14.025245441795231</c:v>
                </c:pt>
                <c:pt idx="10">
                  <c:v>13.831258644536653</c:v>
                </c:pt>
                <c:pt idx="11">
                  <c:v>14.124293785310735</c:v>
                </c:pt>
                <c:pt idx="12">
                  <c:v>14.326647564469914</c:v>
                </c:pt>
                <c:pt idx="13">
                  <c:v>14.534883720930232</c:v>
                </c:pt>
                <c:pt idx="14">
                  <c:v>14.749262536873156</c:v>
                </c:pt>
                <c:pt idx="15">
                  <c:v>13.736263736263735</c:v>
                </c:pt>
                <c:pt idx="16">
                  <c:v>13.551971811898632</c:v>
                </c:pt>
                <c:pt idx="17">
                  <c:v>13.370771493515177</c:v>
                </c:pt>
                <c:pt idx="18">
                  <c:v>13.192612137203167</c:v>
                </c:pt>
                <c:pt idx="19">
                  <c:v>13.020833333333334</c:v>
                </c:pt>
                <c:pt idx="20">
                  <c:v>13.106159895150721</c:v>
                </c:pt>
                <c:pt idx="21">
                  <c:v>13.280212483399735</c:v>
                </c:pt>
                <c:pt idx="22">
                  <c:v>13.458950201884253</c:v>
                </c:pt>
                <c:pt idx="23">
                  <c:v>13.642564802182811</c:v>
                </c:pt>
                <c:pt idx="24">
                  <c:v>13.831258644536653</c:v>
                </c:pt>
                <c:pt idx="25">
                  <c:v>12.936610608020699</c:v>
                </c:pt>
                <c:pt idx="26">
                  <c:v>12.936610608020699</c:v>
                </c:pt>
                <c:pt idx="27">
                  <c:v>12.771392081736909</c:v>
                </c:pt>
                <c:pt idx="28">
                  <c:v>12.608750472828142</c:v>
                </c:pt>
                <c:pt idx="29">
                  <c:v>12.454851164528584</c:v>
                </c:pt>
                <c:pt idx="30">
                  <c:v>12.300123001230013</c:v>
                </c:pt>
                <c:pt idx="31">
                  <c:v>12.150668286755771</c:v>
                </c:pt>
                <c:pt idx="32">
                  <c:v>12.300123001230013</c:v>
                </c:pt>
                <c:pt idx="33">
                  <c:v>12.454851164528584</c:v>
                </c:pt>
                <c:pt idx="34">
                  <c:v>12.610340479192939</c:v>
                </c:pt>
                <c:pt idx="35">
                  <c:v>12.771392081736909</c:v>
                </c:pt>
                <c:pt idx="36">
                  <c:v>12.936610608020699</c:v>
                </c:pt>
                <c:pt idx="37">
                  <c:v>12.006243246488173</c:v>
                </c:pt>
                <c:pt idx="38">
                  <c:v>11.863803535413453</c:v>
                </c:pt>
                <c:pt idx="39">
                  <c:v>11.724703951225232</c:v>
                </c:pt>
                <c:pt idx="40">
                  <c:v>11.590171534538712</c:v>
                </c:pt>
                <c:pt idx="41">
                  <c:v>11.457378551787352</c:v>
                </c:pt>
                <c:pt idx="42">
                  <c:v>11.723329425556859</c:v>
                </c:pt>
                <c:pt idx="43">
                  <c:v>12.004801920768307</c:v>
                </c:pt>
                <c:pt idx="44">
                  <c:v>12.300123001230013</c:v>
                </c:pt>
                <c:pt idx="45">
                  <c:v>12.610340479192939</c:v>
                </c:pt>
                <c:pt idx="46">
                  <c:v>12.936610608020699</c:v>
                </c:pt>
              </c:numCache>
            </c:numRef>
          </c:xVal>
          <c:yVal>
            <c:numRef>
              <c:f>(Diffusivities!$O$37,Diffusivities!$O$39:$O$84)</c:f>
              <c:numCache>
                <c:formatCode>General</c:formatCode>
                <c:ptCount val="47"/>
                <c:pt idx="0">
                  <c:v>-22.658337129757133</c:v>
                </c:pt>
                <c:pt idx="1">
                  <c:v>-23.365077666677088</c:v>
                </c:pt>
                <c:pt idx="2">
                  <c:v>-23.443846848802163</c:v>
                </c:pt>
                <c:pt idx="3">
                  <c:v>-23.63249482439964</c:v>
                </c:pt>
                <c:pt idx="4">
                  <c:v>-24.542597244722945</c:v>
                </c:pt>
                <c:pt idx="5">
                  <c:v>-26.002461363146928</c:v>
                </c:pt>
                <c:pt idx="6">
                  <c:v>-22.820801313283933</c:v>
                </c:pt>
                <c:pt idx="7">
                  <c:v>-22.220219830068846</c:v>
                </c:pt>
                <c:pt idx="8">
                  <c:v>-21.954456939216275</c:v>
                </c:pt>
                <c:pt idx="9">
                  <c:v>-21.787412114037462</c:v>
                </c:pt>
                <c:pt idx="10">
                  <c:v>-21.602949918788511</c:v>
                </c:pt>
                <c:pt idx="11">
                  <c:v>-22.848372247272295</c:v>
                </c:pt>
                <c:pt idx="12">
                  <c:v>-23.581180380452196</c:v>
                </c:pt>
                <c:pt idx="13">
                  <c:v>-24.29264010494196</c:v>
                </c:pt>
                <c:pt idx="14">
                  <c:v>-25.079861878903593</c:v>
                </c:pt>
                <c:pt idx="15">
                  <c:v>-22.174479311254398</c:v>
                </c:pt>
                <c:pt idx="16">
                  <c:v>-21.367027066415215</c:v>
                </c:pt>
                <c:pt idx="17">
                  <c:v>-21.449347915858009</c:v>
                </c:pt>
                <c:pt idx="18">
                  <c:v>-21.323710643622288</c:v>
                </c:pt>
                <c:pt idx="19">
                  <c:v>-20.948144989379745</c:v>
                </c:pt>
                <c:pt idx="20">
                  <c:v>-21.84522657068711</c:v>
                </c:pt>
                <c:pt idx="21">
                  <c:v>-22.456820025601679</c:v>
                </c:pt>
                <c:pt idx="22">
                  <c:v>-23.067554021831523</c:v>
                </c:pt>
                <c:pt idx="23">
                  <c:v>-23.843049240570071</c:v>
                </c:pt>
                <c:pt idx="24">
                  <c:v>-24.428600391492186</c:v>
                </c:pt>
                <c:pt idx="25">
                  <c:v>-21.574594372060243</c:v>
                </c:pt>
                <c:pt idx="26">
                  <c:v>-21.704543156326018</c:v>
                </c:pt>
                <c:pt idx="27">
                  <c:v>-20.941682558057341</c:v>
                </c:pt>
                <c:pt idx="28">
                  <c:v>-20.872836870443862</c:v>
                </c:pt>
                <c:pt idx="29">
                  <c:v>-20.691464653708348</c:v>
                </c:pt>
                <c:pt idx="30">
                  <c:v>-20.504272968323445</c:v>
                </c:pt>
                <c:pt idx="31">
                  <c:v>-20.075108455560702</c:v>
                </c:pt>
                <c:pt idx="32">
                  <c:v>-21.150342307300889</c:v>
                </c:pt>
                <c:pt idx="33">
                  <c:v>-21.74154605823103</c:v>
                </c:pt>
                <c:pt idx="34">
                  <c:v>-22.4348984010593</c:v>
                </c:pt>
                <c:pt idx="35">
                  <c:v>-22.930384033992148</c:v>
                </c:pt>
                <c:pt idx="36">
                  <c:v>-23.469492799044932</c:v>
                </c:pt>
                <c:pt idx="37">
                  <c:v>-20.264103812012486</c:v>
                </c:pt>
                <c:pt idx="38">
                  <c:v>-19.58333966448323</c:v>
                </c:pt>
                <c:pt idx="39">
                  <c:v>-19.543709823756501</c:v>
                </c:pt>
                <c:pt idx="40">
                  <c:v>-18.998893406099796</c:v>
                </c:pt>
                <c:pt idx="41">
                  <c:v>-18.50513267022361</c:v>
                </c:pt>
                <c:pt idx="42">
                  <c:v>-19.857078670312504</c:v>
                </c:pt>
                <c:pt idx="43">
                  <c:v>-21.092011089002614</c:v>
                </c:pt>
                <c:pt idx="44">
                  <c:v>-22.288636470952518</c:v>
                </c:pt>
                <c:pt idx="45">
                  <c:v>-23.201569882870423</c:v>
                </c:pt>
                <c:pt idx="46">
                  <c:v>-23.951131585634784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23-4678-84AD-7FFBCFDC33A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"/>
            <c:backward val="1"/>
            <c:dispRSqr val="1"/>
            <c:dispEq val="1"/>
            <c:trendlineLbl>
              <c:layout>
                <c:manualLayout>
                  <c:x val="-0.17618137909757273"/>
                  <c:y val="5.9119451071484906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Diffusivities!$N$58:$N$62</c:f>
              <c:numCache>
                <c:formatCode>General</c:formatCode>
                <c:ptCount val="5"/>
                <c:pt idx="0">
                  <c:v>13.106159895150721</c:v>
                </c:pt>
                <c:pt idx="1">
                  <c:v>13.280212483399735</c:v>
                </c:pt>
                <c:pt idx="2">
                  <c:v>13.458950201884253</c:v>
                </c:pt>
                <c:pt idx="3">
                  <c:v>13.642564802182811</c:v>
                </c:pt>
                <c:pt idx="4">
                  <c:v>13.831258644536653</c:v>
                </c:pt>
              </c:numCache>
            </c:numRef>
          </c:xVal>
          <c:yVal>
            <c:numRef>
              <c:f>Diffusivities!$O$58:$O$62</c:f>
              <c:numCache>
                <c:formatCode>General</c:formatCode>
                <c:ptCount val="5"/>
                <c:pt idx="0">
                  <c:v>-21.84522657068711</c:v>
                </c:pt>
                <c:pt idx="1">
                  <c:v>-22.456820025601679</c:v>
                </c:pt>
                <c:pt idx="2">
                  <c:v>-23.067554021831523</c:v>
                </c:pt>
                <c:pt idx="3">
                  <c:v>-23.843049240570071</c:v>
                </c:pt>
                <c:pt idx="4">
                  <c:v>-24.428600391492186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05-4211-8CA1-BE4771FE8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2677680"/>
        <c:axId val="912662800"/>
      </c:scatterChart>
      <c:valAx>
        <c:axId val="912677680"/>
        <c:scaling>
          <c:orientation val="minMax"/>
          <c:max val="16"/>
          <c:min val="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10000/T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662800"/>
        <c:crosses val="autoZero"/>
        <c:crossBetween val="midCat"/>
      </c:valAx>
      <c:valAx>
        <c:axId val="912662800"/>
        <c:scaling>
          <c:orientation val="minMax"/>
          <c:max val="-17"/>
          <c:min val="-2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ln(D/a^2)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677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487680</xdr:colOff>
      <xdr:row>17</xdr:row>
      <xdr:rowOff>118110</xdr:rowOff>
    </xdr:from>
    <xdr:to>
      <xdr:col>16</xdr:col>
      <xdr:colOff>182880</xdr:colOff>
      <xdr:row>32</xdr:row>
      <xdr:rowOff>118110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A0E80A-FCE4-04ED-89E6-C9BFDDB38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5749D-0853-4984-96D7-3003E5C16D0D}">
  <dimension ref="A1:AF93"/>
  <sheetViews>
    <sheetView tabSelected="1" topLeftCell="Y1" workbookViewId="0">
      <selection activeCell="Z1" sqref="Z1:AF1"/>
    </sheetView>
  </sheetViews>
  <sheetFormatPr defaultRowHeight="14.4" x14ac:dyDescent="0.3"/>
  <cols>
    <col min="18" max="18" width="8.88671875" style="28"/>
    <col min="30" max="31" width="12" bestFit="1" customWidth="1"/>
    <col min="32" max="32" width="12.6640625" bestFit="1" customWidth="1"/>
  </cols>
  <sheetData>
    <row r="1" spans="1:32" ht="15.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155</v>
      </c>
      <c r="R1" s="28" t="s">
        <v>150</v>
      </c>
      <c r="S1" s="2" t="s">
        <v>151</v>
      </c>
      <c r="T1" s="3" t="s">
        <v>152</v>
      </c>
      <c r="U1" t="s">
        <v>153</v>
      </c>
      <c r="W1" t="s">
        <v>154</v>
      </c>
      <c r="X1" t="s">
        <v>156</v>
      </c>
      <c r="Z1" t="s">
        <v>192</v>
      </c>
      <c r="AA1" t="s">
        <v>193</v>
      </c>
      <c r="AB1" t="s">
        <v>194</v>
      </c>
      <c r="AD1" t="s">
        <v>195</v>
      </c>
      <c r="AE1" t="s">
        <v>196</v>
      </c>
      <c r="AF1" t="s">
        <v>197</v>
      </c>
    </row>
    <row r="2" spans="1:32" s="18" customFormat="1" x14ac:dyDescent="0.3">
      <c r="A2" s="18" t="s">
        <v>15</v>
      </c>
      <c r="B2" s="18">
        <v>90524</v>
      </c>
      <c r="C2" s="18">
        <v>24.9</v>
      </c>
      <c r="D2" s="18" t="s">
        <v>16</v>
      </c>
      <c r="E2" s="18" t="s">
        <v>17</v>
      </c>
      <c r="G2" s="18">
        <v>60</v>
      </c>
      <c r="H2" s="18" t="s">
        <v>18</v>
      </c>
      <c r="I2" s="19">
        <v>45085.670138888891</v>
      </c>
      <c r="J2" s="18">
        <v>481.13431800000001</v>
      </c>
      <c r="K2" s="18">
        <v>10073.5448</v>
      </c>
      <c r="L2" s="18">
        <v>17.642507999999999</v>
      </c>
      <c r="M2" s="18">
        <v>1.751E-3</v>
      </c>
      <c r="N2" s="18">
        <v>7.0340000000000003E-3</v>
      </c>
      <c r="O2" s="18">
        <v>8.1499999999999997E-4</v>
      </c>
      <c r="P2" s="18">
        <f>O2*0.029*2</f>
        <v>4.727E-5</v>
      </c>
      <c r="R2" s="20">
        <f>(0.000304*EXP(-5580/(1.987*(C2+273))))*(199000000000000000*EXP(680/(1.987*(C2+273))))</f>
        <v>15368022995.511862</v>
      </c>
      <c r="S2" s="20">
        <f t="shared" ref="S2:S33" si="0">R2*$C$92*$C$93*(C2+273)</f>
        <v>4.1627058085457263E-6</v>
      </c>
      <c r="T2" s="21">
        <f>S2*N2</f>
        <v>2.928047265731064E-8</v>
      </c>
      <c r="U2" s="18">
        <f>O2/((T2)-1) +P2</f>
        <v>-7.6773002386358591E-4</v>
      </c>
      <c r="X2" s="22"/>
    </row>
    <row r="3" spans="1:32" s="13" customFormat="1" x14ac:dyDescent="0.3">
      <c r="A3" s="13" t="s">
        <v>19</v>
      </c>
      <c r="B3" s="13">
        <v>90525</v>
      </c>
      <c r="D3" s="13" t="s">
        <v>16</v>
      </c>
      <c r="E3" s="13" t="s">
        <v>20</v>
      </c>
      <c r="I3" s="14">
        <v>45085.720833333333</v>
      </c>
      <c r="J3" s="13">
        <v>551.012338</v>
      </c>
      <c r="K3" s="13">
        <v>9973.0592030000007</v>
      </c>
      <c r="L3" s="13">
        <v>10011.402179999999</v>
      </c>
      <c r="M3" s="13">
        <v>1.003763</v>
      </c>
      <c r="N3" s="13">
        <v>4.0681710000000004</v>
      </c>
      <c r="O3" s="13">
        <v>4.0618970000000001</v>
      </c>
      <c r="P3" s="13">
        <f t="shared" ref="P3:P66" si="1">O3*0.029*2</f>
        <v>0.23559002600000001</v>
      </c>
      <c r="R3" s="15"/>
      <c r="S3" s="15"/>
      <c r="T3" s="16"/>
      <c r="W3" s="17"/>
      <c r="X3" s="17"/>
    </row>
    <row r="4" spans="1:32" s="18" customFormat="1" x14ac:dyDescent="0.3">
      <c r="A4" s="18" t="s">
        <v>21</v>
      </c>
      <c r="B4" s="18">
        <v>90526</v>
      </c>
      <c r="C4" s="18">
        <v>200.1</v>
      </c>
      <c r="D4" s="18" t="s">
        <v>16</v>
      </c>
      <c r="E4" s="18" t="s">
        <v>17</v>
      </c>
      <c r="F4" s="18">
        <f>G4*60</f>
        <v>3600</v>
      </c>
      <c r="G4" s="18">
        <v>60</v>
      </c>
      <c r="H4" s="18" t="s">
        <v>22</v>
      </c>
      <c r="I4" s="19">
        <v>45085.776388888888</v>
      </c>
      <c r="J4" s="18">
        <v>1263.1562919999999</v>
      </c>
      <c r="K4" s="18">
        <v>9787.7563890000001</v>
      </c>
      <c r="L4" s="18">
        <v>216.07555099999999</v>
      </c>
      <c r="M4" s="18">
        <v>2.2075999999999998E-2</v>
      </c>
      <c r="N4" s="18">
        <v>8.9472999999999997E-2</v>
      </c>
      <c r="O4" s="18">
        <v>8.3199999999999996E-2</v>
      </c>
      <c r="P4" s="18">
        <f t="shared" si="1"/>
        <v>4.8256000000000002E-3</v>
      </c>
      <c r="R4" s="20">
        <f t="shared" ref="R4:R66" si="2">(0.000304*EXP(-5580/(1.987*(C4+273))))*(199000000000000000*EXP(680/(1.987*(C4+273))))</f>
        <v>329587596466.93298</v>
      </c>
      <c r="S4" s="20">
        <f t="shared" si="0"/>
        <v>1.4177871030821186E-4</v>
      </c>
      <c r="T4" s="21">
        <f t="shared" ref="T4:T66" si="3">S4*G4*60</f>
        <v>0.51040335710956264</v>
      </c>
      <c r="U4" s="18">
        <f t="shared" ref="U4:U66" si="4">O4/((T4)-1) +P4</f>
        <v>-0.16511020574574856</v>
      </c>
      <c r="W4" s="22">
        <v>0</v>
      </c>
      <c r="X4" s="22">
        <f t="shared" ref="X4:X66" si="5">W4+O4</f>
        <v>8.3199999999999996E-2</v>
      </c>
    </row>
    <row r="5" spans="1:32" s="18" customFormat="1" x14ac:dyDescent="0.3">
      <c r="A5" s="18" t="s">
        <v>21</v>
      </c>
      <c r="B5" s="18">
        <v>90527</v>
      </c>
      <c r="C5" s="18">
        <v>199.9</v>
      </c>
      <c r="D5" s="18" t="s">
        <v>16</v>
      </c>
      <c r="E5" s="18" t="s">
        <v>17</v>
      </c>
      <c r="F5" s="18">
        <f t="shared" ref="F5:F68" si="6">G5*60</f>
        <v>3600</v>
      </c>
      <c r="G5" s="18">
        <v>60</v>
      </c>
      <c r="H5" s="18" t="s">
        <v>22</v>
      </c>
      <c r="I5" s="19">
        <v>45085.849305555559</v>
      </c>
      <c r="J5" s="18">
        <v>1013.4045630000001</v>
      </c>
      <c r="K5" s="18">
        <v>9834.7000480000006</v>
      </c>
      <c r="L5" s="18">
        <v>125.795376</v>
      </c>
      <c r="M5" s="18">
        <v>1.2791E-2</v>
      </c>
      <c r="N5" s="18">
        <v>5.1840999999999998E-2</v>
      </c>
      <c r="O5" s="18">
        <v>4.5567000000000003E-2</v>
      </c>
      <c r="P5" s="18">
        <f t="shared" si="1"/>
        <v>2.6428860000000005E-3</v>
      </c>
      <c r="R5" s="20">
        <f t="shared" si="2"/>
        <v>328861827829.30804</v>
      </c>
      <c r="S5" s="20">
        <f t="shared" si="0"/>
        <v>1.4140670232164001E-4</v>
      </c>
      <c r="T5" s="21">
        <f t="shared" si="3"/>
        <v>0.50906412835790404</v>
      </c>
      <c r="U5" s="18">
        <f t="shared" si="4"/>
        <v>-9.0173717210489057E-2</v>
      </c>
      <c r="W5" s="22">
        <f t="shared" ref="W5:W66" si="7">O4+W4</f>
        <v>8.3199999999999996E-2</v>
      </c>
      <c r="X5" s="22">
        <f t="shared" si="5"/>
        <v>0.12876699999999999</v>
      </c>
      <c r="Z5" s="18">
        <f>(O5-U4)/($O$88-(W5+U4))</f>
        <v>1.0529547900112889E-3</v>
      </c>
      <c r="AA5" s="18">
        <f>(O5)/($O$88-(W5))</f>
        <v>2.2792981880462274E-4</v>
      </c>
      <c r="AB5" s="18">
        <f>(O5+U5)/($O$88-(W5))</f>
        <v>-2.2312640663760651E-4</v>
      </c>
      <c r="AD5" s="18">
        <f>-LN(1-Z5)/F5</f>
        <v>2.9264153787656541E-7</v>
      </c>
      <c r="AE5" s="18">
        <f>-LN(1-AA5)/F5</f>
        <v>6.3321055209321418E-8</v>
      </c>
      <c r="AF5" s="18">
        <f>-LN(1-AB5)/F5</f>
        <v>-6.1972643789780227E-8</v>
      </c>
    </row>
    <row r="6" spans="1:32" s="18" customFormat="1" x14ac:dyDescent="0.3">
      <c r="A6" s="18" t="s">
        <v>15</v>
      </c>
      <c r="B6" s="18">
        <v>90528</v>
      </c>
      <c r="C6" s="18">
        <v>24.9</v>
      </c>
      <c r="D6" s="18" t="s">
        <v>16</v>
      </c>
      <c r="E6" s="18" t="s">
        <v>17</v>
      </c>
      <c r="F6" s="18">
        <f t="shared" si="6"/>
        <v>3600</v>
      </c>
      <c r="G6" s="18">
        <v>60</v>
      </c>
      <c r="H6" s="18" t="s">
        <v>18</v>
      </c>
      <c r="I6" s="19">
        <v>45085.921527777777</v>
      </c>
      <c r="J6" s="18">
        <v>808.03441699999996</v>
      </c>
      <c r="K6" s="18">
        <v>10013.948189999999</v>
      </c>
      <c r="L6" s="18">
        <v>17.523316000000001</v>
      </c>
      <c r="M6" s="18">
        <v>1.75E-3</v>
      </c>
      <c r="N6" s="18">
        <v>7.0930000000000003E-3</v>
      </c>
      <c r="O6" s="18">
        <v>8.1899999999999996E-4</v>
      </c>
      <c r="P6" s="18">
        <f t="shared" si="1"/>
        <v>4.7502E-5</v>
      </c>
      <c r="R6" s="20">
        <f t="shared" si="2"/>
        <v>15368022995.511862</v>
      </c>
      <c r="S6" s="20">
        <f t="shared" si="0"/>
        <v>4.1627058085457263E-6</v>
      </c>
      <c r="T6" s="21">
        <f t="shared" si="3"/>
        <v>1.4985740910764614E-2</v>
      </c>
      <c r="U6" s="18">
        <f t="shared" si="4"/>
        <v>-7.8395804480916275E-4</v>
      </c>
      <c r="W6" s="22">
        <f t="shared" si="7"/>
        <v>0.12876699999999999</v>
      </c>
      <c r="X6" s="22">
        <f t="shared" si="5"/>
        <v>0.12958599999999998</v>
      </c>
      <c r="Z6" s="18">
        <f t="shared" ref="Z6:Z69" si="8">(O6-U5)/($O$88-(W6+U5))</f>
        <v>4.5505139568843313E-4</v>
      </c>
      <c r="AA6" s="18">
        <f t="shared" ref="AA6:AA69" si="9">(O6)/($O$88-(W6))</f>
        <v>4.0976382028923592E-6</v>
      </c>
      <c r="AB6" s="18">
        <f t="shared" ref="AB6:AB69" si="10">(O6+U6)/($O$88-(W6))</f>
        <v>1.7532265481564929E-7</v>
      </c>
      <c r="AD6" s="18">
        <f t="shared" ref="AD6:AD69" si="11">-LN(1-Z6)/F6</f>
        <v>1.264319341652727E-7</v>
      </c>
      <c r="AE6" s="18">
        <f t="shared" ref="AE6:AE69" si="12">-LN(1-AA6)/F6</f>
        <v>1.1382351661673575E-9</v>
      </c>
      <c r="AF6" s="18">
        <f t="shared" ref="AF6:AF69" si="13">-LN(1-AB6)/F6</f>
        <v>4.8700741724293741E-11</v>
      </c>
    </row>
    <row r="7" spans="1:32" s="18" customFormat="1" x14ac:dyDescent="0.3">
      <c r="A7" s="18" t="s">
        <v>23</v>
      </c>
      <c r="B7" s="18">
        <v>90529</v>
      </c>
      <c r="C7" s="18">
        <v>200</v>
      </c>
      <c r="D7" s="18" t="s">
        <v>16</v>
      </c>
      <c r="E7" s="18" t="s">
        <v>17</v>
      </c>
      <c r="F7" s="18">
        <f t="shared" si="6"/>
        <v>14400</v>
      </c>
      <c r="G7" s="18">
        <v>240</v>
      </c>
      <c r="H7" s="18" t="s">
        <v>22</v>
      </c>
      <c r="I7" s="19">
        <v>45086.119444444441</v>
      </c>
      <c r="J7" s="18">
        <v>692.09211900000003</v>
      </c>
      <c r="K7" s="18">
        <v>9879.8020280000001</v>
      </c>
      <c r="L7" s="18">
        <v>192.885255</v>
      </c>
      <c r="M7" s="18">
        <v>1.9522000000000001E-2</v>
      </c>
      <c r="N7" s="18">
        <v>7.9120999999999997E-2</v>
      </c>
      <c r="O7" s="18">
        <v>7.2846999999999995E-2</v>
      </c>
      <c r="P7" s="18">
        <f t="shared" si="1"/>
        <v>4.2251260000000001E-3</v>
      </c>
      <c r="R7" s="20">
        <f t="shared" si="2"/>
        <v>329224588875.15723</v>
      </c>
      <c r="S7" s="20">
        <f t="shared" si="0"/>
        <v>1.4159262030224548E-4</v>
      </c>
      <c r="T7" s="21">
        <f t="shared" si="3"/>
        <v>2.0389337323523349</v>
      </c>
      <c r="U7" s="18">
        <f t="shared" si="4"/>
        <v>7.4342206359938975E-2</v>
      </c>
      <c r="W7" s="22">
        <f t="shared" si="7"/>
        <v>0.12958599999999998</v>
      </c>
      <c r="X7" s="22">
        <f t="shared" si="5"/>
        <v>0.20243299999999997</v>
      </c>
      <c r="Z7" s="18">
        <f t="shared" si="8"/>
        <v>3.6839203845801292E-4</v>
      </c>
      <c r="AA7" s="18">
        <f t="shared" si="9"/>
        <v>3.6447115179338147E-4</v>
      </c>
      <c r="AB7" s="18">
        <f t="shared" si="10"/>
        <v>7.3642318247231422E-4</v>
      </c>
      <c r="AD7" s="18">
        <f t="shared" si="11"/>
        <v>2.5587493852418708E-8</v>
      </c>
      <c r="AE7" s="18">
        <f t="shared" si="12"/>
        <v>2.5315110246300976E-8</v>
      </c>
      <c r="AF7" s="18">
        <f t="shared" si="13"/>
        <v>5.1159338557168205E-8</v>
      </c>
    </row>
    <row r="8" spans="1:32" s="18" customFormat="1" x14ac:dyDescent="0.3">
      <c r="A8" s="18" t="s">
        <v>15</v>
      </c>
      <c r="B8" s="18">
        <v>90530</v>
      </c>
      <c r="C8" s="18">
        <v>24.9</v>
      </c>
      <c r="D8" s="18" t="s">
        <v>16</v>
      </c>
      <c r="E8" s="18" t="s">
        <v>17</v>
      </c>
      <c r="F8" s="18">
        <f t="shared" si="6"/>
        <v>3600</v>
      </c>
      <c r="G8" s="18">
        <v>60</v>
      </c>
      <c r="H8" s="18" t="s">
        <v>18</v>
      </c>
      <c r="I8" s="19">
        <v>45086.191666666666</v>
      </c>
      <c r="J8" s="18">
        <v>636.26511300000004</v>
      </c>
      <c r="K8" s="18">
        <v>10080.77851</v>
      </c>
      <c r="L8" s="18">
        <v>17.033383000000001</v>
      </c>
      <c r="M8" s="18">
        <v>1.6900000000000001E-3</v>
      </c>
      <c r="N8" s="18">
        <v>6.8479999999999999E-3</v>
      </c>
      <c r="O8" s="18">
        <v>5.7399999999999997E-4</v>
      </c>
      <c r="P8" s="18">
        <f t="shared" si="1"/>
        <v>3.3291999999999999E-5</v>
      </c>
      <c r="R8" s="20">
        <f t="shared" si="2"/>
        <v>15368022995.511862</v>
      </c>
      <c r="S8" s="20">
        <f t="shared" si="0"/>
        <v>4.1627058085457263E-6</v>
      </c>
      <c r="T8" s="21">
        <f t="shared" si="3"/>
        <v>1.4985740910764614E-2</v>
      </c>
      <c r="U8" s="18">
        <f t="shared" si="4"/>
        <v>-5.4944068097736206E-4</v>
      </c>
      <c r="W8" s="22">
        <f t="shared" si="7"/>
        <v>0.20243299999999997</v>
      </c>
      <c r="X8" s="22">
        <f t="shared" si="5"/>
        <v>0.20300699999999997</v>
      </c>
      <c r="Z8" s="18">
        <f t="shared" si="8"/>
        <v>-3.6935216941424043E-4</v>
      </c>
      <c r="AA8" s="18">
        <f t="shared" si="9"/>
        <v>2.8729078567808587E-6</v>
      </c>
      <c r="AB8" s="18">
        <f t="shared" si="10"/>
        <v>1.2292101145875268E-7</v>
      </c>
      <c r="AD8" s="18">
        <f t="shared" si="11"/>
        <v>-1.025788821368785E-7</v>
      </c>
      <c r="AE8" s="18">
        <f t="shared" si="12"/>
        <v>7.9803110656667889E-10</v>
      </c>
      <c r="AF8" s="18">
        <f t="shared" si="13"/>
        <v>3.414472750982791E-11</v>
      </c>
    </row>
    <row r="9" spans="1:32" s="18" customFormat="1" x14ac:dyDescent="0.3">
      <c r="A9" s="18" t="s">
        <v>24</v>
      </c>
      <c r="B9" s="18">
        <v>90531</v>
      </c>
      <c r="C9" s="18">
        <v>249.9</v>
      </c>
      <c r="D9" s="18" t="s">
        <v>16</v>
      </c>
      <c r="E9" s="18" t="s">
        <v>17</v>
      </c>
      <c r="F9" s="18">
        <f t="shared" si="6"/>
        <v>3600</v>
      </c>
      <c r="G9" s="18">
        <v>60</v>
      </c>
      <c r="H9" s="18" t="s">
        <v>25</v>
      </c>
      <c r="I9" s="19">
        <v>45086.263888888891</v>
      </c>
      <c r="J9" s="18">
        <v>816.855549</v>
      </c>
      <c r="K9" s="18">
        <v>10149.116900000001</v>
      </c>
      <c r="L9" s="18">
        <v>478.29895099999999</v>
      </c>
      <c r="M9" s="18">
        <v>4.7127000000000002E-2</v>
      </c>
      <c r="N9" s="18">
        <v>0.191</v>
      </c>
      <c r="O9" s="18">
        <v>0.184726</v>
      </c>
      <c r="P9" s="18">
        <f t="shared" si="1"/>
        <v>1.0714108E-2</v>
      </c>
      <c r="R9" s="20">
        <f t="shared" si="2"/>
        <v>541460337782.44934</v>
      </c>
      <c r="S9" s="20">
        <f t="shared" si="0"/>
        <v>2.5743791286158109E-4</v>
      </c>
      <c r="T9" s="21">
        <f t="shared" si="3"/>
        <v>0.92677648630169196</v>
      </c>
      <c r="U9" s="18">
        <f t="shared" si="4"/>
        <v>-2.5120547495707943</v>
      </c>
      <c r="W9" s="22">
        <f t="shared" si="7"/>
        <v>0.20300699999999997</v>
      </c>
      <c r="X9" s="22">
        <f t="shared" si="5"/>
        <v>0.38773299999999999</v>
      </c>
      <c r="Z9" s="18">
        <f t="shared" si="8"/>
        <v>9.2731591398820549E-4</v>
      </c>
      <c r="AA9" s="18">
        <f t="shared" si="9"/>
        <v>9.2456846935629316E-4</v>
      </c>
      <c r="AB9" s="18">
        <f t="shared" si="10"/>
        <v>-1.1648467349910489E-2</v>
      </c>
      <c r="AD9" s="18">
        <f t="shared" si="11"/>
        <v>2.5770726038322186E-7</v>
      </c>
      <c r="AE9" s="18">
        <f t="shared" si="12"/>
        <v>2.5694337400417336E-7</v>
      </c>
      <c r="AF9" s="18">
        <f t="shared" si="13"/>
        <v>-3.2169850671064547E-6</v>
      </c>
    </row>
    <row r="10" spans="1:32" s="18" customFormat="1" x14ac:dyDescent="0.3">
      <c r="A10" s="18" t="s">
        <v>26</v>
      </c>
      <c r="B10" s="18">
        <v>90532</v>
      </c>
      <c r="C10" s="18">
        <v>269.8</v>
      </c>
      <c r="D10" s="18" t="s">
        <v>16</v>
      </c>
      <c r="E10" s="18" t="s">
        <v>17</v>
      </c>
      <c r="F10" s="18">
        <f t="shared" si="6"/>
        <v>3600</v>
      </c>
      <c r="G10" s="18">
        <v>60</v>
      </c>
      <c r="H10" s="18" t="s">
        <v>27</v>
      </c>
      <c r="I10" s="19">
        <v>45086.336111111108</v>
      </c>
      <c r="J10" s="18">
        <v>910.42240600000002</v>
      </c>
      <c r="K10" s="18">
        <v>10169.968500000001</v>
      </c>
      <c r="L10" s="18">
        <v>443.20614399999999</v>
      </c>
      <c r="M10" s="18">
        <v>4.3580000000000001E-2</v>
      </c>
      <c r="N10" s="18">
        <v>0.17662600000000001</v>
      </c>
      <c r="O10" s="18">
        <v>0.170352</v>
      </c>
      <c r="P10" s="18">
        <f t="shared" si="1"/>
        <v>9.8804160000000012E-3</v>
      </c>
      <c r="R10" s="20">
        <f t="shared" si="2"/>
        <v>643658913823.46545</v>
      </c>
      <c r="S10" s="20">
        <f t="shared" si="0"/>
        <v>3.1767485555869843E-4</v>
      </c>
      <c r="T10" s="21">
        <f t="shared" si="3"/>
        <v>1.1436294800113145</v>
      </c>
      <c r="U10" s="18">
        <f t="shared" si="4"/>
        <v>1.1959321930208486</v>
      </c>
      <c r="W10" s="22">
        <f t="shared" si="7"/>
        <v>0.38773299999999999</v>
      </c>
      <c r="X10" s="22">
        <f t="shared" si="5"/>
        <v>0.55808499999999994</v>
      </c>
      <c r="Z10" s="18">
        <f t="shared" si="8"/>
        <v>1.327107359644852E-2</v>
      </c>
      <c r="AA10" s="18">
        <f t="shared" si="9"/>
        <v>8.5341448479215958E-4</v>
      </c>
      <c r="AB10" s="18">
        <f t="shared" si="10"/>
        <v>6.8446905270648957E-3</v>
      </c>
      <c r="AD10" s="18">
        <f t="shared" si="11"/>
        <v>3.7110892328471759E-6</v>
      </c>
      <c r="AE10" s="18">
        <f t="shared" si="12"/>
        <v>2.3716079173652715E-7</v>
      </c>
      <c r="AF10" s="18">
        <f t="shared" si="13"/>
        <v>1.9078396843849499E-6</v>
      </c>
    </row>
    <row r="11" spans="1:32" s="18" customFormat="1" x14ac:dyDescent="0.3">
      <c r="A11" s="18" t="s">
        <v>28</v>
      </c>
      <c r="B11" s="18">
        <v>90533</v>
      </c>
      <c r="C11" s="18">
        <v>290</v>
      </c>
      <c r="D11" s="18" t="s">
        <v>16</v>
      </c>
      <c r="E11" s="18" t="s">
        <v>17</v>
      </c>
      <c r="F11" s="18">
        <f t="shared" si="6"/>
        <v>3600</v>
      </c>
      <c r="G11" s="18">
        <v>60</v>
      </c>
      <c r="H11" s="18" t="s">
        <v>29</v>
      </c>
      <c r="I11" s="19">
        <v>45086.408333333333</v>
      </c>
      <c r="J11" s="18">
        <v>988.62211400000001</v>
      </c>
      <c r="K11" s="18">
        <v>10192.71457</v>
      </c>
      <c r="L11" s="18">
        <v>542.59638600000005</v>
      </c>
      <c r="M11" s="18">
        <v>5.3233999999999997E-2</v>
      </c>
      <c r="N11" s="18">
        <v>0.215753</v>
      </c>
      <c r="O11" s="18">
        <v>0.209479</v>
      </c>
      <c r="P11" s="18">
        <f t="shared" si="1"/>
        <v>1.2149782000000001E-2</v>
      </c>
      <c r="R11" s="20">
        <f t="shared" si="2"/>
        <v>757614065390.99536</v>
      </c>
      <c r="S11" s="20">
        <f t="shared" si="0"/>
        <v>3.8783199824151104E-4</v>
      </c>
      <c r="T11" s="21">
        <f t="shared" si="3"/>
        <v>1.3961951936694397</v>
      </c>
      <c r="U11" s="18">
        <f t="shared" si="4"/>
        <v>0.54087653928311863</v>
      </c>
      <c r="W11" s="22">
        <f t="shared" si="7"/>
        <v>0.55808499999999994</v>
      </c>
      <c r="X11" s="22">
        <f t="shared" si="5"/>
        <v>0.76756399999999991</v>
      </c>
      <c r="Z11" s="18">
        <f t="shared" si="8"/>
        <v>-4.9759050804136697E-3</v>
      </c>
      <c r="AA11" s="18">
        <f t="shared" si="9"/>
        <v>1.0503258555254046E-3</v>
      </c>
      <c r="AB11" s="18">
        <f t="shared" si="10"/>
        <v>3.7622760455499971E-3</v>
      </c>
      <c r="AD11" s="18">
        <f t="shared" si="11"/>
        <v>-1.3787683831301678E-6</v>
      </c>
      <c r="AE11" s="18">
        <f t="shared" si="12"/>
        <v>2.9191050951825459E-7</v>
      </c>
      <c r="AF11" s="18">
        <f t="shared" si="13"/>
        <v>1.0470475576762164E-6</v>
      </c>
    </row>
    <row r="12" spans="1:32" s="18" customFormat="1" x14ac:dyDescent="0.3">
      <c r="A12" s="18" t="s">
        <v>30</v>
      </c>
      <c r="B12" s="18">
        <v>90534</v>
      </c>
      <c r="C12" s="18">
        <v>300.3</v>
      </c>
      <c r="D12" s="18" t="s">
        <v>16</v>
      </c>
      <c r="E12" s="18" t="s">
        <v>17</v>
      </c>
      <c r="F12" s="18">
        <f t="shared" si="6"/>
        <v>3600</v>
      </c>
      <c r="G12" s="18">
        <v>60</v>
      </c>
      <c r="H12" s="18" t="s">
        <v>31</v>
      </c>
      <c r="I12" s="19">
        <v>45086.481249999997</v>
      </c>
      <c r="J12" s="18">
        <v>956.44473100000005</v>
      </c>
      <c r="K12" s="18">
        <v>10202.363499999999</v>
      </c>
      <c r="L12" s="18">
        <v>351.23891900000001</v>
      </c>
      <c r="M12" s="18">
        <v>3.4426999999999999E-2</v>
      </c>
      <c r="N12" s="18">
        <v>0.13952999999999999</v>
      </c>
      <c r="O12" s="18">
        <v>0.13325600000000001</v>
      </c>
      <c r="P12" s="18">
        <f t="shared" si="1"/>
        <v>7.7288480000000008E-3</v>
      </c>
      <c r="R12" s="20">
        <f t="shared" si="2"/>
        <v>819642883937.08643</v>
      </c>
      <c r="S12" s="20">
        <f t="shared" si="0"/>
        <v>4.2726156666528372E-4</v>
      </c>
      <c r="T12" s="21">
        <f t="shared" si="3"/>
        <v>1.5381416399950214</v>
      </c>
      <c r="U12" s="18">
        <f t="shared" si="4"/>
        <v>0.25535138841748717</v>
      </c>
      <c r="W12" s="22">
        <f t="shared" si="7"/>
        <v>0.76756399999999991</v>
      </c>
      <c r="X12" s="22">
        <f t="shared" si="5"/>
        <v>0.90081999999999995</v>
      </c>
      <c r="Z12" s="18">
        <f t="shared" si="8"/>
        <v>-2.0515241834603891E-3</v>
      </c>
      <c r="AA12" s="18">
        <f t="shared" si="9"/>
        <v>6.6884691406373211E-4</v>
      </c>
      <c r="AB12" s="18">
        <f t="shared" si="10"/>
        <v>1.9505226971048388E-3</v>
      </c>
      <c r="AD12" s="18">
        <f t="shared" si="11"/>
        <v>-5.6928407817225426E-7</v>
      </c>
      <c r="AE12" s="18">
        <f t="shared" si="12"/>
        <v>1.8585296998573839E-7</v>
      </c>
      <c r="AF12" s="18">
        <f t="shared" si="13"/>
        <v>5.4234095659393389E-7</v>
      </c>
    </row>
    <row r="13" spans="1:32" s="18" customFormat="1" x14ac:dyDescent="0.3">
      <c r="A13" s="18" t="s">
        <v>32</v>
      </c>
      <c r="B13" s="18">
        <v>90535</v>
      </c>
      <c r="C13" s="18">
        <v>285</v>
      </c>
      <c r="D13" s="18" t="s">
        <v>16</v>
      </c>
      <c r="E13" s="18" t="s">
        <v>17</v>
      </c>
      <c r="F13" s="18">
        <f t="shared" si="6"/>
        <v>3600</v>
      </c>
      <c r="G13" s="18">
        <v>60</v>
      </c>
      <c r="H13" s="18" t="s">
        <v>33</v>
      </c>
      <c r="I13" s="19">
        <v>45086.553472222222</v>
      </c>
      <c r="J13" s="18">
        <v>834.25702200000001</v>
      </c>
      <c r="K13" s="18">
        <v>10162.394190000001</v>
      </c>
      <c r="L13" s="18">
        <v>129.59035700000001</v>
      </c>
      <c r="M13" s="18">
        <v>1.2751999999999999E-2</v>
      </c>
      <c r="N13" s="18">
        <v>5.1683E-2</v>
      </c>
      <c r="O13" s="18">
        <v>4.5408999999999998E-2</v>
      </c>
      <c r="P13" s="18">
        <f t="shared" si="1"/>
        <v>2.6337219999999998E-3</v>
      </c>
      <c r="R13" s="20">
        <f t="shared" si="2"/>
        <v>728454652603.95068</v>
      </c>
      <c r="S13" s="20">
        <f t="shared" si="0"/>
        <v>3.695931679165751E-4</v>
      </c>
      <c r="T13" s="21">
        <f t="shared" si="3"/>
        <v>1.3305354044996704</v>
      </c>
      <c r="U13" s="18">
        <f t="shared" si="4"/>
        <v>0.14001386156095064</v>
      </c>
      <c r="W13" s="22">
        <f t="shared" si="7"/>
        <v>0.90081999999999995</v>
      </c>
      <c r="X13" s="22">
        <f t="shared" si="5"/>
        <v>0.94622899999999999</v>
      </c>
      <c r="Z13" s="18">
        <f t="shared" si="8"/>
        <v>-1.0558154602202129E-3</v>
      </c>
      <c r="AA13" s="18">
        <f t="shared" si="9"/>
        <v>2.2807226026747072E-4</v>
      </c>
      <c r="AB13" s="18">
        <f t="shared" si="10"/>
        <v>9.3130901674708382E-4</v>
      </c>
      <c r="AD13" s="18">
        <f t="shared" si="11"/>
        <v>-2.9312735530249015E-7</v>
      </c>
      <c r="AE13" s="18">
        <f t="shared" si="12"/>
        <v>6.3360631305725616E-8</v>
      </c>
      <c r="AF13" s="18">
        <f t="shared" si="13"/>
        <v>2.5881748734177872E-7</v>
      </c>
    </row>
    <row r="14" spans="1:32" s="18" customFormat="1" x14ac:dyDescent="0.3">
      <c r="A14" s="18" t="s">
        <v>34</v>
      </c>
      <c r="B14" s="18">
        <v>90536</v>
      </c>
      <c r="C14" s="18">
        <v>275.10000000000002</v>
      </c>
      <c r="D14" s="18" t="s">
        <v>16</v>
      </c>
      <c r="E14" s="18" t="s">
        <v>17</v>
      </c>
      <c r="F14" s="18">
        <f t="shared" si="6"/>
        <v>4800</v>
      </c>
      <c r="G14" s="18">
        <v>80</v>
      </c>
      <c r="H14" s="18" t="s">
        <v>35</v>
      </c>
      <c r="I14" s="19">
        <v>45086.640277777777</v>
      </c>
      <c r="J14" s="18">
        <v>734.73950500000001</v>
      </c>
      <c r="K14" s="18">
        <v>10205.6443</v>
      </c>
      <c r="L14" s="18">
        <v>70.908990000000003</v>
      </c>
      <c r="M14" s="18">
        <v>6.9480000000000002E-3</v>
      </c>
      <c r="N14" s="18">
        <v>2.8160000000000001E-2</v>
      </c>
      <c r="O14" s="18">
        <v>2.1885999999999999E-2</v>
      </c>
      <c r="P14" s="18">
        <f t="shared" si="1"/>
        <v>1.269388E-3</v>
      </c>
      <c r="R14" s="20">
        <f t="shared" si="2"/>
        <v>672566026936.52905</v>
      </c>
      <c r="S14" s="20">
        <f t="shared" si="0"/>
        <v>3.351829680790316E-4</v>
      </c>
      <c r="T14" s="21">
        <f t="shared" si="3"/>
        <v>1.6088782467793519</v>
      </c>
      <c r="U14" s="18">
        <f t="shared" si="4"/>
        <v>3.7214176823981669E-2</v>
      </c>
      <c r="W14" s="22">
        <f t="shared" si="7"/>
        <v>0.94622899999999999</v>
      </c>
      <c r="X14" s="22">
        <f t="shared" si="5"/>
        <v>0.96811499999999995</v>
      </c>
      <c r="Z14" s="18">
        <f t="shared" si="8"/>
        <v>-5.9386471433816701E-4</v>
      </c>
      <c r="AA14" s="18">
        <f t="shared" si="9"/>
        <v>1.0995019029305402E-4</v>
      </c>
      <c r="AB14" s="18">
        <f t="shared" si="10"/>
        <v>2.9690558750570801E-4</v>
      </c>
      <c r="AD14" s="18">
        <f t="shared" si="11"/>
        <v>-1.2368509301488672E-7</v>
      </c>
      <c r="AE14" s="18">
        <f t="shared" si="12"/>
        <v>2.2907549012146334E-8</v>
      </c>
      <c r="AF14" s="18">
        <f t="shared" si="13"/>
        <v>6.1864515144995741E-8</v>
      </c>
    </row>
    <row r="15" spans="1:32" s="18" customFormat="1" x14ac:dyDescent="0.3">
      <c r="A15" s="18" t="s">
        <v>36</v>
      </c>
      <c r="B15" s="18">
        <v>90537</v>
      </c>
      <c r="C15" s="18">
        <v>255</v>
      </c>
      <c r="D15" s="18" t="s">
        <v>16</v>
      </c>
      <c r="E15" s="18" t="s">
        <v>17</v>
      </c>
      <c r="F15" s="18">
        <f t="shared" si="6"/>
        <v>6000</v>
      </c>
      <c r="G15" s="18">
        <v>100</v>
      </c>
      <c r="H15" s="18" t="s">
        <v>37</v>
      </c>
      <c r="I15" s="19">
        <v>45086.740972222222</v>
      </c>
      <c r="J15" s="18">
        <v>661.00823300000002</v>
      </c>
      <c r="K15" s="18">
        <v>10234.256359999999</v>
      </c>
      <c r="L15" s="18">
        <v>42.564960999999997</v>
      </c>
      <c r="M15" s="18">
        <v>4.1590000000000004E-3</v>
      </c>
      <c r="N15" s="18">
        <v>1.6855999999999999E-2</v>
      </c>
      <c r="O15" s="18">
        <v>1.0581999999999999E-2</v>
      </c>
      <c r="P15" s="18">
        <f t="shared" si="1"/>
        <v>6.1375600000000002E-4</v>
      </c>
      <c r="R15" s="20">
        <f t="shared" si="2"/>
        <v>566695825654.92737</v>
      </c>
      <c r="S15" s="20">
        <f t="shared" si="0"/>
        <v>2.72064044653988E-4</v>
      </c>
      <c r="T15" s="21">
        <f t="shared" si="3"/>
        <v>1.632384267923928</v>
      </c>
      <c r="U15" s="18">
        <f t="shared" si="4"/>
        <v>1.734725260443E-2</v>
      </c>
      <c r="W15" s="22">
        <f t="shared" si="7"/>
        <v>0.96811499999999995</v>
      </c>
      <c r="X15" s="22">
        <f t="shared" si="5"/>
        <v>0.97869699999999993</v>
      </c>
      <c r="Z15" s="18">
        <f t="shared" si="8"/>
        <v>-1.3383361832662675E-4</v>
      </c>
      <c r="AA15" s="18">
        <f t="shared" si="9"/>
        <v>5.3167360596519496E-5</v>
      </c>
      <c r="AB15" s="18">
        <f t="shared" si="10"/>
        <v>1.4032551922235978E-4</v>
      </c>
      <c r="AD15" s="18">
        <f t="shared" si="11"/>
        <v>-2.2304110567800361E-8</v>
      </c>
      <c r="AE15" s="18">
        <f t="shared" si="12"/>
        <v>8.8614623384648175E-9</v>
      </c>
      <c r="AF15" s="18">
        <f t="shared" si="13"/>
        <v>2.3389227628202526E-8</v>
      </c>
    </row>
    <row r="16" spans="1:32" s="18" customFormat="1" x14ac:dyDescent="0.3">
      <c r="A16" s="18" t="s">
        <v>15</v>
      </c>
      <c r="B16" s="18">
        <v>90538</v>
      </c>
      <c r="C16" s="18">
        <v>25</v>
      </c>
      <c r="D16" s="18" t="s">
        <v>16</v>
      </c>
      <c r="E16" s="18" t="s">
        <v>17</v>
      </c>
      <c r="F16" s="18">
        <f t="shared" si="6"/>
        <v>3600</v>
      </c>
      <c r="G16" s="18">
        <v>60</v>
      </c>
      <c r="H16" s="18" t="s">
        <v>18</v>
      </c>
      <c r="I16" s="19">
        <v>45086.813194444447</v>
      </c>
      <c r="J16" s="18">
        <v>625.97630500000002</v>
      </c>
      <c r="K16" s="18">
        <v>10326.64847</v>
      </c>
      <c r="L16" s="18">
        <v>13.947717000000001</v>
      </c>
      <c r="M16" s="18">
        <v>1.3500000000000001E-3</v>
      </c>
      <c r="N16" s="18">
        <v>5.4730000000000004E-3</v>
      </c>
      <c r="O16" s="18">
        <v>-8.0099999999999995E-4</v>
      </c>
      <c r="P16" s="18">
        <f t="shared" si="1"/>
        <v>-4.6458000000000001E-5</v>
      </c>
      <c r="R16" s="20">
        <f t="shared" si="2"/>
        <v>15410772668.121315</v>
      </c>
      <c r="S16" s="20">
        <f t="shared" si="0"/>
        <v>4.175686564401639E-6</v>
      </c>
      <c r="T16" s="21">
        <f t="shared" si="3"/>
        <v>1.5032471631845901E-2</v>
      </c>
      <c r="U16" s="18">
        <f t="shared" si="4"/>
        <v>7.6676677841178945E-4</v>
      </c>
      <c r="W16" s="22">
        <f t="shared" si="7"/>
        <v>0.97869699999999993</v>
      </c>
      <c r="X16" s="22">
        <f t="shared" si="5"/>
        <v>0.97789599999999988</v>
      </c>
      <c r="Z16" s="18">
        <f t="shared" si="8"/>
        <v>-9.1195436473968239E-5</v>
      </c>
      <c r="AA16" s="18">
        <f t="shared" si="9"/>
        <v>-4.024694783552894E-6</v>
      </c>
      <c r="AB16" s="18">
        <f t="shared" si="10"/>
        <v>-1.7200782565578171E-7</v>
      </c>
      <c r="AD16" s="18">
        <f t="shared" si="11"/>
        <v>-2.5330910673037373E-8</v>
      </c>
      <c r="AE16" s="18">
        <f t="shared" si="12"/>
        <v>-1.1179685234394557E-9</v>
      </c>
      <c r="AF16" s="18">
        <f t="shared" si="13"/>
        <v>-4.7779947490889085E-11</v>
      </c>
    </row>
    <row r="17" spans="1:32" s="18" customFormat="1" x14ac:dyDescent="0.3">
      <c r="A17" s="18" t="s">
        <v>30</v>
      </c>
      <c r="B17" s="18">
        <v>90539</v>
      </c>
      <c r="C17" s="18">
        <v>299.89999999999998</v>
      </c>
      <c r="D17" s="18" t="s">
        <v>16</v>
      </c>
      <c r="E17" s="18" t="s">
        <v>17</v>
      </c>
      <c r="F17" s="18">
        <f t="shared" si="6"/>
        <v>3600</v>
      </c>
      <c r="G17" s="18">
        <v>60</v>
      </c>
      <c r="H17" s="18" t="s">
        <v>31</v>
      </c>
      <c r="I17" s="19">
        <v>45086.886111111111</v>
      </c>
      <c r="J17" s="18">
        <v>639.88702699999999</v>
      </c>
      <c r="K17" s="18">
        <v>10108.15574</v>
      </c>
      <c r="L17" s="18">
        <v>87.885081</v>
      </c>
      <c r="M17" s="18">
        <v>8.6940000000000003E-3</v>
      </c>
      <c r="N17" s="18">
        <v>3.5237999999999998E-2</v>
      </c>
      <c r="O17" s="18">
        <v>2.8964E-2</v>
      </c>
      <c r="P17" s="18">
        <f t="shared" si="1"/>
        <v>1.6799120000000002E-3</v>
      </c>
      <c r="R17" s="20">
        <f t="shared" si="2"/>
        <v>817184950487.96033</v>
      </c>
      <c r="S17" s="20">
        <f t="shared" si="0"/>
        <v>4.2568308790379242E-4</v>
      </c>
      <c r="T17" s="21">
        <f t="shared" si="3"/>
        <v>1.5324591164536527</v>
      </c>
      <c r="U17" s="18">
        <f t="shared" si="4"/>
        <v>5.6076576654573787E-2</v>
      </c>
      <c r="W17" s="22">
        <f t="shared" si="7"/>
        <v>0.97789599999999988</v>
      </c>
      <c r="X17" s="22">
        <f t="shared" si="5"/>
        <v>1.0068599999999999</v>
      </c>
      <c r="Z17" s="18">
        <f t="shared" si="8"/>
        <v>1.4167944811136257E-4</v>
      </c>
      <c r="AA17" s="18">
        <f t="shared" si="9"/>
        <v>1.455315737190679E-4</v>
      </c>
      <c r="AB17" s="18">
        <f t="shared" si="10"/>
        <v>4.2729211954554449E-4</v>
      </c>
      <c r="AD17" s="18">
        <f t="shared" si="11"/>
        <v>3.9358190442354614E-8</v>
      </c>
      <c r="AE17" s="18">
        <f t="shared" si="12"/>
        <v>4.0428379018365754E-8</v>
      </c>
      <c r="AF17" s="18">
        <f t="shared" si="13"/>
        <v>1.1871762078787507E-7</v>
      </c>
    </row>
    <row r="18" spans="1:32" s="18" customFormat="1" x14ac:dyDescent="0.3">
      <c r="A18" s="18" t="s">
        <v>30</v>
      </c>
      <c r="B18" s="18">
        <v>90540</v>
      </c>
      <c r="C18" s="18">
        <v>300</v>
      </c>
      <c r="D18" s="18" t="s">
        <v>16</v>
      </c>
      <c r="E18" s="18" t="s">
        <v>17</v>
      </c>
      <c r="F18" s="18">
        <f t="shared" si="6"/>
        <v>3600</v>
      </c>
      <c r="G18" s="18">
        <v>60</v>
      </c>
      <c r="H18" s="18" t="s">
        <v>31</v>
      </c>
      <c r="I18" s="19">
        <v>45086.961111111108</v>
      </c>
      <c r="J18" s="18">
        <v>622.21007699999996</v>
      </c>
      <c r="K18" s="18">
        <v>10118.054459999999</v>
      </c>
      <c r="L18" s="18">
        <v>103.3669</v>
      </c>
      <c r="M18" s="18">
        <v>1.0215999999999999E-2</v>
      </c>
      <c r="N18" s="18">
        <v>4.1404999999999997E-2</v>
      </c>
      <c r="O18" s="18">
        <v>3.5131000000000003E-2</v>
      </c>
      <c r="P18" s="18">
        <f t="shared" si="1"/>
        <v>2.0375980000000003E-3</v>
      </c>
      <c r="R18" s="20">
        <f t="shared" si="2"/>
        <v>817799063448.88721</v>
      </c>
      <c r="S18" s="20">
        <f t="shared" si="0"/>
        <v>4.2607734699602585E-4</v>
      </c>
      <c r="T18" s="21">
        <f t="shared" si="3"/>
        <v>1.5338784491856929</v>
      </c>
      <c r="U18" s="18">
        <f t="shared" si="4"/>
        <v>6.7840965889421553E-2</v>
      </c>
      <c r="W18" s="22">
        <f t="shared" si="7"/>
        <v>1.0068599999999999</v>
      </c>
      <c r="X18" s="22">
        <f t="shared" si="5"/>
        <v>1.0419909999999999</v>
      </c>
      <c r="Z18" s="18">
        <f t="shared" si="8"/>
        <v>-1.0528745269553328E-4</v>
      </c>
      <c r="AA18" s="18">
        <f t="shared" si="9"/>
        <v>1.7654377432307466E-4</v>
      </c>
      <c r="AB18" s="18">
        <f t="shared" si="10"/>
        <v>5.1746490300832255E-4</v>
      </c>
      <c r="AD18" s="18">
        <f t="shared" si="11"/>
        <v>-2.9244975100172426E-8</v>
      </c>
      <c r="AE18" s="18">
        <f t="shared" si="12"/>
        <v>4.9044266669334115E-8</v>
      </c>
      <c r="AF18" s="18">
        <f t="shared" si="13"/>
        <v>1.4377745393787141E-7</v>
      </c>
    </row>
    <row r="19" spans="1:32" s="18" customFormat="1" x14ac:dyDescent="0.3">
      <c r="A19" s="18" t="s">
        <v>30</v>
      </c>
      <c r="B19" s="18">
        <v>90541</v>
      </c>
      <c r="C19" s="18">
        <v>300.2</v>
      </c>
      <c r="D19" s="18" t="s">
        <v>16</v>
      </c>
      <c r="E19" s="18" t="s">
        <v>17</v>
      </c>
      <c r="F19" s="18">
        <f t="shared" si="6"/>
        <v>3600</v>
      </c>
      <c r="G19" s="18">
        <v>60</v>
      </c>
      <c r="H19" s="18" t="s">
        <v>31</v>
      </c>
      <c r="I19" s="19">
        <v>45087.03402777778</v>
      </c>
      <c r="J19" s="18">
        <v>611.16598599999998</v>
      </c>
      <c r="K19" s="18">
        <v>10111.200059999999</v>
      </c>
      <c r="L19" s="18">
        <v>91.039494000000005</v>
      </c>
      <c r="M19" s="18">
        <v>9.0039999999999999E-3</v>
      </c>
      <c r="N19" s="18">
        <v>3.6491999999999997E-2</v>
      </c>
      <c r="O19" s="18">
        <v>3.0217999999999998E-2</v>
      </c>
      <c r="P19" s="18">
        <f t="shared" si="1"/>
        <v>1.752644E-3</v>
      </c>
      <c r="R19" s="20">
        <f t="shared" si="2"/>
        <v>819028030197.81506</v>
      </c>
      <c r="S19" s="20">
        <f t="shared" si="0"/>
        <v>4.2686658632211215E-4</v>
      </c>
      <c r="T19" s="21">
        <f t="shared" si="3"/>
        <v>1.5367197107596038</v>
      </c>
      <c r="U19" s="18">
        <f t="shared" si="4"/>
        <v>5.8053911485096345E-2</v>
      </c>
      <c r="W19" s="22">
        <f t="shared" si="7"/>
        <v>1.0419909999999999</v>
      </c>
      <c r="X19" s="22">
        <f t="shared" si="5"/>
        <v>1.072209</v>
      </c>
      <c r="Z19" s="18">
        <f t="shared" si="8"/>
        <v>-1.8916453367855289E-4</v>
      </c>
      <c r="AA19" s="18">
        <f t="shared" si="9"/>
        <v>1.5188129471078492E-4</v>
      </c>
      <c r="AB19" s="18">
        <f t="shared" si="10"/>
        <v>4.436710637021722E-4</v>
      </c>
      <c r="AD19" s="18">
        <f t="shared" si="11"/>
        <v>-5.2540734534455193E-8</v>
      </c>
      <c r="AE19" s="18">
        <f t="shared" si="12"/>
        <v>4.2192452734059157E-8</v>
      </c>
      <c r="AF19" s="18">
        <f t="shared" si="13"/>
        <v>1.2326930967487165E-7</v>
      </c>
    </row>
    <row r="20" spans="1:32" s="18" customFormat="1" x14ac:dyDescent="0.3">
      <c r="A20" s="18" t="s">
        <v>38</v>
      </c>
      <c r="B20" s="18">
        <v>90542</v>
      </c>
      <c r="C20" s="18">
        <v>310</v>
      </c>
      <c r="D20" s="18" t="s">
        <v>16</v>
      </c>
      <c r="E20" s="18" t="s">
        <v>17</v>
      </c>
      <c r="F20" s="18">
        <f t="shared" si="6"/>
        <v>3600</v>
      </c>
      <c r="G20" s="18">
        <v>60</v>
      </c>
      <c r="H20" s="18" t="s">
        <v>39</v>
      </c>
      <c r="I20" s="19">
        <v>45087.106944444444</v>
      </c>
      <c r="J20" s="18">
        <v>611.58532100000002</v>
      </c>
      <c r="K20" s="18">
        <v>10099.466249999999</v>
      </c>
      <c r="L20" s="18">
        <v>105.45017199999999</v>
      </c>
      <c r="M20" s="18">
        <v>1.0441000000000001E-2</v>
      </c>
      <c r="N20" s="18">
        <v>4.2315999999999999E-2</v>
      </c>
      <c r="O20" s="18">
        <v>3.6041999999999998E-2</v>
      </c>
      <c r="P20" s="18">
        <f t="shared" si="1"/>
        <v>2.0904359999999998E-3</v>
      </c>
      <c r="R20" s="20">
        <f t="shared" si="2"/>
        <v>880453250186.0918</v>
      </c>
      <c r="S20" s="20">
        <f t="shared" si="0"/>
        <v>4.6672608056424358E-4</v>
      </c>
      <c r="T20" s="21">
        <f t="shared" si="3"/>
        <v>1.6802138900312769</v>
      </c>
      <c r="U20" s="18">
        <f t="shared" si="4"/>
        <v>5.5076710653025322E-2</v>
      </c>
      <c r="W20" s="22">
        <f t="shared" si="7"/>
        <v>1.072209</v>
      </c>
      <c r="X20" s="22">
        <f t="shared" si="5"/>
        <v>1.1082509999999999</v>
      </c>
      <c r="Z20" s="18">
        <f t="shared" si="8"/>
        <v>-1.1068507359316852E-4</v>
      </c>
      <c r="AA20" s="18">
        <f t="shared" si="9"/>
        <v>1.8118132121619948E-4</v>
      </c>
      <c r="AB20" s="18">
        <f t="shared" si="10"/>
        <v>4.5804917550723372E-4</v>
      </c>
      <c r="AD20" s="18">
        <f t="shared" si="11"/>
        <v>-3.0744152347903883E-8</v>
      </c>
      <c r="AE20" s="18">
        <f t="shared" si="12"/>
        <v>5.0332704592951488E-8</v>
      </c>
      <c r="AF20" s="18">
        <f t="shared" si="13"/>
        <v>1.2726503113224101E-7</v>
      </c>
    </row>
    <row r="21" spans="1:32" s="18" customFormat="1" x14ac:dyDescent="0.3">
      <c r="A21" s="18" t="s">
        <v>40</v>
      </c>
      <c r="B21" s="18">
        <v>90543</v>
      </c>
      <c r="C21" s="18">
        <v>320</v>
      </c>
      <c r="D21" s="18" t="s">
        <v>16</v>
      </c>
      <c r="E21" s="18" t="s">
        <v>17</v>
      </c>
      <c r="F21" s="18">
        <f t="shared" si="6"/>
        <v>3600</v>
      </c>
      <c r="G21" s="18">
        <v>60</v>
      </c>
      <c r="H21" s="18" t="s">
        <v>41</v>
      </c>
      <c r="I21" s="19">
        <v>45087.179861111108</v>
      </c>
      <c r="J21" s="18">
        <v>614.03244700000005</v>
      </c>
      <c r="K21" s="18">
        <v>10074.826800000001</v>
      </c>
      <c r="L21" s="18">
        <v>177.54497599999999</v>
      </c>
      <c r="M21" s="18">
        <v>1.7621999999999999E-2</v>
      </c>
      <c r="N21" s="18">
        <v>7.1419999999999997E-2</v>
      </c>
      <c r="O21" s="18">
        <v>6.5145999999999996E-2</v>
      </c>
      <c r="P21" s="18">
        <f t="shared" si="1"/>
        <v>3.7784680000000001E-3</v>
      </c>
      <c r="R21" s="20">
        <f t="shared" si="2"/>
        <v>945550485339.44543</v>
      </c>
      <c r="S21" s="20">
        <f t="shared" si="0"/>
        <v>5.0983145827484307E-4</v>
      </c>
      <c r="T21" s="21">
        <f t="shared" si="3"/>
        <v>1.835393249789435</v>
      </c>
      <c r="U21" s="18">
        <f t="shared" si="4"/>
        <v>8.1760903238039528E-2</v>
      </c>
      <c r="W21" s="22">
        <f t="shared" si="7"/>
        <v>1.1082509999999999</v>
      </c>
      <c r="X21" s="22">
        <f t="shared" si="5"/>
        <v>1.1733969999999998</v>
      </c>
      <c r="Z21" s="18">
        <f t="shared" si="8"/>
        <v>5.0641007169551958E-5</v>
      </c>
      <c r="AA21" s="18">
        <f t="shared" si="9"/>
        <v>3.2754501042675228E-4</v>
      </c>
      <c r="AB21" s="18">
        <f t="shared" si="10"/>
        <v>7.386274391806948E-4</v>
      </c>
      <c r="AD21" s="18">
        <f t="shared" si="11"/>
        <v>1.4067302630182136E-8</v>
      </c>
      <c r="AE21" s="18">
        <f t="shared" si="12"/>
        <v>9.0999629169499139E-8</v>
      </c>
      <c r="AF21" s="18">
        <f t="shared" si="13"/>
        <v>2.0525009967405437E-7</v>
      </c>
    </row>
    <row r="22" spans="1:32" s="18" customFormat="1" x14ac:dyDescent="0.3">
      <c r="A22" s="18" t="s">
        <v>42</v>
      </c>
      <c r="B22" s="18">
        <v>90544</v>
      </c>
      <c r="C22" s="18">
        <v>330</v>
      </c>
      <c r="D22" s="18" t="s">
        <v>16</v>
      </c>
      <c r="E22" s="18" t="s">
        <v>17</v>
      </c>
      <c r="F22" s="18">
        <f t="shared" si="6"/>
        <v>3600</v>
      </c>
      <c r="G22" s="18">
        <v>60</v>
      </c>
      <c r="H22" s="18" t="s">
        <v>43</v>
      </c>
      <c r="I22" s="19">
        <v>45087.252083333333</v>
      </c>
      <c r="J22" s="18">
        <v>625.82626400000004</v>
      </c>
      <c r="K22" s="18">
        <v>10054.77245</v>
      </c>
      <c r="L22" s="18">
        <v>222.87166999999999</v>
      </c>
      <c r="M22" s="18">
        <v>2.2162999999999999E-2</v>
      </c>
      <c r="N22" s="18">
        <v>8.9824000000000001E-2</v>
      </c>
      <c r="O22" s="18">
        <v>8.3551E-2</v>
      </c>
      <c r="P22" s="18">
        <f t="shared" si="1"/>
        <v>4.845958E-3</v>
      </c>
      <c r="R22" s="20">
        <f t="shared" si="2"/>
        <v>1013061162286.7977</v>
      </c>
      <c r="S22" s="20">
        <f t="shared" si="0"/>
        <v>5.554438881819932E-4</v>
      </c>
      <c r="T22" s="21">
        <f t="shared" si="3"/>
        <v>1.9995979974551756</v>
      </c>
      <c r="U22" s="18">
        <f t="shared" si="4"/>
        <v>8.8430559222399535E-2</v>
      </c>
      <c r="W22" s="22">
        <f t="shared" si="7"/>
        <v>1.1733969999999998</v>
      </c>
      <c r="X22" s="22">
        <f t="shared" si="5"/>
        <v>1.2569479999999997</v>
      </c>
      <c r="Z22" s="18">
        <f t="shared" si="8"/>
        <v>9.0070099081561864E-6</v>
      </c>
      <c r="AA22" s="18">
        <f t="shared" si="9"/>
        <v>4.202204269415597E-4</v>
      </c>
      <c r="AB22" s="18">
        <f t="shared" si="10"/>
        <v>8.6498263626422038E-4</v>
      </c>
      <c r="AD22" s="18">
        <f t="shared" si="11"/>
        <v>2.5019584643034726E-9</v>
      </c>
      <c r="AE22" s="18">
        <f t="shared" si="12"/>
        <v>1.1675242896885438E-7</v>
      </c>
      <c r="AF22" s="18">
        <f t="shared" si="13"/>
        <v>2.403769304472233E-7</v>
      </c>
    </row>
    <row r="23" spans="1:32" s="18" customFormat="1" x14ac:dyDescent="0.3">
      <c r="A23" s="18" t="s">
        <v>44</v>
      </c>
      <c r="B23" s="18">
        <v>90545</v>
      </c>
      <c r="C23" s="18">
        <v>339.9</v>
      </c>
      <c r="D23" s="18" t="s">
        <v>16</v>
      </c>
      <c r="E23" s="18" t="s">
        <v>17</v>
      </c>
      <c r="F23" s="18">
        <f t="shared" si="6"/>
        <v>3600</v>
      </c>
      <c r="G23" s="18">
        <v>60</v>
      </c>
      <c r="H23" s="18" t="s">
        <v>45</v>
      </c>
      <c r="I23" s="19">
        <v>45087.324305555558</v>
      </c>
      <c r="J23" s="18">
        <v>612.75820199999998</v>
      </c>
      <c r="K23" s="18">
        <v>9686.0523510000003</v>
      </c>
      <c r="L23" s="18">
        <v>242.855919</v>
      </c>
      <c r="M23" s="18">
        <v>2.4830000000000001E-2</v>
      </c>
      <c r="N23" s="18">
        <v>0.100635</v>
      </c>
      <c r="O23" s="18">
        <v>9.4361E-2</v>
      </c>
      <c r="P23" s="18">
        <f t="shared" si="1"/>
        <v>5.4729380000000001E-3</v>
      </c>
      <c r="R23" s="20">
        <f t="shared" si="2"/>
        <v>1082241941276.6134</v>
      </c>
      <c r="S23" s="20">
        <f t="shared" si="0"/>
        <v>6.031164806149761E-4</v>
      </c>
      <c r="T23" s="21">
        <f t="shared" si="3"/>
        <v>2.1712193302139142</v>
      </c>
      <c r="U23" s="18">
        <f t="shared" si="4"/>
        <v>8.6039401996769654E-2</v>
      </c>
      <c r="W23" s="22">
        <f t="shared" si="7"/>
        <v>1.2569479999999997</v>
      </c>
      <c r="X23" s="22">
        <f t="shared" si="5"/>
        <v>1.3513089999999996</v>
      </c>
      <c r="Z23" s="18">
        <f t="shared" si="8"/>
        <v>2.9853021966410347E-5</v>
      </c>
      <c r="AA23" s="18">
        <f t="shared" si="9"/>
        <v>4.7478892494817878E-4</v>
      </c>
      <c r="AB23" s="18">
        <f t="shared" si="10"/>
        <v>9.0770671065658012E-4</v>
      </c>
      <c r="AD23" s="18">
        <f t="shared" si="11"/>
        <v>8.2926298824393374E-9</v>
      </c>
      <c r="AE23" s="18">
        <f t="shared" si="12"/>
        <v>1.3191713136081227E-7</v>
      </c>
      <c r="AF23" s="18">
        <f t="shared" si="13"/>
        <v>2.5225525718297459E-7</v>
      </c>
    </row>
    <row r="24" spans="1:32" s="18" customFormat="1" x14ac:dyDescent="0.3">
      <c r="A24" s="18" t="s">
        <v>46</v>
      </c>
      <c r="B24" s="18">
        <v>90546</v>
      </c>
      <c r="C24" s="18">
        <v>350</v>
      </c>
      <c r="D24" s="18" t="s">
        <v>16</v>
      </c>
      <c r="E24" s="18" t="s">
        <v>17</v>
      </c>
      <c r="F24" s="18">
        <f t="shared" si="6"/>
        <v>3600</v>
      </c>
      <c r="G24" s="18">
        <v>60</v>
      </c>
      <c r="H24" s="18" t="s">
        <v>47</v>
      </c>
      <c r="I24" s="19">
        <v>45087.396527777775</v>
      </c>
      <c r="J24" s="18">
        <v>640.336904</v>
      </c>
      <c r="K24" s="18">
        <v>10256.61305</v>
      </c>
      <c r="L24" s="18">
        <v>394.02819199999999</v>
      </c>
      <c r="M24" s="18">
        <v>3.8413999999999997E-2</v>
      </c>
      <c r="N24" s="18">
        <v>0.15568899999999999</v>
      </c>
      <c r="O24" s="18">
        <v>0.14941499999999999</v>
      </c>
      <c r="P24" s="18">
        <f t="shared" si="1"/>
        <v>8.6660699999999997E-3</v>
      </c>
      <c r="R24" s="20">
        <f t="shared" si="2"/>
        <v>1155188970017.3447</v>
      </c>
      <c r="S24" s="20">
        <f t="shared" si="0"/>
        <v>6.5437740366154759E-4</v>
      </c>
      <c r="T24" s="21">
        <f t="shared" si="3"/>
        <v>2.3557586531815713</v>
      </c>
      <c r="U24" s="18">
        <f t="shared" si="4"/>
        <v>0.11887373834079681</v>
      </c>
      <c r="W24" s="22">
        <f t="shared" si="7"/>
        <v>1.3513089999999996</v>
      </c>
      <c r="X24" s="22">
        <f t="shared" si="5"/>
        <v>1.5007239999999997</v>
      </c>
      <c r="Z24" s="18">
        <f t="shared" si="8"/>
        <v>3.1917179536631273E-4</v>
      </c>
      <c r="AA24" s="18">
        <f t="shared" si="9"/>
        <v>7.5215698249932075E-4</v>
      </c>
      <c r="AB24" s="18">
        <f t="shared" si="10"/>
        <v>1.3505688710568789E-3</v>
      </c>
      <c r="AD24" s="18">
        <f t="shared" si="11"/>
        <v>8.8672983756801923E-8</v>
      </c>
      <c r="AE24" s="18">
        <f t="shared" si="12"/>
        <v>2.0901110957898007E-7</v>
      </c>
      <c r="AF24" s="18">
        <f t="shared" si="13"/>
        <v>3.7541158644152914E-7</v>
      </c>
    </row>
    <row r="25" spans="1:32" s="18" customFormat="1" x14ac:dyDescent="0.3">
      <c r="A25" s="18" t="s">
        <v>48</v>
      </c>
      <c r="B25" s="18">
        <v>90547</v>
      </c>
      <c r="C25" s="18">
        <v>360</v>
      </c>
      <c r="D25" s="18" t="s">
        <v>16</v>
      </c>
      <c r="E25" s="18" t="s">
        <v>17</v>
      </c>
      <c r="F25" s="18">
        <f t="shared" si="6"/>
        <v>3600</v>
      </c>
      <c r="G25" s="18">
        <v>60</v>
      </c>
      <c r="H25" s="18" t="s">
        <v>49</v>
      </c>
      <c r="I25" s="19">
        <v>45087.469444444447</v>
      </c>
      <c r="J25" s="18">
        <v>663.92847900000004</v>
      </c>
      <c r="K25" s="18">
        <v>10312.01174</v>
      </c>
      <c r="L25" s="18">
        <v>402.165525</v>
      </c>
      <c r="M25" s="18">
        <v>3.8998999999999999E-2</v>
      </c>
      <c r="N25" s="18">
        <v>0.158058</v>
      </c>
      <c r="O25" s="18">
        <v>0.151784</v>
      </c>
      <c r="P25" s="18">
        <f t="shared" si="1"/>
        <v>8.8034720000000014E-3</v>
      </c>
      <c r="R25" s="20">
        <f t="shared" si="2"/>
        <v>1229732340887.4897</v>
      </c>
      <c r="S25" s="20">
        <f t="shared" si="0"/>
        <v>7.0778526797191338E-4</v>
      </c>
      <c r="T25" s="21">
        <f t="shared" si="3"/>
        <v>2.5480269646988885</v>
      </c>
      <c r="U25" s="18">
        <f t="shared" si="4"/>
        <v>0.10685344364860368</v>
      </c>
      <c r="W25" s="22">
        <f t="shared" si="7"/>
        <v>1.5007239999999997</v>
      </c>
      <c r="X25" s="22">
        <f t="shared" si="5"/>
        <v>1.6525079999999996</v>
      </c>
      <c r="Z25" s="18">
        <f t="shared" si="8"/>
        <v>1.6589472187779569E-4</v>
      </c>
      <c r="AA25" s="18">
        <f t="shared" si="9"/>
        <v>7.6465770081700444E-4</v>
      </c>
      <c r="AB25" s="18">
        <f t="shared" si="10"/>
        <v>1.3029641662199497E-3</v>
      </c>
      <c r="AD25" s="18">
        <f t="shared" si="11"/>
        <v>4.6085689980335687E-8</v>
      </c>
      <c r="AE25" s="18">
        <f t="shared" si="12"/>
        <v>2.1248616684288628E-7</v>
      </c>
      <c r="AF25" s="18">
        <f t="shared" si="13"/>
        <v>3.6217048947353974E-7</v>
      </c>
    </row>
    <row r="26" spans="1:32" s="18" customFormat="1" x14ac:dyDescent="0.3">
      <c r="A26" s="18" t="s">
        <v>50</v>
      </c>
      <c r="B26" s="18">
        <v>90548</v>
      </c>
      <c r="C26" s="18">
        <v>370</v>
      </c>
      <c r="D26" s="18" t="s">
        <v>16</v>
      </c>
      <c r="E26" s="18" t="s">
        <v>17</v>
      </c>
      <c r="F26" s="18">
        <f t="shared" si="6"/>
        <v>3600</v>
      </c>
      <c r="G26" s="18">
        <v>60</v>
      </c>
      <c r="H26" s="18" t="s">
        <v>51</v>
      </c>
      <c r="I26" s="19">
        <v>45087.542361111111</v>
      </c>
      <c r="J26" s="18">
        <v>696.30901400000005</v>
      </c>
      <c r="K26" s="18">
        <v>10357.046</v>
      </c>
      <c r="L26" s="18">
        <v>411.06715500000001</v>
      </c>
      <c r="M26" s="18">
        <v>3.9689000000000002E-2</v>
      </c>
      <c r="N26" s="18">
        <v>0.160858</v>
      </c>
      <c r="O26" s="18">
        <v>0.154584</v>
      </c>
      <c r="P26" s="18">
        <f t="shared" si="1"/>
        <v>8.9658719999999997E-3</v>
      </c>
      <c r="R26" s="20">
        <f t="shared" si="2"/>
        <v>1306542200710.9333</v>
      </c>
      <c r="S26" s="20">
        <f t="shared" si="0"/>
        <v>7.6387382524826836E-4</v>
      </c>
      <c r="T26" s="21">
        <f t="shared" si="3"/>
        <v>2.749945770893766</v>
      </c>
      <c r="U26" s="18">
        <f t="shared" si="4"/>
        <v>9.7302323661040829E-2</v>
      </c>
      <c r="W26" s="22">
        <f t="shared" si="7"/>
        <v>1.6525079999999996</v>
      </c>
      <c r="X26" s="22">
        <f t="shared" si="5"/>
        <v>1.8070919999999997</v>
      </c>
      <c r="Z26" s="18">
        <f t="shared" si="8"/>
        <v>2.4077079603347095E-4</v>
      </c>
      <c r="AA26" s="18">
        <f t="shared" si="9"/>
        <v>7.7935948895184416E-4</v>
      </c>
      <c r="AB26" s="18">
        <f t="shared" si="10"/>
        <v>1.2699244196192852E-3</v>
      </c>
      <c r="AD26" s="18">
        <f t="shared" si="11"/>
        <v>6.6888829437487448E-8</v>
      </c>
      <c r="AE26" s="18">
        <f t="shared" si="12"/>
        <v>2.1657315206812145E-7</v>
      </c>
      <c r="AF26" s="18">
        <f t="shared" si="13"/>
        <v>3.5298096026620537E-7</v>
      </c>
    </row>
    <row r="27" spans="1:32" s="18" customFormat="1" x14ac:dyDescent="0.3">
      <c r="A27" s="18" t="s">
        <v>52</v>
      </c>
      <c r="B27" s="18">
        <v>90549</v>
      </c>
      <c r="C27" s="18">
        <v>385</v>
      </c>
      <c r="D27" s="18" t="s">
        <v>16</v>
      </c>
      <c r="E27" s="18" t="s">
        <v>17</v>
      </c>
      <c r="F27" s="18">
        <f t="shared" si="6"/>
        <v>3600</v>
      </c>
      <c r="G27" s="18">
        <v>60</v>
      </c>
      <c r="H27" s="18" t="s">
        <v>53</v>
      </c>
      <c r="I27" s="19">
        <v>45087.615277777775</v>
      </c>
      <c r="J27" s="18">
        <v>734.88462200000004</v>
      </c>
      <c r="K27" s="18">
        <v>10402.06718</v>
      </c>
      <c r="L27" s="18">
        <v>635.06204400000001</v>
      </c>
      <c r="M27" s="18">
        <v>6.1051000000000001E-2</v>
      </c>
      <c r="N27" s="18">
        <v>0.24743699999999999</v>
      </c>
      <c r="O27" s="18">
        <v>0.24116299999999999</v>
      </c>
      <c r="P27" s="18">
        <f t="shared" si="1"/>
        <v>1.3987454E-2</v>
      </c>
      <c r="R27" s="20">
        <f t="shared" si="2"/>
        <v>1425913300578.1018</v>
      </c>
      <c r="S27" s="20">
        <f t="shared" si="0"/>
        <v>8.5311234749452659E-4</v>
      </c>
      <c r="T27" s="21">
        <f t="shared" si="3"/>
        <v>3.071204450980296</v>
      </c>
      <c r="U27" s="18">
        <f t="shared" si="4"/>
        <v>0.13042356917243414</v>
      </c>
      <c r="W27" s="22">
        <f t="shared" si="7"/>
        <v>1.8070919999999997</v>
      </c>
      <c r="X27" s="22">
        <f t="shared" si="5"/>
        <v>2.0482549999999997</v>
      </c>
      <c r="Z27" s="18">
        <f t="shared" si="8"/>
        <v>7.2621841281026583E-4</v>
      </c>
      <c r="AA27" s="18">
        <f t="shared" si="9"/>
        <v>1.2168094329591248E-3</v>
      </c>
      <c r="AB27" s="18">
        <f t="shared" si="10"/>
        <v>1.8748731875533819E-3</v>
      </c>
      <c r="AD27" s="18">
        <f t="shared" si="11"/>
        <v>2.0180062142748948E-7</v>
      </c>
      <c r="AE27" s="18">
        <f t="shared" si="12"/>
        <v>3.3820842962555541E-7</v>
      </c>
      <c r="AF27" s="18">
        <f t="shared" si="13"/>
        <v>5.212869339449054E-7</v>
      </c>
    </row>
    <row r="28" spans="1:32" s="18" customFormat="1" x14ac:dyDescent="0.3">
      <c r="A28" s="18" t="s">
        <v>54</v>
      </c>
      <c r="B28" s="18">
        <v>90550</v>
      </c>
      <c r="C28" s="18">
        <v>374.9</v>
      </c>
      <c r="D28" s="18" t="s">
        <v>16</v>
      </c>
      <c r="E28" s="18" t="s">
        <v>17</v>
      </c>
      <c r="F28" s="18">
        <f t="shared" si="6"/>
        <v>3600</v>
      </c>
      <c r="G28" s="18">
        <v>60</v>
      </c>
      <c r="H28" s="18" t="s">
        <v>55</v>
      </c>
      <c r="I28" s="19">
        <v>45087.6875</v>
      </c>
      <c r="J28" s="18">
        <v>713.22078999999997</v>
      </c>
      <c r="K28" s="18">
        <v>10236.71241</v>
      </c>
      <c r="L28" s="18">
        <v>181.981087</v>
      </c>
      <c r="M28" s="18">
        <v>1.7774999999999999E-2</v>
      </c>
      <c r="N28" s="18">
        <v>7.2042999999999996E-2</v>
      </c>
      <c r="O28" s="18">
        <v>6.5768999999999994E-2</v>
      </c>
      <c r="P28" s="18">
        <f t="shared" si="1"/>
        <v>3.8146019999999998E-3</v>
      </c>
      <c r="R28" s="20">
        <f t="shared" si="2"/>
        <v>1344993621980.5698</v>
      </c>
      <c r="S28" s="20">
        <f t="shared" si="0"/>
        <v>7.9234700186418296E-4</v>
      </c>
      <c r="T28" s="21">
        <f t="shared" si="3"/>
        <v>2.8524492067110585</v>
      </c>
      <c r="U28" s="18">
        <f t="shared" si="4"/>
        <v>3.9318409479164269E-2</v>
      </c>
      <c r="W28" s="22">
        <f t="shared" si="7"/>
        <v>2.0482549999999997</v>
      </c>
      <c r="X28" s="22">
        <f t="shared" si="5"/>
        <v>2.1140239999999997</v>
      </c>
      <c r="Z28" s="18">
        <f t="shared" si="8"/>
        <v>-3.2683316795577061E-4</v>
      </c>
      <c r="AA28" s="18">
        <f t="shared" si="9"/>
        <v>3.322476394436432E-4</v>
      </c>
      <c r="AB28" s="18">
        <f t="shared" si="10"/>
        <v>5.3087387271662733E-4</v>
      </c>
      <c r="AD28" s="18">
        <f t="shared" si="11"/>
        <v>-9.077215823070216E-8</v>
      </c>
      <c r="AE28" s="18">
        <f t="shared" si="12"/>
        <v>9.2306346088628026E-8</v>
      </c>
      <c r="AF28" s="18">
        <f t="shared" si="13"/>
        <v>1.4750412115067725E-7</v>
      </c>
    </row>
    <row r="29" spans="1:32" s="18" customFormat="1" x14ac:dyDescent="0.3">
      <c r="A29" s="18" t="s">
        <v>56</v>
      </c>
      <c r="B29" s="18">
        <v>90551</v>
      </c>
      <c r="C29" s="18">
        <v>365</v>
      </c>
      <c r="D29" s="18" t="s">
        <v>16</v>
      </c>
      <c r="E29" s="18" t="s">
        <v>17</v>
      </c>
      <c r="F29" s="18">
        <f t="shared" si="6"/>
        <v>3600</v>
      </c>
      <c r="G29" s="18">
        <v>60</v>
      </c>
      <c r="H29" s="18" t="s">
        <v>57</v>
      </c>
      <c r="I29" s="19">
        <v>45087.760416666664</v>
      </c>
      <c r="J29" s="18">
        <v>670.05789000000004</v>
      </c>
      <c r="K29" s="18">
        <v>10166.992749999999</v>
      </c>
      <c r="L29" s="18">
        <v>78.688216999999995</v>
      </c>
      <c r="M29" s="18">
        <v>7.7390000000000002E-3</v>
      </c>
      <c r="N29" s="18">
        <v>3.1366999999999999E-2</v>
      </c>
      <c r="O29" s="18">
        <v>2.5093000000000001E-2</v>
      </c>
      <c r="P29" s="18">
        <f t="shared" si="1"/>
        <v>1.455394E-3</v>
      </c>
      <c r="R29" s="20">
        <f t="shared" si="2"/>
        <v>1267856568713.1184</v>
      </c>
      <c r="S29" s="20">
        <f t="shared" si="0"/>
        <v>7.3549210946268113E-4</v>
      </c>
      <c r="T29" s="21">
        <f t="shared" si="3"/>
        <v>2.6477715940656523</v>
      </c>
      <c r="U29" s="18">
        <f t="shared" si="4"/>
        <v>1.6683839550567136E-2</v>
      </c>
      <c r="W29" s="22">
        <f t="shared" si="7"/>
        <v>2.1140239999999997</v>
      </c>
      <c r="X29" s="22">
        <f t="shared" si="5"/>
        <v>2.1391169999999997</v>
      </c>
      <c r="Z29" s="18">
        <f t="shared" si="8"/>
        <v>-7.1901186769636041E-5</v>
      </c>
      <c r="AA29" s="18">
        <f t="shared" si="9"/>
        <v>1.2680534774227762E-4</v>
      </c>
      <c r="AB29" s="18">
        <f t="shared" si="10"/>
        <v>2.1111571620702994E-4</v>
      </c>
      <c r="AD29" s="18">
        <f t="shared" si="11"/>
        <v>-1.9971833889764851E-8</v>
      </c>
      <c r="AE29" s="18">
        <f t="shared" si="12"/>
        <v>3.5225941172239933E-8</v>
      </c>
      <c r="AF29" s="18">
        <f t="shared" si="13"/>
        <v>5.8649445629666258E-8</v>
      </c>
    </row>
    <row r="30" spans="1:32" s="18" customFormat="1" x14ac:dyDescent="0.3">
      <c r="A30" s="18" t="s">
        <v>58</v>
      </c>
      <c r="B30" s="18">
        <v>90552</v>
      </c>
      <c r="C30" s="18">
        <v>354.9</v>
      </c>
      <c r="D30" s="18" t="s">
        <v>16</v>
      </c>
      <c r="E30" s="18" t="s">
        <v>17</v>
      </c>
      <c r="F30" s="18">
        <f t="shared" si="6"/>
        <v>3600</v>
      </c>
      <c r="G30" s="18">
        <v>60</v>
      </c>
      <c r="H30" s="18" t="s">
        <v>59</v>
      </c>
      <c r="I30" s="19">
        <v>45087.833333333336</v>
      </c>
      <c r="J30" s="18">
        <v>634.92959599999995</v>
      </c>
      <c r="K30" s="18">
        <v>10201.90229</v>
      </c>
      <c r="L30" s="18">
        <v>41.304757000000002</v>
      </c>
      <c r="M30" s="18">
        <v>4.0489999999999996E-3</v>
      </c>
      <c r="N30" s="18">
        <v>1.6410000000000001E-2</v>
      </c>
      <c r="O30" s="18">
        <v>1.0135999999999999E-2</v>
      </c>
      <c r="P30" s="18">
        <f t="shared" si="1"/>
        <v>5.8788799999999995E-4</v>
      </c>
      <c r="R30" s="20">
        <f t="shared" si="2"/>
        <v>1191429430578.1418</v>
      </c>
      <c r="S30" s="20">
        <f t="shared" si="0"/>
        <v>6.8021471222055483E-4</v>
      </c>
      <c r="T30" s="21">
        <f t="shared" si="3"/>
        <v>2.4487729639939975</v>
      </c>
      <c r="U30" s="18">
        <f t="shared" si="4"/>
        <v>7.5841532892534196E-3</v>
      </c>
      <c r="W30" s="22">
        <f t="shared" si="7"/>
        <v>2.1391169999999997</v>
      </c>
      <c r="X30" s="22">
        <f t="shared" si="5"/>
        <v>2.1492529999999999</v>
      </c>
      <c r="Z30" s="18">
        <f t="shared" si="8"/>
        <v>-3.3095939018444064E-5</v>
      </c>
      <c r="AA30" s="18">
        <f t="shared" si="9"/>
        <v>5.1227912492435402E-5</v>
      </c>
      <c r="AB30" s="18">
        <f t="shared" si="10"/>
        <v>8.9558648584689779E-5</v>
      </c>
      <c r="AD30" s="18">
        <f t="shared" si="11"/>
        <v>-9.1931642666530038E-9</v>
      </c>
      <c r="AE30" s="18">
        <f t="shared" si="12"/>
        <v>1.4230340190772458E-8</v>
      </c>
      <c r="AF30" s="18">
        <f t="shared" si="13"/>
        <v>2.487851644443274E-8</v>
      </c>
    </row>
    <row r="31" spans="1:32" s="18" customFormat="1" x14ac:dyDescent="0.3">
      <c r="A31" s="18" t="s">
        <v>60</v>
      </c>
      <c r="B31" s="18">
        <v>90553</v>
      </c>
      <c r="C31" s="18">
        <v>345</v>
      </c>
      <c r="D31" s="18" t="s">
        <v>16</v>
      </c>
      <c r="E31" s="18" t="s">
        <v>17</v>
      </c>
      <c r="F31" s="18">
        <f t="shared" si="6"/>
        <v>3600</v>
      </c>
      <c r="G31" s="18">
        <v>60</v>
      </c>
      <c r="H31" s="18" t="s">
        <v>61</v>
      </c>
      <c r="I31" s="19">
        <v>45087.90625</v>
      </c>
      <c r="J31" s="18">
        <v>601.76538700000003</v>
      </c>
      <c r="K31" s="18">
        <v>10236.75923</v>
      </c>
      <c r="L31" s="18">
        <v>27.981991000000001</v>
      </c>
      <c r="M31" s="18">
        <v>2.7339999999999999E-3</v>
      </c>
      <c r="N31" s="18">
        <v>1.1079E-2</v>
      </c>
      <c r="O31" s="18">
        <v>4.8050000000000002E-3</v>
      </c>
      <c r="P31" s="18">
        <f t="shared" si="1"/>
        <v>2.7869E-4</v>
      </c>
      <c r="R31" s="20">
        <f t="shared" si="2"/>
        <v>1118779940195.2822</v>
      </c>
      <c r="S31" s="20">
        <f t="shared" si="0"/>
        <v>6.286665600568523E-4</v>
      </c>
      <c r="T31" s="21">
        <f t="shared" si="3"/>
        <v>2.2631996162046684</v>
      </c>
      <c r="U31" s="18">
        <f t="shared" si="4"/>
        <v>4.0825226946589856E-3</v>
      </c>
      <c r="W31" s="22">
        <f t="shared" si="7"/>
        <v>2.1492529999999999</v>
      </c>
      <c r="X31" s="22">
        <f t="shared" si="5"/>
        <v>2.154058</v>
      </c>
      <c r="Z31" s="18">
        <f t="shared" si="8"/>
        <v>-1.4047254649920414E-5</v>
      </c>
      <c r="AA31" s="18">
        <f t="shared" si="9"/>
        <v>2.4285983615720187E-5</v>
      </c>
      <c r="AB31" s="18">
        <f t="shared" si="10"/>
        <v>4.4920339343773035E-5</v>
      </c>
      <c r="AD31" s="18">
        <f t="shared" si="11"/>
        <v>-3.9019877744921216E-9</v>
      </c>
      <c r="AE31" s="18">
        <f t="shared" si="12"/>
        <v>6.74618847916015E-9</v>
      </c>
      <c r="AF31" s="18">
        <f t="shared" si="13"/>
        <v>1.2478152303454867E-8</v>
      </c>
    </row>
    <row r="32" spans="1:32" s="18" customFormat="1" x14ac:dyDescent="0.3">
      <c r="A32" s="18" t="s">
        <v>62</v>
      </c>
      <c r="B32" s="18">
        <v>90554</v>
      </c>
      <c r="C32" s="18">
        <v>335</v>
      </c>
      <c r="D32" s="18" t="s">
        <v>16</v>
      </c>
      <c r="E32" s="18" t="s">
        <v>17</v>
      </c>
      <c r="F32" s="18">
        <f t="shared" si="6"/>
        <v>4800</v>
      </c>
      <c r="G32" s="18">
        <v>80</v>
      </c>
      <c r="H32" s="18" t="s">
        <v>63</v>
      </c>
      <c r="I32" s="19">
        <v>45087.993750000001</v>
      </c>
      <c r="J32" s="18">
        <v>565.73932000000002</v>
      </c>
      <c r="K32" s="18">
        <v>10216.212649999999</v>
      </c>
      <c r="L32" s="18">
        <v>23.211523</v>
      </c>
      <c r="M32" s="18">
        <v>2.2720000000000001E-3</v>
      </c>
      <c r="N32" s="18">
        <v>9.2079999999999992E-3</v>
      </c>
      <c r="O32" s="18">
        <v>2.934E-3</v>
      </c>
      <c r="P32" s="18">
        <f t="shared" si="1"/>
        <v>1.7017200000000001E-4</v>
      </c>
      <c r="R32" s="20">
        <f t="shared" si="2"/>
        <v>1047711419688.9287</v>
      </c>
      <c r="S32" s="20">
        <f t="shared" si="0"/>
        <v>5.7920522500654699E-4</v>
      </c>
      <c r="T32" s="21">
        <f t="shared" si="3"/>
        <v>2.7801850800314254</v>
      </c>
      <c r="U32" s="18">
        <f t="shared" si="4"/>
        <v>1.8183152368527696E-3</v>
      </c>
      <c r="W32" s="22">
        <f t="shared" si="7"/>
        <v>2.154058</v>
      </c>
      <c r="X32" s="22">
        <f t="shared" si="5"/>
        <v>2.1569920000000002</v>
      </c>
      <c r="Z32" s="18">
        <f t="shared" si="8"/>
        <v>-5.8052562672700409E-6</v>
      </c>
      <c r="AA32" s="18">
        <f t="shared" si="9"/>
        <v>1.4829720389210712E-5</v>
      </c>
      <c r="AB32" s="18">
        <f t="shared" si="10"/>
        <v>2.4020281582792179E-5</v>
      </c>
      <c r="AD32" s="18">
        <f t="shared" si="11"/>
        <v>-1.2094248785041836E-9</v>
      </c>
      <c r="AE32" s="18">
        <f t="shared" si="12"/>
        <v>3.0895479897151631E-9</v>
      </c>
      <c r="AF32" s="18">
        <f t="shared" si="13"/>
        <v>5.0042854321570869E-9</v>
      </c>
    </row>
    <row r="33" spans="1:32" s="18" customFormat="1" x14ac:dyDescent="0.3">
      <c r="A33" s="18" t="s">
        <v>64</v>
      </c>
      <c r="B33" s="18">
        <v>90555</v>
      </c>
      <c r="C33" s="18">
        <v>325</v>
      </c>
      <c r="D33" s="18" t="s">
        <v>16</v>
      </c>
      <c r="E33" s="18" t="s">
        <v>17</v>
      </c>
      <c r="F33" s="18">
        <f t="shared" si="6"/>
        <v>6000</v>
      </c>
      <c r="G33" s="18">
        <v>100</v>
      </c>
      <c r="H33" s="18" t="s">
        <v>65</v>
      </c>
      <c r="I33" s="19">
        <v>45088.094444444447</v>
      </c>
      <c r="J33" s="18">
        <v>537.02529200000004</v>
      </c>
      <c r="K33" s="18">
        <v>10190.72918</v>
      </c>
      <c r="L33" s="18">
        <v>19.004902999999999</v>
      </c>
      <c r="M33" s="18">
        <v>1.8649999999999999E-3</v>
      </c>
      <c r="N33" s="18">
        <v>7.5579999999999996E-3</v>
      </c>
      <c r="O33" s="18">
        <v>1.284E-3</v>
      </c>
      <c r="P33" s="18">
        <f t="shared" si="1"/>
        <v>7.4472000000000001E-5</v>
      </c>
      <c r="R33" s="20">
        <f t="shared" si="2"/>
        <v>979006120667.63354</v>
      </c>
      <c r="S33" s="20">
        <f t="shared" si="0"/>
        <v>5.3232125213536553E-4</v>
      </c>
      <c r="T33" s="21">
        <f t="shared" si="3"/>
        <v>3.1939275128121931</v>
      </c>
      <c r="U33" s="18">
        <f t="shared" si="4"/>
        <v>6.5972378817515218E-4</v>
      </c>
      <c r="W33" s="22">
        <f t="shared" si="7"/>
        <v>2.1569920000000002</v>
      </c>
      <c r="X33" s="22">
        <f t="shared" si="5"/>
        <v>2.1582760000000003</v>
      </c>
      <c r="Z33" s="18">
        <f t="shared" si="8"/>
        <v>-2.7007279813881965E-6</v>
      </c>
      <c r="AA33" s="18">
        <f t="shared" si="9"/>
        <v>6.4899943292410916E-6</v>
      </c>
      <c r="AB33" s="18">
        <f t="shared" si="10"/>
        <v>9.8245766065948221E-6</v>
      </c>
      <c r="AD33" s="18">
        <f t="shared" si="11"/>
        <v>-4.5012072241929628E-10</v>
      </c>
      <c r="AE33" s="18">
        <f t="shared" si="12"/>
        <v>1.0816692315647175E-9</v>
      </c>
      <c r="AF33" s="18">
        <f t="shared" si="13"/>
        <v>1.6374374780093781E-9</v>
      </c>
    </row>
    <row r="34" spans="1:32" s="18" customFormat="1" x14ac:dyDescent="0.3">
      <c r="A34" s="18" t="s">
        <v>66</v>
      </c>
      <c r="B34" s="18">
        <v>90556</v>
      </c>
      <c r="C34" s="18">
        <v>390</v>
      </c>
      <c r="D34" s="18" t="s">
        <v>16</v>
      </c>
      <c r="E34" s="18" t="s">
        <v>17</v>
      </c>
      <c r="F34" s="18">
        <f t="shared" si="6"/>
        <v>3600</v>
      </c>
      <c r="G34" s="18">
        <v>60</v>
      </c>
      <c r="H34" s="18" t="s">
        <v>67</v>
      </c>
      <c r="I34" s="19">
        <v>45088.167361111111</v>
      </c>
      <c r="J34" s="18">
        <v>560.85162600000001</v>
      </c>
      <c r="K34" s="18">
        <v>10136.02923</v>
      </c>
      <c r="L34" s="18">
        <v>166.58912799999999</v>
      </c>
      <c r="M34" s="18">
        <v>1.6434000000000001E-2</v>
      </c>
      <c r="N34" s="18">
        <v>6.6604999999999998E-2</v>
      </c>
      <c r="O34" s="18">
        <v>6.0331999999999997E-2</v>
      </c>
      <c r="P34" s="18">
        <f t="shared" si="1"/>
        <v>3.4992560000000001E-3</v>
      </c>
      <c r="R34" s="20">
        <f t="shared" si="2"/>
        <v>1466789805206.127</v>
      </c>
      <c r="S34" s="20">
        <f t="shared" ref="S34:S65" si="14">R34*$C$92*$C$93*(C34+273)</f>
        <v>8.8423688134608698E-4</v>
      </c>
      <c r="T34" s="21">
        <f t="shared" si="3"/>
        <v>3.1832527728459135</v>
      </c>
      <c r="U34" s="18">
        <f t="shared" si="4"/>
        <v>3.1133252736601429E-2</v>
      </c>
      <c r="W34" s="22">
        <f t="shared" si="7"/>
        <v>2.1582760000000003</v>
      </c>
      <c r="X34" s="22">
        <f t="shared" si="5"/>
        <v>2.2186080000000001</v>
      </c>
      <c r="Z34" s="18">
        <f t="shared" si="8"/>
        <v>3.0161724225520034E-4</v>
      </c>
      <c r="AA34" s="18">
        <f t="shared" si="9"/>
        <v>3.0495084040007658E-4</v>
      </c>
      <c r="AB34" s="18">
        <f t="shared" si="10"/>
        <v>4.6231528358801319E-4</v>
      </c>
      <c r="AD34" s="18">
        <f t="shared" si="11"/>
        <v>8.3795204967781202E-8</v>
      </c>
      <c r="AE34" s="18">
        <f t="shared" si="12"/>
        <v>8.4721485378532123E-8</v>
      </c>
      <c r="AF34" s="18">
        <f t="shared" si="13"/>
        <v>1.2845060673551086E-7</v>
      </c>
    </row>
    <row r="35" spans="1:32" x14ac:dyDescent="0.3">
      <c r="A35" t="s">
        <v>68</v>
      </c>
      <c r="B35">
        <v>90558</v>
      </c>
      <c r="C35">
        <v>400</v>
      </c>
      <c r="D35" t="s">
        <v>16</v>
      </c>
      <c r="E35" t="s">
        <v>17</v>
      </c>
      <c r="F35" s="18">
        <f t="shared" si="6"/>
        <v>14400</v>
      </c>
      <c r="G35">
        <v>240</v>
      </c>
      <c r="H35" t="s">
        <v>69</v>
      </c>
      <c r="I35" s="1">
        <v>45088.451388888891</v>
      </c>
      <c r="J35">
        <v>566.05086500000004</v>
      </c>
      <c r="K35">
        <v>10219.747450000001</v>
      </c>
      <c r="L35">
        <v>533.54621599999996</v>
      </c>
      <c r="M35">
        <v>5.2207999999999997E-2</v>
      </c>
      <c r="N35">
        <v>0.211593</v>
      </c>
      <c r="O35">
        <v>0.205319</v>
      </c>
      <c r="P35">
        <f t="shared" si="1"/>
        <v>1.1908502000000001E-2</v>
      </c>
      <c r="R35" s="28">
        <f t="shared" si="2"/>
        <v>1550137569367.0527</v>
      </c>
      <c r="S35" s="28">
        <f t="shared" si="14"/>
        <v>9.4857684749549492E-4</v>
      </c>
      <c r="T35" s="3">
        <f t="shared" si="3"/>
        <v>13.659506603935126</v>
      </c>
      <c r="U35">
        <f t="shared" si="4"/>
        <v>2.8127064573060939E-2</v>
      </c>
      <c r="W35" s="29">
        <f t="shared" si="7"/>
        <v>2.2186080000000001</v>
      </c>
      <c r="X35" s="29">
        <f t="shared" si="5"/>
        <v>2.4239269999999999</v>
      </c>
      <c r="Z35">
        <f t="shared" si="8"/>
        <v>8.8083701314403001E-4</v>
      </c>
      <c r="AA35">
        <f t="shared" si="9"/>
        <v>1.0381108046807557E-3</v>
      </c>
      <c r="AB35">
        <f t="shared" si="10"/>
        <v>1.1803237008922503E-3</v>
      </c>
      <c r="AD35">
        <f t="shared" si="11"/>
        <v>6.1196192918236505E-8</v>
      </c>
      <c r="AE35">
        <f t="shared" si="12"/>
        <v>7.2128473257482932E-8</v>
      </c>
      <c r="AF35">
        <f t="shared" si="13"/>
        <v>8.2015335522609661E-8</v>
      </c>
    </row>
    <row r="36" spans="1:32" s="33" customFormat="1" x14ac:dyDescent="0.3">
      <c r="A36" s="33" t="s">
        <v>15</v>
      </c>
      <c r="B36" s="33">
        <v>90559</v>
      </c>
      <c r="C36" s="33">
        <v>24.8</v>
      </c>
      <c r="D36" s="33" t="s">
        <v>16</v>
      </c>
      <c r="E36" s="33" t="s">
        <v>17</v>
      </c>
      <c r="F36" s="18">
        <f t="shared" si="6"/>
        <v>3600</v>
      </c>
      <c r="G36" s="33">
        <v>60</v>
      </c>
      <c r="H36" s="33" t="s">
        <v>18</v>
      </c>
      <c r="I36" s="35">
        <v>45088.523611111108</v>
      </c>
      <c r="J36" s="33">
        <v>538.36291000000006</v>
      </c>
      <c r="K36" s="33">
        <v>10180.64848</v>
      </c>
      <c r="L36" s="33">
        <v>13.436012</v>
      </c>
      <c r="M36" s="33">
        <v>1.32E-3</v>
      </c>
      <c r="N36" s="33">
        <v>5.3480000000000003E-3</v>
      </c>
      <c r="O36" s="33">
        <v>-9.2599999999999996E-4</v>
      </c>
      <c r="P36" s="33">
        <f t="shared" si="1"/>
        <v>-5.3708000000000001E-5</v>
      </c>
      <c r="R36" s="34">
        <f t="shared" si="2"/>
        <v>15325363320.112192</v>
      </c>
      <c r="S36" s="34">
        <f t="shared" si="14"/>
        <v>4.1497571959697319E-6</v>
      </c>
      <c r="T36" s="36">
        <f t="shared" si="3"/>
        <v>1.4939125905491034E-2</v>
      </c>
      <c r="U36" s="33">
        <f>U35</f>
        <v>2.8127064573060939E-2</v>
      </c>
      <c r="W36" s="37">
        <f>O35+W35</f>
        <v>2.4239269999999999</v>
      </c>
      <c r="X36" s="37">
        <f>W36</f>
        <v>2.4239269999999999</v>
      </c>
      <c r="Z36" s="33">
        <f t="shared" si="8"/>
        <v>-1.4706842146846514E-4</v>
      </c>
      <c r="AA36" s="33">
        <f t="shared" si="9"/>
        <v>-4.6868023336003842E-6</v>
      </c>
      <c r="AB36" s="33">
        <f t="shared" si="10"/>
        <v>1.3767388004042846E-4</v>
      </c>
      <c r="AD36" s="33">
        <f t="shared" si="11"/>
        <v>-4.0849335546748559E-8</v>
      </c>
      <c r="AE36" s="33">
        <f t="shared" si="12"/>
        <v>-1.3018864862613066E-9</v>
      </c>
      <c r="AF36" s="33">
        <f t="shared" si="13"/>
        <v>3.824537721081091E-8</v>
      </c>
    </row>
    <row r="37" spans="1:32" s="23" customFormat="1" x14ac:dyDescent="0.3">
      <c r="A37" s="23" t="s">
        <v>70</v>
      </c>
      <c r="B37" s="23">
        <v>90561</v>
      </c>
      <c r="C37" s="23">
        <v>400</v>
      </c>
      <c r="D37" s="23" t="s">
        <v>16</v>
      </c>
      <c r="E37" s="23" t="s">
        <v>17</v>
      </c>
      <c r="F37" s="18">
        <f t="shared" si="6"/>
        <v>3600</v>
      </c>
      <c r="G37" s="23">
        <v>60</v>
      </c>
      <c r="H37" s="23" t="s">
        <v>69</v>
      </c>
      <c r="I37" s="24">
        <v>45088.69027777778</v>
      </c>
      <c r="J37" s="23">
        <v>549.47755400000005</v>
      </c>
      <c r="K37" s="23">
        <v>10052.249460000001</v>
      </c>
      <c r="L37" s="23">
        <v>75.399169999999998</v>
      </c>
      <c r="M37" s="23">
        <v>7.5009999999999999E-3</v>
      </c>
      <c r="N37" s="23">
        <v>3.04E-2</v>
      </c>
      <c r="O37" s="23">
        <v>2.4126000000000002E-2</v>
      </c>
      <c r="P37" s="23">
        <f t="shared" si="1"/>
        <v>1.3993080000000001E-3</v>
      </c>
      <c r="R37" s="25">
        <f t="shared" si="2"/>
        <v>1550137569367.0527</v>
      </c>
      <c r="S37" s="25">
        <f t="shared" si="14"/>
        <v>9.4857684749549492E-4</v>
      </c>
      <c r="T37" s="26">
        <f t="shared" si="3"/>
        <v>3.4148766509837816</v>
      </c>
      <c r="U37" s="23">
        <f>O37/((T37)-1) +(U36*EXP(-T37)) +P37</f>
        <v>1.2314711276414869E-2</v>
      </c>
      <c r="W37" s="27">
        <f>X36</f>
        <v>2.4239269999999999</v>
      </c>
      <c r="X37" s="27">
        <f t="shared" si="5"/>
        <v>2.4480529999999998</v>
      </c>
      <c r="Z37" s="23">
        <f t="shared" si="8"/>
        <v>-2.0253637941488779E-5</v>
      </c>
      <c r="AA37" s="23">
        <f t="shared" si="9"/>
        <v>1.2210992775425799E-4</v>
      </c>
      <c r="AB37" s="23">
        <f t="shared" si="10"/>
        <v>1.8443888838915666E-4</v>
      </c>
      <c r="AD37" s="23">
        <f t="shared" si="11"/>
        <v>-5.6259535664699893E-9</v>
      </c>
      <c r="AE37" s="23">
        <f t="shared" si="12"/>
        <v>3.3921495494028657E-8</v>
      </c>
      <c r="AF37" s="23">
        <f t="shared" si="13"/>
        <v>5.1237749814613689E-8</v>
      </c>
    </row>
    <row r="38" spans="1:32" s="23" customFormat="1" x14ac:dyDescent="0.3">
      <c r="A38" s="23" t="s">
        <v>70</v>
      </c>
      <c r="B38" s="23">
        <v>90563</v>
      </c>
      <c r="C38" s="23">
        <v>400</v>
      </c>
      <c r="D38" s="23" t="s">
        <v>16</v>
      </c>
      <c r="E38" s="23" t="s">
        <v>17</v>
      </c>
      <c r="F38" s="18">
        <f t="shared" si="6"/>
        <v>3600</v>
      </c>
      <c r="G38" s="23">
        <v>60</v>
      </c>
      <c r="H38" s="23" t="s">
        <v>69</v>
      </c>
      <c r="I38" s="24">
        <v>45088.876388888886</v>
      </c>
      <c r="J38" s="23">
        <v>522.53057200000001</v>
      </c>
      <c r="K38" s="23">
        <v>10025.18132</v>
      </c>
      <c r="L38" s="23">
        <v>70.157606999999999</v>
      </c>
      <c r="M38" s="23">
        <v>6.9979999999999999E-3</v>
      </c>
      <c r="N38" s="23">
        <v>2.8362999999999999E-2</v>
      </c>
      <c r="O38" s="23">
        <v>2.2089000000000001E-2</v>
      </c>
      <c r="P38" s="23">
        <f t="shared" si="1"/>
        <v>1.2811620000000002E-3</v>
      </c>
      <c r="R38" s="25">
        <f t="shared" si="2"/>
        <v>1550137569367.0527</v>
      </c>
      <c r="S38" s="25">
        <f t="shared" si="14"/>
        <v>9.4857684749549492E-4</v>
      </c>
      <c r="T38" s="26">
        <f t="shared" si="3"/>
        <v>3.4148766509837816</v>
      </c>
      <c r="U38" s="23">
        <f t="shared" ref="U38:U40" si="15">O38/((T38)-1) +(U37*EXP(-T38)) +P38</f>
        <v>1.0833126446438997E-2</v>
      </c>
      <c r="W38" s="27">
        <f t="shared" si="7"/>
        <v>2.4480529999999998</v>
      </c>
      <c r="X38" s="27">
        <f t="shared" si="5"/>
        <v>2.4701419999999996</v>
      </c>
      <c r="Z38" s="23">
        <f t="shared" si="8"/>
        <v>4.9480140315838234E-5</v>
      </c>
      <c r="AA38" s="23">
        <f t="shared" si="9"/>
        <v>1.1181362844275081E-4</v>
      </c>
      <c r="AB38" s="23">
        <f t="shared" si="10"/>
        <v>1.666504782483313E-4</v>
      </c>
      <c r="AD38" s="23">
        <f t="shared" si="11"/>
        <v>1.374482347175833E-8</v>
      </c>
      <c r="AE38" s="23">
        <f t="shared" si="12"/>
        <v>3.1061077792352819E-8</v>
      </c>
      <c r="AF38" s="23">
        <f t="shared" si="13"/>
        <v>4.6295657217299738E-8</v>
      </c>
    </row>
    <row r="39" spans="1:32" s="23" customFormat="1" x14ac:dyDescent="0.3">
      <c r="A39" s="23" t="s">
        <v>70</v>
      </c>
      <c r="B39" s="23">
        <v>90565</v>
      </c>
      <c r="C39" s="23">
        <v>400</v>
      </c>
      <c r="D39" s="23" t="s">
        <v>16</v>
      </c>
      <c r="E39" s="23" t="s">
        <v>17</v>
      </c>
      <c r="F39" s="18">
        <f t="shared" si="6"/>
        <v>3600</v>
      </c>
      <c r="G39" s="23">
        <v>60</v>
      </c>
      <c r="H39" s="23" t="s">
        <v>69</v>
      </c>
      <c r="I39" s="24">
        <v>45089.105555555558</v>
      </c>
      <c r="J39" s="23">
        <v>490.62643200000002</v>
      </c>
      <c r="K39" s="23">
        <v>10017.659379999999</v>
      </c>
      <c r="L39" s="23">
        <v>60.349747000000001</v>
      </c>
      <c r="M39" s="23">
        <v>6.0239999999999998E-3</v>
      </c>
      <c r="N39" s="23">
        <v>2.4417000000000001E-2</v>
      </c>
      <c r="O39" s="23">
        <v>1.8142999999999999E-2</v>
      </c>
      <c r="P39" s="23">
        <f t="shared" si="1"/>
        <v>1.0522940000000001E-3</v>
      </c>
      <c r="R39" s="25">
        <f t="shared" si="2"/>
        <v>1550137569367.0527</v>
      </c>
      <c r="S39" s="25">
        <f t="shared" si="14"/>
        <v>9.4857684749549492E-4</v>
      </c>
      <c r="T39" s="26">
        <f t="shared" si="3"/>
        <v>3.4148766509837816</v>
      </c>
      <c r="U39" s="23">
        <f t="shared" si="15"/>
        <v>8.9215053406168851E-3</v>
      </c>
      <c r="W39" s="27">
        <f t="shared" si="7"/>
        <v>2.4701419999999996</v>
      </c>
      <c r="X39" s="27">
        <f t="shared" si="5"/>
        <v>2.4882849999999994</v>
      </c>
      <c r="Z39" s="23">
        <f t="shared" si="8"/>
        <v>3.7008453024920463E-5</v>
      </c>
      <c r="AA39" s="23">
        <f t="shared" si="9"/>
        <v>9.1849405369389783E-5</v>
      </c>
      <c r="AB39" s="23">
        <f t="shared" si="10"/>
        <v>1.3701475622291434E-4</v>
      </c>
      <c r="AD39" s="23">
        <f t="shared" si="11"/>
        <v>1.0280316070720677E-8</v>
      </c>
      <c r="AE39" s="23">
        <f t="shared" si="12"/>
        <v>2.5514895495660745E-8</v>
      </c>
      <c r="AF39" s="23">
        <f t="shared" si="13"/>
        <v>3.8062262111710607E-8</v>
      </c>
    </row>
    <row r="40" spans="1:32" s="23" customFormat="1" x14ac:dyDescent="0.3">
      <c r="A40" s="23" t="s">
        <v>71</v>
      </c>
      <c r="B40" s="23">
        <v>90566</v>
      </c>
      <c r="C40" s="23">
        <v>380</v>
      </c>
      <c r="D40" s="23" t="s">
        <v>16</v>
      </c>
      <c r="E40" s="23" t="s">
        <v>72</v>
      </c>
      <c r="F40" s="18">
        <f t="shared" si="6"/>
        <v>4800</v>
      </c>
      <c r="G40" s="23">
        <v>80</v>
      </c>
      <c r="H40" s="23" t="s">
        <v>73</v>
      </c>
      <c r="I40" s="24">
        <v>45089.191666666666</v>
      </c>
      <c r="J40" s="23">
        <v>489.14270299999998</v>
      </c>
      <c r="K40" s="23">
        <v>10033.29839</v>
      </c>
      <c r="L40" s="23">
        <v>39.501207000000001</v>
      </c>
      <c r="M40" s="23">
        <v>3.9370000000000004E-3</v>
      </c>
      <c r="N40" s="23">
        <v>1.5956000000000001E-2</v>
      </c>
      <c r="O40" s="23">
        <v>9.6819999999999996E-3</v>
      </c>
      <c r="P40" s="23">
        <f t="shared" si="1"/>
        <v>5.6155600000000006E-4</v>
      </c>
      <c r="R40" s="25">
        <f t="shared" si="2"/>
        <v>1385576096253.7573</v>
      </c>
      <c r="S40" s="25">
        <f t="shared" si="14"/>
        <v>8.2267969377851932E-4</v>
      </c>
      <c r="T40" s="26">
        <f t="shared" si="3"/>
        <v>3.9488625301368927</v>
      </c>
      <c r="U40" s="23">
        <f t="shared" si="15"/>
        <v>4.0168323144549271E-3</v>
      </c>
      <c r="W40" s="27">
        <f t="shared" si="7"/>
        <v>2.4882849999999994</v>
      </c>
      <c r="X40" s="27">
        <f t="shared" si="5"/>
        <v>2.4979669999999996</v>
      </c>
      <c r="Z40" s="23">
        <f t="shared" si="8"/>
        <v>3.8505514070294848E-6</v>
      </c>
      <c r="AA40" s="23">
        <f t="shared" si="9"/>
        <v>4.9019877124756872E-5</v>
      </c>
      <c r="AB40" s="23">
        <f t="shared" si="10"/>
        <v>6.9357062260610343E-5</v>
      </c>
      <c r="AD40" s="23">
        <f t="shared" si="11"/>
        <v>8.0219975426056012E-10</v>
      </c>
      <c r="AE40" s="23">
        <f t="shared" si="12"/>
        <v>1.0212724716300605E-8</v>
      </c>
      <c r="AF40" s="23">
        <f t="shared" si="13"/>
        <v>1.4449889077686143E-8</v>
      </c>
    </row>
    <row r="41" spans="1:32" x14ac:dyDescent="0.3">
      <c r="A41" t="s">
        <v>74</v>
      </c>
      <c r="B41">
        <v>90567</v>
      </c>
      <c r="C41">
        <v>360</v>
      </c>
      <c r="D41" t="s">
        <v>16</v>
      </c>
      <c r="E41" t="s">
        <v>72</v>
      </c>
      <c r="F41" s="18">
        <f t="shared" si="6"/>
        <v>6000</v>
      </c>
      <c r="G41">
        <v>100</v>
      </c>
      <c r="H41" t="s">
        <v>49</v>
      </c>
      <c r="I41" s="1">
        <v>45089.292361111111</v>
      </c>
      <c r="J41">
        <v>473.21132599999999</v>
      </c>
      <c r="K41">
        <v>10049.680200000001</v>
      </c>
      <c r="L41">
        <v>22.510646000000001</v>
      </c>
      <c r="M41">
        <v>2.2399999999999998E-3</v>
      </c>
      <c r="N41">
        <v>9.0779999999999993E-3</v>
      </c>
      <c r="O41">
        <v>2.8040000000000001E-3</v>
      </c>
      <c r="P41">
        <f t="shared" si="1"/>
        <v>1.6263200000000001E-4</v>
      </c>
      <c r="R41" s="28">
        <f t="shared" si="2"/>
        <v>1229732340887.4897</v>
      </c>
      <c r="S41" s="28">
        <f t="shared" si="14"/>
        <v>7.0778526797191338E-4</v>
      </c>
      <c r="T41" s="3">
        <f t="shared" si="3"/>
        <v>4.2467116078314797</v>
      </c>
      <c r="U41">
        <f t="shared" si="4"/>
        <v>1.0262750760392752E-3</v>
      </c>
      <c r="W41" s="29">
        <f t="shared" si="7"/>
        <v>2.4979669999999996</v>
      </c>
      <c r="X41" s="29">
        <f t="shared" si="5"/>
        <v>2.5007709999999994</v>
      </c>
      <c r="Z41">
        <f t="shared" si="8"/>
        <v>-6.1409847956405426E-6</v>
      </c>
      <c r="AA41">
        <f t="shared" si="9"/>
        <v>1.4197322211868067E-5</v>
      </c>
      <c r="AB41">
        <f t="shared" si="10"/>
        <v>1.9393598222046023E-5</v>
      </c>
      <c r="AD41">
        <f t="shared" si="11"/>
        <v>-1.0234943232993842E-9</v>
      </c>
      <c r="AE41">
        <f t="shared" si="12"/>
        <v>2.366237165799128E-9</v>
      </c>
      <c r="AF41">
        <f t="shared" si="13"/>
        <v>3.232297713377261E-9</v>
      </c>
    </row>
    <row r="42" spans="1:32" x14ac:dyDescent="0.3">
      <c r="A42" t="s">
        <v>75</v>
      </c>
      <c r="B42">
        <v>90568</v>
      </c>
      <c r="C42">
        <v>410</v>
      </c>
      <c r="D42" t="s">
        <v>16</v>
      </c>
      <c r="E42" t="s">
        <v>72</v>
      </c>
      <c r="F42" s="18">
        <f t="shared" si="6"/>
        <v>3600</v>
      </c>
      <c r="G42">
        <v>60</v>
      </c>
      <c r="H42" t="s">
        <v>76</v>
      </c>
      <c r="I42" s="1">
        <v>45089.364583333336</v>
      </c>
      <c r="J42">
        <v>487.45605399999999</v>
      </c>
      <c r="K42">
        <v>9974.5764710000003</v>
      </c>
      <c r="L42">
        <v>114.32003899999999</v>
      </c>
      <c r="M42">
        <v>1.1461000000000001E-2</v>
      </c>
      <c r="N42">
        <v>4.6452E-2</v>
      </c>
      <c r="O42">
        <v>4.0177999999999998E-2</v>
      </c>
      <c r="P42">
        <f t="shared" si="1"/>
        <v>2.3303239999999999E-3</v>
      </c>
      <c r="R42" s="28">
        <f t="shared" si="2"/>
        <v>1635572313513.5789</v>
      </c>
      <c r="S42" s="28">
        <f t="shared" si="14"/>
        <v>1.0157285696291655E-3</v>
      </c>
      <c r="T42" s="3">
        <f t="shared" si="3"/>
        <v>3.6566228506649958</v>
      </c>
      <c r="U42">
        <f t="shared" si="4"/>
        <v>1.7454036419300614E-2</v>
      </c>
      <c r="W42" s="29">
        <f t="shared" si="7"/>
        <v>2.5007709999999994</v>
      </c>
      <c r="X42" s="29">
        <f t="shared" si="5"/>
        <v>2.5409489999999995</v>
      </c>
      <c r="Z42">
        <f t="shared" si="8"/>
        <v>1.982383858879534E-4</v>
      </c>
      <c r="AA42">
        <f t="shared" si="9"/>
        <v>2.0343370555638978E-4</v>
      </c>
      <c r="AB42">
        <f t="shared" si="10"/>
        <v>2.918089185011482E-4</v>
      </c>
      <c r="AD42">
        <f t="shared" si="11"/>
        <v>5.5071677142771325E-8</v>
      </c>
      <c r="AE42">
        <f t="shared" si="12"/>
        <v>5.6515111388754062E-8</v>
      </c>
      <c r="AF42">
        <f t="shared" si="13"/>
        <v>8.106986194670339E-8</v>
      </c>
    </row>
    <row r="43" spans="1:32" x14ac:dyDescent="0.3">
      <c r="A43" t="s">
        <v>77</v>
      </c>
      <c r="B43">
        <v>90569</v>
      </c>
      <c r="C43">
        <v>420</v>
      </c>
      <c r="D43" t="s">
        <v>16</v>
      </c>
      <c r="E43" t="s">
        <v>72</v>
      </c>
      <c r="F43" s="18">
        <f t="shared" si="6"/>
        <v>3600</v>
      </c>
      <c r="G43">
        <v>60</v>
      </c>
      <c r="H43" t="s">
        <v>78</v>
      </c>
      <c r="I43" s="1">
        <v>45089.4375</v>
      </c>
      <c r="J43">
        <v>495.95416699999998</v>
      </c>
      <c r="K43">
        <v>9971.0081300000002</v>
      </c>
      <c r="L43">
        <v>191.74355800000001</v>
      </c>
      <c r="M43">
        <v>1.9230000000000001E-2</v>
      </c>
      <c r="N43">
        <v>7.7936000000000005E-2</v>
      </c>
      <c r="O43">
        <v>7.1662000000000003E-2</v>
      </c>
      <c r="P43">
        <f t="shared" si="1"/>
        <v>4.1563960000000006E-3</v>
      </c>
      <c r="R43" s="28">
        <f t="shared" si="2"/>
        <v>1723045850215.5273</v>
      </c>
      <c r="S43" s="28">
        <f t="shared" si="14"/>
        <v>1.0857186121887962E-3</v>
      </c>
      <c r="T43" s="3">
        <f t="shared" si="3"/>
        <v>3.9085870038796666</v>
      </c>
      <c r="U43">
        <f t="shared" si="4"/>
        <v>2.8794476244604156E-2</v>
      </c>
      <c r="W43" s="29">
        <f t="shared" si="7"/>
        <v>2.5409489999999995</v>
      </c>
      <c r="X43" s="29">
        <f t="shared" si="5"/>
        <v>2.6126109999999994</v>
      </c>
      <c r="Z43">
        <f t="shared" si="8"/>
        <v>2.7455188984668906E-4</v>
      </c>
      <c r="AA43">
        <f t="shared" si="9"/>
        <v>3.6292081642790843E-4</v>
      </c>
      <c r="AB43">
        <f t="shared" si="10"/>
        <v>5.0874586774249289E-4</v>
      </c>
      <c r="AD43">
        <f t="shared" si="11"/>
        <v>7.6274885032415732E-8</v>
      </c>
      <c r="AE43">
        <f t="shared" si="12"/>
        <v>1.0082963559036457E-7</v>
      </c>
      <c r="AF43">
        <f t="shared" si="13"/>
        <v>1.41354256341625E-7</v>
      </c>
    </row>
    <row r="44" spans="1:32" x14ac:dyDescent="0.3">
      <c r="A44" t="s">
        <v>79</v>
      </c>
      <c r="B44">
        <v>90570</v>
      </c>
      <c r="C44">
        <v>430</v>
      </c>
      <c r="D44" t="s">
        <v>16</v>
      </c>
      <c r="E44" t="s">
        <v>72</v>
      </c>
      <c r="F44" s="18">
        <f t="shared" si="6"/>
        <v>3600</v>
      </c>
      <c r="G44">
        <v>60</v>
      </c>
      <c r="H44" t="s">
        <v>80</v>
      </c>
      <c r="I44" s="1">
        <v>45089.509722222225</v>
      </c>
      <c r="J44">
        <v>499.60036700000001</v>
      </c>
      <c r="K44">
        <v>10000.694750000001</v>
      </c>
      <c r="L44">
        <v>239.11702299999999</v>
      </c>
      <c r="M44">
        <v>2.3907999999999999E-2</v>
      </c>
      <c r="N44">
        <v>9.6897999999999998E-2</v>
      </c>
      <c r="O44">
        <v>9.0623999999999996E-2</v>
      </c>
      <c r="P44">
        <f t="shared" si="1"/>
        <v>5.2561919999999998E-3</v>
      </c>
      <c r="R44" s="28">
        <f t="shared" si="2"/>
        <v>1812509070943.8843</v>
      </c>
      <c r="S44" s="28">
        <f t="shared" si="14"/>
        <v>1.1585711982492924E-3</v>
      </c>
      <c r="T44" s="3">
        <f t="shared" si="3"/>
        <v>4.1708563136974526</v>
      </c>
      <c r="U44">
        <f t="shared" si="4"/>
        <v>3.3836484209559543E-2</v>
      </c>
      <c r="W44" s="29">
        <f t="shared" si="7"/>
        <v>2.6126109999999994</v>
      </c>
      <c r="X44" s="29">
        <f t="shared" si="5"/>
        <v>2.7032349999999994</v>
      </c>
      <c r="Z44">
        <f t="shared" si="8"/>
        <v>3.1328518479064075E-4</v>
      </c>
      <c r="AA44">
        <f t="shared" si="9"/>
        <v>4.591174768515733E-4</v>
      </c>
      <c r="AB44">
        <f t="shared" si="10"/>
        <v>6.3053918915538998E-4</v>
      </c>
      <c r="AD44">
        <f t="shared" si="11"/>
        <v>8.7037296901663835E-8</v>
      </c>
      <c r="AE44">
        <f t="shared" si="12"/>
        <v>1.2756191765288998E-7</v>
      </c>
      <c r="AF44">
        <f t="shared" si="13"/>
        <v>1.7520501738683298E-7</v>
      </c>
    </row>
    <row r="45" spans="1:32" x14ac:dyDescent="0.3">
      <c r="A45" t="s">
        <v>81</v>
      </c>
      <c r="B45">
        <v>90571</v>
      </c>
      <c r="C45">
        <v>440</v>
      </c>
      <c r="D45" t="s">
        <v>16</v>
      </c>
      <c r="E45" t="s">
        <v>72</v>
      </c>
      <c r="F45" s="18">
        <f t="shared" si="6"/>
        <v>3600</v>
      </c>
      <c r="G45">
        <v>60</v>
      </c>
      <c r="H45" t="s">
        <v>82</v>
      </c>
      <c r="I45" s="1">
        <v>45089.582638888889</v>
      </c>
      <c r="J45">
        <v>508.88887799999998</v>
      </c>
      <c r="K45">
        <v>10106.10896</v>
      </c>
      <c r="L45">
        <v>273.30746499999998</v>
      </c>
      <c r="M45">
        <v>2.7043000000000001E-2</v>
      </c>
      <c r="N45">
        <v>0.10960399999999999</v>
      </c>
      <c r="O45">
        <v>0.10333000000000001</v>
      </c>
      <c r="P45">
        <f t="shared" si="1"/>
        <v>5.993140000000001E-3</v>
      </c>
      <c r="R45" s="28">
        <f t="shared" si="2"/>
        <v>1903912123889.1909</v>
      </c>
      <c r="S45" s="28">
        <f t="shared" si="14"/>
        <v>1.2343082829227873E-3</v>
      </c>
      <c r="T45" s="3">
        <f t="shared" si="3"/>
        <v>4.4435098185220347</v>
      </c>
      <c r="U45">
        <f t="shared" si="4"/>
        <v>3.6000314495105573E-2</v>
      </c>
      <c r="W45" s="29">
        <f t="shared" si="7"/>
        <v>2.7032349999999994</v>
      </c>
      <c r="X45" s="29">
        <f t="shared" si="5"/>
        <v>2.8065649999999995</v>
      </c>
      <c r="Z45">
        <f t="shared" si="8"/>
        <v>3.5228877677783067E-4</v>
      </c>
      <c r="AA45">
        <f t="shared" si="9"/>
        <v>5.2372881025190658E-4</v>
      </c>
      <c r="AB45">
        <f t="shared" si="10"/>
        <v>7.0619664998108607E-4</v>
      </c>
      <c r="AD45">
        <f t="shared" si="11"/>
        <v>9.7875234735193202E-8</v>
      </c>
      <c r="AE45">
        <f t="shared" si="12"/>
        <v>1.4551833446913292E-7</v>
      </c>
      <c r="AF45">
        <f t="shared" si="13"/>
        <v>1.9623503452615209E-7</v>
      </c>
    </row>
    <row r="46" spans="1:32" x14ac:dyDescent="0.3">
      <c r="A46" t="s">
        <v>83</v>
      </c>
      <c r="B46">
        <v>90572</v>
      </c>
      <c r="C46">
        <v>450</v>
      </c>
      <c r="D46" t="s">
        <v>16</v>
      </c>
      <c r="E46" t="s">
        <v>72</v>
      </c>
      <c r="F46" s="18">
        <f t="shared" si="6"/>
        <v>3600</v>
      </c>
      <c r="G46">
        <v>60</v>
      </c>
      <c r="H46" t="s">
        <v>84</v>
      </c>
      <c r="I46" s="1">
        <v>45089.655555555553</v>
      </c>
      <c r="J46">
        <v>510.542846</v>
      </c>
      <c r="K46">
        <v>10145.583500000001</v>
      </c>
      <c r="L46">
        <v>314.68331899999998</v>
      </c>
      <c r="M46">
        <v>3.1015999999999998E-2</v>
      </c>
      <c r="N46">
        <v>0.12570700000000001</v>
      </c>
      <c r="O46">
        <v>0.119433</v>
      </c>
      <c r="P46">
        <f t="shared" si="1"/>
        <v>6.9271139999999998E-3</v>
      </c>
      <c r="R46" s="28">
        <f t="shared" si="2"/>
        <v>1997204578958.6558</v>
      </c>
      <c r="S46" s="28">
        <f t="shared" si="14"/>
        <v>1.3129496280350084E-3</v>
      </c>
      <c r="T46" s="3">
        <f t="shared" si="3"/>
        <v>4.7266186609260306</v>
      </c>
      <c r="U46">
        <f t="shared" si="4"/>
        <v>3.8975737931465526E-2</v>
      </c>
      <c r="W46" s="29">
        <f t="shared" si="7"/>
        <v>2.8065649999999995</v>
      </c>
      <c r="X46" s="29">
        <f t="shared" si="5"/>
        <v>2.9259979999999994</v>
      </c>
      <c r="Z46">
        <f t="shared" si="8"/>
        <v>4.2317798280334614E-4</v>
      </c>
      <c r="AA46">
        <f t="shared" si="9"/>
        <v>6.0566417943883381E-4</v>
      </c>
      <c r="AB46">
        <f t="shared" si="10"/>
        <v>8.0331648937230363E-4</v>
      </c>
      <c r="AD46">
        <f t="shared" si="11"/>
        <v>1.1757431885410252E-7</v>
      </c>
      <c r="AE46">
        <f t="shared" si="12"/>
        <v>1.6829101891112729E-7</v>
      </c>
      <c r="AF46">
        <f t="shared" si="13"/>
        <v>2.2323314471264415E-7</v>
      </c>
    </row>
    <row r="47" spans="1:32" x14ac:dyDescent="0.3">
      <c r="A47" t="s">
        <v>85</v>
      </c>
      <c r="B47">
        <v>90573</v>
      </c>
      <c r="C47">
        <v>435</v>
      </c>
      <c r="D47" t="s">
        <v>16</v>
      </c>
      <c r="E47" t="s">
        <v>17</v>
      </c>
      <c r="F47" s="18">
        <f t="shared" si="6"/>
        <v>3600</v>
      </c>
      <c r="G47">
        <v>60</v>
      </c>
      <c r="H47" t="s">
        <v>86</v>
      </c>
      <c r="I47" s="1">
        <v>45089.728472222225</v>
      </c>
      <c r="J47">
        <v>503.751869</v>
      </c>
      <c r="K47">
        <v>9970.2183189999996</v>
      </c>
      <c r="L47">
        <v>97.802583999999996</v>
      </c>
      <c r="M47">
        <v>9.809E-3</v>
      </c>
      <c r="N47">
        <v>3.9756E-2</v>
      </c>
      <c r="O47">
        <v>3.3481999999999998E-2</v>
      </c>
      <c r="P47">
        <f t="shared" si="1"/>
        <v>1.9419559999999999E-3</v>
      </c>
      <c r="R47" s="28">
        <f t="shared" si="2"/>
        <v>1857971258564.8035</v>
      </c>
      <c r="S47" s="28">
        <f t="shared" si="14"/>
        <v>1.1960778926217895E-3</v>
      </c>
      <c r="T47" s="3">
        <f t="shared" si="3"/>
        <v>4.3058804134384419</v>
      </c>
      <c r="U47">
        <f t="shared" si="4"/>
        <v>1.2069969059363939E-2</v>
      </c>
      <c r="W47" s="29">
        <f t="shared" si="7"/>
        <v>2.9259979999999994</v>
      </c>
      <c r="X47" s="29">
        <f t="shared" si="5"/>
        <v>2.9594799999999992</v>
      </c>
      <c r="Z47">
        <f t="shared" si="8"/>
        <v>-2.7882037197581937E-5</v>
      </c>
      <c r="AA47">
        <f t="shared" si="9"/>
        <v>1.6989557049742156E-4</v>
      </c>
      <c r="AB47">
        <f t="shared" si="10"/>
        <v>2.3114144228605015E-4</v>
      </c>
      <c r="AD47">
        <f t="shared" si="11"/>
        <v>-7.7449023613132983E-9</v>
      </c>
      <c r="AE47">
        <f t="shared" si="12"/>
        <v>4.7197223440194086E-8</v>
      </c>
      <c r="AF47">
        <f t="shared" si="13"/>
        <v>6.4213377662866887E-8</v>
      </c>
    </row>
    <row r="48" spans="1:32" x14ac:dyDescent="0.3">
      <c r="A48" t="s">
        <v>87</v>
      </c>
      <c r="B48">
        <v>90574</v>
      </c>
      <c r="C48">
        <v>425</v>
      </c>
      <c r="D48" t="s">
        <v>16</v>
      </c>
      <c r="E48" t="s">
        <v>72</v>
      </c>
      <c r="F48" s="18">
        <f t="shared" si="6"/>
        <v>3600</v>
      </c>
      <c r="G48">
        <v>60</v>
      </c>
      <c r="H48" t="s">
        <v>88</v>
      </c>
      <c r="I48" s="1">
        <v>45089.801388888889</v>
      </c>
      <c r="J48">
        <v>494.23258800000002</v>
      </c>
      <c r="K48">
        <v>9977.3014320000002</v>
      </c>
      <c r="L48">
        <v>54.722020999999998</v>
      </c>
      <c r="M48">
        <v>5.4850000000000003E-3</v>
      </c>
      <c r="N48">
        <v>2.223E-2</v>
      </c>
      <c r="O48">
        <v>1.5956000000000001E-2</v>
      </c>
      <c r="P48">
        <f t="shared" si="1"/>
        <v>9.2544800000000016E-4</v>
      </c>
      <c r="R48" s="28">
        <f t="shared" si="2"/>
        <v>1767531850388.8208</v>
      </c>
      <c r="S48" s="28">
        <f t="shared" si="14"/>
        <v>1.1217856628016796E-3</v>
      </c>
      <c r="T48" s="3">
        <f t="shared" si="3"/>
        <v>4.0384283860860464</v>
      </c>
      <c r="U48">
        <f t="shared" si="4"/>
        <v>6.1768470696860669E-3</v>
      </c>
      <c r="W48" s="29">
        <f t="shared" si="7"/>
        <v>2.9594799999999992</v>
      </c>
      <c r="X48" s="29">
        <f t="shared" si="5"/>
        <v>2.9754359999999993</v>
      </c>
      <c r="Z48">
        <f t="shared" si="8"/>
        <v>1.9723197030813642E-5</v>
      </c>
      <c r="AA48">
        <f t="shared" si="9"/>
        <v>8.0978267820243274E-5</v>
      </c>
      <c r="AB48">
        <f t="shared" si="10"/>
        <v>1.1232637362957663E-4</v>
      </c>
      <c r="AD48">
        <f t="shared" si="11"/>
        <v>5.4787198710043531E-9</v>
      </c>
      <c r="AE48">
        <f t="shared" si="12"/>
        <v>2.2494874093672242E-8</v>
      </c>
      <c r="AF48">
        <f t="shared" si="13"/>
        <v>3.1203522974758097E-8</v>
      </c>
    </row>
    <row r="49" spans="1:32" s="23" customFormat="1" x14ac:dyDescent="0.3">
      <c r="A49" s="23" t="s">
        <v>89</v>
      </c>
      <c r="B49" s="23">
        <v>90575</v>
      </c>
      <c r="C49" s="23">
        <v>415</v>
      </c>
      <c r="D49" s="23" t="s">
        <v>16</v>
      </c>
      <c r="E49" s="23" t="s">
        <v>72</v>
      </c>
      <c r="F49" s="18">
        <f t="shared" si="6"/>
        <v>3600</v>
      </c>
      <c r="G49" s="23">
        <v>60</v>
      </c>
      <c r="H49" s="23" t="s">
        <v>90</v>
      </c>
      <c r="I49" s="24">
        <v>45089.873611111114</v>
      </c>
      <c r="J49" s="23">
        <v>485.464855</v>
      </c>
      <c r="K49" s="23">
        <v>9993.5602070000004</v>
      </c>
      <c r="L49" s="23">
        <v>34.708770999999999</v>
      </c>
      <c r="M49" s="23">
        <v>3.473E-3</v>
      </c>
      <c r="N49" s="23">
        <v>1.4076E-2</v>
      </c>
      <c r="O49" s="23">
        <v>7.8019999999999999E-3</v>
      </c>
      <c r="P49" s="23">
        <f t="shared" si="1"/>
        <v>4.5251600000000003E-4</v>
      </c>
      <c r="R49" s="25">
        <f t="shared" si="2"/>
        <v>1679057282637.5398</v>
      </c>
      <c r="S49" s="25">
        <f t="shared" si="14"/>
        <v>1.0503672328905139E-3</v>
      </c>
      <c r="T49" s="26">
        <f t="shared" si="3"/>
        <v>3.7813220384058503</v>
      </c>
      <c r="U49" s="23">
        <f>O49/((T49)-1) +(U48*EXP(-T49)) +P49</f>
        <v>3.3984428529637667E-3</v>
      </c>
      <c r="W49" s="27">
        <f t="shared" si="7"/>
        <v>2.9754359999999993</v>
      </c>
      <c r="X49" s="27">
        <f t="shared" si="5"/>
        <v>2.9832379999999992</v>
      </c>
      <c r="Z49" s="23">
        <f t="shared" si="8"/>
        <v>8.2487373579626921E-6</v>
      </c>
      <c r="AA49" s="23">
        <f t="shared" si="9"/>
        <v>3.9599123284952429E-5</v>
      </c>
      <c r="AB49" s="23">
        <f t="shared" si="10"/>
        <v>5.6847951471491479E-5</v>
      </c>
      <c r="AD49" s="23">
        <f t="shared" si="11"/>
        <v>2.2913253830450134E-9</v>
      </c>
      <c r="AE49" s="23">
        <f t="shared" si="12"/>
        <v>1.0999974264160005E-8</v>
      </c>
      <c r="AF49" s="23">
        <f t="shared" si="13"/>
        <v>1.5791546493770383E-8</v>
      </c>
    </row>
    <row r="50" spans="1:32" s="23" customFormat="1" x14ac:dyDescent="0.3">
      <c r="A50" s="23" t="s">
        <v>91</v>
      </c>
      <c r="B50" s="23">
        <v>90576</v>
      </c>
      <c r="C50" s="23">
        <v>405</v>
      </c>
      <c r="D50" s="23" t="s">
        <v>16</v>
      </c>
      <c r="E50" s="23" t="s">
        <v>72</v>
      </c>
      <c r="F50" s="18">
        <f t="shared" si="6"/>
        <v>3600</v>
      </c>
      <c r="G50" s="23">
        <v>60</v>
      </c>
      <c r="H50" s="23" t="s">
        <v>92</v>
      </c>
      <c r="I50" s="24">
        <v>45089.946527777778</v>
      </c>
      <c r="J50" s="23">
        <v>474.78163899999998</v>
      </c>
      <c r="K50" s="23">
        <v>9995.9571329999999</v>
      </c>
      <c r="L50" s="23">
        <v>24.215039000000001</v>
      </c>
      <c r="M50" s="23">
        <v>2.4229999999999998E-3</v>
      </c>
      <c r="N50" s="23">
        <v>9.8180000000000003E-3</v>
      </c>
      <c r="O50" s="23">
        <v>3.5439999999999998E-3</v>
      </c>
      <c r="P50" s="23">
        <f t="shared" si="1"/>
        <v>2.0555200000000001E-4</v>
      </c>
      <c r="R50" s="25">
        <f t="shared" si="2"/>
        <v>1592597056894.6694</v>
      </c>
      <c r="S50" s="25">
        <f t="shared" si="14"/>
        <v>9.8179952306167817E-4</v>
      </c>
      <c r="T50" s="26">
        <f t="shared" si="3"/>
        <v>3.5344782830220414</v>
      </c>
      <c r="U50" s="23">
        <f>O50/((T50)-1) +(U49*EXP(-T50)) +P50</f>
        <v>1.7030134764260251E-3</v>
      </c>
      <c r="W50" s="27">
        <f t="shared" si="7"/>
        <v>2.9832379999999992</v>
      </c>
      <c r="X50" s="27">
        <f t="shared" si="5"/>
        <v>2.9867819999999994</v>
      </c>
      <c r="Z50" s="23">
        <f t="shared" si="8"/>
        <v>7.3881864868527995E-7</v>
      </c>
      <c r="AA50" s="23">
        <f t="shared" si="9"/>
        <v>1.7988317156486411E-5</v>
      </c>
      <c r="AB50" s="23">
        <f t="shared" si="10"/>
        <v>2.6632320129319888E-5</v>
      </c>
      <c r="AD50" s="23">
        <f t="shared" si="11"/>
        <v>2.0522747823087257E-10</v>
      </c>
      <c r="AE50" s="23">
        <f t="shared" si="12"/>
        <v>4.996799707835938E-9</v>
      </c>
      <c r="AF50" s="23">
        <f t="shared" si="13"/>
        <v>7.3979652155202268E-9</v>
      </c>
    </row>
    <row r="51" spans="1:32" x14ac:dyDescent="0.3">
      <c r="A51" t="s">
        <v>93</v>
      </c>
      <c r="B51">
        <v>90577</v>
      </c>
      <c r="C51">
        <v>455</v>
      </c>
      <c r="D51" t="s">
        <v>16</v>
      </c>
      <c r="E51" t="s">
        <v>72</v>
      </c>
      <c r="F51" s="18">
        <f t="shared" si="6"/>
        <v>3600</v>
      </c>
      <c r="G51">
        <v>60</v>
      </c>
      <c r="H51" t="s">
        <v>94</v>
      </c>
      <c r="I51" s="1">
        <v>45090.018750000003</v>
      </c>
      <c r="J51">
        <v>485.56359400000002</v>
      </c>
      <c r="K51">
        <v>10026.098690000001</v>
      </c>
      <c r="L51">
        <v>173.93023299999999</v>
      </c>
      <c r="M51">
        <v>1.7347000000000001E-2</v>
      </c>
      <c r="N51">
        <v>7.0305999999999993E-2</v>
      </c>
      <c r="O51">
        <v>6.4032000000000006E-2</v>
      </c>
      <c r="P51">
        <f t="shared" si="1"/>
        <v>3.7138560000000006E-3</v>
      </c>
      <c r="R51" s="28">
        <f t="shared" si="2"/>
        <v>2044543452579.9326</v>
      </c>
      <c r="S51" s="28">
        <f t="shared" si="14"/>
        <v>1.3533649926629793E-3</v>
      </c>
      <c r="T51" s="3">
        <f t="shared" si="3"/>
        <v>4.8721139735867256</v>
      </c>
      <c r="U51">
        <f t="shared" si="4"/>
        <v>2.025055931937244E-2</v>
      </c>
      <c r="W51" s="29">
        <f t="shared" si="7"/>
        <v>2.9867819999999994</v>
      </c>
      <c r="X51" s="29">
        <f t="shared" si="5"/>
        <v>3.0508139999999995</v>
      </c>
      <c r="Z51">
        <f t="shared" si="8"/>
        <v>3.1637230203441434E-4</v>
      </c>
      <c r="AA51">
        <f t="shared" si="9"/>
        <v>3.2501372572879859E-4</v>
      </c>
      <c r="AB51">
        <f t="shared" si="10"/>
        <v>4.2780154638848877E-4</v>
      </c>
      <c r="AD51">
        <f t="shared" si="11"/>
        <v>8.7895099530290266E-8</v>
      </c>
      <c r="AE51">
        <f t="shared" si="12"/>
        <v>9.0296265037972234E-8</v>
      </c>
      <c r="AF51">
        <f t="shared" si="13"/>
        <v>1.1885918877118791E-7</v>
      </c>
    </row>
    <row r="52" spans="1:32" x14ac:dyDescent="0.3">
      <c r="A52" t="s">
        <v>95</v>
      </c>
      <c r="B52">
        <v>90578</v>
      </c>
      <c r="C52">
        <v>464.9</v>
      </c>
      <c r="D52" t="s">
        <v>16</v>
      </c>
      <c r="E52" t="s">
        <v>72</v>
      </c>
      <c r="F52" s="18">
        <f t="shared" si="6"/>
        <v>3600</v>
      </c>
      <c r="G52">
        <v>60</v>
      </c>
      <c r="H52" t="s">
        <v>96</v>
      </c>
      <c r="I52" s="1">
        <v>45090.091666666667</v>
      </c>
      <c r="J52">
        <v>493.73046900000003</v>
      </c>
      <c r="K52">
        <v>10130.774520000001</v>
      </c>
      <c r="L52">
        <v>362.89326599999998</v>
      </c>
      <c r="M52">
        <v>3.5819999999999998E-2</v>
      </c>
      <c r="N52">
        <v>0.145177</v>
      </c>
      <c r="O52">
        <v>0.138903</v>
      </c>
      <c r="P52">
        <f t="shared" si="1"/>
        <v>8.0563739999999998E-3</v>
      </c>
      <c r="R52" s="28">
        <f t="shared" si="2"/>
        <v>2139605444893.4753</v>
      </c>
      <c r="S52" s="28">
        <f t="shared" si="14"/>
        <v>1.4355503152221425E-3</v>
      </c>
      <c r="T52" s="3">
        <f t="shared" si="3"/>
        <v>5.1679811347997138</v>
      </c>
      <c r="U52">
        <f t="shared" si="4"/>
        <v>4.1382580503253469E-2</v>
      </c>
      <c r="W52" s="29">
        <f t="shared" si="7"/>
        <v>3.0508139999999995</v>
      </c>
      <c r="X52" s="29">
        <f t="shared" si="5"/>
        <v>3.1897169999999995</v>
      </c>
      <c r="Z52">
        <f t="shared" si="8"/>
        <v>6.0251400036826137E-4</v>
      </c>
      <c r="AA52">
        <f t="shared" si="9"/>
        <v>7.0527328810589751E-4</v>
      </c>
      <c r="AB52">
        <f t="shared" si="10"/>
        <v>9.1539134618841972E-4</v>
      </c>
      <c r="AD52">
        <f t="shared" si="11"/>
        <v>1.67415440241772E-7</v>
      </c>
      <c r="AE52">
        <f t="shared" si="12"/>
        <v>1.9597836397499567E-7</v>
      </c>
      <c r="AF52">
        <f t="shared" si="13"/>
        <v>2.5439182575107438E-7</v>
      </c>
    </row>
    <row r="53" spans="1:32" x14ac:dyDescent="0.3">
      <c r="A53" t="s">
        <v>97</v>
      </c>
      <c r="B53">
        <v>90579</v>
      </c>
      <c r="C53">
        <v>474.9</v>
      </c>
      <c r="D53" t="s">
        <v>16</v>
      </c>
      <c r="E53" t="s">
        <v>72</v>
      </c>
      <c r="F53" s="18">
        <f t="shared" si="6"/>
        <v>3600</v>
      </c>
      <c r="G53">
        <v>60</v>
      </c>
      <c r="H53" t="s">
        <v>98</v>
      </c>
      <c r="J53">
        <v>507.65502099999998</v>
      </c>
      <c r="K53">
        <v>10114.974749999999</v>
      </c>
      <c r="L53">
        <v>322.08448700000002</v>
      </c>
      <c r="M53">
        <v>3.1842000000000002E-2</v>
      </c>
      <c r="N53">
        <v>0.129052</v>
      </c>
      <c r="O53">
        <v>0.122778</v>
      </c>
      <c r="P53">
        <f t="shared" si="1"/>
        <v>7.1211240000000004E-3</v>
      </c>
      <c r="R53" s="28">
        <f t="shared" si="2"/>
        <v>2237380960907.1265</v>
      </c>
      <c r="S53" s="28">
        <f t="shared" si="14"/>
        <v>1.5214955463252594E-3</v>
      </c>
      <c r="T53" s="3">
        <f t="shared" si="3"/>
        <v>5.4773839667709341</v>
      </c>
      <c r="U53">
        <f t="shared" si="4"/>
        <v>3.4542940156756116E-2</v>
      </c>
      <c r="W53" s="29">
        <f t="shared" si="7"/>
        <v>3.1897169999999995</v>
      </c>
      <c r="X53" s="29">
        <f t="shared" si="5"/>
        <v>3.3124949999999993</v>
      </c>
      <c r="Z53">
        <f t="shared" si="8"/>
        <v>4.1365998042992315E-4</v>
      </c>
      <c r="AA53">
        <f t="shared" si="9"/>
        <v>6.238393549792314E-4</v>
      </c>
      <c r="AB53">
        <f t="shared" si="10"/>
        <v>7.9935325410185061E-4</v>
      </c>
      <c r="AD53">
        <f t="shared" si="11"/>
        <v>1.1492932258928197E-7</v>
      </c>
      <c r="AE53">
        <f t="shared" si="12"/>
        <v>1.7334278436533172E-7</v>
      </c>
      <c r="AF53">
        <f t="shared" si="13"/>
        <v>2.2213136313041482E-7</v>
      </c>
    </row>
    <row r="54" spans="1:32" x14ac:dyDescent="0.3">
      <c r="A54" t="s">
        <v>99</v>
      </c>
      <c r="B54">
        <v>90580</v>
      </c>
      <c r="C54">
        <v>485</v>
      </c>
      <c r="D54" t="s">
        <v>16</v>
      </c>
      <c r="E54" t="s">
        <v>72</v>
      </c>
      <c r="F54" s="18">
        <f t="shared" si="6"/>
        <v>3600</v>
      </c>
      <c r="G54">
        <v>60</v>
      </c>
      <c r="H54" t="s">
        <v>100</v>
      </c>
      <c r="I54" s="1">
        <v>45090.237500000003</v>
      </c>
      <c r="J54">
        <v>520.854871</v>
      </c>
      <c r="K54">
        <v>10150.490959999999</v>
      </c>
      <c r="L54">
        <v>351.13452699999999</v>
      </c>
      <c r="M54">
        <v>3.4592999999999999E-2</v>
      </c>
      <c r="N54">
        <v>0.14020099999999999</v>
      </c>
      <c r="O54">
        <v>0.13392699999999999</v>
      </c>
      <c r="P54">
        <f t="shared" si="1"/>
        <v>7.7677659999999997E-3</v>
      </c>
      <c r="R54" s="28">
        <f t="shared" si="2"/>
        <v>2337870764032.2349</v>
      </c>
      <c r="S54" s="28">
        <f t="shared" si="14"/>
        <v>1.6113019018932657E-3</v>
      </c>
      <c r="T54" s="3">
        <f t="shared" si="3"/>
        <v>5.8006868468157569</v>
      </c>
      <c r="U54">
        <f t="shared" si="4"/>
        <v>3.5665232398757567E-2</v>
      </c>
      <c r="W54" s="29">
        <f t="shared" si="7"/>
        <v>3.3124949999999993</v>
      </c>
      <c r="X54" s="29">
        <f t="shared" si="5"/>
        <v>3.4464219999999992</v>
      </c>
      <c r="Z54">
        <f t="shared" si="8"/>
        <v>5.0537789414532397E-4</v>
      </c>
      <c r="AA54">
        <f t="shared" si="9"/>
        <v>6.809125978795654E-4</v>
      </c>
      <c r="AB54">
        <f t="shared" si="10"/>
        <v>8.6224202395956766E-4</v>
      </c>
      <c r="AD54">
        <f t="shared" si="11"/>
        <v>1.4041823349866664E-7</v>
      </c>
      <c r="AE54">
        <f t="shared" si="12"/>
        <v>1.8920681226377139E-7</v>
      </c>
      <c r="AF54">
        <f t="shared" si="13"/>
        <v>2.3961499123138443E-7</v>
      </c>
    </row>
    <row r="55" spans="1:32" x14ac:dyDescent="0.3">
      <c r="A55" t="s">
        <v>101</v>
      </c>
      <c r="B55">
        <v>90581</v>
      </c>
      <c r="C55">
        <v>495</v>
      </c>
      <c r="D55" t="s">
        <v>16</v>
      </c>
      <c r="E55" t="s">
        <v>72</v>
      </c>
      <c r="F55" s="18">
        <f t="shared" si="6"/>
        <v>3600</v>
      </c>
      <c r="G55">
        <v>60</v>
      </c>
      <c r="H55" t="s">
        <v>102</v>
      </c>
      <c r="I55" s="1">
        <v>45090.30972222222</v>
      </c>
      <c r="J55">
        <v>537.97318199999995</v>
      </c>
      <c r="K55">
        <v>10180.725979999999</v>
      </c>
      <c r="L55">
        <v>483.37671799999998</v>
      </c>
      <c r="M55">
        <v>4.7480000000000001E-2</v>
      </c>
      <c r="N55">
        <v>0.19243099999999999</v>
      </c>
      <c r="O55">
        <v>0.18615699999999999</v>
      </c>
      <c r="P55">
        <f t="shared" si="1"/>
        <v>1.0797106000000001E-2</v>
      </c>
      <c r="R55" s="28">
        <f t="shared" si="2"/>
        <v>2439033220502.8208</v>
      </c>
      <c r="S55" s="28">
        <f t="shared" si="14"/>
        <v>1.703201966011697E-3</v>
      </c>
      <c r="T55" s="3">
        <f t="shared" si="3"/>
        <v>6.1315270776421098</v>
      </c>
      <c r="U55">
        <f t="shared" si="4"/>
        <v>4.7074221405096421E-2</v>
      </c>
      <c r="W55" s="29">
        <f t="shared" si="7"/>
        <v>3.4464219999999992</v>
      </c>
      <c r="X55" s="29">
        <f t="shared" si="5"/>
        <v>3.6325789999999993</v>
      </c>
      <c r="Z55">
        <f t="shared" si="8"/>
        <v>7.6579160383822838E-4</v>
      </c>
      <c r="AA55">
        <f t="shared" si="9"/>
        <v>9.4710562836968556E-4</v>
      </c>
      <c r="AB55">
        <f t="shared" si="10"/>
        <v>1.1866037941323888E-3</v>
      </c>
      <c r="AD55">
        <f t="shared" si="11"/>
        <v>2.1280138111407724E-7</v>
      </c>
      <c r="AE55">
        <f t="shared" si="12"/>
        <v>2.6320956008167725E-7</v>
      </c>
      <c r="AF55">
        <f t="shared" si="13"/>
        <v>3.2980787939850644E-7</v>
      </c>
    </row>
    <row r="56" spans="1:32" x14ac:dyDescent="0.3">
      <c r="A56" t="s">
        <v>104</v>
      </c>
      <c r="B56">
        <v>90583</v>
      </c>
      <c r="C56">
        <v>490</v>
      </c>
      <c r="D56" t="s">
        <v>16</v>
      </c>
      <c r="E56" t="s">
        <v>72</v>
      </c>
      <c r="F56" s="18">
        <f t="shared" si="6"/>
        <v>3600</v>
      </c>
      <c r="G56">
        <v>60</v>
      </c>
      <c r="H56" t="s">
        <v>105</v>
      </c>
      <c r="I56" s="1">
        <v>45090.413888888892</v>
      </c>
      <c r="J56">
        <v>532.90150400000005</v>
      </c>
      <c r="K56">
        <v>10215.258819999999</v>
      </c>
      <c r="L56">
        <v>200.37439900000001</v>
      </c>
      <c r="M56">
        <v>1.9615E-2</v>
      </c>
      <c r="N56">
        <v>7.9497999999999999E-2</v>
      </c>
      <c r="O56">
        <v>7.3223999999999997E-2</v>
      </c>
      <c r="P56">
        <f t="shared" si="1"/>
        <v>4.2469919999999998E-3</v>
      </c>
      <c r="R56" s="28">
        <f t="shared" si="2"/>
        <v>2388247803540.0972</v>
      </c>
      <c r="S56" s="28">
        <f t="shared" si="14"/>
        <v>1.6568803181906261E-3</v>
      </c>
      <c r="T56" s="3">
        <f t="shared" si="3"/>
        <v>5.9647691454862537</v>
      </c>
      <c r="U56">
        <f t="shared" si="4"/>
        <v>1.8995714015921324E-2</v>
      </c>
      <c r="W56" s="29">
        <f t="shared" ref="W56" si="16">O55+W55</f>
        <v>3.6325789999999993</v>
      </c>
      <c r="X56" s="29">
        <f t="shared" ref="X56" si="17">W56+O56</f>
        <v>3.7058029999999995</v>
      </c>
      <c r="Z56">
        <f t="shared" si="8"/>
        <v>1.3319953343600514E-4</v>
      </c>
      <c r="AA56">
        <f t="shared" si="9"/>
        <v>3.7289281300893594E-4</v>
      </c>
      <c r="AB56">
        <f t="shared" si="10"/>
        <v>4.6962838105370507E-4</v>
      </c>
      <c r="AD56">
        <f t="shared" si="11"/>
        <v>3.7002334800479312E-8</v>
      </c>
      <c r="AE56">
        <f t="shared" si="12"/>
        <v>1.0360065411727547E-7</v>
      </c>
      <c r="AF56">
        <f t="shared" si="13"/>
        <v>1.3048296972212223E-7</v>
      </c>
    </row>
    <row r="57" spans="1:32" x14ac:dyDescent="0.3">
      <c r="A57" t="s">
        <v>106</v>
      </c>
      <c r="B57">
        <v>90584</v>
      </c>
      <c r="C57">
        <v>480</v>
      </c>
      <c r="D57" t="s">
        <v>16</v>
      </c>
      <c r="E57" t="s">
        <v>72</v>
      </c>
      <c r="F57" s="18">
        <f t="shared" si="6"/>
        <v>4200</v>
      </c>
      <c r="G57">
        <v>70</v>
      </c>
      <c r="H57" t="s">
        <v>107</v>
      </c>
      <c r="I57" s="1">
        <v>45090.493750000001</v>
      </c>
      <c r="J57">
        <v>523.21289999999999</v>
      </c>
      <c r="K57">
        <v>10113.43456</v>
      </c>
      <c r="L57">
        <v>129.46501599999999</v>
      </c>
      <c r="M57">
        <v>1.2800000000000001E-2</v>
      </c>
      <c r="N57">
        <v>5.1879000000000002E-2</v>
      </c>
      <c r="O57">
        <v>4.5605E-2</v>
      </c>
      <c r="P57">
        <f t="shared" si="1"/>
        <v>2.6450900000000001E-3</v>
      </c>
      <c r="R57" s="28">
        <f t="shared" si="2"/>
        <v>2287908506170.6104</v>
      </c>
      <c r="S57" s="28">
        <f t="shared" si="14"/>
        <v>1.5664655320782391E-3</v>
      </c>
      <c r="T57" s="3">
        <f t="shared" si="3"/>
        <v>6.5791552347286038</v>
      </c>
      <c r="U57">
        <f t="shared" si="4"/>
        <v>1.0819266569980033E-2</v>
      </c>
      <c r="W57" s="29">
        <f t="shared" si="7"/>
        <v>3.7058029999999995</v>
      </c>
      <c r="X57" s="29">
        <f t="shared" si="5"/>
        <v>3.7514079999999996</v>
      </c>
      <c r="Z57">
        <f t="shared" si="8"/>
        <v>1.3557130910953665E-4</v>
      </c>
      <c r="AA57">
        <f t="shared" si="9"/>
        <v>2.3232984314864897E-4</v>
      </c>
      <c r="AB57">
        <f t="shared" si="10"/>
        <v>2.8744745098083587E-4</v>
      </c>
      <c r="AD57">
        <f t="shared" si="11"/>
        <v>3.2281071364324953E-8</v>
      </c>
      <c r="AE57">
        <f t="shared" si="12"/>
        <v>5.5323056168475816E-8</v>
      </c>
      <c r="AF57">
        <f t="shared" si="13"/>
        <v>6.84497075995205E-8</v>
      </c>
    </row>
    <row r="58" spans="1:32" x14ac:dyDescent="0.3">
      <c r="A58" t="s">
        <v>108</v>
      </c>
      <c r="B58">
        <v>90585</v>
      </c>
      <c r="C58">
        <v>470</v>
      </c>
      <c r="D58" t="s">
        <v>16</v>
      </c>
      <c r="E58" t="s">
        <v>72</v>
      </c>
      <c r="F58" s="18">
        <f t="shared" si="6"/>
        <v>4800</v>
      </c>
      <c r="G58">
        <v>80</v>
      </c>
      <c r="H58" t="s">
        <v>109</v>
      </c>
      <c r="I58" s="1">
        <v>45090.580555555556</v>
      </c>
      <c r="J58">
        <v>519.41103499999997</v>
      </c>
      <c r="K58">
        <v>10059.38661</v>
      </c>
      <c r="L58">
        <v>85.128186999999997</v>
      </c>
      <c r="M58">
        <v>8.4620000000000008E-3</v>
      </c>
      <c r="N58">
        <v>3.4296E-2</v>
      </c>
      <c r="O58">
        <v>2.8021999999999998E-2</v>
      </c>
      <c r="P58">
        <f t="shared" si="1"/>
        <v>1.6252759999999999E-3</v>
      </c>
      <c r="R58" s="28">
        <f t="shared" si="2"/>
        <v>2189253988000.7173</v>
      </c>
      <c r="S58" s="28">
        <f t="shared" si="14"/>
        <v>1.4790136336422643E-3</v>
      </c>
      <c r="T58" s="3">
        <f t="shared" si="3"/>
        <v>7.099265441482868</v>
      </c>
      <c r="U58">
        <f t="shared" si="4"/>
        <v>6.2195997376445818E-3</v>
      </c>
      <c r="W58" s="29">
        <f t="shared" si="7"/>
        <v>3.7514079999999996</v>
      </c>
      <c r="X58" s="29">
        <f t="shared" si="5"/>
        <v>3.7794299999999996</v>
      </c>
      <c r="Z58">
        <f t="shared" si="8"/>
        <v>8.7662702192346074E-5</v>
      </c>
      <c r="AA58">
        <f t="shared" si="9"/>
        <v>1.4278828558423492E-4</v>
      </c>
      <c r="AB58">
        <f t="shared" si="10"/>
        <v>1.7448074092498244E-4</v>
      </c>
      <c r="AD58">
        <f t="shared" si="11"/>
        <v>1.8263863498237617E-8</v>
      </c>
      <c r="AE58">
        <f t="shared" si="12"/>
        <v>2.9749683500415508E-8</v>
      </c>
      <c r="AF58">
        <f t="shared" si="13"/>
        <v>3.6353325929224302E-8</v>
      </c>
    </row>
    <row r="59" spans="1:32" x14ac:dyDescent="0.3">
      <c r="A59" t="s">
        <v>110</v>
      </c>
      <c r="B59">
        <v>90586</v>
      </c>
      <c r="C59">
        <v>460</v>
      </c>
      <c r="D59" t="s">
        <v>16</v>
      </c>
      <c r="E59" t="s">
        <v>72</v>
      </c>
      <c r="F59" s="18">
        <f t="shared" si="6"/>
        <v>5400</v>
      </c>
      <c r="G59">
        <v>90</v>
      </c>
      <c r="H59" t="s">
        <v>111</v>
      </c>
      <c r="I59" s="1">
        <v>45090.675694444442</v>
      </c>
      <c r="J59">
        <v>512.83955600000002</v>
      </c>
      <c r="K59">
        <v>9961.0043769999993</v>
      </c>
      <c r="L59">
        <v>50.894156000000002</v>
      </c>
      <c r="M59">
        <v>5.11E-3</v>
      </c>
      <c r="N59">
        <v>2.0709000000000002E-2</v>
      </c>
      <c r="O59">
        <v>1.4435E-2</v>
      </c>
      <c r="P59">
        <f t="shared" si="1"/>
        <v>8.3723000000000001E-4</v>
      </c>
      <c r="R59" s="28">
        <f t="shared" si="2"/>
        <v>2092335580459.2097</v>
      </c>
      <c r="S59" s="28">
        <f t="shared" si="14"/>
        <v>1.3945128775959879E-3</v>
      </c>
      <c r="T59" s="3">
        <f t="shared" si="3"/>
        <v>7.5303695390183361</v>
      </c>
      <c r="U59">
        <f t="shared" si="4"/>
        <v>3.0476715245955454E-3</v>
      </c>
      <c r="W59" s="29">
        <f t="shared" si="7"/>
        <v>3.7794299999999996</v>
      </c>
      <c r="X59" s="29">
        <f t="shared" si="5"/>
        <v>3.7938649999999998</v>
      </c>
      <c r="Z59">
        <f t="shared" si="8"/>
        <v>4.1869517930755963E-5</v>
      </c>
      <c r="AA59">
        <f t="shared" si="9"/>
        <v>7.3565172091794446E-5</v>
      </c>
      <c r="AB59">
        <f t="shared" si="10"/>
        <v>8.9097037709122667E-5</v>
      </c>
      <c r="AD59">
        <f t="shared" si="11"/>
        <v>7.7537767561961489E-9</v>
      </c>
      <c r="AE59">
        <f t="shared" si="12"/>
        <v>1.3623681137364853E-8</v>
      </c>
      <c r="AF59">
        <f t="shared" si="13"/>
        <v>1.650018649739541E-8</v>
      </c>
    </row>
    <row r="60" spans="1:32" x14ac:dyDescent="0.3">
      <c r="A60" t="s">
        <v>112</v>
      </c>
      <c r="B60">
        <v>90587</v>
      </c>
      <c r="C60">
        <v>450</v>
      </c>
      <c r="D60" t="s">
        <v>16</v>
      </c>
      <c r="E60" t="s">
        <v>72</v>
      </c>
      <c r="F60" s="18">
        <f t="shared" si="6"/>
        <v>6000</v>
      </c>
      <c r="G60">
        <v>100</v>
      </c>
      <c r="H60" t="s">
        <v>84</v>
      </c>
      <c r="I60" s="1">
        <v>45090.776388888888</v>
      </c>
      <c r="J60">
        <v>495.44357100000002</v>
      </c>
      <c r="K60">
        <v>9954.7964809999994</v>
      </c>
      <c r="L60">
        <v>37.274102999999997</v>
      </c>
      <c r="M60">
        <v>3.7450000000000001E-3</v>
      </c>
      <c r="N60">
        <v>1.5177E-2</v>
      </c>
      <c r="O60">
        <v>8.9029999999999995E-3</v>
      </c>
      <c r="P60">
        <f t="shared" si="1"/>
        <v>5.16374E-4</v>
      </c>
      <c r="R60" s="28">
        <f t="shared" si="2"/>
        <v>1997204578958.6558</v>
      </c>
      <c r="S60" s="28">
        <f t="shared" si="14"/>
        <v>1.3129496280350084E-3</v>
      </c>
      <c r="T60" s="3">
        <f t="shared" si="3"/>
        <v>7.8776977682100497</v>
      </c>
      <c r="U60">
        <f t="shared" si="4"/>
        <v>1.8108478632091773E-3</v>
      </c>
      <c r="W60" s="29">
        <f t="shared" si="7"/>
        <v>3.7938649999999998</v>
      </c>
      <c r="X60" s="29">
        <f t="shared" si="5"/>
        <v>3.8027679999999999</v>
      </c>
      <c r="Z60">
        <f t="shared" si="8"/>
        <v>2.9843202546561848E-5</v>
      </c>
      <c r="AA60">
        <f t="shared" si="9"/>
        <v>4.537574729760616E-5</v>
      </c>
      <c r="AB60">
        <f t="shared" si="10"/>
        <v>5.4605060454451012E-5</v>
      </c>
      <c r="AD60">
        <f t="shared" si="11"/>
        <v>4.9739413106229825E-9</v>
      </c>
      <c r="AE60">
        <f t="shared" si="12"/>
        <v>7.5627961346560081E-9</v>
      </c>
      <c r="AF60">
        <f t="shared" si="13"/>
        <v>9.1010918941654396E-9</v>
      </c>
    </row>
    <row r="61" spans="1:32" x14ac:dyDescent="0.3">
      <c r="A61" t="s">
        <v>113</v>
      </c>
      <c r="B61">
        <v>90588</v>
      </c>
      <c r="C61">
        <v>500</v>
      </c>
      <c r="D61" t="s">
        <v>16</v>
      </c>
      <c r="E61" t="s">
        <v>72</v>
      </c>
      <c r="F61" s="18">
        <f t="shared" si="6"/>
        <v>3600</v>
      </c>
      <c r="G61">
        <v>60</v>
      </c>
      <c r="H61" t="s">
        <v>103</v>
      </c>
      <c r="I61" s="1">
        <v>45090.848611111112</v>
      </c>
      <c r="J61">
        <v>481.97854799999999</v>
      </c>
      <c r="K61">
        <v>10117.45506</v>
      </c>
      <c r="L61">
        <v>244.10431</v>
      </c>
      <c r="M61">
        <v>2.4126000000000002E-2</v>
      </c>
      <c r="N61">
        <v>9.7782999999999995E-2</v>
      </c>
      <c r="O61">
        <v>9.1508999999999993E-2</v>
      </c>
      <c r="P61">
        <f t="shared" si="1"/>
        <v>5.3075220000000003E-3</v>
      </c>
      <c r="R61" s="28">
        <f t="shared" si="2"/>
        <v>2490220621564.0527</v>
      </c>
      <c r="S61" s="28">
        <f t="shared" si="14"/>
        <v>1.7502679215520547E-3</v>
      </c>
      <c r="T61" s="3">
        <f t="shared" si="3"/>
        <v>6.3009645175873974</v>
      </c>
      <c r="U61">
        <f t="shared" si="4"/>
        <v>2.2570229512263833E-2</v>
      </c>
      <c r="W61" s="29">
        <f t="shared" si="7"/>
        <v>3.8027679999999999</v>
      </c>
      <c r="X61" s="29">
        <f t="shared" si="5"/>
        <v>3.8942769999999998</v>
      </c>
      <c r="Z61">
        <f t="shared" si="8"/>
        <v>4.5718779577040043E-4</v>
      </c>
      <c r="AA61">
        <f t="shared" si="9"/>
        <v>4.6641330801241879E-4</v>
      </c>
      <c r="AB61">
        <f t="shared" si="10"/>
        <v>5.8145177864825229E-4</v>
      </c>
      <c r="AD61">
        <f t="shared" si="11"/>
        <v>1.2702564943765225E-7</v>
      </c>
      <c r="AE61">
        <f t="shared" si="12"/>
        <v>1.2958947570350722E-7</v>
      </c>
      <c r="AF61">
        <f t="shared" si="13"/>
        <v>1.6156135758032853E-7</v>
      </c>
    </row>
    <row r="62" spans="1:32" x14ac:dyDescent="0.3">
      <c r="A62" t="s">
        <v>113</v>
      </c>
      <c r="B62">
        <v>90589</v>
      </c>
      <c r="C62">
        <v>500</v>
      </c>
      <c r="D62" t="s">
        <v>16</v>
      </c>
      <c r="E62" t="s">
        <v>72</v>
      </c>
      <c r="F62" s="18">
        <f t="shared" si="6"/>
        <v>3600</v>
      </c>
      <c r="G62">
        <v>60</v>
      </c>
      <c r="H62" t="s">
        <v>103</v>
      </c>
      <c r="I62" s="1">
        <v>45090.921527777777</v>
      </c>
      <c r="J62">
        <v>485.98414100000002</v>
      </c>
      <c r="K62">
        <v>10079.465620000001</v>
      </c>
      <c r="L62">
        <v>211.136664</v>
      </c>
      <c r="M62">
        <v>2.0945999999999999E-2</v>
      </c>
      <c r="N62">
        <v>8.4893999999999997E-2</v>
      </c>
      <c r="O62">
        <v>7.8619999999999995E-2</v>
      </c>
      <c r="P62">
        <f t="shared" si="1"/>
        <v>4.5599600000000001E-3</v>
      </c>
      <c r="R62" s="28">
        <f t="shared" si="2"/>
        <v>2490220621564.0527</v>
      </c>
      <c r="S62" s="28">
        <f t="shared" si="14"/>
        <v>1.7502679215520547E-3</v>
      </c>
      <c r="T62" s="3">
        <f t="shared" si="3"/>
        <v>6.3009645175873974</v>
      </c>
      <c r="U62">
        <f t="shared" si="4"/>
        <v>1.9391223204867091E-2</v>
      </c>
      <c r="W62" s="29">
        <f t="shared" si="7"/>
        <v>3.8942769999999998</v>
      </c>
      <c r="X62" s="29">
        <f t="shared" si="5"/>
        <v>3.9728969999999997</v>
      </c>
      <c r="Z62">
        <f t="shared" si="8"/>
        <v>2.8584694654181506E-4</v>
      </c>
      <c r="AA62">
        <f t="shared" si="9"/>
        <v>4.0090619894861504E-4</v>
      </c>
      <c r="AB62">
        <f t="shared" si="10"/>
        <v>4.9978767424787034E-4</v>
      </c>
      <c r="AD62">
        <f t="shared" si="11"/>
        <v>7.9413280157564957E-8</v>
      </c>
      <c r="AE62">
        <f t="shared" si="12"/>
        <v>1.113851620344183E-7</v>
      </c>
      <c r="AF62">
        <f t="shared" si="13"/>
        <v>1.3886461381575863E-7</v>
      </c>
    </row>
    <row r="63" spans="1:32" x14ac:dyDescent="0.3">
      <c r="A63" t="s">
        <v>114</v>
      </c>
      <c r="B63">
        <v>90590</v>
      </c>
      <c r="C63">
        <v>510</v>
      </c>
      <c r="D63" t="s">
        <v>16</v>
      </c>
      <c r="E63" t="s">
        <v>72</v>
      </c>
      <c r="F63" s="18">
        <f t="shared" si="6"/>
        <v>3600</v>
      </c>
      <c r="G63">
        <v>60</v>
      </c>
      <c r="H63" t="s">
        <v>115</v>
      </c>
      <c r="I63" s="1">
        <v>45090.994444444441</v>
      </c>
      <c r="J63">
        <v>488.717805</v>
      </c>
      <c r="K63">
        <v>10156.787340000001</v>
      </c>
      <c r="L63">
        <v>425.60588999999999</v>
      </c>
      <c r="M63">
        <v>4.1903999999999997E-2</v>
      </c>
      <c r="N63">
        <v>0.16983200000000001</v>
      </c>
      <c r="O63">
        <v>0.16355800000000001</v>
      </c>
      <c r="P63">
        <f t="shared" si="1"/>
        <v>9.4863640000000006E-3</v>
      </c>
      <c r="R63" s="28">
        <f t="shared" si="2"/>
        <v>2593775873933.1753</v>
      </c>
      <c r="S63" s="28">
        <f t="shared" si="14"/>
        <v>1.8466365300682562E-3</v>
      </c>
      <c r="T63" s="3">
        <f t="shared" si="3"/>
        <v>6.6478915082457224</v>
      </c>
      <c r="U63">
        <f t="shared" si="4"/>
        <v>3.8445489677469386E-2</v>
      </c>
      <c r="W63" s="29">
        <f t="shared" si="7"/>
        <v>3.9728969999999997</v>
      </c>
      <c r="X63" s="29">
        <f t="shared" si="5"/>
        <v>4.1364549999999998</v>
      </c>
      <c r="Z63">
        <f t="shared" si="8"/>
        <v>7.3551584010788133E-4</v>
      </c>
      <c r="AA63">
        <f t="shared" si="9"/>
        <v>8.3436421544218816E-4</v>
      </c>
      <c r="AB63">
        <f t="shared" si="10"/>
        <v>1.0304875529251146E-3</v>
      </c>
      <c r="AD63">
        <f t="shared" si="11"/>
        <v>2.0438512905294891E-7</v>
      </c>
      <c r="AE63">
        <f t="shared" si="12"/>
        <v>2.3186458083427735E-7</v>
      </c>
      <c r="AF63">
        <f t="shared" si="13"/>
        <v>2.8639413062929218E-7</v>
      </c>
    </row>
    <row r="64" spans="1:32" x14ac:dyDescent="0.3">
      <c r="A64" t="s">
        <v>116</v>
      </c>
      <c r="B64">
        <v>90591</v>
      </c>
      <c r="C64">
        <v>520.1</v>
      </c>
      <c r="D64" t="s">
        <v>16</v>
      </c>
      <c r="E64" t="s">
        <v>72</v>
      </c>
      <c r="F64" s="18">
        <f t="shared" si="6"/>
        <v>3600</v>
      </c>
      <c r="G64">
        <v>60</v>
      </c>
      <c r="H64" t="s">
        <v>117</v>
      </c>
      <c r="I64" s="1">
        <v>45091.067361111112</v>
      </c>
      <c r="J64">
        <v>504.280394</v>
      </c>
      <c r="K64">
        <v>10143.958409999999</v>
      </c>
      <c r="L64">
        <v>437.00578899999999</v>
      </c>
      <c r="M64">
        <v>4.308E-2</v>
      </c>
      <c r="N64">
        <v>0.17460000000000001</v>
      </c>
      <c r="O64">
        <v>0.168326</v>
      </c>
      <c r="P64">
        <f t="shared" si="1"/>
        <v>9.7629080000000007E-3</v>
      </c>
      <c r="R64" s="28">
        <f t="shared" si="2"/>
        <v>2699921169068.7378</v>
      </c>
      <c r="S64" s="28">
        <f t="shared" si="14"/>
        <v>1.9470013292409594E-3</v>
      </c>
      <c r="T64" s="3">
        <f t="shared" si="3"/>
        <v>7.0092047852674542</v>
      </c>
      <c r="U64">
        <f t="shared" si="4"/>
        <v>3.7774268240655912E-2</v>
      </c>
      <c r="W64" s="29">
        <f t="shared" si="7"/>
        <v>4.1364549999999998</v>
      </c>
      <c r="X64" s="29">
        <f t="shared" si="5"/>
        <v>4.3047810000000002</v>
      </c>
      <c r="Z64">
        <f t="shared" si="8"/>
        <v>6.6324751345618095E-4</v>
      </c>
      <c r="AA64">
        <f t="shared" si="9"/>
        <v>8.5940443894242811E-4</v>
      </c>
      <c r="AB64">
        <f t="shared" si="10"/>
        <v>1.0522645663370177E-3</v>
      </c>
      <c r="AD64">
        <f t="shared" si="11"/>
        <v>1.8429654427505257E-7</v>
      </c>
      <c r="AE64">
        <f t="shared" si="12"/>
        <v>2.3882609407005269E-7</v>
      </c>
      <c r="AF64">
        <f t="shared" si="13"/>
        <v>2.9244960704989559E-7</v>
      </c>
    </row>
    <row r="65" spans="1:32" x14ac:dyDescent="0.3">
      <c r="A65" t="s">
        <v>118</v>
      </c>
      <c r="B65">
        <v>90592</v>
      </c>
      <c r="C65">
        <v>529.9</v>
      </c>
      <c r="D65" t="s">
        <v>16</v>
      </c>
      <c r="E65" t="s">
        <v>72</v>
      </c>
      <c r="F65" s="18">
        <f t="shared" si="6"/>
        <v>3600</v>
      </c>
      <c r="G65">
        <v>60</v>
      </c>
      <c r="H65" t="s">
        <v>119</v>
      </c>
      <c r="I65" s="1">
        <v>45091.140277777777</v>
      </c>
      <c r="J65">
        <v>514.20229900000004</v>
      </c>
      <c r="K65">
        <v>10132.30032</v>
      </c>
      <c r="L65">
        <v>499.45203099999998</v>
      </c>
      <c r="M65">
        <v>4.9292999999999997E-2</v>
      </c>
      <c r="N65">
        <v>0.19977900000000001</v>
      </c>
      <c r="O65">
        <v>0.19350500000000001</v>
      </c>
      <c r="P65">
        <f t="shared" si="1"/>
        <v>1.122329E-2</v>
      </c>
      <c r="R65" s="28">
        <f t="shared" si="2"/>
        <v>2804357884529.2119</v>
      </c>
      <c r="S65" s="28">
        <f t="shared" si="14"/>
        <v>2.0473029316984423E-3</v>
      </c>
      <c r="T65" s="3">
        <f t="shared" si="3"/>
        <v>7.3702905541143924</v>
      </c>
      <c r="U65">
        <f t="shared" si="4"/>
        <v>4.1599455475689419E-2</v>
      </c>
      <c r="W65" s="29">
        <f t="shared" si="7"/>
        <v>4.3047810000000002</v>
      </c>
      <c r="X65" s="29">
        <f t="shared" si="5"/>
        <v>4.4982860000000002</v>
      </c>
      <c r="Z65">
        <f t="shared" si="8"/>
        <v>7.9593563113760583E-4</v>
      </c>
      <c r="AA65">
        <f t="shared" si="9"/>
        <v>9.8880800966323038E-4</v>
      </c>
      <c r="AB65">
        <f t="shared" si="10"/>
        <v>1.2013806810256791E-3</v>
      </c>
      <c r="AD65">
        <f t="shared" si="11"/>
        <v>2.2118126557807665E-7</v>
      </c>
      <c r="AE65">
        <f t="shared" si="12"/>
        <v>2.748047785579403E-7</v>
      </c>
      <c r="AF65">
        <f t="shared" si="13"/>
        <v>3.3391747702995576E-7</v>
      </c>
    </row>
    <row r="66" spans="1:32" x14ac:dyDescent="0.3">
      <c r="A66" t="s">
        <v>120</v>
      </c>
      <c r="B66">
        <v>90593</v>
      </c>
      <c r="C66">
        <v>540</v>
      </c>
      <c r="D66" t="s">
        <v>16</v>
      </c>
      <c r="E66" t="s">
        <v>72</v>
      </c>
      <c r="F66" s="18">
        <f t="shared" si="6"/>
        <v>3600</v>
      </c>
      <c r="G66">
        <v>60</v>
      </c>
      <c r="H66" t="s">
        <v>121</v>
      </c>
      <c r="I66" s="1">
        <v>45091.213194444441</v>
      </c>
      <c r="J66">
        <v>526.93499599999996</v>
      </c>
      <c r="K66">
        <v>10148.9604</v>
      </c>
      <c r="L66">
        <v>573.63422500000001</v>
      </c>
      <c r="M66">
        <v>5.6521000000000002E-2</v>
      </c>
      <c r="N66">
        <v>0.229077</v>
      </c>
      <c r="O66">
        <v>0.222803</v>
      </c>
      <c r="P66">
        <f t="shared" si="1"/>
        <v>1.2922574000000001E-2</v>
      </c>
      <c r="R66" s="28">
        <f t="shared" si="2"/>
        <v>2913429796314.5552</v>
      </c>
      <c r="S66" s="28">
        <f t="shared" ref="S66" si="18">R66*$C$92*$C$93*(C66+273)</f>
        <v>2.1536856642963729E-3</v>
      </c>
      <c r="T66" s="3">
        <f t="shared" si="3"/>
        <v>7.7532683914669427</v>
      </c>
      <c r="U66">
        <f t="shared" si="4"/>
        <v>4.5914450982339629E-2</v>
      </c>
      <c r="W66" s="29">
        <f t="shared" si="7"/>
        <v>4.4982860000000002</v>
      </c>
      <c r="X66" s="29">
        <f t="shared" si="5"/>
        <v>4.7210890000000001</v>
      </c>
      <c r="Z66">
        <f t="shared" si="8"/>
        <v>9.2706148743729405E-4</v>
      </c>
      <c r="AA66">
        <f t="shared" si="9"/>
        <v>1.1396472974144871E-3</v>
      </c>
      <c r="AB66">
        <f t="shared" si="10"/>
        <v>1.3745017651473871E-3</v>
      </c>
      <c r="AD66">
        <f t="shared" si="11"/>
        <v>2.5763652075230798E-7</v>
      </c>
      <c r="AE66">
        <f t="shared" si="12"/>
        <v>3.1674921922432551E-7</v>
      </c>
      <c r="AF66">
        <f t="shared" si="13"/>
        <v>3.8206868310742847E-7</v>
      </c>
    </row>
    <row r="67" spans="1:32" x14ac:dyDescent="0.3">
      <c r="A67" t="s">
        <v>122</v>
      </c>
      <c r="B67">
        <v>90594</v>
      </c>
      <c r="C67">
        <v>550</v>
      </c>
      <c r="D67" t="s">
        <v>16</v>
      </c>
      <c r="E67" t="s">
        <v>72</v>
      </c>
      <c r="F67" s="18">
        <f t="shared" si="6"/>
        <v>3600</v>
      </c>
      <c r="G67">
        <v>60</v>
      </c>
      <c r="H67" t="s">
        <v>123</v>
      </c>
      <c r="I67" s="1">
        <v>45091.286111111112</v>
      </c>
      <c r="J67">
        <v>548.32279800000003</v>
      </c>
      <c r="K67">
        <v>10152.421120000001</v>
      </c>
      <c r="L67">
        <v>825.04423799999995</v>
      </c>
      <c r="M67">
        <v>8.1266000000000005E-2</v>
      </c>
      <c r="N67">
        <v>0.32936300000000002</v>
      </c>
      <c r="O67">
        <v>0.32308900000000002</v>
      </c>
      <c r="P67">
        <f t="shared" ref="P67:P88" si="19">O67*0.029*2</f>
        <v>1.8739162E-2</v>
      </c>
      <c r="R67" s="28">
        <f t="shared" ref="R67:R87" si="20">(0.000304*EXP(-5580/(1.987*(C67+273))))*(199000000000000000*EXP(680/(1.987*(C67+273))))</f>
        <v>3022810356111.0322</v>
      </c>
      <c r="S67" s="28">
        <f t="shared" ref="S67:S87" si="21">R67*$C$92*$C$93*(C67+273)</f>
        <v>2.2620278662273409E-3</v>
      </c>
      <c r="T67" s="3">
        <f t="shared" ref="T67:T87" si="22">S67*G67*60</f>
        <v>8.1433003184184276</v>
      </c>
      <c r="U67">
        <f t="shared" ref="U67:U87" si="23">O67/((T67)-1) +P67</f>
        <v>6.3968815745194071E-2</v>
      </c>
      <c r="W67" s="29">
        <f t="shared" ref="W67:W87" si="24">O66+W66</f>
        <v>4.7210890000000001</v>
      </c>
      <c r="X67" s="29">
        <f t="shared" ref="X67:X87" si="25">W67+O67</f>
        <v>5.0441780000000005</v>
      </c>
      <c r="Z67">
        <f t="shared" si="8"/>
        <v>1.4197115954631646E-3</v>
      </c>
      <c r="AA67">
        <f t="shared" si="9"/>
        <v>1.6545002137993284E-3</v>
      </c>
      <c r="AB67">
        <f t="shared" si="10"/>
        <v>1.9820768856356132E-3</v>
      </c>
      <c r="AD67">
        <f t="shared" si="11"/>
        <v>3.946445391208401E-7</v>
      </c>
      <c r="AE67">
        <f t="shared" si="12"/>
        <v>4.5996400300391855E-7</v>
      </c>
      <c r="AF67">
        <f t="shared" si="13"/>
        <v>5.5112327764035411E-7</v>
      </c>
    </row>
    <row r="68" spans="1:32" x14ac:dyDescent="0.3">
      <c r="A68" t="s">
        <v>124</v>
      </c>
      <c r="B68">
        <v>90595</v>
      </c>
      <c r="C68">
        <v>540</v>
      </c>
      <c r="D68" t="s">
        <v>16</v>
      </c>
      <c r="E68" t="s">
        <v>72</v>
      </c>
      <c r="F68" s="18">
        <f t="shared" si="6"/>
        <v>4200</v>
      </c>
      <c r="G68">
        <v>70</v>
      </c>
      <c r="H68" t="s">
        <v>121</v>
      </c>
      <c r="I68" s="1">
        <v>45091.365972222222</v>
      </c>
      <c r="J68">
        <v>525.61744699999997</v>
      </c>
      <c r="K68">
        <v>10211.20284</v>
      </c>
      <c r="L68">
        <v>325.697675</v>
      </c>
      <c r="M68">
        <v>3.1896000000000001E-2</v>
      </c>
      <c r="N68">
        <v>0.129272</v>
      </c>
      <c r="O68">
        <v>0.122999</v>
      </c>
      <c r="P68">
        <f t="shared" si="19"/>
        <v>7.1339419999999999E-3</v>
      </c>
      <c r="R68" s="28">
        <f t="shared" si="20"/>
        <v>2913429796314.5552</v>
      </c>
      <c r="S68" s="28">
        <f t="shared" si="21"/>
        <v>2.1536856642963729E-3</v>
      </c>
      <c r="T68" s="3">
        <f t="shared" si="22"/>
        <v>9.0454797900447677</v>
      </c>
      <c r="U68">
        <f t="shared" si="23"/>
        <v>2.2421905329694174E-2</v>
      </c>
      <c r="W68" s="29">
        <f t="shared" si="24"/>
        <v>5.0441780000000005</v>
      </c>
      <c r="X68" s="29">
        <f t="shared" si="25"/>
        <v>5.1671770000000006</v>
      </c>
      <c r="Z68">
        <f t="shared" si="8"/>
        <v>3.0288687438872862E-4</v>
      </c>
      <c r="AA68">
        <f t="shared" si="9"/>
        <v>6.3090703697989581E-4</v>
      </c>
      <c r="AB68">
        <f t="shared" si="10"/>
        <v>7.4591722287572495E-4</v>
      </c>
      <c r="AD68">
        <f t="shared" si="11"/>
        <v>7.2126846162500073E-8</v>
      </c>
      <c r="AE68">
        <f t="shared" si="12"/>
        <v>1.5026336727944859E-7</v>
      </c>
      <c r="AF68">
        <f t="shared" si="13"/>
        <v>1.776656089394776E-7</v>
      </c>
    </row>
    <row r="69" spans="1:32" x14ac:dyDescent="0.3">
      <c r="A69" t="s">
        <v>125</v>
      </c>
      <c r="B69">
        <v>90596</v>
      </c>
      <c r="C69">
        <v>529.9</v>
      </c>
      <c r="D69" t="s">
        <v>16</v>
      </c>
      <c r="E69" t="s">
        <v>72</v>
      </c>
      <c r="F69" s="18">
        <f t="shared" ref="F69:F83" si="26">G69*60</f>
        <v>4800</v>
      </c>
      <c r="G69">
        <v>80</v>
      </c>
      <c r="H69" t="s">
        <v>119</v>
      </c>
      <c r="I69" s="1">
        <v>45091.452777777777</v>
      </c>
      <c r="J69">
        <v>515.24799199999995</v>
      </c>
      <c r="K69">
        <v>10192.925160000001</v>
      </c>
      <c r="L69">
        <v>207.76664299999999</v>
      </c>
      <c r="M69">
        <v>2.0382999999999998E-2</v>
      </c>
      <c r="N69">
        <v>8.2612000000000005E-2</v>
      </c>
      <c r="O69">
        <v>7.6338000000000003E-2</v>
      </c>
      <c r="P69">
        <f t="shared" si="19"/>
        <v>4.4276040000000008E-3</v>
      </c>
      <c r="R69" s="28">
        <f t="shared" si="20"/>
        <v>2804357884529.2119</v>
      </c>
      <c r="S69" s="28">
        <f t="shared" si="21"/>
        <v>2.0473029316984423E-3</v>
      </c>
      <c r="T69" s="3">
        <f t="shared" si="22"/>
        <v>9.8270540721525226</v>
      </c>
      <c r="U69">
        <f t="shared" si="23"/>
        <v>1.307578938280287E-2</v>
      </c>
      <c r="W69" s="29">
        <f t="shared" si="24"/>
        <v>5.1671770000000006</v>
      </c>
      <c r="X69" s="29">
        <f t="shared" si="25"/>
        <v>5.2435150000000004</v>
      </c>
      <c r="Z69">
        <f t="shared" si="8"/>
        <v>2.7676188934134318E-4</v>
      </c>
      <c r="AA69">
        <f t="shared" si="9"/>
        <v>3.9181283124969148E-4</v>
      </c>
      <c r="AB69">
        <f t="shared" si="10"/>
        <v>4.5892569848358082E-4</v>
      </c>
      <c r="AD69">
        <f t="shared" si="11"/>
        <v>5.7666707287685442E-8</v>
      </c>
      <c r="AE69">
        <f t="shared" si="12"/>
        <v>8.1643668740197198E-8</v>
      </c>
      <c r="AF69">
        <f t="shared" si="13"/>
        <v>9.5631466064917228E-8</v>
      </c>
    </row>
    <row r="70" spans="1:32" x14ac:dyDescent="0.3">
      <c r="A70" t="s">
        <v>126</v>
      </c>
      <c r="B70">
        <v>90597</v>
      </c>
      <c r="C70">
        <v>520</v>
      </c>
      <c r="D70" t="s">
        <v>16</v>
      </c>
      <c r="E70" t="s">
        <v>72</v>
      </c>
      <c r="F70" s="18">
        <f t="shared" si="26"/>
        <v>5400</v>
      </c>
      <c r="G70">
        <v>90</v>
      </c>
      <c r="H70" t="s">
        <v>117</v>
      </c>
      <c r="I70" s="1">
        <v>45091.546527777777</v>
      </c>
      <c r="J70">
        <v>505.154312</v>
      </c>
      <c r="K70">
        <v>10107.316059999999</v>
      </c>
      <c r="L70">
        <v>121.506643</v>
      </c>
      <c r="M70">
        <v>1.2021E-2</v>
      </c>
      <c r="N70">
        <v>4.8721E-2</v>
      </c>
      <c r="O70">
        <v>4.2446999999999999E-2</v>
      </c>
      <c r="P70">
        <f t="shared" si="19"/>
        <v>2.4619260000000001E-3</v>
      </c>
      <c r="R70" s="28">
        <f t="shared" si="20"/>
        <v>2698862736928.645</v>
      </c>
      <c r="S70" s="28">
        <f t="shared" si="21"/>
        <v>1.945992662957884E-3</v>
      </c>
      <c r="T70" s="3">
        <f t="shared" si="22"/>
        <v>10.508360379972574</v>
      </c>
      <c r="U70">
        <f t="shared" si="23"/>
        <v>6.9261026091876326E-3</v>
      </c>
      <c r="W70" s="29">
        <f t="shared" si="24"/>
        <v>5.2435150000000004</v>
      </c>
      <c r="X70" s="29">
        <f t="shared" si="25"/>
        <v>5.2859620000000005</v>
      </c>
      <c r="Z70">
        <f t="shared" ref="Z70:Z83" si="27">(O70-U69)/($O$88-(W70+U69))</f>
        <v>1.5082004950129959E-4</v>
      </c>
      <c r="AA70">
        <f t="shared" ref="AA70:AA83" si="28">(O70)/($O$88-(W70))</f>
        <v>2.1794909679130839E-4</v>
      </c>
      <c r="AB70">
        <f t="shared" ref="AB70:AB83" si="29">(O70+U70)/($O$88-(W70))</f>
        <v>2.5351198245946794E-4</v>
      </c>
      <c r="AD70">
        <f t="shared" ref="AD70:AD83" si="30">-LN(1-Z70)/F70</f>
        <v>2.7931745183080596E-8</v>
      </c>
      <c r="AE70">
        <f t="shared" ref="AE70:AE83" si="31">-LN(1-AA70)/F70</f>
        <v>4.0365342805045307E-8</v>
      </c>
      <c r="AF70">
        <f t="shared" ref="AF70:AF83" si="32">-LN(1-AB70)/F70</f>
        <v>4.6952615195199064E-8</v>
      </c>
    </row>
    <row r="71" spans="1:32" x14ac:dyDescent="0.3">
      <c r="A71" t="s">
        <v>127</v>
      </c>
      <c r="B71">
        <v>90598</v>
      </c>
      <c r="C71">
        <v>510</v>
      </c>
      <c r="D71" t="s">
        <v>16</v>
      </c>
      <c r="E71" t="s">
        <v>72</v>
      </c>
      <c r="F71" s="18">
        <f t="shared" si="26"/>
        <v>6000</v>
      </c>
      <c r="G71">
        <v>100</v>
      </c>
      <c r="H71" t="s">
        <v>115</v>
      </c>
      <c r="I71" s="1">
        <v>45091.647222222222</v>
      </c>
      <c r="J71">
        <v>486.00768499999998</v>
      </c>
      <c r="K71">
        <v>10124.15346</v>
      </c>
      <c r="L71">
        <v>86.972030000000004</v>
      </c>
      <c r="M71">
        <v>8.5909999999999997E-3</v>
      </c>
      <c r="N71">
        <v>3.4817000000000001E-2</v>
      </c>
      <c r="O71">
        <v>2.8542999999999999E-2</v>
      </c>
      <c r="P71">
        <f t="shared" si="19"/>
        <v>1.655494E-3</v>
      </c>
      <c r="R71" s="28">
        <f t="shared" si="20"/>
        <v>2593775873933.1753</v>
      </c>
      <c r="S71" s="28">
        <f t="shared" si="21"/>
        <v>1.8466365300682562E-3</v>
      </c>
      <c r="T71" s="3">
        <f t="shared" si="22"/>
        <v>11.079819180409539</v>
      </c>
      <c r="U71">
        <f t="shared" si="23"/>
        <v>4.4871916216670891E-3</v>
      </c>
      <c r="W71" s="29">
        <f t="shared" si="24"/>
        <v>5.2859620000000005</v>
      </c>
      <c r="X71" s="29">
        <f t="shared" si="25"/>
        <v>5.3145050000000005</v>
      </c>
      <c r="Z71">
        <f t="shared" si="27"/>
        <v>1.1102263897892085E-4</v>
      </c>
      <c r="AA71">
        <f t="shared" si="28"/>
        <v>1.4658932808943133E-4</v>
      </c>
      <c r="AB71">
        <f t="shared" si="29"/>
        <v>1.6963436206724391E-4</v>
      </c>
      <c r="AD71">
        <f t="shared" si="30"/>
        <v>1.8504800408043814E-8</v>
      </c>
      <c r="AE71">
        <f t="shared" si="31"/>
        <v>2.4433345559180191E-8</v>
      </c>
      <c r="AF71">
        <f t="shared" si="32"/>
        <v>2.8274791933836854E-8</v>
      </c>
    </row>
    <row r="72" spans="1:32" x14ac:dyDescent="0.3">
      <c r="A72" t="s">
        <v>128</v>
      </c>
      <c r="B72">
        <v>90599</v>
      </c>
      <c r="C72">
        <v>500</v>
      </c>
      <c r="D72" t="s">
        <v>16</v>
      </c>
      <c r="E72" t="s">
        <v>72</v>
      </c>
      <c r="F72" s="18">
        <f t="shared" si="26"/>
        <v>7200</v>
      </c>
      <c r="G72">
        <v>120</v>
      </c>
      <c r="H72" t="s">
        <v>103</v>
      </c>
      <c r="I72" s="1">
        <v>45091.761805555558</v>
      </c>
      <c r="J72">
        <v>479.85236300000003</v>
      </c>
      <c r="K72">
        <v>10062.78141</v>
      </c>
      <c r="L72">
        <v>64.952999000000005</v>
      </c>
      <c r="M72">
        <v>6.4549999999999998E-3</v>
      </c>
      <c r="N72">
        <v>2.6161E-2</v>
      </c>
      <c r="O72">
        <v>1.9886999999999998E-2</v>
      </c>
      <c r="P72">
        <f t="shared" si="19"/>
        <v>1.153446E-3</v>
      </c>
      <c r="R72" s="28">
        <f t="shared" si="20"/>
        <v>2490220621564.0527</v>
      </c>
      <c r="S72" s="28">
        <f t="shared" si="21"/>
        <v>1.7502679215520547E-3</v>
      </c>
      <c r="T72" s="3">
        <f t="shared" si="22"/>
        <v>12.601929035174795</v>
      </c>
      <c r="U72">
        <f t="shared" si="23"/>
        <v>2.8675575016051625E-3</v>
      </c>
      <c r="W72" s="29">
        <f t="shared" si="24"/>
        <v>5.3145050000000005</v>
      </c>
      <c r="X72" s="29">
        <f t="shared" si="25"/>
        <v>5.3343920000000002</v>
      </c>
      <c r="Z72">
        <f t="shared" si="27"/>
        <v>7.9102777161964952E-5</v>
      </c>
      <c r="AA72">
        <f t="shared" si="28"/>
        <v>1.0214936659765021E-4</v>
      </c>
      <c r="AB72">
        <f t="shared" si="29"/>
        <v>1.168785455824799E-4</v>
      </c>
      <c r="AD72">
        <f t="shared" si="30"/>
        <v>1.0986931382169337E-8</v>
      </c>
      <c r="AE72">
        <f t="shared" si="31"/>
        <v>1.4188136694383351E-8</v>
      </c>
      <c r="AF72">
        <f t="shared" si="32"/>
        <v>1.6234080057218899E-8</v>
      </c>
    </row>
    <row r="73" spans="1:32" x14ac:dyDescent="0.3">
      <c r="A73" t="s">
        <v>129</v>
      </c>
      <c r="B73">
        <v>90600</v>
      </c>
      <c r="C73">
        <v>559.9</v>
      </c>
      <c r="D73" t="s">
        <v>16</v>
      </c>
      <c r="E73" t="s">
        <v>72</v>
      </c>
      <c r="F73" s="18">
        <f t="shared" si="26"/>
        <v>3600</v>
      </c>
      <c r="G73">
        <v>60</v>
      </c>
      <c r="H73" t="s">
        <v>130</v>
      </c>
      <c r="I73" s="1">
        <v>45091.834722222222</v>
      </c>
      <c r="J73">
        <v>518.92398200000002</v>
      </c>
      <c r="K73">
        <v>10076.427</v>
      </c>
      <c r="L73">
        <v>610.862706</v>
      </c>
      <c r="M73">
        <v>6.0623000000000003E-2</v>
      </c>
      <c r="N73">
        <v>0.245701</v>
      </c>
      <c r="O73">
        <v>0.239427</v>
      </c>
      <c r="P73">
        <f t="shared" si="19"/>
        <v>1.3886766E-2</v>
      </c>
      <c r="R73" s="28">
        <f t="shared" si="20"/>
        <v>3132409813092.0859</v>
      </c>
      <c r="S73" s="28">
        <f t="shared" si="21"/>
        <v>2.3722401499650333E-3</v>
      </c>
      <c r="T73" s="3">
        <f t="shared" si="22"/>
        <v>8.5400645398741197</v>
      </c>
      <c r="U73">
        <f t="shared" si="23"/>
        <v>4.5640738228465462E-2</v>
      </c>
      <c r="W73" s="29">
        <f t="shared" si="24"/>
        <v>5.3343920000000002</v>
      </c>
      <c r="X73" s="29">
        <f t="shared" si="25"/>
        <v>5.5738190000000003</v>
      </c>
      <c r="Z73">
        <f t="shared" si="27"/>
        <v>1.2152271254409486E-3</v>
      </c>
      <c r="AA73">
        <f t="shared" si="28"/>
        <v>1.2299399080293628E-3</v>
      </c>
      <c r="AB73">
        <f t="shared" si="29"/>
        <v>1.4643970301547334E-3</v>
      </c>
      <c r="AD73">
        <f t="shared" si="30"/>
        <v>3.3776836463233448E-7</v>
      </c>
      <c r="AE73">
        <f t="shared" si="31"/>
        <v>3.4186025135799242E-7</v>
      </c>
      <c r="AF73">
        <f t="shared" si="32"/>
        <v>4.0707508539344254E-7</v>
      </c>
    </row>
    <row r="74" spans="1:32" x14ac:dyDescent="0.3">
      <c r="A74" t="s">
        <v>131</v>
      </c>
      <c r="B74">
        <v>90601</v>
      </c>
      <c r="C74">
        <v>569.9</v>
      </c>
      <c r="D74" t="s">
        <v>16</v>
      </c>
      <c r="E74" t="s">
        <v>72</v>
      </c>
      <c r="F74" s="18">
        <f t="shared" si="26"/>
        <v>3600</v>
      </c>
      <c r="G74">
        <v>60</v>
      </c>
      <c r="H74" t="s">
        <v>132</v>
      </c>
      <c r="I74" s="1">
        <v>45091.907638888886</v>
      </c>
      <c r="J74">
        <v>564.62520800000004</v>
      </c>
      <c r="K74">
        <v>10033.85549</v>
      </c>
      <c r="L74">
        <v>1117.308475</v>
      </c>
      <c r="M74">
        <v>0.11135399999999999</v>
      </c>
      <c r="N74">
        <v>0.45130999999999999</v>
      </c>
      <c r="O74">
        <v>0.44503599999999999</v>
      </c>
      <c r="P74">
        <f t="shared" si="19"/>
        <v>2.5812088E-2</v>
      </c>
      <c r="R74" s="28">
        <f t="shared" si="20"/>
        <v>3244394263826.3662</v>
      </c>
      <c r="S74" s="28">
        <f t="shared" si="21"/>
        <v>2.4865482611716198E-3</v>
      </c>
      <c r="T74" s="3">
        <f t="shared" si="22"/>
        <v>8.9515737402178317</v>
      </c>
      <c r="U74">
        <f t="shared" si="23"/>
        <v>8.1780379880269774E-2</v>
      </c>
      <c r="W74" s="29">
        <f t="shared" si="24"/>
        <v>5.5738190000000003</v>
      </c>
      <c r="X74" s="29">
        <f t="shared" si="25"/>
        <v>6.0188550000000003</v>
      </c>
      <c r="Z74">
        <f t="shared" si="27"/>
        <v>2.0547080547963824E-3</v>
      </c>
      <c r="AA74">
        <f t="shared" si="28"/>
        <v>2.2889715660258741E-3</v>
      </c>
      <c r="AB74">
        <f t="shared" si="29"/>
        <v>2.7095958845186072E-3</v>
      </c>
      <c r="AD74">
        <f t="shared" si="30"/>
        <v>5.7133940649840832E-7</v>
      </c>
      <c r="AE74">
        <f t="shared" si="31"/>
        <v>6.3655424053386072E-7</v>
      </c>
      <c r="AF74">
        <f t="shared" si="32"/>
        <v>7.5368707893204934E-7</v>
      </c>
    </row>
    <row r="75" spans="1:32" x14ac:dyDescent="0.3">
      <c r="A75" t="s">
        <v>133</v>
      </c>
      <c r="B75">
        <v>90602</v>
      </c>
      <c r="C75">
        <v>579.9</v>
      </c>
      <c r="D75" t="s">
        <v>16</v>
      </c>
      <c r="E75" t="s">
        <v>72</v>
      </c>
      <c r="F75" s="18">
        <f t="shared" si="26"/>
        <v>3600</v>
      </c>
      <c r="G75">
        <v>60</v>
      </c>
      <c r="H75" t="s">
        <v>134</v>
      </c>
      <c r="I75" s="1">
        <v>45091.981249999997</v>
      </c>
      <c r="J75">
        <v>590.32706599999995</v>
      </c>
      <c r="K75">
        <v>10043.149590000001</v>
      </c>
      <c r="L75">
        <v>1082.3594760000001</v>
      </c>
      <c r="M75">
        <v>0.10777100000000001</v>
      </c>
      <c r="N75">
        <v>0.43678600000000001</v>
      </c>
      <c r="O75">
        <v>0.43051200000000001</v>
      </c>
      <c r="P75">
        <f t="shared" si="19"/>
        <v>2.4969696000000003E-2</v>
      </c>
      <c r="R75" s="28">
        <f t="shared" si="20"/>
        <v>3357615430359.9966</v>
      </c>
      <c r="S75" s="28">
        <f t="shared" si="21"/>
        <v>2.6038519088126743E-3</v>
      </c>
      <c r="T75" s="3">
        <f t="shared" si="22"/>
        <v>9.3738668717256282</v>
      </c>
      <c r="U75">
        <f t="shared" si="23"/>
        <v>7.6381069812691521E-2</v>
      </c>
      <c r="W75" s="29">
        <f t="shared" si="24"/>
        <v>6.0188550000000003</v>
      </c>
      <c r="X75" s="29">
        <f t="shared" si="25"/>
        <v>6.4493670000000005</v>
      </c>
      <c r="Z75">
        <f t="shared" si="27"/>
        <v>1.7985186326058983E-3</v>
      </c>
      <c r="AA75">
        <f t="shared" si="28"/>
        <v>2.2193497208195159E-3</v>
      </c>
      <c r="AB75">
        <f t="shared" si="29"/>
        <v>2.6131048448687711E-3</v>
      </c>
      <c r="AD75">
        <f t="shared" si="30"/>
        <v>5.0003830807380931E-7</v>
      </c>
      <c r="AE75">
        <f t="shared" si="31"/>
        <v>6.1717114647200248E-7</v>
      </c>
      <c r="AF75">
        <f t="shared" si="32"/>
        <v>7.2681248964374574E-7</v>
      </c>
    </row>
    <row r="76" spans="1:32" x14ac:dyDescent="0.3">
      <c r="A76" t="s">
        <v>135</v>
      </c>
      <c r="B76">
        <v>90603</v>
      </c>
      <c r="C76">
        <v>589.79999999999995</v>
      </c>
      <c r="D76" t="s">
        <v>16</v>
      </c>
      <c r="E76" t="s">
        <v>72</v>
      </c>
      <c r="F76" s="18">
        <f t="shared" si="26"/>
        <v>3600</v>
      </c>
      <c r="G76">
        <v>60</v>
      </c>
      <c r="H76" t="s">
        <v>136</v>
      </c>
      <c r="I76" s="1">
        <v>45092.054166666669</v>
      </c>
      <c r="J76">
        <v>650.88282400000003</v>
      </c>
      <c r="K76">
        <v>9996.2545580000005</v>
      </c>
      <c r="L76">
        <v>1696.474035</v>
      </c>
      <c r="M76">
        <v>0.169708</v>
      </c>
      <c r="N76">
        <v>0.68781499999999995</v>
      </c>
      <c r="O76">
        <v>0.68154099999999995</v>
      </c>
      <c r="P76">
        <f t="shared" si="19"/>
        <v>3.9529377999999997E-2</v>
      </c>
      <c r="R76" s="28">
        <f t="shared" si="20"/>
        <v>3470876359802.5117</v>
      </c>
      <c r="S76" s="28">
        <f t="shared" si="21"/>
        <v>2.7229301075408162E-3</v>
      </c>
      <c r="T76" s="3">
        <f t="shared" si="22"/>
        <v>9.8025483871469383</v>
      </c>
      <c r="U76">
        <f t="shared" si="23"/>
        <v>0.11695479732460759</v>
      </c>
      <c r="W76" s="29">
        <f t="shared" si="24"/>
        <v>6.4493670000000005</v>
      </c>
      <c r="X76" s="29">
        <f t="shared" si="25"/>
        <v>7.1309080000000007</v>
      </c>
      <c r="Z76">
        <f t="shared" si="27"/>
        <v>3.1278577079376568E-3</v>
      </c>
      <c r="AA76">
        <f t="shared" si="28"/>
        <v>3.5212543066185679E-3</v>
      </c>
      <c r="AB76">
        <f t="shared" si="29"/>
        <v>4.1255137477365289E-3</v>
      </c>
      <c r="AD76">
        <f t="shared" si="30"/>
        <v>8.7021102202953139E-7</v>
      </c>
      <c r="AE76">
        <f t="shared" si="31"/>
        <v>9.7985236520126078E-7</v>
      </c>
      <c r="AF76">
        <f t="shared" si="32"/>
        <v>1.1483464326288529E-6</v>
      </c>
    </row>
    <row r="77" spans="1:32" x14ac:dyDescent="0.3">
      <c r="A77" t="s">
        <v>137</v>
      </c>
      <c r="B77">
        <v>90604</v>
      </c>
      <c r="C77">
        <v>599.79999999999995</v>
      </c>
      <c r="D77" t="s">
        <v>16</v>
      </c>
      <c r="E77" t="s">
        <v>72</v>
      </c>
      <c r="F77" s="18">
        <f t="shared" si="26"/>
        <v>3600</v>
      </c>
      <c r="G77">
        <v>60</v>
      </c>
      <c r="H77" t="s">
        <v>138</v>
      </c>
      <c r="I77" s="1">
        <v>45092.127083333333</v>
      </c>
      <c r="J77">
        <v>703.93770900000004</v>
      </c>
      <c r="K77">
        <v>9950.3778010000005</v>
      </c>
      <c r="L77">
        <v>2456.0234519999999</v>
      </c>
      <c r="M77">
        <v>0.246812</v>
      </c>
      <c r="N77">
        <v>1.0003089999999999</v>
      </c>
      <c r="O77">
        <v>0.994035</v>
      </c>
      <c r="P77">
        <f t="shared" si="19"/>
        <v>5.7654030000000002E-2</v>
      </c>
      <c r="R77" s="28">
        <f t="shared" si="20"/>
        <v>3586419146536.4697</v>
      </c>
      <c r="S77" s="28">
        <f t="shared" si="21"/>
        <v>2.8461841518814882E-3</v>
      </c>
      <c r="T77" s="3">
        <f t="shared" si="22"/>
        <v>10.246262946773358</v>
      </c>
      <c r="U77">
        <f t="shared" si="23"/>
        <v>0.16516070655919146</v>
      </c>
      <c r="W77" s="29">
        <f t="shared" si="24"/>
        <v>7.1309080000000007</v>
      </c>
      <c r="X77" s="29">
        <f t="shared" si="25"/>
        <v>8.124943</v>
      </c>
      <c r="Z77">
        <f t="shared" si="27"/>
        <v>4.5503007925310757E-3</v>
      </c>
      <c r="AA77">
        <f t="shared" si="28"/>
        <v>5.1539362253024967E-3</v>
      </c>
      <c r="AB77">
        <f t="shared" si="29"/>
        <v>6.0102720168309373E-3</v>
      </c>
      <c r="AD77">
        <f t="shared" si="30"/>
        <v>1.2668569232694124E-6</v>
      </c>
      <c r="AE77">
        <f t="shared" si="31"/>
        <v>1.4353509906970013E-6</v>
      </c>
      <c r="AF77">
        <f t="shared" si="32"/>
        <v>1.6745573333100076E-6</v>
      </c>
    </row>
    <row r="78" spans="1:32" x14ac:dyDescent="0.3">
      <c r="A78" t="s">
        <v>139</v>
      </c>
      <c r="B78">
        <v>90605</v>
      </c>
      <c r="C78">
        <v>580</v>
      </c>
      <c r="D78" t="s">
        <v>16</v>
      </c>
      <c r="E78" t="s">
        <v>72</v>
      </c>
      <c r="F78" s="18">
        <f t="shared" si="26"/>
        <v>4800</v>
      </c>
      <c r="G78">
        <v>80</v>
      </c>
      <c r="H78" t="s">
        <v>134</v>
      </c>
      <c r="I78" s="1">
        <v>45092.214583333334</v>
      </c>
      <c r="J78">
        <v>612.63453200000004</v>
      </c>
      <c r="K78">
        <v>10132.79335</v>
      </c>
      <c r="L78">
        <v>805.24530100000004</v>
      </c>
      <c r="M78">
        <v>7.9468999999999998E-2</v>
      </c>
      <c r="N78">
        <v>0.32208300000000001</v>
      </c>
      <c r="O78">
        <v>0.31580900000000001</v>
      </c>
      <c r="P78">
        <f t="shared" si="19"/>
        <v>1.8316922000000003E-2</v>
      </c>
      <c r="R78" s="28">
        <f t="shared" si="20"/>
        <v>3358753727451.46</v>
      </c>
      <c r="S78" s="28">
        <f t="shared" si="21"/>
        <v>2.6050400628030773E-3</v>
      </c>
      <c r="T78" s="3">
        <f t="shared" si="22"/>
        <v>12.504192301454772</v>
      </c>
      <c r="U78">
        <f t="shared" si="23"/>
        <v>4.5768566733030425E-2</v>
      </c>
      <c r="W78" s="29">
        <f t="shared" si="24"/>
        <v>8.124943</v>
      </c>
      <c r="X78" s="29">
        <f t="shared" si="25"/>
        <v>8.4407519999999998</v>
      </c>
      <c r="Z78">
        <f t="shared" si="27"/>
        <v>7.8581385913546525E-4</v>
      </c>
      <c r="AA78">
        <f t="shared" si="28"/>
        <v>1.6459096087721294E-3</v>
      </c>
      <c r="AB78">
        <f t="shared" si="29"/>
        <v>1.8844427847285561E-3</v>
      </c>
      <c r="AD78">
        <f t="shared" si="30"/>
        <v>1.6377557764354749E-7</v>
      </c>
      <c r="AE78">
        <f t="shared" si="31"/>
        <v>3.4318033460329617E-7</v>
      </c>
      <c r="AF78">
        <f t="shared" si="32"/>
        <v>3.9296262100432662E-7</v>
      </c>
    </row>
    <row r="79" spans="1:32" x14ac:dyDescent="0.3">
      <c r="A79" t="s">
        <v>140</v>
      </c>
      <c r="B79">
        <v>90606</v>
      </c>
      <c r="C79">
        <v>560</v>
      </c>
      <c r="D79" t="s">
        <v>16</v>
      </c>
      <c r="E79" t="s">
        <v>72</v>
      </c>
      <c r="F79" s="18">
        <f t="shared" si="26"/>
        <v>6000</v>
      </c>
      <c r="G79">
        <v>100</v>
      </c>
      <c r="H79" t="s">
        <v>130</v>
      </c>
      <c r="I79" s="1">
        <v>45092.31527777778</v>
      </c>
      <c r="J79">
        <v>550.710329</v>
      </c>
      <c r="K79">
        <v>10208.95226</v>
      </c>
      <c r="L79">
        <v>297.73975899999999</v>
      </c>
      <c r="M79">
        <v>2.9165E-2</v>
      </c>
      <c r="N79">
        <v>0.118202</v>
      </c>
      <c r="O79">
        <v>0.111928</v>
      </c>
      <c r="P79">
        <f t="shared" si="19"/>
        <v>6.4918240000000002E-3</v>
      </c>
      <c r="R79" s="28">
        <f t="shared" si="20"/>
        <v>3133523379468.8896</v>
      </c>
      <c r="S79" s="28">
        <f t="shared" si="21"/>
        <v>2.3733683954903742E-3</v>
      </c>
      <c r="T79" s="3">
        <f t="shared" si="22"/>
        <v>14.240210372942245</v>
      </c>
      <c r="U79">
        <f t="shared" si="23"/>
        <v>1.4945466113477033E-2</v>
      </c>
      <c r="W79" s="29">
        <f t="shared" si="24"/>
        <v>8.4407519999999998</v>
      </c>
      <c r="X79" s="29">
        <f t="shared" si="25"/>
        <v>8.5526800000000005</v>
      </c>
      <c r="Z79">
        <f t="shared" si="27"/>
        <v>3.4545575310286646E-4</v>
      </c>
      <c r="AA79">
        <f t="shared" si="28"/>
        <v>5.8429964185284337E-4</v>
      </c>
      <c r="AB79">
        <f t="shared" si="29"/>
        <v>6.623197127683286E-4</v>
      </c>
      <c r="AD79">
        <f t="shared" si="30"/>
        <v>5.7585906114547078E-8</v>
      </c>
      <c r="AE79">
        <f t="shared" si="31"/>
        <v>9.7411735235362164E-8</v>
      </c>
      <c r="AF79">
        <f t="shared" si="32"/>
        <v>1.1042319056057121E-7</v>
      </c>
    </row>
    <row r="80" spans="1:32" x14ac:dyDescent="0.3">
      <c r="A80" t="s">
        <v>141</v>
      </c>
      <c r="B80">
        <v>90607</v>
      </c>
      <c r="C80">
        <v>540</v>
      </c>
      <c r="D80" t="s">
        <v>16</v>
      </c>
      <c r="E80" t="s">
        <v>72</v>
      </c>
      <c r="F80" s="18">
        <f t="shared" si="26"/>
        <v>7200</v>
      </c>
      <c r="G80">
        <v>120</v>
      </c>
      <c r="H80" t="s">
        <v>121</v>
      </c>
      <c r="I80" s="1">
        <v>45092.429861111108</v>
      </c>
      <c r="J80">
        <v>512.70602799999995</v>
      </c>
      <c r="K80">
        <v>10176.876969999999</v>
      </c>
      <c r="L80">
        <v>116.77431</v>
      </c>
      <c r="M80">
        <v>1.1474E-2</v>
      </c>
      <c r="N80">
        <v>4.6504999999999998E-2</v>
      </c>
      <c r="O80">
        <v>4.0231000000000003E-2</v>
      </c>
      <c r="P80">
        <f t="shared" si="19"/>
        <v>2.3333980000000004E-3</v>
      </c>
      <c r="R80" s="28">
        <f t="shared" si="20"/>
        <v>2913429796314.5552</v>
      </c>
      <c r="S80" s="28">
        <f t="shared" si="21"/>
        <v>2.1536856642963729E-3</v>
      </c>
      <c r="T80" s="3">
        <f t="shared" si="22"/>
        <v>15.506536782933885</v>
      </c>
      <c r="U80">
        <f t="shared" si="23"/>
        <v>5.1066994848402332E-3</v>
      </c>
      <c r="W80" s="29">
        <f t="shared" si="24"/>
        <v>8.5526800000000005</v>
      </c>
      <c r="X80" s="29">
        <f t="shared" si="25"/>
        <v>8.5929110000000009</v>
      </c>
      <c r="Z80">
        <f t="shared" si="27"/>
        <v>1.3208598570691103E-4</v>
      </c>
      <c r="AA80">
        <f t="shared" si="28"/>
        <v>2.1014135899107914E-4</v>
      </c>
      <c r="AB80">
        <f t="shared" si="29"/>
        <v>2.3681553486797429E-4</v>
      </c>
      <c r="AD80">
        <f t="shared" si="30"/>
        <v>1.8346487476243107E-8</v>
      </c>
      <c r="AE80">
        <f t="shared" si="31"/>
        <v>2.9189366913918985E-8</v>
      </c>
      <c r="AF80">
        <f t="shared" si="32"/>
        <v>3.2894941679798093E-8</v>
      </c>
    </row>
    <row r="81" spans="1:32" x14ac:dyDescent="0.3">
      <c r="A81" t="s">
        <v>142</v>
      </c>
      <c r="B81">
        <v>90608</v>
      </c>
      <c r="C81">
        <v>520</v>
      </c>
      <c r="D81" t="s">
        <v>16</v>
      </c>
      <c r="E81" t="s">
        <v>72</v>
      </c>
      <c r="F81" s="18">
        <f t="shared" si="26"/>
        <v>8400</v>
      </c>
      <c r="G81">
        <v>140</v>
      </c>
      <c r="H81" t="s">
        <v>117</v>
      </c>
      <c r="I81" s="1">
        <v>45092.558333333334</v>
      </c>
      <c r="J81">
        <v>473.26381500000002</v>
      </c>
      <c r="K81">
        <v>10039.133959999999</v>
      </c>
      <c r="L81">
        <v>62.040942999999999</v>
      </c>
      <c r="M81">
        <v>6.1799999999999997E-3</v>
      </c>
      <c r="N81">
        <v>2.5047E-2</v>
      </c>
      <c r="O81">
        <v>1.8773000000000001E-2</v>
      </c>
      <c r="P81">
        <f t="shared" si="19"/>
        <v>1.0888340000000001E-3</v>
      </c>
      <c r="R81" s="28">
        <f t="shared" si="20"/>
        <v>2698862736928.645</v>
      </c>
      <c r="S81" s="28">
        <f t="shared" si="21"/>
        <v>1.945992662957884E-3</v>
      </c>
      <c r="T81" s="3">
        <f t="shared" si="22"/>
        <v>16.346338368846226</v>
      </c>
      <c r="U81">
        <f t="shared" si="23"/>
        <v>2.3121225492809191E-3</v>
      </c>
      <c r="W81" s="29">
        <f t="shared" si="24"/>
        <v>8.5929110000000009</v>
      </c>
      <c r="X81" s="29">
        <f t="shared" si="25"/>
        <v>8.6116840000000003</v>
      </c>
      <c r="Z81">
        <f t="shared" si="27"/>
        <v>7.1401039586427441E-5</v>
      </c>
      <c r="AA81">
        <f t="shared" si="28"/>
        <v>9.807891702485482E-5</v>
      </c>
      <c r="AB81">
        <f t="shared" si="29"/>
        <v>1.1015852474137425E-4</v>
      </c>
      <c r="AD81">
        <f t="shared" si="30"/>
        <v>8.5004272335764246E-9</v>
      </c>
      <c r="AE81">
        <f t="shared" si="31"/>
        <v>1.1676634175754893E-8</v>
      </c>
      <c r="AF81">
        <f t="shared" si="32"/>
        <v>1.3114832456821347E-8</v>
      </c>
    </row>
    <row r="82" spans="1:32" x14ac:dyDescent="0.3">
      <c r="A82" t="s">
        <v>143</v>
      </c>
      <c r="B82">
        <v>90609</v>
      </c>
      <c r="C82">
        <v>500</v>
      </c>
      <c r="D82" t="s">
        <v>16</v>
      </c>
      <c r="E82" t="s">
        <v>72</v>
      </c>
      <c r="F82" s="18">
        <f t="shared" si="26"/>
        <v>9600</v>
      </c>
      <c r="G82">
        <v>160</v>
      </c>
      <c r="H82" t="s">
        <v>103</v>
      </c>
      <c r="I82" s="1">
        <v>45092.700694444444</v>
      </c>
      <c r="J82">
        <v>448.78164900000002</v>
      </c>
      <c r="K82">
        <v>9935.3946340000002</v>
      </c>
      <c r="L82">
        <v>40.190235999999999</v>
      </c>
      <c r="M82">
        <v>4.045E-3</v>
      </c>
      <c r="N82">
        <v>1.6396000000000001E-2</v>
      </c>
      <c r="O82">
        <v>1.0122000000000001E-2</v>
      </c>
      <c r="P82">
        <f t="shared" si="19"/>
        <v>5.8707600000000007E-4</v>
      </c>
      <c r="R82" s="28">
        <f t="shared" si="20"/>
        <v>2490220621564.0527</v>
      </c>
      <c r="S82" s="28">
        <f t="shared" si="21"/>
        <v>1.7502679215520547E-3</v>
      </c>
      <c r="T82" s="3">
        <f t="shared" si="22"/>
        <v>16.802572046899723</v>
      </c>
      <c r="U82">
        <f t="shared" si="23"/>
        <v>1.2276046411578687E-3</v>
      </c>
      <c r="W82" s="29">
        <f t="shared" si="24"/>
        <v>8.6116840000000003</v>
      </c>
      <c r="X82" s="29">
        <f t="shared" si="25"/>
        <v>8.6218060000000012</v>
      </c>
      <c r="Z82">
        <f t="shared" si="27"/>
        <v>4.080694142984428E-5</v>
      </c>
      <c r="AA82">
        <f t="shared" si="28"/>
        <v>5.2887241037221944E-5</v>
      </c>
      <c r="AB82">
        <f t="shared" si="29"/>
        <v>5.9301449944090992E-5</v>
      </c>
      <c r="AD82">
        <f t="shared" si="30"/>
        <v>4.2508097974701153E-9</v>
      </c>
      <c r="AE82">
        <f t="shared" si="31"/>
        <v>5.5092332934053123E-9</v>
      </c>
      <c r="AF82">
        <f t="shared" si="32"/>
        <v>6.1774175358894051E-9</v>
      </c>
    </row>
    <row r="83" spans="1:32" x14ac:dyDescent="0.3">
      <c r="A83" t="s">
        <v>144</v>
      </c>
      <c r="B83">
        <v>90610</v>
      </c>
      <c r="C83">
        <v>581.6</v>
      </c>
      <c r="D83" t="s">
        <v>16</v>
      </c>
      <c r="E83" t="s">
        <v>72</v>
      </c>
      <c r="F83" s="18">
        <f t="shared" si="26"/>
        <v>1200</v>
      </c>
      <c r="G83">
        <v>20</v>
      </c>
      <c r="H83" t="s">
        <v>145</v>
      </c>
      <c r="I83" s="1">
        <v>45092.746527777781</v>
      </c>
      <c r="J83">
        <v>668.357257</v>
      </c>
      <c r="K83">
        <v>9724.5483700000004</v>
      </c>
      <c r="L83">
        <v>11999.26791</v>
      </c>
      <c r="M83">
        <v>1.2339549999999999</v>
      </c>
      <c r="N83">
        <v>5.0011229999999998</v>
      </c>
      <c r="O83">
        <v>4.9948490000000003</v>
      </c>
      <c r="P83">
        <f t="shared" si="19"/>
        <v>0.28970124200000003</v>
      </c>
      <c r="R83" s="28">
        <f t="shared" si="20"/>
        <v>3376982620612.311</v>
      </c>
      <c r="S83" s="28">
        <f t="shared" si="21"/>
        <v>2.6240912201957131E-3</v>
      </c>
      <c r="T83" s="3">
        <f t="shared" si="22"/>
        <v>3.1489094642348556</v>
      </c>
      <c r="U83">
        <f t="shared" si="23"/>
        <v>2.6140658013875564</v>
      </c>
      <c r="W83" s="29">
        <f t="shared" si="24"/>
        <v>8.6218060000000012</v>
      </c>
      <c r="X83" s="29">
        <f t="shared" si="25"/>
        <v>13.616655000000002</v>
      </c>
      <c r="Z83">
        <f t="shared" si="27"/>
        <v>2.6093116059968776E-2</v>
      </c>
      <c r="AA83">
        <f t="shared" si="28"/>
        <v>2.6099363232573926E-2</v>
      </c>
      <c r="AB83">
        <f t="shared" si="29"/>
        <v>3.9758525474368082E-2</v>
      </c>
      <c r="AD83">
        <f t="shared" si="30"/>
        <v>2.2032984678346851E-5</v>
      </c>
      <c r="AE83">
        <f t="shared" si="31"/>
        <v>2.2038330152286753E-5</v>
      </c>
      <c r="AF83">
        <f t="shared" si="32"/>
        <v>3.3808741821601622E-5</v>
      </c>
    </row>
    <row r="84" spans="1:32" x14ac:dyDescent="0.3">
      <c r="A84" t="s">
        <v>15</v>
      </c>
      <c r="B84">
        <v>90612</v>
      </c>
      <c r="C84">
        <v>24.8</v>
      </c>
      <c r="D84" t="s">
        <v>16</v>
      </c>
      <c r="E84" t="s">
        <v>17</v>
      </c>
      <c r="F84" s="18">
        <f>G84*60</f>
        <v>3600</v>
      </c>
      <c r="G84">
        <v>60</v>
      </c>
      <c r="H84" t="s">
        <v>18</v>
      </c>
      <c r="I84" s="1">
        <v>45092.890277777777</v>
      </c>
      <c r="J84">
        <v>449.28483499999999</v>
      </c>
      <c r="K84">
        <v>9943.0146870000008</v>
      </c>
      <c r="L84">
        <v>13.372254999999999</v>
      </c>
      <c r="M84">
        <v>1.3450000000000001E-3</v>
      </c>
      <c r="N84">
        <v>5.4510000000000001E-3</v>
      </c>
      <c r="O84">
        <v>-8.2299999999999995E-4</v>
      </c>
      <c r="P84">
        <f t="shared" si="19"/>
        <v>-4.7734000000000001E-5</v>
      </c>
      <c r="R84" s="28">
        <f t="shared" si="20"/>
        <v>15325363320.112192</v>
      </c>
      <c r="S84" s="28">
        <f t="shared" si="21"/>
        <v>4.1497571959697319E-6</v>
      </c>
      <c r="T84" s="3">
        <f t="shared" si="22"/>
        <v>1.4939125905491034E-2</v>
      </c>
      <c r="U84">
        <f t="shared" si="23"/>
        <v>7.8774736124736535E-4</v>
      </c>
      <c r="W84" s="29">
        <f t="shared" si="24"/>
        <v>13.616655000000002</v>
      </c>
      <c r="X84" s="29">
        <f t="shared" si="25"/>
        <v>13.615832000000001</v>
      </c>
    </row>
    <row r="85" spans="1:32" s="13" customFormat="1" x14ac:dyDescent="0.3">
      <c r="A85" s="13" t="s">
        <v>146</v>
      </c>
      <c r="B85" s="13">
        <v>90613</v>
      </c>
      <c r="D85" s="13" t="s">
        <v>16</v>
      </c>
      <c r="E85" s="13" t="s">
        <v>20</v>
      </c>
      <c r="I85" s="14">
        <v>45092.940972222219</v>
      </c>
      <c r="J85" s="13">
        <v>472.35971999999998</v>
      </c>
      <c r="K85" s="13">
        <v>9661.2364909999997</v>
      </c>
      <c r="L85" s="13">
        <v>10298.74826</v>
      </c>
      <c r="M85" s="13">
        <v>1.066001</v>
      </c>
      <c r="N85" s="13">
        <v>4.0669909999999998</v>
      </c>
      <c r="O85" s="13">
        <v>4.0610850000000003</v>
      </c>
      <c r="P85" s="13">
        <f t="shared" si="19"/>
        <v>0.23554293000000004</v>
      </c>
      <c r="R85" s="15">
        <f t="shared" si="20"/>
        <v>7222914711.2841196</v>
      </c>
      <c r="S85" s="15">
        <f t="shared" si="21"/>
        <v>1.792925928568677E-6</v>
      </c>
      <c r="T85" s="16">
        <f t="shared" si="22"/>
        <v>0</v>
      </c>
      <c r="U85" s="13">
        <f t="shared" si="23"/>
        <v>-3.82554207</v>
      </c>
      <c r="W85" s="17">
        <f t="shared" si="24"/>
        <v>13.615832000000001</v>
      </c>
      <c r="X85" s="17">
        <f t="shared" si="25"/>
        <v>17.676917000000003</v>
      </c>
    </row>
    <row r="86" spans="1:32" s="13" customFormat="1" x14ac:dyDescent="0.3">
      <c r="A86" s="13" t="s">
        <v>147</v>
      </c>
      <c r="B86" s="13">
        <v>90614</v>
      </c>
      <c r="D86" s="13" t="s">
        <v>16</v>
      </c>
      <c r="E86" s="13" t="s">
        <v>20</v>
      </c>
      <c r="I86" s="14">
        <v>45092.974999999999</v>
      </c>
      <c r="J86" s="13">
        <v>474.92863899999998</v>
      </c>
      <c r="K86" s="13">
        <v>9637.6757180000004</v>
      </c>
      <c r="L86" s="13">
        <v>10286.07186</v>
      </c>
      <c r="M86" s="13">
        <v>1.067285</v>
      </c>
      <c r="N86" s="13">
        <v>4.0661699999999996</v>
      </c>
      <c r="O86" s="13">
        <v>4.0602729999999996</v>
      </c>
      <c r="P86" s="13">
        <f t="shared" si="19"/>
        <v>0.23549583399999999</v>
      </c>
      <c r="R86" s="15">
        <f t="shared" si="20"/>
        <v>7222914711.2841196</v>
      </c>
      <c r="S86" s="15">
        <f t="shared" si="21"/>
        <v>1.792925928568677E-6</v>
      </c>
      <c r="T86" s="16">
        <f t="shared" si="22"/>
        <v>0</v>
      </c>
      <c r="U86" s="13">
        <f t="shared" si="23"/>
        <v>-3.8247771659999996</v>
      </c>
      <c r="W86" s="17">
        <f t="shared" si="24"/>
        <v>17.676917000000003</v>
      </c>
      <c r="X86" s="17">
        <f t="shared" si="25"/>
        <v>21.737190000000002</v>
      </c>
    </row>
    <row r="87" spans="1:32" x14ac:dyDescent="0.3">
      <c r="A87" t="s">
        <v>148</v>
      </c>
      <c r="B87">
        <v>90615</v>
      </c>
      <c r="D87" t="s">
        <v>16</v>
      </c>
      <c r="E87" t="s">
        <v>149</v>
      </c>
      <c r="I87" s="1">
        <v>45093.003472222219</v>
      </c>
      <c r="J87">
        <v>443.32018799999997</v>
      </c>
      <c r="K87">
        <v>9960.0056519999998</v>
      </c>
      <c r="L87">
        <v>13.810694</v>
      </c>
      <c r="M87">
        <v>1.3879999999999999E-3</v>
      </c>
      <c r="N87">
        <v>5.2859999999999999E-3</v>
      </c>
      <c r="O87">
        <v>-6.11E-4</v>
      </c>
      <c r="P87">
        <f t="shared" si="19"/>
        <v>-3.5438000000000002E-5</v>
      </c>
      <c r="R87" s="28">
        <f t="shared" si="20"/>
        <v>7222914711.2841196</v>
      </c>
      <c r="S87" s="28">
        <f t="shared" si="21"/>
        <v>1.792925928568677E-6</v>
      </c>
      <c r="T87" s="3">
        <f t="shared" si="22"/>
        <v>0</v>
      </c>
      <c r="U87">
        <f t="shared" si="23"/>
        <v>5.7556199999999995E-4</v>
      </c>
      <c r="W87" s="29">
        <f t="shared" si="24"/>
        <v>21.737190000000002</v>
      </c>
      <c r="X87" s="29">
        <f t="shared" si="25"/>
        <v>21.736579000000003</v>
      </c>
    </row>
    <row r="88" spans="1:32" ht="15" thickBot="1" x14ac:dyDescent="0.35">
      <c r="A88" t="s">
        <v>191</v>
      </c>
      <c r="O88">
        <v>200</v>
      </c>
      <c r="P88">
        <f t="shared" si="19"/>
        <v>11.600000000000001</v>
      </c>
    </row>
    <row r="89" spans="1:32" x14ac:dyDescent="0.3">
      <c r="B89" s="4" t="s">
        <v>157</v>
      </c>
      <c r="C89" s="5"/>
      <c r="D89" s="5"/>
      <c r="E89" s="6"/>
    </row>
    <row r="90" spans="1:32" x14ac:dyDescent="0.3">
      <c r="B90" s="7" t="s">
        <v>158</v>
      </c>
      <c r="C90">
        <v>5.1999999999999998E-2</v>
      </c>
      <c r="E90" s="8"/>
    </row>
    <row r="91" spans="1:32" x14ac:dyDescent="0.3">
      <c r="B91" s="7" t="s">
        <v>159</v>
      </c>
      <c r="C91">
        <v>8.1000000000000003E-2</v>
      </c>
      <c r="E91" s="8"/>
    </row>
    <row r="92" spans="1:32" x14ac:dyDescent="0.3">
      <c r="B92" s="7" t="s">
        <v>160</v>
      </c>
      <c r="C92">
        <f>2/((LN(C91/C90)*((C90/2)^2)))</f>
        <v>6675.4142452559317</v>
      </c>
      <c r="E92" s="8"/>
    </row>
    <row r="93" spans="1:32" ht="58.2" thickBot="1" x14ac:dyDescent="0.35">
      <c r="B93" s="9" t="s">
        <v>161</v>
      </c>
      <c r="C93" s="10">
        <v>1.3621000000000001E-22</v>
      </c>
      <c r="D93" s="11"/>
      <c r="E93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B4DA-2AF8-410B-9806-A07529792FCF}">
  <dimension ref="A1:AJ89"/>
  <sheetViews>
    <sheetView topLeftCell="M1" zoomScaleNormal="100" workbookViewId="0">
      <selection activeCell="S10" sqref="S10"/>
    </sheetView>
  </sheetViews>
  <sheetFormatPr defaultRowHeight="14.4" x14ac:dyDescent="0.3"/>
  <cols>
    <col min="32" max="32" width="12.88671875" bestFit="1" customWidth="1"/>
  </cols>
  <sheetData>
    <row r="1" spans="1:36" ht="16.8" x14ac:dyDescent="0.35">
      <c r="A1">
        <v>3</v>
      </c>
      <c r="D1" t="s">
        <v>162</v>
      </c>
      <c r="E1" s="3" t="s">
        <v>152</v>
      </c>
      <c r="F1" t="s">
        <v>172</v>
      </c>
      <c r="G1" t="s">
        <v>173</v>
      </c>
      <c r="H1" t="s">
        <v>174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  <c r="Q1" t="s">
        <v>163</v>
      </c>
      <c r="R1" t="s">
        <v>164</v>
      </c>
      <c r="S1" t="s">
        <v>165</v>
      </c>
      <c r="T1" t="s">
        <v>166</v>
      </c>
      <c r="U1" t="s">
        <v>168</v>
      </c>
      <c r="V1" s="2" t="s">
        <v>175</v>
      </c>
      <c r="X1" t="s">
        <v>163</v>
      </c>
      <c r="Y1" t="s">
        <v>164</v>
      </c>
      <c r="Z1" t="s">
        <v>165</v>
      </c>
      <c r="AA1" t="s">
        <v>166</v>
      </c>
      <c r="AB1" t="s">
        <v>168</v>
      </c>
      <c r="AC1" s="2" t="s">
        <v>175</v>
      </c>
    </row>
    <row r="2" spans="1:36" x14ac:dyDescent="0.3">
      <c r="J2" t="s">
        <v>176</v>
      </c>
      <c r="Q2" t="s">
        <v>177</v>
      </c>
      <c r="X2" t="s">
        <v>178</v>
      </c>
    </row>
    <row r="3" spans="1:36" x14ac:dyDescent="0.3">
      <c r="A3" t="s">
        <v>169</v>
      </c>
      <c r="B3" t="s">
        <v>170</v>
      </c>
      <c r="C3" t="s">
        <v>171</v>
      </c>
      <c r="D3">
        <v>0</v>
      </c>
      <c r="E3">
        <v>0</v>
      </c>
      <c r="G3">
        <v>0</v>
      </c>
    </row>
    <row r="4" spans="1:36" s="30" customFormat="1" x14ac:dyDescent="0.3">
      <c r="A4" s="30">
        <v>90524</v>
      </c>
      <c r="B4" s="30" cm="1">
        <f t="array" ref="B4:B89">'Batch 55'!C2:C87</f>
        <v>24.9</v>
      </c>
      <c r="C4" s="30" cm="1">
        <f t="array" ref="C4:C89">'Batch 55'!G2:G87*60</f>
        <v>3600</v>
      </c>
      <c r="D4" s="31" cm="1">
        <f t="array" ref="D4:D86">'Batch 55'!X2:X84</f>
        <v>0</v>
      </c>
      <c r="E4" s="32" cm="1">
        <f t="array" ref="E4:F89">'Batch 55'!T2:U87</f>
        <v>2.928047265731064E-8</v>
      </c>
      <c r="F4" s="32">
        <v>-7.6773002386358591E-4</v>
      </c>
      <c r="G4" s="31">
        <f t="shared" ref="G4:G35" si="0">D4/$D$87</f>
        <v>0</v>
      </c>
      <c r="H4" s="31">
        <f t="shared" ref="H4:H35" si="1">(D4+F4)/$D$87</f>
        <v>-3.8386501193179298E-6</v>
      </c>
      <c r="J4" s="30">
        <f t="shared" ref="J4:J35" si="2">((G4^2-G3^2)*PI())/(36*C4)</f>
        <v>0</v>
      </c>
      <c r="K4" s="31">
        <f t="shared" ref="K4:K35" si="3">(1/(PI()*PI()*C4))*(-(G4-G3)*PI()*PI()/3-2*PI()*(SQRT(1-PI()/3*G4)-SQRT(1-PI()/3*G3)))</f>
        <v>0</v>
      </c>
      <c r="L4" s="31">
        <f t="shared" ref="L4:L35" si="4">(1/(PI()^2*C4))*LN((1-G3)/(1-G4))</f>
        <v>0</v>
      </c>
      <c r="M4" s="31">
        <f t="shared" ref="M4:M35" si="5">(G4&lt;0.05)*J4+((G4&gt;=0.05)*(G4&lt;0.9))*K4+(G4&gt;=0.9)*L4</f>
        <v>0</v>
      </c>
      <c r="N4" s="30">
        <f t="shared" ref="N4:N35" si="6">10000/(273+B4)</f>
        <v>33.568311513930851</v>
      </c>
      <c r="O4" s="30" t="e">
        <f>LN(M4)</f>
        <v>#NUM!</v>
      </c>
      <c r="Q4" s="30" t="e">
        <f>((#REF!^2-G3^2)*PI())/(36*C4)</f>
        <v>#REF!</v>
      </c>
      <c r="R4" s="30" t="e">
        <f>(1/(PI()*PI()*C4))*(-(#REF!-G3)*PI()*PI()/3-2*PI()*(SQRT(1-PI()/3*#REF!)-SQRT(1-PI()/3*G3)))</f>
        <v>#REF!</v>
      </c>
      <c r="S4" s="30" t="e">
        <f>(1/(PI()^2*C4))*LN((1-G3)/(1-#REF!))</f>
        <v>#REF!</v>
      </c>
      <c r="T4" s="30" t="e">
        <f t="shared" ref="T4:T35" si="7">(G4&lt;0.05)*Q4+((G4&gt;=0.05)*(G4&lt;0.9))*R4+(G4&gt;=0.9)*S4</f>
        <v>#REF!</v>
      </c>
      <c r="U4" s="30" t="e">
        <f>LN(T4)</f>
        <v>#REF!</v>
      </c>
      <c r="V4" s="30">
        <f>IFERROR(O4-U4,5)</f>
        <v>5</v>
      </c>
      <c r="X4" s="31">
        <f t="shared" ref="X4:X35" si="8">((H4^2-G3^2)*PI())/(36*C4)</f>
        <v>3.5719216978022364E-16</v>
      </c>
      <c r="Y4" s="31">
        <f t="shared" ref="Y4:Y35" si="9">(1/(PI()*PI()*C4))*(-(H4-G3)*PI()*PI()/3-2*PI()*(SQRT(1-PI()/3*H4)-SQRT(1-PI()/3*G3)))</f>
        <v>3.5720256468079887E-16</v>
      </c>
      <c r="Z4" s="31">
        <f t="shared" ref="Z4:Z35" si="10">(1/(PI()^2*C4))*LN((1-G3)/(1-H4))</f>
        <v>-1.0803772977264568E-10</v>
      </c>
      <c r="AA4" s="31">
        <f>(H4&lt;0.05)*X4+((H4&gt;=0.05)*(H4&lt;0.9))*Y4+(H4&gt;=0.9)*Z4</f>
        <v>3.5719216978022364E-16</v>
      </c>
      <c r="AB4" s="30">
        <f>LN(AA4)</f>
        <v>-35.568257746238743</v>
      </c>
      <c r="AC4" s="30" t="e">
        <f>AB4-O4</f>
        <v>#NUM!</v>
      </c>
    </row>
    <row r="5" spans="1:36" s="30" customFormat="1" x14ac:dyDescent="0.3">
      <c r="A5" s="30">
        <v>90525</v>
      </c>
      <c r="B5" s="30">
        <v>0</v>
      </c>
      <c r="C5" s="30">
        <v>0</v>
      </c>
      <c r="D5" s="30">
        <v>0</v>
      </c>
      <c r="E5" s="30">
        <v>0</v>
      </c>
      <c r="F5" s="30">
        <v>0</v>
      </c>
      <c r="G5" s="31">
        <f t="shared" si="0"/>
        <v>0</v>
      </c>
      <c r="H5" s="31">
        <f t="shared" si="1"/>
        <v>0</v>
      </c>
      <c r="J5" s="30" t="e">
        <f t="shared" si="2"/>
        <v>#DIV/0!</v>
      </c>
      <c r="K5" s="31" t="e">
        <f t="shared" si="3"/>
        <v>#DIV/0!</v>
      </c>
      <c r="L5" s="31" t="e">
        <f t="shared" si="4"/>
        <v>#DIV/0!</v>
      </c>
      <c r="M5" s="31" t="e">
        <f t="shared" si="5"/>
        <v>#DIV/0!</v>
      </c>
      <c r="N5" s="30">
        <f t="shared" si="6"/>
        <v>36.630036630036628</v>
      </c>
      <c r="O5" s="30" t="e">
        <f t="shared" ref="O5:O68" si="11">LN(M5)</f>
        <v>#DIV/0!</v>
      </c>
      <c r="Q5" s="30" t="e">
        <f>((#REF!^2-G4^2)*PI())/(36*C5)</f>
        <v>#REF!</v>
      </c>
      <c r="R5" s="30" t="e">
        <f>(1/(PI()*PI()*C5))*(-(#REF!-G4)*PI()*PI()/3-2*PI()*(SQRT(1-PI()/3*#REF!)-SQRT(1-PI()/3*G4)))</f>
        <v>#DIV/0!</v>
      </c>
      <c r="S5" s="30" t="e">
        <f>(1/(PI()^2*C5))*LN((1-G4)/(1-#REF!))</f>
        <v>#DIV/0!</v>
      </c>
      <c r="T5" s="30" t="e">
        <f t="shared" si="7"/>
        <v>#REF!</v>
      </c>
      <c r="U5" s="30" t="e">
        <f t="shared" ref="U5:U68" si="12">LN(T5)</f>
        <v>#REF!</v>
      </c>
      <c r="V5" s="30">
        <f t="shared" ref="V5:V68" si="13">IFERROR(O5-U5,5)</f>
        <v>5</v>
      </c>
      <c r="X5" s="31" t="e">
        <f t="shared" si="8"/>
        <v>#DIV/0!</v>
      </c>
      <c r="Y5" s="31" t="e">
        <f t="shared" si="9"/>
        <v>#DIV/0!</v>
      </c>
      <c r="Z5" s="31" t="e">
        <f t="shared" si="10"/>
        <v>#DIV/0!</v>
      </c>
      <c r="AA5" s="31" t="e">
        <f t="shared" ref="AA5:AA68" si="14">(H5&lt;0.05)*X5+((H5&gt;=0.05)*(H5&lt;0.9))*Y5+(H5&gt;=0.9)*Z5</f>
        <v>#DIV/0!</v>
      </c>
      <c r="AB5" s="30" t="e">
        <f t="shared" ref="AB5:AB68" si="15">LN(AA5)</f>
        <v>#DIV/0!</v>
      </c>
      <c r="AC5" s="30" t="e">
        <f t="shared" ref="AC5:AC68" si="16">AB5-O5</f>
        <v>#DIV/0!</v>
      </c>
    </row>
    <row r="6" spans="1:36" s="30" customFormat="1" x14ac:dyDescent="0.3">
      <c r="A6" s="30">
        <v>90526</v>
      </c>
      <c r="B6" s="30">
        <v>200.1</v>
      </c>
      <c r="C6" s="30">
        <v>3600</v>
      </c>
      <c r="D6" s="30">
        <v>8.3199999999999996E-2</v>
      </c>
      <c r="E6" s="30">
        <v>0.51040335710956264</v>
      </c>
      <c r="F6" s="30">
        <v>-0.16511020574574856</v>
      </c>
      <c r="G6" s="31">
        <f t="shared" si="0"/>
        <v>4.1599999999999997E-4</v>
      </c>
      <c r="H6" s="31">
        <f t="shared" si="1"/>
        <v>-4.0955102872874282E-4</v>
      </c>
      <c r="J6" s="31">
        <f t="shared" si="2"/>
        <v>4.1949958199045923E-12</v>
      </c>
      <c r="K6" s="31">
        <f t="shared" si="3"/>
        <v>4.1959098032429405E-12</v>
      </c>
      <c r="L6" s="31">
        <f t="shared" si="4"/>
        <v>1.1710661651877982E-8</v>
      </c>
      <c r="M6" s="31">
        <f t="shared" si="5"/>
        <v>4.1949958199045923E-12</v>
      </c>
      <c r="N6" s="30">
        <f t="shared" si="6"/>
        <v>21.137180300147961</v>
      </c>
      <c r="O6" s="30">
        <f t="shared" si="11"/>
        <v>-26.197128772456932</v>
      </c>
      <c r="Q6" s="30">
        <f t="shared" ref="Q6:Q37" si="17">((G6^2-H5^2)*PI())/(36*C6)</f>
        <v>4.1949958199045923E-12</v>
      </c>
      <c r="R6" s="30">
        <f t="shared" ref="R6:R37" si="18">(1/(PI()*PI()*C6))*(-(G6-H5)*PI()*PI()/3-2*PI()*(SQRT(1-PI()/3*G6)-SQRT(1-PI()/3*H5)))</f>
        <v>4.1959098032429405E-12</v>
      </c>
      <c r="S6" s="30">
        <f t="shared" ref="S6:S37" si="19">(1/(PI()^2*C6))*LN((1-H5)/(1-G6))</f>
        <v>1.1710661651877982E-8</v>
      </c>
      <c r="T6" s="30">
        <f t="shared" si="7"/>
        <v>4.1949958199045923E-12</v>
      </c>
      <c r="U6" s="30">
        <f t="shared" si="12"/>
        <v>-26.197128772456932</v>
      </c>
      <c r="V6" s="30">
        <f t="shared" si="13"/>
        <v>0</v>
      </c>
      <c r="X6" s="31">
        <f t="shared" si="8"/>
        <v>4.06593951204249E-12</v>
      </c>
      <c r="Y6" s="31">
        <f t="shared" si="9"/>
        <v>4.0650678540191637E-12</v>
      </c>
      <c r="Z6" s="31">
        <f t="shared" si="10"/>
        <v>-1.1524361085397336E-8</v>
      </c>
      <c r="AA6" s="31">
        <f t="shared" si="14"/>
        <v>4.06593951204249E-12</v>
      </c>
      <c r="AB6" s="30">
        <f t="shared" si="15"/>
        <v>-26.228376277359736</v>
      </c>
      <c r="AC6" s="30">
        <f t="shared" si="16"/>
        <v>-3.1247504902804479E-2</v>
      </c>
    </row>
    <row r="7" spans="1:36" s="30" customFormat="1" x14ac:dyDescent="0.3">
      <c r="A7" s="30">
        <v>90527</v>
      </c>
      <c r="B7" s="30">
        <v>199.9</v>
      </c>
      <c r="C7" s="30">
        <v>3600</v>
      </c>
      <c r="D7" s="30">
        <v>0.12876699999999999</v>
      </c>
      <c r="E7" s="30">
        <v>0.50906412835790404</v>
      </c>
      <c r="F7" s="30">
        <v>-9.0173717210489057E-2</v>
      </c>
      <c r="G7" s="31">
        <f t="shared" si="0"/>
        <v>6.4383499999999994E-4</v>
      </c>
      <c r="H7" s="31">
        <f t="shared" si="1"/>
        <v>1.9296641394755468E-4</v>
      </c>
      <c r="J7" s="30">
        <f t="shared" si="2"/>
        <v>5.8533375523047841E-12</v>
      </c>
      <c r="K7" s="31">
        <f t="shared" si="3"/>
        <v>5.8558123907425864E-12</v>
      </c>
      <c r="L7" s="31">
        <f t="shared" si="4"/>
        <v>6.4157642632882002E-9</v>
      </c>
      <c r="M7" s="31">
        <f t="shared" si="5"/>
        <v>5.8533375523047841E-12</v>
      </c>
      <c r="N7" s="30">
        <f t="shared" si="6"/>
        <v>21.14611968703743</v>
      </c>
      <c r="O7" s="30">
        <f t="shared" si="11"/>
        <v>-25.864009095608946</v>
      </c>
      <c r="Q7" s="30">
        <f t="shared" si="17"/>
        <v>5.9823938601668871E-12</v>
      </c>
      <c r="R7" s="30">
        <f t="shared" si="18"/>
        <v>5.9866543399633106E-12</v>
      </c>
      <c r="S7" s="30">
        <f t="shared" si="19"/>
        <v>2.9650787000564293E-8</v>
      </c>
      <c r="T7" s="30">
        <f t="shared" si="7"/>
        <v>5.9823938601668871E-12</v>
      </c>
      <c r="U7" s="30">
        <f t="shared" si="12"/>
        <v>-25.842200317004409</v>
      </c>
      <c r="V7" s="30">
        <f t="shared" si="13"/>
        <v>-2.1808778604537338E-2</v>
      </c>
      <c r="X7" s="31">
        <f t="shared" si="8"/>
        <v>-3.2923688136480852E-12</v>
      </c>
      <c r="Y7" s="31">
        <f t="shared" si="9"/>
        <v>-3.2931915845662353E-12</v>
      </c>
      <c r="Z7" s="31">
        <f t="shared" si="10"/>
        <v>-6.2791416222230211E-9</v>
      </c>
      <c r="AA7" s="31">
        <f t="shared" si="14"/>
        <v>-3.2923688136480852E-12</v>
      </c>
      <c r="AB7" s="30" t="e">
        <f t="shared" si="15"/>
        <v>#NUM!</v>
      </c>
      <c r="AC7" s="30" t="e">
        <f t="shared" si="16"/>
        <v>#NUM!</v>
      </c>
    </row>
    <row r="8" spans="1:36" s="30" customFormat="1" x14ac:dyDescent="0.3">
      <c r="A8" s="30">
        <v>90528</v>
      </c>
      <c r="B8" s="30">
        <v>24.9</v>
      </c>
      <c r="C8" s="30">
        <v>3600</v>
      </c>
      <c r="D8" s="30">
        <v>0.12958599999999998</v>
      </c>
      <c r="E8" s="30">
        <v>1.4985740910764614E-2</v>
      </c>
      <c r="F8" s="30">
        <v>-7.8395804480916275E-4</v>
      </c>
      <c r="G8" s="31">
        <f t="shared" si="0"/>
        <v>6.479299999999999E-4</v>
      </c>
      <c r="H8" s="31">
        <f t="shared" si="1"/>
        <v>6.4401020977595408E-4</v>
      </c>
      <c r="J8" s="30">
        <f t="shared" si="2"/>
        <v>1.2822782934338901E-13</v>
      </c>
      <c r="K8" s="31">
        <f t="shared" si="3"/>
        <v>1.2829291436619168E-13</v>
      </c>
      <c r="L8" s="31">
        <f t="shared" si="4"/>
        <v>1.1532733429863045E-10</v>
      </c>
      <c r="M8" s="31">
        <f t="shared" si="5"/>
        <v>1.2822782934338901E-13</v>
      </c>
      <c r="N8" s="30">
        <f t="shared" si="6"/>
        <v>33.568311513930851</v>
      </c>
      <c r="O8" s="30">
        <f t="shared" si="11"/>
        <v>-29.684967796420505</v>
      </c>
      <c r="Q8" s="30">
        <f t="shared" si="17"/>
        <v>9.2739341952962587E-12</v>
      </c>
      <c r="R8" s="30">
        <f t="shared" si="18"/>
        <v>9.2772968896742021E-12</v>
      </c>
      <c r="S8" s="30">
        <f t="shared" si="19"/>
        <v>1.2810233219814422E-8</v>
      </c>
      <c r="T8" s="30">
        <f t="shared" si="7"/>
        <v>9.2739341952962587E-12</v>
      </c>
      <c r="U8" s="30">
        <f t="shared" si="12"/>
        <v>-25.403813425596244</v>
      </c>
      <c r="V8" s="30">
        <f t="shared" si="13"/>
        <v>-4.281154370824261</v>
      </c>
      <c r="X8" s="31">
        <f t="shared" si="8"/>
        <v>5.4697423853816485E-15</v>
      </c>
      <c r="Y8" s="31">
        <f t="shared" si="9"/>
        <v>5.4725294093190386E-15</v>
      </c>
      <c r="Z8" s="31">
        <f t="shared" si="10"/>
        <v>4.934416799316011E-12</v>
      </c>
      <c r="AA8" s="31">
        <f t="shared" si="14"/>
        <v>5.4697423853816485E-15</v>
      </c>
      <c r="AB8" s="30">
        <f t="shared" si="15"/>
        <v>-32.839544875494134</v>
      </c>
      <c r="AC8" s="30">
        <f t="shared" si="16"/>
        <v>-3.1545770790736292</v>
      </c>
    </row>
    <row r="9" spans="1:36" s="30" customFormat="1" x14ac:dyDescent="0.3">
      <c r="A9" s="30">
        <v>90529</v>
      </c>
      <c r="B9" s="30">
        <v>200</v>
      </c>
      <c r="C9" s="30">
        <v>14400</v>
      </c>
      <c r="D9" s="30">
        <v>0.20243299999999997</v>
      </c>
      <c r="E9" s="30">
        <v>2.0389337323523349</v>
      </c>
      <c r="F9" s="30">
        <v>7.4342206359938975E-2</v>
      </c>
      <c r="G9" s="31">
        <f t="shared" si="0"/>
        <v>1.0121649999999998E-3</v>
      </c>
      <c r="H9" s="31">
        <f t="shared" si="1"/>
        <v>1.3838760317996949E-3</v>
      </c>
      <c r="J9" s="30">
        <f t="shared" si="2"/>
        <v>3.6643715021398097E-12</v>
      </c>
      <c r="K9" s="31">
        <f t="shared" si="3"/>
        <v>3.6668005215566676E-12</v>
      </c>
      <c r="L9" s="31">
        <f t="shared" si="4"/>
        <v>2.5649569341915438E-9</v>
      </c>
      <c r="M9" s="31">
        <f t="shared" si="5"/>
        <v>3.6643715021398097E-12</v>
      </c>
      <c r="N9" s="30">
        <f t="shared" si="6"/>
        <v>21.141649048625794</v>
      </c>
      <c r="O9" s="30">
        <f t="shared" si="11"/>
        <v>-26.332364281751129</v>
      </c>
      <c r="Q9" s="30">
        <f t="shared" si="17"/>
        <v>3.6950610238793128E-12</v>
      </c>
      <c r="R9" s="30">
        <f t="shared" si="18"/>
        <v>3.6975056177947629E-12</v>
      </c>
      <c r="S9" s="30">
        <f t="shared" si="19"/>
        <v>2.5925551635669971E-9</v>
      </c>
      <c r="T9" s="30">
        <f t="shared" si="7"/>
        <v>3.6950610238793128E-12</v>
      </c>
      <c r="U9" s="30">
        <f t="shared" si="12"/>
        <v>-26.324024046406485</v>
      </c>
      <c r="V9" s="30">
        <f t="shared" si="13"/>
        <v>-8.3402353446437871E-3</v>
      </c>
      <c r="X9" s="31">
        <f t="shared" si="8"/>
        <v>9.0617712110952986E-12</v>
      </c>
      <c r="Y9" s="31">
        <f t="shared" si="9"/>
        <v>9.0693249554906492E-12</v>
      </c>
      <c r="Z9" s="31">
        <f t="shared" si="10"/>
        <v>5.1835247369705622E-9</v>
      </c>
      <c r="AA9" s="31">
        <f t="shared" si="14"/>
        <v>9.0617712110952986E-12</v>
      </c>
      <c r="AB9" s="30">
        <f t="shared" si="15"/>
        <v>-25.426956517067499</v>
      </c>
      <c r="AC9" s="30">
        <f t="shared" si="16"/>
        <v>0.90540776468363049</v>
      </c>
    </row>
    <row r="10" spans="1:36" s="30" customFormat="1" x14ac:dyDescent="0.3">
      <c r="A10" s="30">
        <v>90530</v>
      </c>
      <c r="B10" s="30">
        <v>24.9</v>
      </c>
      <c r="C10" s="30">
        <v>3600</v>
      </c>
      <c r="D10" s="30">
        <v>0.20300699999999997</v>
      </c>
      <c r="E10" s="30">
        <v>1.4985740910764614E-2</v>
      </c>
      <c r="F10" s="30">
        <v>-5.4944068097736206E-4</v>
      </c>
      <c r="G10" s="31">
        <f t="shared" si="0"/>
        <v>1.0150349999999999E-3</v>
      </c>
      <c r="H10" s="31">
        <f t="shared" si="1"/>
        <v>1.012287796595113E-3</v>
      </c>
      <c r="J10" s="30">
        <f t="shared" si="2"/>
        <v>1.4103385123855126E-13</v>
      </c>
      <c r="K10" s="31">
        <f t="shared" si="3"/>
        <v>1.4114622605357675E-13</v>
      </c>
      <c r="L10" s="31">
        <f t="shared" si="4"/>
        <v>8.0857456297524159E-11</v>
      </c>
      <c r="M10" s="31">
        <f t="shared" si="5"/>
        <v>1.4103385123855126E-13</v>
      </c>
      <c r="N10" s="30">
        <f t="shared" si="6"/>
        <v>33.568311513930851</v>
      </c>
      <c r="O10" s="30">
        <f t="shared" si="11"/>
        <v>-29.589776453641001</v>
      </c>
      <c r="Q10" s="30">
        <f t="shared" si="17"/>
        <v>-2.1448564984583408E-11</v>
      </c>
      <c r="R10" s="30">
        <f t="shared" si="18"/>
        <v>-2.1468951509676488E-11</v>
      </c>
      <c r="S10" s="30">
        <f t="shared" si="19"/>
        <v>-1.0393413754817552E-8</v>
      </c>
      <c r="T10" s="30">
        <f t="shared" si="7"/>
        <v>-2.1448564984583408E-11</v>
      </c>
      <c r="U10" s="30" t="e">
        <f t="shared" si="12"/>
        <v>#NUM!</v>
      </c>
      <c r="V10" s="30">
        <f t="shared" si="13"/>
        <v>5</v>
      </c>
      <c r="X10" s="31">
        <f t="shared" si="8"/>
        <v>6.0261349212311767E-15</v>
      </c>
      <c r="Y10" s="31">
        <f t="shared" si="9"/>
        <v>6.0309210564048055E-15</v>
      </c>
      <c r="Z10" s="31">
        <f t="shared" si="10"/>
        <v>3.459584203019406E-12</v>
      </c>
      <c r="AA10" s="31">
        <f t="shared" si="14"/>
        <v>6.0261349212311767E-15</v>
      </c>
      <c r="AB10" s="30">
        <f t="shared" si="15"/>
        <v>-32.74267056460404</v>
      </c>
      <c r="AC10" s="30">
        <f t="shared" si="16"/>
        <v>-3.1528941109630395</v>
      </c>
    </row>
    <row r="11" spans="1:36" s="30" customFormat="1" x14ac:dyDescent="0.3">
      <c r="A11" s="30">
        <v>90531</v>
      </c>
      <c r="B11" s="30">
        <v>249.9</v>
      </c>
      <c r="C11" s="30">
        <v>3600</v>
      </c>
      <c r="D11" s="30">
        <v>0.38773299999999999</v>
      </c>
      <c r="E11" s="30">
        <v>0.92677648630169196</v>
      </c>
      <c r="F11" s="30">
        <v>-2.5120547495707943</v>
      </c>
      <c r="G11" s="31">
        <f t="shared" si="0"/>
        <v>1.938665E-3</v>
      </c>
      <c r="H11" s="31">
        <f t="shared" si="1"/>
        <v>-1.0621608747853973E-2</v>
      </c>
      <c r="J11" s="30">
        <f t="shared" si="2"/>
        <v>6.6131638756924516E-11</v>
      </c>
      <c r="K11" s="31">
        <f t="shared" si="3"/>
        <v>6.6210954750197464E-11</v>
      </c>
      <c r="L11" s="31">
        <f t="shared" si="4"/>
        <v>2.6033806783160421E-8</v>
      </c>
      <c r="M11" s="31">
        <f t="shared" si="5"/>
        <v>6.6131638756924516E-11</v>
      </c>
      <c r="N11" s="30">
        <f t="shared" si="6"/>
        <v>19.124115509657678</v>
      </c>
      <c r="O11" s="30">
        <f t="shared" si="11"/>
        <v>-23.439373833709389</v>
      </c>
      <c r="Q11" s="30">
        <f t="shared" si="17"/>
        <v>6.6266646473241826E-11</v>
      </c>
      <c r="R11" s="30">
        <f t="shared" si="18"/>
        <v>6.6346070055202701E-11</v>
      </c>
      <c r="S11" s="30">
        <f t="shared" si="19"/>
        <v>2.6111204655251361E-8</v>
      </c>
      <c r="T11" s="30">
        <f t="shared" si="7"/>
        <v>6.6266646473241826E-11</v>
      </c>
      <c r="U11" s="30">
        <f t="shared" si="12"/>
        <v>-23.437334415103983</v>
      </c>
      <c r="V11" s="30">
        <f t="shared" si="13"/>
        <v>-2.0394186054062402E-3</v>
      </c>
      <c r="X11" s="31">
        <f t="shared" si="8"/>
        <v>2.7098242878948894E-9</v>
      </c>
      <c r="Y11" s="31">
        <f t="shared" si="9"/>
        <v>2.6947064418151717E-9</v>
      </c>
      <c r="Z11" s="31">
        <f t="shared" si="10"/>
        <v>-3.2594873475895205E-7</v>
      </c>
      <c r="AA11" s="31">
        <f t="shared" si="14"/>
        <v>2.7098242878948894E-9</v>
      </c>
      <c r="AB11" s="30">
        <f t="shared" si="15"/>
        <v>-19.726382042572073</v>
      </c>
      <c r="AC11" s="30">
        <f t="shared" si="16"/>
        <v>3.7129917911373163</v>
      </c>
    </row>
    <row r="12" spans="1:36" s="30" customFormat="1" x14ac:dyDescent="0.3">
      <c r="A12" s="30">
        <v>90532</v>
      </c>
      <c r="B12" s="30">
        <v>269.8</v>
      </c>
      <c r="C12" s="30">
        <v>3600</v>
      </c>
      <c r="D12" s="30">
        <v>0.55808499999999994</v>
      </c>
      <c r="E12" s="30">
        <v>1.1436294800113145</v>
      </c>
      <c r="F12" s="30">
        <v>1.1959321930208486</v>
      </c>
      <c r="G12" s="31">
        <f t="shared" si="0"/>
        <v>2.7904249999999996E-3</v>
      </c>
      <c r="H12" s="31">
        <f t="shared" si="1"/>
        <v>8.7700859651042434E-3</v>
      </c>
      <c r="J12" s="30">
        <f t="shared" si="2"/>
        <v>9.7642680098672974E-11</v>
      </c>
      <c r="K12" s="31">
        <f t="shared" si="3"/>
        <v>9.7826361216710192E-11</v>
      </c>
      <c r="L12" s="31">
        <f t="shared" si="4"/>
        <v>2.4029412132302773E-8</v>
      </c>
      <c r="M12" s="31">
        <f t="shared" si="5"/>
        <v>9.7642680098672974E-11</v>
      </c>
      <c r="N12" s="30">
        <f t="shared" si="6"/>
        <v>18.42299189388357</v>
      </c>
      <c r="O12" s="30">
        <f t="shared" si="11"/>
        <v>-23.049706422002611</v>
      </c>
      <c r="Q12" s="30">
        <f t="shared" si="17"/>
        <v>-2.5460499690392917E-9</v>
      </c>
      <c r="R12" s="30">
        <f t="shared" si="18"/>
        <v>-2.5306691258481294E-9</v>
      </c>
      <c r="S12" s="30">
        <f t="shared" si="19"/>
        <v>3.7601195367440873E-7</v>
      </c>
      <c r="T12" s="30">
        <f t="shared" si="7"/>
        <v>-2.5460499690392917E-9</v>
      </c>
      <c r="U12" s="30" t="e">
        <f t="shared" si="12"/>
        <v>#NUM!</v>
      </c>
      <c r="V12" s="30">
        <f t="shared" si="13"/>
        <v>5</v>
      </c>
      <c r="X12" s="31">
        <f t="shared" si="8"/>
        <v>1.7733511398317682E-9</v>
      </c>
      <c r="Y12" s="31">
        <f t="shared" si="9"/>
        <v>1.7818696054589194E-9</v>
      </c>
      <c r="Z12" s="31">
        <f t="shared" si="10"/>
        <v>1.9330457502170624E-7</v>
      </c>
      <c r="AA12" s="31">
        <f t="shared" si="14"/>
        <v>1.7733511398317682E-9</v>
      </c>
      <c r="AB12" s="30">
        <f t="shared" si="15"/>
        <v>-20.150394781052864</v>
      </c>
      <c r="AC12" s="30">
        <f t="shared" si="16"/>
        <v>2.8993116409497475</v>
      </c>
    </row>
    <row r="13" spans="1:36" s="30" customFormat="1" x14ac:dyDescent="0.3">
      <c r="A13" s="30">
        <v>90533</v>
      </c>
      <c r="B13" s="30">
        <v>290</v>
      </c>
      <c r="C13" s="30">
        <v>3600</v>
      </c>
      <c r="D13" s="30">
        <v>0.76756399999999991</v>
      </c>
      <c r="E13" s="30">
        <v>1.3961951936694397</v>
      </c>
      <c r="F13" s="30">
        <v>0.54087653928311863</v>
      </c>
      <c r="G13" s="31">
        <f t="shared" si="0"/>
        <v>3.8378199999999996E-3</v>
      </c>
      <c r="H13" s="31">
        <f t="shared" si="1"/>
        <v>6.5422026964155932E-3</v>
      </c>
      <c r="J13" s="30">
        <f t="shared" si="2"/>
        <v>1.682882988641871E-10</v>
      </c>
      <c r="K13" s="31">
        <f t="shared" si="3"/>
        <v>1.6873128597749172E-10</v>
      </c>
      <c r="L13" s="31">
        <f t="shared" si="4"/>
        <v>2.9576718342021991E-8</v>
      </c>
      <c r="M13" s="31">
        <f t="shared" si="5"/>
        <v>1.682882988641871E-10</v>
      </c>
      <c r="N13" s="30">
        <f t="shared" si="6"/>
        <v>17.761989342806395</v>
      </c>
      <c r="O13" s="30">
        <f t="shared" si="11"/>
        <v>-22.505342542614112</v>
      </c>
      <c r="Q13" s="31">
        <f t="shared" si="17"/>
        <v>-1.5074201608689082E-9</v>
      </c>
      <c r="R13" s="30">
        <f t="shared" si="18"/>
        <v>-1.5153119582647418E-9</v>
      </c>
      <c r="S13" s="30">
        <f t="shared" si="19"/>
        <v>-1.3969844454737988E-7</v>
      </c>
      <c r="T13" s="31">
        <f t="shared" si="7"/>
        <v>-1.5074201608689082E-9</v>
      </c>
      <c r="U13" s="30" t="e">
        <f t="shared" si="12"/>
        <v>#NUM!</v>
      </c>
      <c r="V13" s="30">
        <f t="shared" si="13"/>
        <v>5</v>
      </c>
      <c r="X13" s="31">
        <f t="shared" si="8"/>
        <v>8.4876196471484483E-10</v>
      </c>
      <c r="Y13" s="31">
        <f t="shared" si="9"/>
        <v>8.5205496037030274E-10</v>
      </c>
      <c r="Z13" s="31">
        <f t="shared" si="10"/>
        <v>1.0608809787357405E-7</v>
      </c>
      <c r="AA13" s="31">
        <f t="shared" si="14"/>
        <v>8.4876196471484483E-10</v>
      </c>
      <c r="AB13" s="30">
        <f t="shared" si="15"/>
        <v>-20.887242340289205</v>
      </c>
      <c r="AC13" s="30">
        <f t="shared" si="16"/>
        <v>1.6181002023249071</v>
      </c>
    </row>
    <row r="14" spans="1:36" s="30" customFormat="1" x14ac:dyDescent="0.3">
      <c r="A14" s="30">
        <v>90534</v>
      </c>
      <c r="B14" s="30">
        <v>300.3</v>
      </c>
      <c r="C14" s="30">
        <v>3600</v>
      </c>
      <c r="D14" s="30">
        <v>0.90081999999999995</v>
      </c>
      <c r="E14" s="30">
        <v>1.5381416399950214</v>
      </c>
      <c r="F14" s="30">
        <v>0.25535138841748717</v>
      </c>
      <c r="G14" s="31">
        <f t="shared" si="0"/>
        <v>4.5040999999999996E-3</v>
      </c>
      <c r="H14" s="31">
        <f t="shared" si="1"/>
        <v>5.7808569420874359E-3</v>
      </c>
      <c r="J14" s="30">
        <f t="shared" si="2"/>
        <v>1.3473104206981606E-10</v>
      </c>
      <c r="K14" s="31">
        <f t="shared" si="3"/>
        <v>1.3517496419823565E-10</v>
      </c>
      <c r="L14" s="31">
        <f t="shared" si="4"/>
        <v>1.8830842902400534E-8</v>
      </c>
      <c r="M14" s="31">
        <f t="shared" si="5"/>
        <v>1.3473104206981606E-10</v>
      </c>
      <c r="N14" s="30">
        <f t="shared" si="6"/>
        <v>17.44287458573173</v>
      </c>
      <c r="O14" s="30">
        <f t="shared" si="11"/>
        <v>-22.727740605686019</v>
      </c>
      <c r="Q14" s="30">
        <f t="shared" si="17"/>
        <v>-5.4574262378084169E-10</v>
      </c>
      <c r="R14" s="30">
        <f t="shared" si="18"/>
        <v>-5.4814871019457538E-10</v>
      </c>
      <c r="S14" s="30">
        <f t="shared" si="19"/>
        <v>-5.7680536629147648E-8</v>
      </c>
      <c r="T14" s="30">
        <f t="shared" si="7"/>
        <v>-5.4574262378084169E-10</v>
      </c>
      <c r="U14" s="30" t="e">
        <f t="shared" si="12"/>
        <v>#NUM!</v>
      </c>
      <c r="V14" s="30">
        <f t="shared" si="13"/>
        <v>5</v>
      </c>
      <c r="X14" s="31">
        <f t="shared" si="8"/>
        <v>4.5304492250828657E-10</v>
      </c>
      <c r="Y14" s="31">
        <f t="shared" si="9"/>
        <v>4.5478697096556316E-10</v>
      </c>
      <c r="Z14" s="31">
        <f t="shared" si="10"/>
        <v>5.4950627659812723E-8</v>
      </c>
      <c r="AA14" s="31">
        <f t="shared" si="14"/>
        <v>4.5304492250828657E-10</v>
      </c>
      <c r="AB14" s="30">
        <f t="shared" si="15"/>
        <v>-21.515029828677246</v>
      </c>
      <c r="AC14" s="30">
        <f t="shared" si="16"/>
        <v>1.2127107770087733</v>
      </c>
    </row>
    <row r="15" spans="1:36" s="30" customFormat="1" x14ac:dyDescent="0.3">
      <c r="A15" s="30">
        <v>90535</v>
      </c>
      <c r="B15" s="30">
        <v>285</v>
      </c>
      <c r="C15" s="30">
        <v>3600</v>
      </c>
      <c r="D15" s="30">
        <v>0.94622899999999999</v>
      </c>
      <c r="E15" s="30">
        <v>1.3305354044996704</v>
      </c>
      <c r="F15" s="30">
        <v>0.14001386156095064</v>
      </c>
      <c r="G15" s="31">
        <f t="shared" si="0"/>
        <v>4.731145E-3</v>
      </c>
      <c r="H15" s="31">
        <f t="shared" si="1"/>
        <v>5.4312143078047524E-3</v>
      </c>
      <c r="J15" s="30">
        <f t="shared" si="2"/>
        <v>5.0828259051452189E-11</v>
      </c>
      <c r="K15" s="31">
        <f t="shared" si="3"/>
        <v>5.1013380061922075E-11</v>
      </c>
      <c r="L15" s="31">
        <f t="shared" si="4"/>
        <v>6.4197741602254534E-9</v>
      </c>
      <c r="M15" s="31">
        <f t="shared" si="5"/>
        <v>5.0828259051452189E-11</v>
      </c>
      <c r="N15" s="30">
        <f t="shared" si="6"/>
        <v>17.921146953405017</v>
      </c>
      <c r="O15" s="30">
        <f t="shared" si="11"/>
        <v>-23.702568635470378</v>
      </c>
      <c r="Q15" s="30">
        <f t="shared" si="17"/>
        <v>-2.6748562138701832E-10</v>
      </c>
      <c r="R15" s="30">
        <f t="shared" si="18"/>
        <v>-2.6859862670540236E-10</v>
      </c>
      <c r="S15" s="30">
        <f t="shared" si="19"/>
        <v>-2.970001059719131E-8</v>
      </c>
      <c r="T15" s="30">
        <f t="shared" si="7"/>
        <v>-2.6748562138701832E-10</v>
      </c>
      <c r="U15" s="30" t="e">
        <f t="shared" si="12"/>
        <v>#NUM!</v>
      </c>
      <c r="V15" s="30">
        <f t="shared" si="13"/>
        <v>5</v>
      </c>
      <c r="X15" s="31">
        <f t="shared" si="8"/>
        <v>2.2328511137931278E-10</v>
      </c>
      <c r="Y15" s="31">
        <f t="shared" si="9"/>
        <v>2.2416263373304696E-10</v>
      </c>
      <c r="Z15" s="31">
        <f t="shared" si="10"/>
        <v>2.6223694164803517E-8</v>
      </c>
      <c r="AA15" s="31">
        <f t="shared" si="14"/>
        <v>2.2328511137931278E-10</v>
      </c>
      <c r="AB15" s="30">
        <f t="shared" si="15"/>
        <v>-22.222571634722659</v>
      </c>
      <c r="AC15" s="30">
        <f t="shared" si="16"/>
        <v>1.4799970007477192</v>
      </c>
      <c r="AE15" t="s">
        <v>183</v>
      </c>
      <c r="AF15"/>
      <c r="AG15"/>
      <c r="AH15"/>
      <c r="AI15"/>
      <c r="AJ15"/>
    </row>
    <row r="16" spans="1:36" s="30" customFormat="1" ht="15" thickBot="1" x14ac:dyDescent="0.35">
      <c r="A16" s="30">
        <v>90536</v>
      </c>
      <c r="B16" s="30">
        <v>275.10000000000002</v>
      </c>
      <c r="C16" s="30">
        <v>4800</v>
      </c>
      <c r="D16" s="30">
        <v>0.96811499999999995</v>
      </c>
      <c r="E16" s="30">
        <v>1.6088782467793519</v>
      </c>
      <c r="F16" s="30">
        <v>3.7214176823981669E-2</v>
      </c>
      <c r="G16" s="31">
        <f t="shared" si="0"/>
        <v>4.8405749999999997E-3</v>
      </c>
      <c r="H16" s="31">
        <f t="shared" si="1"/>
        <v>5.0266458841199081E-3</v>
      </c>
      <c r="J16" s="30">
        <f t="shared" si="2"/>
        <v>1.9042875127202104E-11</v>
      </c>
      <c r="K16" s="31">
        <f t="shared" si="3"/>
        <v>1.9114757005201094E-11</v>
      </c>
      <c r="L16" s="31">
        <f t="shared" si="4"/>
        <v>2.3210199802535654E-9</v>
      </c>
      <c r="M16" s="31">
        <f t="shared" si="5"/>
        <v>1.9042875127202104E-11</v>
      </c>
      <c r="N16" s="30">
        <f t="shared" si="6"/>
        <v>18.244845831052729</v>
      </c>
      <c r="O16" s="30">
        <f t="shared" si="11"/>
        <v>-24.684328093385432</v>
      </c>
      <c r="Q16" s="30">
        <f t="shared" si="17"/>
        <v>-1.1029976411869336E-10</v>
      </c>
      <c r="R16" s="30">
        <f t="shared" si="18"/>
        <v>-1.1074718324813573E-10</v>
      </c>
      <c r="S16" s="30">
        <f t="shared" si="19"/>
        <v>-1.2531920023180566E-8</v>
      </c>
      <c r="T16" s="30">
        <f t="shared" si="7"/>
        <v>-1.1029976411869336E-10</v>
      </c>
      <c r="U16" s="30" t="e">
        <f t="shared" si="12"/>
        <v>#NUM!</v>
      </c>
      <c r="V16" s="30">
        <f t="shared" si="13"/>
        <v>5</v>
      </c>
      <c r="X16" s="31">
        <f t="shared" si="8"/>
        <v>5.2422342772215023E-11</v>
      </c>
      <c r="Y16" s="31">
        <f t="shared" si="9"/>
        <v>5.2624139946381145E-11</v>
      </c>
      <c r="Z16" s="31">
        <f t="shared" si="10"/>
        <v>6.268185899948599E-9</v>
      </c>
      <c r="AA16" s="31">
        <f t="shared" si="14"/>
        <v>5.2422342772215023E-11</v>
      </c>
      <c r="AB16" s="30">
        <f t="shared" si="15"/>
        <v>-23.671688226696688</v>
      </c>
      <c r="AC16" s="30">
        <f t="shared" si="16"/>
        <v>1.012639866688744</v>
      </c>
      <c r="AE16" t="s">
        <v>184</v>
      </c>
      <c r="AF16">
        <f>EXP(25.547)</f>
        <v>124428862001.52847</v>
      </c>
      <c r="AG16">
        <v>346</v>
      </c>
      <c r="AH16">
        <f>(AF17/1.987)/(LN((AF16*AG16^2*55*1.987)/(AF17*AF18)))</f>
        <v>607.27729288286605</v>
      </c>
      <c r="AI16" t="s">
        <v>185</v>
      </c>
      <c r="AJ16" t="s">
        <v>155</v>
      </c>
    </row>
    <row r="17" spans="1:36" s="30" customFormat="1" ht="15" thickBot="1" x14ac:dyDescent="0.35">
      <c r="A17" s="30">
        <v>90537</v>
      </c>
      <c r="B17" s="30">
        <v>255</v>
      </c>
      <c r="C17" s="30">
        <v>6000</v>
      </c>
      <c r="D17" s="30">
        <v>0.97869699999999993</v>
      </c>
      <c r="E17" s="30">
        <v>1.632384267923928</v>
      </c>
      <c r="F17" s="30">
        <v>1.734725260443E-2</v>
      </c>
      <c r="G17" s="31">
        <f t="shared" si="0"/>
        <v>4.8934849999999995E-3</v>
      </c>
      <c r="H17" s="31">
        <f t="shared" si="1"/>
        <v>4.98022126302215E-3</v>
      </c>
      <c r="J17" s="30">
        <f t="shared" si="2"/>
        <v>7.4907948278342913E-12</v>
      </c>
      <c r="K17" s="31">
        <f t="shared" si="3"/>
        <v>7.5195512556374408E-12</v>
      </c>
      <c r="L17" s="31">
        <f t="shared" si="4"/>
        <v>8.9785385293431625E-10</v>
      </c>
      <c r="M17" s="31">
        <f t="shared" si="5"/>
        <v>7.4907948278342913E-12</v>
      </c>
      <c r="N17" s="30">
        <f t="shared" si="6"/>
        <v>18.939393939393938</v>
      </c>
      <c r="O17" s="30">
        <f t="shared" si="11"/>
        <v>-25.617346205493639</v>
      </c>
      <c r="Q17" s="30">
        <f t="shared" si="17"/>
        <v>-1.9212779288176044E-11</v>
      </c>
      <c r="R17" s="30">
        <f t="shared" si="18"/>
        <v>-1.9287955097306601E-11</v>
      </c>
      <c r="S17" s="30">
        <f t="shared" si="19"/>
        <v>-2.2598788828225001E-9</v>
      </c>
      <c r="T17" s="30">
        <f t="shared" si="7"/>
        <v>-1.9212779288176044E-11</v>
      </c>
      <c r="U17" s="30" t="e">
        <f t="shared" si="12"/>
        <v>#NUM!</v>
      </c>
      <c r="V17" s="30">
        <f t="shared" si="13"/>
        <v>5</v>
      </c>
      <c r="X17" s="31">
        <f t="shared" si="8"/>
        <v>1.9946749854990095E-11</v>
      </c>
      <c r="Y17" s="31">
        <f t="shared" si="9"/>
        <v>2.0024013229318411E-11</v>
      </c>
      <c r="Z17" s="31">
        <f t="shared" si="10"/>
        <v>2.369824227766753E-9</v>
      </c>
      <c r="AA17" s="31">
        <f t="shared" si="14"/>
        <v>1.9946749854990095E-11</v>
      </c>
      <c r="AB17" s="30">
        <f t="shared" si="15"/>
        <v>-24.637954900401528</v>
      </c>
      <c r="AC17" s="30">
        <f t="shared" si="16"/>
        <v>0.97939130509211125</v>
      </c>
      <c r="AE17" t="s">
        <v>186</v>
      </c>
      <c r="AF17">
        <f>10000*3.6152*1.987</f>
        <v>71834.024000000005</v>
      </c>
      <c r="AG17">
        <f>AH16</f>
        <v>607.27729288286605</v>
      </c>
      <c r="AH17">
        <f>(AF17/1.987)/(LN((AF16*AG17^2*55*1.987)/(AF17*AF18)))</f>
        <v>596.01312427303571</v>
      </c>
      <c r="AI17" s="40">
        <f>AH17-273</f>
        <v>323.01312427303571</v>
      </c>
      <c r="AJ17">
        <f>AJ19-AI17</f>
        <v>-214.80247453258391</v>
      </c>
    </row>
    <row r="18" spans="1:36" s="30" customFormat="1" ht="15" thickBot="1" x14ac:dyDescent="0.35">
      <c r="A18" s="30">
        <v>90538</v>
      </c>
      <c r="B18" s="30">
        <v>25</v>
      </c>
      <c r="C18" s="30">
        <v>3600</v>
      </c>
      <c r="D18" s="30">
        <v>0.97789599999999988</v>
      </c>
      <c r="E18" s="30">
        <v>1.5032471631845901E-2</v>
      </c>
      <c r="F18" s="30">
        <v>7.6676677841178945E-4</v>
      </c>
      <c r="G18" s="31">
        <f t="shared" si="0"/>
        <v>4.889479999999999E-3</v>
      </c>
      <c r="H18" s="31">
        <f t="shared" si="1"/>
        <v>4.8933138338920585E-3</v>
      </c>
      <c r="J18" s="30">
        <f t="shared" si="2"/>
        <v>-9.497687835817131E-13</v>
      </c>
      <c r="K18" s="31">
        <f t="shared" si="3"/>
        <v>-9.5343320965676934E-13</v>
      </c>
      <c r="L18" s="31">
        <f t="shared" si="4"/>
        <v>-1.1327389407145103E-10</v>
      </c>
      <c r="M18" s="31">
        <f t="shared" si="5"/>
        <v>-9.497687835817131E-13</v>
      </c>
      <c r="N18" s="30">
        <f t="shared" si="6"/>
        <v>33.557046979865774</v>
      </c>
      <c r="O18" s="30" t="e">
        <f t="shared" si="11"/>
        <v>#NUM!</v>
      </c>
      <c r="Q18" s="30">
        <f t="shared" si="17"/>
        <v>-2.1709693828841387E-11</v>
      </c>
      <c r="R18" s="30">
        <f t="shared" si="18"/>
        <v>-2.1794203165792479E-11</v>
      </c>
      <c r="S18" s="30">
        <f t="shared" si="19"/>
        <v>-2.5665578521283262E-9</v>
      </c>
      <c r="T18" s="30">
        <f t="shared" si="7"/>
        <v>-2.1709693828841387E-11</v>
      </c>
      <c r="U18" s="30" t="e">
        <f t="shared" si="12"/>
        <v>#NUM!</v>
      </c>
      <c r="V18" s="30">
        <f t="shared" si="13"/>
        <v>5</v>
      </c>
      <c r="X18" s="31">
        <f t="shared" si="8"/>
        <v>-4.0607224666107425E-14</v>
      </c>
      <c r="Y18" s="31">
        <f t="shared" si="9"/>
        <v>-4.0763949959351957E-14</v>
      </c>
      <c r="Z18" s="31">
        <f t="shared" si="10"/>
        <v>-4.8411208325619862E-12</v>
      </c>
      <c r="AA18" s="31">
        <f t="shared" si="14"/>
        <v>-4.0607224666107425E-14</v>
      </c>
      <c r="AB18" s="30" t="e">
        <f t="shared" si="15"/>
        <v>#NUM!</v>
      </c>
      <c r="AC18" s="30" t="e">
        <f t="shared" si="16"/>
        <v>#NUM!</v>
      </c>
      <c r="AE18" t="s">
        <v>187</v>
      </c>
      <c r="AF18">
        <f>AF20/(1000000*365*24*60*60)</f>
        <v>3.1709791983764587E-13</v>
      </c>
      <c r="AG18"/>
      <c r="AH18"/>
      <c r="AI18" t="s">
        <v>177</v>
      </c>
      <c r="AJ18" t="s">
        <v>178</v>
      </c>
    </row>
    <row r="19" spans="1:36" s="30" customFormat="1" ht="15" thickBot="1" x14ac:dyDescent="0.35">
      <c r="A19" s="30">
        <v>90539</v>
      </c>
      <c r="B19" s="30">
        <v>299.89999999999998</v>
      </c>
      <c r="C19" s="30">
        <v>3600</v>
      </c>
      <c r="D19" s="30">
        <v>1.0068599999999999</v>
      </c>
      <c r="E19" s="30">
        <v>1.5324591164536527</v>
      </c>
      <c r="F19" s="30">
        <v>5.6076576654573787E-2</v>
      </c>
      <c r="G19" s="31">
        <f t="shared" si="0"/>
        <v>5.0342999999999994E-3</v>
      </c>
      <c r="H19" s="31">
        <f t="shared" si="1"/>
        <v>5.3146828832728692E-3</v>
      </c>
      <c r="J19" s="30">
        <f t="shared" si="2"/>
        <v>3.4837785605517832E-11</v>
      </c>
      <c r="K19" s="31">
        <f t="shared" si="3"/>
        <v>3.4974150839870527E-11</v>
      </c>
      <c r="L19" s="31">
        <f t="shared" si="4"/>
        <v>4.0962512148836119E-9</v>
      </c>
      <c r="M19" s="31">
        <f t="shared" si="5"/>
        <v>3.4837785605517832E-11</v>
      </c>
      <c r="N19" s="30">
        <f t="shared" si="6"/>
        <v>17.455053237912377</v>
      </c>
      <c r="O19" s="30">
        <f t="shared" si="11"/>
        <v>-24.080318524933265</v>
      </c>
      <c r="Q19" s="30">
        <f t="shared" si="17"/>
        <v>3.3928624046602225E-11</v>
      </c>
      <c r="R19" s="30">
        <f t="shared" si="18"/>
        <v>3.4061481580171963E-11</v>
      </c>
      <c r="S19" s="30">
        <f t="shared" si="19"/>
        <v>3.9878184416404084E-9</v>
      </c>
      <c r="T19" s="30">
        <f t="shared" si="7"/>
        <v>3.3928624046602225E-11</v>
      </c>
      <c r="U19" s="30">
        <f t="shared" si="12"/>
        <v>-24.106762090663146</v>
      </c>
      <c r="V19" s="30">
        <f t="shared" si="13"/>
        <v>2.6443565729881158E-2</v>
      </c>
      <c r="X19" s="31">
        <f t="shared" si="8"/>
        <v>1.0517643698644072E-10</v>
      </c>
      <c r="Y19" s="31">
        <f t="shared" si="9"/>
        <v>1.0560002891014798E-10</v>
      </c>
      <c r="Z19" s="31">
        <f t="shared" si="10"/>
        <v>1.202860985743348E-8</v>
      </c>
      <c r="AA19" s="31">
        <f t="shared" si="14"/>
        <v>1.0517643698644072E-10</v>
      </c>
      <c r="AB19" s="30">
        <f t="shared" si="15"/>
        <v>-22.975381823731507</v>
      </c>
      <c r="AC19" s="30">
        <f t="shared" si="16"/>
        <v>1.1049367012017584</v>
      </c>
      <c r="AE19" t="s">
        <v>188</v>
      </c>
      <c r="AF19"/>
      <c r="AG19">
        <f>0.97*AF17</f>
        <v>69679.003280000004</v>
      </c>
      <c r="AH19" t="s">
        <v>189</v>
      </c>
      <c r="AI19" s="40">
        <v>90.19658763822008</v>
      </c>
      <c r="AJ19">
        <v>108.2106497404518</v>
      </c>
    </row>
    <row r="20" spans="1:36" s="30" customFormat="1" x14ac:dyDescent="0.3">
      <c r="A20" s="30">
        <v>90540</v>
      </c>
      <c r="B20" s="30">
        <v>300</v>
      </c>
      <c r="C20" s="30">
        <v>3600</v>
      </c>
      <c r="D20" s="30">
        <v>1.0419909999999999</v>
      </c>
      <c r="E20" s="30">
        <v>1.5338784491856929</v>
      </c>
      <c r="F20" s="30">
        <v>6.7840965889421553E-2</v>
      </c>
      <c r="G20" s="31">
        <f t="shared" si="0"/>
        <v>5.2099549999999996E-3</v>
      </c>
      <c r="H20" s="31">
        <f t="shared" si="1"/>
        <v>5.549159829447107E-3</v>
      </c>
      <c r="J20" s="30">
        <f t="shared" si="2"/>
        <v>4.3620010722268701E-11</v>
      </c>
      <c r="K20" s="31">
        <f t="shared" si="3"/>
        <v>4.3796295586015633E-11</v>
      </c>
      <c r="L20" s="31">
        <f t="shared" si="4"/>
        <v>4.9692231498040919E-9</v>
      </c>
      <c r="M20" s="31">
        <f t="shared" si="5"/>
        <v>4.3620010722268701E-11</v>
      </c>
      <c r="N20" s="30">
        <f t="shared" si="6"/>
        <v>17.452006980802793</v>
      </c>
      <c r="O20" s="30">
        <f t="shared" si="11"/>
        <v>-23.855505109344257</v>
      </c>
      <c r="Q20" s="30">
        <f t="shared" si="17"/>
        <v>-2.6718640658654198E-11</v>
      </c>
      <c r="R20" s="30">
        <f t="shared" si="18"/>
        <v>-2.6829582484263345E-11</v>
      </c>
      <c r="S20" s="30">
        <f t="shared" si="19"/>
        <v>-2.9631354927417122E-9</v>
      </c>
      <c r="T20" s="30">
        <f t="shared" si="7"/>
        <v>-2.6718640658654198E-11</v>
      </c>
      <c r="U20" s="30" t="e">
        <f t="shared" si="12"/>
        <v>#NUM!</v>
      </c>
      <c r="V20" s="30">
        <f t="shared" si="13"/>
        <v>5</v>
      </c>
      <c r="X20" s="31">
        <f t="shared" si="8"/>
        <v>1.3208744676059257E-10</v>
      </c>
      <c r="Y20" s="31">
        <f t="shared" si="9"/>
        <v>1.3263940394329417E-10</v>
      </c>
      <c r="Z20" s="31">
        <f t="shared" si="10"/>
        <v>1.4567701814069761E-8</v>
      </c>
      <c r="AA20" s="31">
        <f t="shared" si="14"/>
        <v>1.3208744676059257E-10</v>
      </c>
      <c r="AB20" s="30">
        <f t="shared" si="15"/>
        <v>-22.747556937223145</v>
      </c>
      <c r="AC20" s="30">
        <f t="shared" si="16"/>
        <v>1.1079481721211124</v>
      </c>
      <c r="AE20" t="s">
        <v>190</v>
      </c>
      <c r="AF20">
        <v>10</v>
      </c>
      <c r="AG20"/>
      <c r="AH20"/>
      <c r="AI20">
        <v>64439823.670807518</v>
      </c>
      <c r="AJ20">
        <v>4828742.7687072773</v>
      </c>
    </row>
    <row r="21" spans="1:36" s="30" customFormat="1" x14ac:dyDescent="0.3">
      <c r="A21" s="30">
        <v>90541</v>
      </c>
      <c r="B21" s="30">
        <v>300.2</v>
      </c>
      <c r="C21" s="30">
        <v>3600</v>
      </c>
      <c r="D21" s="30">
        <v>1.072209</v>
      </c>
      <c r="E21" s="30">
        <v>1.5367197107596038</v>
      </c>
      <c r="F21" s="30">
        <v>5.8053911485096345E-2</v>
      </c>
      <c r="G21" s="31">
        <f t="shared" si="0"/>
        <v>5.361045E-3</v>
      </c>
      <c r="H21" s="31">
        <f t="shared" si="1"/>
        <v>5.6513145574254818E-3</v>
      </c>
      <c r="J21" s="30">
        <f t="shared" si="2"/>
        <v>3.8716551288120826E-11</v>
      </c>
      <c r="K21" s="31">
        <f t="shared" si="3"/>
        <v>3.8878028317771563E-11</v>
      </c>
      <c r="L21" s="31">
        <f t="shared" si="4"/>
        <v>4.2749892517903498E-9</v>
      </c>
      <c r="M21" s="31">
        <f t="shared" si="5"/>
        <v>3.8716551288120826E-11</v>
      </c>
      <c r="N21" s="30">
        <f t="shared" si="6"/>
        <v>17.445917655268666</v>
      </c>
      <c r="O21" s="30">
        <f t="shared" si="11"/>
        <v>-23.974753925459044</v>
      </c>
      <c r="Q21" s="30">
        <f t="shared" si="17"/>
        <v>-4.9750884750203026E-11</v>
      </c>
      <c r="R21" s="30">
        <f t="shared" si="18"/>
        <v>-4.9965080039500866E-11</v>
      </c>
      <c r="S21" s="30">
        <f t="shared" si="19"/>
        <v>-5.3234894124728881E-9</v>
      </c>
      <c r="T21" s="30">
        <f t="shared" si="7"/>
        <v>-4.9750884750203026E-11</v>
      </c>
      <c r="U21" s="30" t="e">
        <f t="shared" si="12"/>
        <v>#NUM!</v>
      </c>
      <c r="V21" s="30">
        <f t="shared" si="13"/>
        <v>5</v>
      </c>
      <c r="X21" s="31">
        <f t="shared" si="8"/>
        <v>1.1620317620257274E-10</v>
      </c>
      <c r="Y21" s="31">
        <f t="shared" si="9"/>
        <v>1.167014445600774E-10</v>
      </c>
      <c r="Z21" s="31">
        <f t="shared" si="10"/>
        <v>1.248979236303523E-8</v>
      </c>
      <c r="AA21" s="31">
        <f t="shared" si="14"/>
        <v>1.1620317620257274E-10</v>
      </c>
      <c r="AB21" s="30">
        <f t="shared" si="15"/>
        <v>-22.875680937955106</v>
      </c>
      <c r="AC21" s="30">
        <f t="shared" si="16"/>
        <v>1.0990729875039378</v>
      </c>
    </row>
    <row r="22" spans="1:36" s="30" customFormat="1" x14ac:dyDescent="0.3">
      <c r="A22" s="30">
        <v>90542</v>
      </c>
      <c r="B22" s="30">
        <v>310</v>
      </c>
      <c r="C22" s="30">
        <v>3600</v>
      </c>
      <c r="D22" s="30">
        <v>1.1082509999999999</v>
      </c>
      <c r="E22" s="30">
        <v>1.6802138900312769</v>
      </c>
      <c r="F22" s="30">
        <v>5.5076710653025322E-2</v>
      </c>
      <c r="G22" s="31">
        <f t="shared" si="0"/>
        <v>5.5412549999999993E-3</v>
      </c>
      <c r="H22" s="31">
        <f t="shared" si="1"/>
        <v>5.8166385532651254E-3</v>
      </c>
      <c r="J22" s="30">
        <f t="shared" si="2"/>
        <v>4.7625756394097731E-11</v>
      </c>
      <c r="K22" s="31">
        <f t="shared" si="3"/>
        <v>4.7830651330759444E-11</v>
      </c>
      <c r="L22" s="31">
        <f t="shared" si="4"/>
        <v>5.0997692052756953E-9</v>
      </c>
      <c r="M22" s="31">
        <f t="shared" si="5"/>
        <v>4.7625756394097731E-11</v>
      </c>
      <c r="N22" s="30">
        <f t="shared" si="6"/>
        <v>17.152658662092623</v>
      </c>
      <c r="O22" s="30">
        <f t="shared" si="11"/>
        <v>-23.767647400317038</v>
      </c>
      <c r="Q22" s="30">
        <f t="shared" si="17"/>
        <v>-2.9860868520354176E-11</v>
      </c>
      <c r="R22" s="30">
        <f t="shared" si="18"/>
        <v>-2.9992764911543352E-11</v>
      </c>
      <c r="S22" s="30">
        <f t="shared" si="19"/>
        <v>-3.1150339059682026E-9</v>
      </c>
      <c r="T22" s="30">
        <f t="shared" si="7"/>
        <v>-2.9860868520354176E-11</v>
      </c>
      <c r="U22" s="30" t="e">
        <f t="shared" si="12"/>
        <v>#NUM!</v>
      </c>
      <c r="V22" s="30">
        <f t="shared" si="13"/>
        <v>5</v>
      </c>
      <c r="X22" s="31">
        <f t="shared" si="8"/>
        <v>1.2344521249070083E-10</v>
      </c>
      <c r="Y22" s="31">
        <f t="shared" si="9"/>
        <v>1.2399003191327799E-10</v>
      </c>
      <c r="Z22" s="31">
        <f t="shared" si="10"/>
        <v>1.2894643590595383E-8</v>
      </c>
      <c r="AA22" s="31">
        <f t="shared" si="14"/>
        <v>1.2344521249070083E-10</v>
      </c>
      <c r="AB22" s="30">
        <f t="shared" si="15"/>
        <v>-22.815223681847637</v>
      </c>
      <c r="AC22" s="30">
        <f t="shared" si="16"/>
        <v>0.95242371846940088</v>
      </c>
    </row>
    <row r="23" spans="1:36" s="30" customFormat="1" x14ac:dyDescent="0.3">
      <c r="A23" s="30">
        <v>90543</v>
      </c>
      <c r="B23" s="30">
        <v>320</v>
      </c>
      <c r="C23" s="30">
        <v>3600</v>
      </c>
      <c r="D23" s="30">
        <v>1.1733969999999998</v>
      </c>
      <c r="E23" s="30">
        <v>1.835393249789435</v>
      </c>
      <c r="F23" s="30">
        <v>8.1760903238039528E-2</v>
      </c>
      <c r="G23" s="31">
        <f t="shared" si="0"/>
        <v>5.866984999999999E-3</v>
      </c>
      <c r="H23" s="31">
        <f t="shared" si="1"/>
        <v>6.2757895161901969E-3</v>
      </c>
      <c r="J23" s="30">
        <f t="shared" si="2"/>
        <v>9.0078527762714327E-11</v>
      </c>
      <c r="K23" s="31">
        <f t="shared" si="3"/>
        <v>9.0484210711467061E-11</v>
      </c>
      <c r="L23" s="31">
        <f t="shared" si="4"/>
        <v>9.2201901384709397E-9</v>
      </c>
      <c r="M23" s="31">
        <f t="shared" si="5"/>
        <v>9.0078527762714327E-11</v>
      </c>
      <c r="N23" s="30">
        <f t="shared" si="6"/>
        <v>16.863406408094434</v>
      </c>
      <c r="O23" s="30">
        <f t="shared" si="11"/>
        <v>-23.130339295335087</v>
      </c>
      <c r="Q23" s="30">
        <f t="shared" si="17"/>
        <v>1.4259071666111207E-11</v>
      </c>
      <c r="R23" s="30">
        <f t="shared" si="18"/>
        <v>1.4324830128950803E-11</v>
      </c>
      <c r="S23" s="30">
        <f t="shared" si="19"/>
        <v>1.4253157531454758E-9</v>
      </c>
      <c r="T23" s="30">
        <f t="shared" si="7"/>
        <v>1.4259071666111207E-11</v>
      </c>
      <c r="U23" s="30">
        <f t="shared" si="12"/>
        <v>-24.973627803614743</v>
      </c>
      <c r="V23" s="30">
        <f t="shared" si="13"/>
        <v>1.843288508279656</v>
      </c>
      <c r="X23" s="31">
        <f t="shared" si="8"/>
        <v>2.104097939543668E-10</v>
      </c>
      <c r="Y23" s="31">
        <f t="shared" si="9"/>
        <v>2.1139254871228864E-10</v>
      </c>
      <c r="Z23" s="31">
        <f t="shared" si="10"/>
        <v>2.0796183041682219E-8</v>
      </c>
      <c r="AA23" s="31">
        <f t="shared" si="14"/>
        <v>2.104097939543668E-10</v>
      </c>
      <c r="AB23" s="30">
        <f t="shared" si="15"/>
        <v>-22.281964086935606</v>
      </c>
      <c r="AC23" s="30">
        <f t="shared" si="16"/>
        <v>0.84837520839948155</v>
      </c>
    </row>
    <row r="24" spans="1:36" s="30" customFormat="1" x14ac:dyDescent="0.3">
      <c r="A24" s="30">
        <v>90544</v>
      </c>
      <c r="B24" s="30">
        <v>330</v>
      </c>
      <c r="C24" s="30">
        <v>3600</v>
      </c>
      <c r="D24" s="30">
        <v>1.2569479999999997</v>
      </c>
      <c r="E24" s="30">
        <v>1.9995979974551756</v>
      </c>
      <c r="F24" s="30">
        <v>8.8430559222399535E-2</v>
      </c>
      <c r="G24" s="31">
        <f t="shared" si="0"/>
        <v>6.2847399999999987E-3</v>
      </c>
      <c r="H24" s="31">
        <f t="shared" si="1"/>
        <v>6.7268927961119966E-3</v>
      </c>
      <c r="J24" s="30">
        <f t="shared" si="2"/>
        <v>1.2305647215680691E-10</v>
      </c>
      <c r="K24" s="31">
        <f t="shared" si="3"/>
        <v>1.2364706016025807E-10</v>
      </c>
      <c r="L24" s="31">
        <f t="shared" si="4"/>
        <v>1.1829494296243968E-8</v>
      </c>
      <c r="M24" s="31">
        <f t="shared" si="5"/>
        <v>1.2305647215680691E-10</v>
      </c>
      <c r="N24" s="30">
        <f t="shared" si="6"/>
        <v>16.58374792703151</v>
      </c>
      <c r="O24" s="30">
        <f t="shared" si="11"/>
        <v>-22.818377742694878</v>
      </c>
      <c r="Q24" s="30">
        <f t="shared" si="17"/>
        <v>2.7252059651544443E-12</v>
      </c>
      <c r="R24" s="30">
        <f t="shared" si="18"/>
        <v>2.7387221594384942E-12</v>
      </c>
      <c r="S24" s="30">
        <f t="shared" si="19"/>
        <v>2.5350139302507683E-10</v>
      </c>
      <c r="T24" s="30">
        <f t="shared" si="7"/>
        <v>2.7252059651544443E-12</v>
      </c>
      <c r="U24" s="30">
        <f t="shared" si="12"/>
        <v>-26.628477107126717</v>
      </c>
      <c r="V24" s="30">
        <f t="shared" si="13"/>
        <v>3.8100993644318386</v>
      </c>
      <c r="X24" s="31">
        <f t="shared" si="8"/>
        <v>2.6251627452104267E-10</v>
      </c>
      <c r="Y24" s="31">
        <f t="shared" si="9"/>
        <v>2.6382380310622868E-10</v>
      </c>
      <c r="Z24" s="31">
        <f t="shared" si="10"/>
        <v>2.4355275113227513E-8</v>
      </c>
      <c r="AA24" s="31">
        <f t="shared" si="14"/>
        <v>2.6251627452104267E-10</v>
      </c>
      <c r="AB24" s="30">
        <f t="shared" si="15"/>
        <v>-22.060708037643277</v>
      </c>
      <c r="AC24" s="30">
        <f t="shared" si="16"/>
        <v>0.75766970505160103</v>
      </c>
    </row>
    <row r="25" spans="1:36" s="30" customFormat="1" x14ac:dyDescent="0.3">
      <c r="A25" s="30">
        <v>90545</v>
      </c>
      <c r="B25" s="30">
        <v>339.9</v>
      </c>
      <c r="C25" s="30">
        <v>3600</v>
      </c>
      <c r="D25" s="30">
        <v>1.3513089999999996</v>
      </c>
      <c r="E25" s="30">
        <v>2.1712193302139142</v>
      </c>
      <c r="F25" s="30">
        <v>8.6039401996769654E-2</v>
      </c>
      <c r="G25" s="31">
        <f t="shared" si="0"/>
        <v>6.7565449999999984E-3</v>
      </c>
      <c r="H25" s="31">
        <f t="shared" si="1"/>
        <v>7.1867420099838465E-3</v>
      </c>
      <c r="J25" s="30">
        <f t="shared" si="2"/>
        <v>1.4915155865354054E-10</v>
      </c>
      <c r="K25" s="31">
        <f t="shared" si="3"/>
        <v>1.4992012033564485E-10</v>
      </c>
      <c r="L25" s="31">
        <f t="shared" si="4"/>
        <v>1.336599989217641E-8</v>
      </c>
      <c r="M25" s="31">
        <f t="shared" si="5"/>
        <v>1.4915155865354054E-10</v>
      </c>
      <c r="N25" s="30">
        <f t="shared" si="6"/>
        <v>16.315875346712353</v>
      </c>
      <c r="O25" s="30">
        <f t="shared" si="11"/>
        <v>-22.626058154780754</v>
      </c>
      <c r="Q25" s="30">
        <f t="shared" si="17"/>
        <v>9.6917562893047503E-12</v>
      </c>
      <c r="R25" s="30">
        <f t="shared" si="18"/>
        <v>9.7433773896818651E-12</v>
      </c>
      <c r="S25" s="30">
        <f t="shared" si="19"/>
        <v>8.402190751968046E-10</v>
      </c>
      <c r="T25" s="30">
        <f t="shared" si="7"/>
        <v>9.6917562893047503E-12</v>
      </c>
      <c r="U25" s="30">
        <f t="shared" si="12"/>
        <v>-25.359745458842966</v>
      </c>
      <c r="V25" s="30">
        <f t="shared" si="13"/>
        <v>2.7336873040622116</v>
      </c>
      <c r="X25" s="31">
        <f t="shared" si="8"/>
        <v>2.9455591750126127E-10</v>
      </c>
      <c r="Y25" s="31">
        <f t="shared" si="9"/>
        <v>2.9612577530380326E-10</v>
      </c>
      <c r="Z25" s="31">
        <f t="shared" si="10"/>
        <v>2.5558801237780419E-8</v>
      </c>
      <c r="AA25" s="31">
        <f t="shared" si="14"/>
        <v>2.9455591750126127E-10</v>
      </c>
      <c r="AB25" s="30">
        <f t="shared" si="15"/>
        <v>-21.945552258190624</v>
      </c>
      <c r="AC25" s="30">
        <f t="shared" si="16"/>
        <v>0.68050589659013028</v>
      </c>
    </row>
    <row r="26" spans="1:36" s="30" customFormat="1" x14ac:dyDescent="0.3">
      <c r="A26" s="30">
        <v>90546</v>
      </c>
      <c r="B26" s="30">
        <v>350</v>
      </c>
      <c r="C26" s="30">
        <v>3600</v>
      </c>
      <c r="D26" s="30">
        <v>1.5007239999999997</v>
      </c>
      <c r="E26" s="30">
        <v>2.3557586531815713</v>
      </c>
      <c r="F26" s="30">
        <v>0.11887373834079681</v>
      </c>
      <c r="G26" s="31">
        <f t="shared" si="0"/>
        <v>7.503619999999999E-3</v>
      </c>
      <c r="H26" s="31">
        <f t="shared" si="1"/>
        <v>8.0979886917039827E-3</v>
      </c>
      <c r="J26" s="30">
        <f t="shared" si="2"/>
        <v>2.5824601300652036E-10</v>
      </c>
      <c r="K26" s="31">
        <f t="shared" si="3"/>
        <v>2.5970258425917428E-10</v>
      </c>
      <c r="L26" s="31">
        <f t="shared" si="4"/>
        <v>2.1177253016943239E-8</v>
      </c>
      <c r="M26" s="31">
        <f t="shared" si="5"/>
        <v>2.5824601300652036E-10</v>
      </c>
      <c r="N26" s="30">
        <f t="shared" si="6"/>
        <v>16.051364365971107</v>
      </c>
      <c r="O26" s="30">
        <f t="shared" si="11"/>
        <v>-22.077108446551286</v>
      </c>
      <c r="Q26" s="30">
        <f t="shared" si="17"/>
        <v>1.1284165415879959E-10</v>
      </c>
      <c r="R26" s="30">
        <f t="shared" si="18"/>
        <v>1.1349692929102805E-10</v>
      </c>
      <c r="S26" s="30">
        <f t="shared" si="19"/>
        <v>8.9844516713402395E-9</v>
      </c>
      <c r="T26" s="30">
        <f t="shared" si="7"/>
        <v>1.1284165415879959E-10</v>
      </c>
      <c r="U26" s="30">
        <f t="shared" si="12"/>
        <v>-22.905035570572178</v>
      </c>
      <c r="V26" s="30">
        <f t="shared" si="13"/>
        <v>0.82792712402089208</v>
      </c>
      <c r="X26" s="31">
        <f t="shared" si="8"/>
        <v>4.830324881034113E-10</v>
      </c>
      <c r="Y26" s="31">
        <f t="shared" si="9"/>
        <v>4.8587638997950043E-10</v>
      </c>
      <c r="Z26" s="31">
        <f t="shared" si="10"/>
        <v>3.8037146291302729E-8</v>
      </c>
      <c r="AA26" s="31">
        <f t="shared" si="14"/>
        <v>4.830324881034113E-10</v>
      </c>
      <c r="AB26" s="30">
        <f t="shared" si="15"/>
        <v>-21.450937201383979</v>
      </c>
      <c r="AC26" s="30">
        <f t="shared" si="16"/>
        <v>0.62617124516730627</v>
      </c>
    </row>
    <row r="27" spans="1:36" s="30" customFormat="1" x14ac:dyDescent="0.3">
      <c r="A27" s="30">
        <v>90547</v>
      </c>
      <c r="B27" s="30">
        <v>360</v>
      </c>
      <c r="C27" s="30">
        <v>3600</v>
      </c>
      <c r="D27" s="30">
        <v>1.6525079999999996</v>
      </c>
      <c r="E27" s="30">
        <v>2.5480269646988885</v>
      </c>
      <c r="F27" s="30">
        <v>0.10685344364860368</v>
      </c>
      <c r="G27" s="31">
        <f t="shared" si="0"/>
        <v>8.2625399999999988E-3</v>
      </c>
      <c r="H27" s="31">
        <f t="shared" si="1"/>
        <v>8.7968072182430176E-3</v>
      </c>
      <c r="J27" s="30">
        <f t="shared" si="2"/>
        <v>2.9004594542575837E-10</v>
      </c>
      <c r="K27" s="31">
        <f t="shared" si="3"/>
        <v>2.9185558288704601E-10</v>
      </c>
      <c r="L27" s="31">
        <f t="shared" si="4"/>
        <v>2.1529349932143254E-8</v>
      </c>
      <c r="M27" s="31">
        <f t="shared" si="5"/>
        <v>2.9004594542575837E-10</v>
      </c>
      <c r="N27" s="30">
        <f t="shared" si="6"/>
        <v>15.797788309636651</v>
      </c>
      <c r="O27" s="30">
        <f t="shared" si="11"/>
        <v>-21.960981772994518</v>
      </c>
      <c r="Q27" s="30">
        <f t="shared" si="17"/>
        <v>6.5259470328867399E-11</v>
      </c>
      <c r="R27" s="30">
        <f t="shared" si="18"/>
        <v>6.5681777166701539E-11</v>
      </c>
      <c r="S27" s="30">
        <f t="shared" si="19"/>
        <v>4.6694566577848361E-9</v>
      </c>
      <c r="T27" s="30">
        <f t="shared" si="7"/>
        <v>6.5259470328867399E-11</v>
      </c>
      <c r="U27" s="30">
        <f t="shared" si="12"/>
        <v>-23.452649941117681</v>
      </c>
      <c r="V27" s="30">
        <f t="shared" si="13"/>
        <v>1.4916681681231623</v>
      </c>
      <c r="X27" s="31">
        <f t="shared" si="8"/>
        <v>5.1098159967435597E-10</v>
      </c>
      <c r="Y27" s="31">
        <f t="shared" si="9"/>
        <v>5.142829258560454E-10</v>
      </c>
      <c r="Z27" s="31">
        <f t="shared" si="10"/>
        <v>3.66955426737845E-8</v>
      </c>
      <c r="AA27" s="31">
        <f t="shared" si="14"/>
        <v>5.1098159967435597E-10</v>
      </c>
      <c r="AB27" s="30">
        <f t="shared" si="15"/>
        <v>-21.394687534838219</v>
      </c>
      <c r="AC27" s="30">
        <f t="shared" si="16"/>
        <v>0.5662942381562992</v>
      </c>
    </row>
    <row r="28" spans="1:36" s="30" customFormat="1" x14ac:dyDescent="0.3">
      <c r="A28" s="30">
        <v>90548</v>
      </c>
      <c r="B28" s="30">
        <v>370</v>
      </c>
      <c r="C28" s="30">
        <v>3600</v>
      </c>
      <c r="D28" s="30">
        <v>1.8070919999999997</v>
      </c>
      <c r="E28" s="30">
        <v>2.749945770893766</v>
      </c>
      <c r="F28" s="30">
        <v>9.7302323661040829E-2</v>
      </c>
      <c r="G28" s="31">
        <f t="shared" si="0"/>
        <v>9.0354599999999986E-3</v>
      </c>
      <c r="H28" s="31">
        <f t="shared" si="1"/>
        <v>9.5219716183052028E-3</v>
      </c>
      <c r="J28" s="30">
        <f t="shared" si="2"/>
        <v>3.2409722247971255E-10</v>
      </c>
      <c r="K28" s="31">
        <f t="shared" si="3"/>
        <v>3.2631703365063815E-10</v>
      </c>
      <c r="L28" s="31">
        <f t="shared" si="4"/>
        <v>2.1943448112694042E-8</v>
      </c>
      <c r="M28" s="31">
        <f t="shared" si="5"/>
        <v>3.2409722247971255E-10</v>
      </c>
      <c r="N28" s="30">
        <f t="shared" si="6"/>
        <v>15.552099533437014</v>
      </c>
      <c r="O28" s="30">
        <f t="shared" si="11"/>
        <v>-21.849977575766204</v>
      </c>
      <c r="Q28" s="30">
        <f t="shared" si="17"/>
        <v>1.0316156823111493E-10</v>
      </c>
      <c r="R28" s="30">
        <f t="shared" si="18"/>
        <v>1.038896906816602E-10</v>
      </c>
      <c r="S28" s="30">
        <f t="shared" si="19"/>
        <v>6.7772553710557183E-9</v>
      </c>
      <c r="T28" s="30">
        <f t="shared" si="7"/>
        <v>1.0316156823111493E-10</v>
      </c>
      <c r="U28" s="30">
        <f t="shared" si="12"/>
        <v>-22.994724733100796</v>
      </c>
      <c r="V28" s="30">
        <f t="shared" si="13"/>
        <v>1.1447471573345922</v>
      </c>
      <c r="X28" s="31">
        <f t="shared" si="8"/>
        <v>5.4295196198855027E-10</v>
      </c>
      <c r="Y28" s="31">
        <f t="shared" si="9"/>
        <v>5.4678007352669762E-10</v>
      </c>
      <c r="Z28" s="31">
        <f t="shared" si="10"/>
        <v>3.5764448697381541E-8</v>
      </c>
      <c r="AA28" s="31">
        <f t="shared" si="14"/>
        <v>5.4295196198855027E-10</v>
      </c>
      <c r="AB28" s="30">
        <f t="shared" si="15"/>
        <v>-21.334000267700844</v>
      </c>
      <c r="AC28" s="30">
        <f t="shared" si="16"/>
        <v>0.51597730806535935</v>
      </c>
    </row>
    <row r="29" spans="1:36" s="30" customFormat="1" x14ac:dyDescent="0.3">
      <c r="A29" s="30">
        <v>90549</v>
      </c>
      <c r="B29" s="30">
        <v>385</v>
      </c>
      <c r="C29" s="30">
        <v>3600</v>
      </c>
      <c r="D29" s="30">
        <v>2.0482549999999997</v>
      </c>
      <c r="E29" s="30">
        <v>3.071204450980296</v>
      </c>
      <c r="F29" s="30">
        <v>0.13042356917243414</v>
      </c>
      <c r="G29" s="31">
        <f t="shared" si="0"/>
        <v>1.0241274999999999E-2</v>
      </c>
      <c r="H29" s="31">
        <f t="shared" si="1"/>
        <v>1.0893392845862169E-2</v>
      </c>
      <c r="J29" s="30">
        <f t="shared" si="2"/>
        <v>5.6345473173400934E-10</v>
      </c>
      <c r="K29" s="31">
        <f t="shared" si="3"/>
        <v>5.6776196112650249E-10</v>
      </c>
      <c r="L29" s="31">
        <f t="shared" si="4"/>
        <v>3.4267678407480349E-8</v>
      </c>
      <c r="M29" s="31">
        <f t="shared" si="5"/>
        <v>5.6345473173400934E-10</v>
      </c>
      <c r="N29" s="30">
        <f t="shared" si="6"/>
        <v>15.19756838905775</v>
      </c>
      <c r="O29" s="30">
        <f t="shared" si="11"/>
        <v>-21.296934119776811</v>
      </c>
      <c r="Q29" s="30">
        <f t="shared" si="17"/>
        <v>3.4459999222517146E-10</v>
      </c>
      <c r="R29" s="30">
        <f t="shared" si="18"/>
        <v>3.4729892125046752E-10</v>
      </c>
      <c r="S29" s="30">
        <f t="shared" si="19"/>
        <v>2.0446677822792456E-8</v>
      </c>
      <c r="T29" s="30">
        <f t="shared" si="7"/>
        <v>3.4459999222517146E-10</v>
      </c>
      <c r="U29" s="30">
        <f t="shared" si="12"/>
        <v>-21.788636814396614</v>
      </c>
      <c r="V29" s="30">
        <f t="shared" si="13"/>
        <v>0.49170269461980354</v>
      </c>
      <c r="X29" s="31">
        <f t="shared" si="8"/>
        <v>8.9754696781197329E-10</v>
      </c>
      <c r="Y29" s="31">
        <f t="shared" si="9"/>
        <v>9.0465374242096367E-10</v>
      </c>
      <c r="Z29" s="31">
        <f t="shared" si="10"/>
        <v>5.2817409164581563E-8</v>
      </c>
      <c r="AA29" s="31">
        <f t="shared" si="14"/>
        <v>8.9754696781197329E-10</v>
      </c>
      <c r="AB29" s="30">
        <f t="shared" si="15"/>
        <v>-20.831355665111452</v>
      </c>
      <c r="AC29" s="30">
        <f t="shared" si="16"/>
        <v>0.46557845466535852</v>
      </c>
    </row>
    <row r="30" spans="1:36" s="30" customFormat="1" x14ac:dyDescent="0.3">
      <c r="A30" s="30">
        <v>90550</v>
      </c>
      <c r="B30" s="30">
        <v>374.9</v>
      </c>
      <c r="C30" s="30">
        <v>3600</v>
      </c>
      <c r="D30" s="30">
        <v>2.1140239999999997</v>
      </c>
      <c r="E30" s="30">
        <v>2.8524492067110585</v>
      </c>
      <c r="F30" s="30">
        <v>3.9318409479164269E-2</v>
      </c>
      <c r="G30" s="31">
        <f t="shared" si="0"/>
        <v>1.0570119999999999E-2</v>
      </c>
      <c r="H30" s="31">
        <f t="shared" si="1"/>
        <v>1.0766712047395819E-2</v>
      </c>
      <c r="J30" s="30">
        <f t="shared" si="2"/>
        <v>1.6589653158223481E-10</v>
      </c>
      <c r="K30" s="31">
        <f t="shared" si="3"/>
        <v>1.6726488638622476E-10</v>
      </c>
      <c r="L30" s="31">
        <f t="shared" si="4"/>
        <v>9.3525882433965176E-9</v>
      </c>
      <c r="M30" s="31">
        <f t="shared" si="5"/>
        <v>1.6589653158223481E-10</v>
      </c>
      <c r="N30" s="30">
        <f t="shared" si="6"/>
        <v>15.43448062972681</v>
      </c>
      <c r="O30" s="30">
        <f t="shared" si="11"/>
        <v>-22.519656825628005</v>
      </c>
      <c r="Q30" s="30">
        <f t="shared" si="17"/>
        <v>-1.6819570449572929E-10</v>
      </c>
      <c r="R30" s="30">
        <f t="shared" si="18"/>
        <v>-1.6962689490824857E-10</v>
      </c>
      <c r="S30" s="30">
        <f t="shared" si="19"/>
        <v>-9.197142513703263E-9</v>
      </c>
      <c r="T30" s="30">
        <f t="shared" si="7"/>
        <v>-1.6819570449572929E-10</v>
      </c>
      <c r="U30" s="30" t="e">
        <f t="shared" si="12"/>
        <v>#NUM!</v>
      </c>
      <c r="V30" s="30">
        <f t="shared" si="13"/>
        <v>5</v>
      </c>
      <c r="X30" s="31">
        <f t="shared" si="8"/>
        <v>2.6757775324719699E-10</v>
      </c>
      <c r="Y30" s="31">
        <f t="shared" si="9"/>
        <v>2.6980612539836246E-10</v>
      </c>
      <c r="Z30" s="31">
        <f t="shared" si="10"/>
        <v>1.4945292147106253E-8</v>
      </c>
      <c r="AA30" s="31">
        <f t="shared" si="14"/>
        <v>2.6757775324719699E-10</v>
      </c>
      <c r="AB30" s="30">
        <f t="shared" si="15"/>
        <v>-22.041610925483102</v>
      </c>
      <c r="AC30" s="30">
        <f t="shared" si="16"/>
        <v>0.47804590014490245</v>
      </c>
    </row>
    <row r="31" spans="1:36" s="30" customFormat="1" x14ac:dyDescent="0.3">
      <c r="A31" s="30">
        <v>90551</v>
      </c>
      <c r="B31" s="30">
        <v>365</v>
      </c>
      <c r="C31" s="30">
        <v>3600</v>
      </c>
      <c r="D31" s="30">
        <v>2.1391169999999997</v>
      </c>
      <c r="E31" s="30">
        <v>2.6477715940656523</v>
      </c>
      <c r="F31" s="30">
        <v>1.6683839550567136E-2</v>
      </c>
      <c r="G31" s="31">
        <f t="shared" si="0"/>
        <v>1.0695584999999999E-2</v>
      </c>
      <c r="H31" s="31">
        <f t="shared" si="1"/>
        <v>1.0779004197752835E-2</v>
      </c>
      <c r="J31" s="30">
        <f t="shared" si="2"/>
        <v>6.4676609800043276E-11</v>
      </c>
      <c r="K31" s="31">
        <f t="shared" si="3"/>
        <v>6.5221793092402656E-11</v>
      </c>
      <c r="L31" s="31">
        <f t="shared" si="4"/>
        <v>3.5691340544871133E-9</v>
      </c>
      <c r="M31" s="31">
        <f t="shared" si="5"/>
        <v>6.4676609800043276E-11</v>
      </c>
      <c r="N31" s="30">
        <f t="shared" si="6"/>
        <v>15.67398119122257</v>
      </c>
      <c r="O31" s="30">
        <f t="shared" si="11"/>
        <v>-23.461621497558671</v>
      </c>
      <c r="Q31" s="30">
        <f t="shared" si="17"/>
        <v>-3.70046118649189E-11</v>
      </c>
      <c r="R31" s="30">
        <f t="shared" si="18"/>
        <v>-3.7319445919733525E-11</v>
      </c>
      <c r="S31" s="30">
        <f t="shared" si="19"/>
        <v>-2.0235698492180114E-9</v>
      </c>
      <c r="T31" s="30">
        <f t="shared" si="7"/>
        <v>-3.70046118649189E-11</v>
      </c>
      <c r="U31" s="30" t="e">
        <f t="shared" si="12"/>
        <v>#NUM!</v>
      </c>
      <c r="V31" s="30">
        <f t="shared" si="13"/>
        <v>5</v>
      </c>
      <c r="X31" s="31">
        <f t="shared" si="8"/>
        <v>1.0810120160370377E-10</v>
      </c>
      <c r="Y31" s="31">
        <f t="shared" si="9"/>
        <v>1.0901605404640658E-10</v>
      </c>
      <c r="Z31" s="31">
        <f t="shared" si="10"/>
        <v>5.9424312511630644E-9</v>
      </c>
      <c r="AA31" s="31">
        <f t="shared" si="14"/>
        <v>1.0810120160370377E-10</v>
      </c>
      <c r="AB31" s="30">
        <f t="shared" si="15"/>
        <v>-22.947953275677229</v>
      </c>
      <c r="AC31" s="30">
        <f t="shared" si="16"/>
        <v>0.51366822188144212</v>
      </c>
    </row>
    <row r="32" spans="1:36" s="30" customFormat="1" x14ac:dyDescent="0.3">
      <c r="A32" s="30">
        <v>90552</v>
      </c>
      <c r="B32" s="30">
        <v>354.9</v>
      </c>
      <c r="C32" s="30">
        <v>3600</v>
      </c>
      <c r="D32" s="30">
        <v>2.1492529999999999</v>
      </c>
      <c r="E32" s="30">
        <v>2.4487729639939975</v>
      </c>
      <c r="F32" s="30">
        <v>7.5841532892534196E-3</v>
      </c>
      <c r="G32" s="31">
        <f t="shared" si="0"/>
        <v>1.0746265E-2</v>
      </c>
      <c r="H32" s="31">
        <f t="shared" si="1"/>
        <v>1.0784185766446266E-2</v>
      </c>
      <c r="J32" s="30">
        <f t="shared" si="2"/>
        <v>2.634169584650883E-11</v>
      </c>
      <c r="K32" s="31">
        <f t="shared" si="3"/>
        <v>2.6565594216095023E-11</v>
      </c>
      <c r="L32" s="31">
        <f t="shared" si="4"/>
        <v>1.4418349117586707E-9</v>
      </c>
      <c r="M32" s="31">
        <f t="shared" si="5"/>
        <v>2.634169584650883E-11</v>
      </c>
      <c r="N32" s="30">
        <f t="shared" si="6"/>
        <v>15.926102882624622</v>
      </c>
      <c r="O32" s="30">
        <f t="shared" si="11"/>
        <v>-24.359868038750871</v>
      </c>
      <c r="Q32" s="30">
        <f t="shared" si="17"/>
        <v>-1.7082895957151662E-11</v>
      </c>
      <c r="R32" s="30">
        <f t="shared" si="18"/>
        <v>-1.7228666737906606E-11</v>
      </c>
      <c r="S32" s="30">
        <f t="shared" si="19"/>
        <v>-9.3146228491492504E-10</v>
      </c>
      <c r="T32" s="30">
        <f t="shared" si="7"/>
        <v>-1.7082895957151662E-11</v>
      </c>
      <c r="U32" s="30" t="e">
        <f t="shared" si="12"/>
        <v>#NUM!</v>
      </c>
      <c r="V32" s="30">
        <f t="shared" si="13"/>
        <v>5</v>
      </c>
      <c r="X32" s="31">
        <f t="shared" si="8"/>
        <v>4.6133031311153511E-11</v>
      </c>
      <c r="Y32" s="31">
        <f t="shared" si="9"/>
        <v>4.6525853054888659E-11</v>
      </c>
      <c r="Z32" s="31">
        <f t="shared" si="10"/>
        <v>2.5207207334154136E-9</v>
      </c>
      <c r="AA32" s="31">
        <f t="shared" si="14"/>
        <v>4.6133031311153511E-11</v>
      </c>
      <c r="AB32" s="30">
        <f t="shared" si="15"/>
        <v>-23.799491908158071</v>
      </c>
      <c r="AC32" s="30">
        <f t="shared" si="16"/>
        <v>0.56037613059280034</v>
      </c>
    </row>
    <row r="33" spans="1:29" s="30" customFormat="1" x14ac:dyDescent="0.3">
      <c r="A33" s="30">
        <v>90553</v>
      </c>
      <c r="B33" s="30">
        <v>345</v>
      </c>
      <c r="C33" s="30">
        <v>3600</v>
      </c>
      <c r="D33" s="30">
        <v>2.154058</v>
      </c>
      <c r="E33" s="30">
        <v>2.2631996162046684</v>
      </c>
      <c r="F33" s="30">
        <v>4.0825226946589856E-3</v>
      </c>
      <c r="G33" s="31">
        <f t="shared" si="0"/>
        <v>1.077029E-2</v>
      </c>
      <c r="H33" s="31">
        <f t="shared" si="1"/>
        <v>1.0790702613473296E-2</v>
      </c>
      <c r="J33" s="30">
        <f t="shared" si="2"/>
        <v>1.2530863681508122E-11</v>
      </c>
      <c r="K33" s="31">
        <f t="shared" si="3"/>
        <v>1.2637747591496998E-11</v>
      </c>
      <c r="L33" s="31">
        <f t="shared" si="4"/>
        <v>6.8353180178215305E-10</v>
      </c>
      <c r="M33" s="31">
        <f t="shared" si="5"/>
        <v>1.2530863681508122E-11</v>
      </c>
      <c r="N33" s="30">
        <f t="shared" si="6"/>
        <v>16.181229773462782</v>
      </c>
      <c r="O33" s="30">
        <f t="shared" si="11"/>
        <v>-25.102826420305242</v>
      </c>
      <c r="Q33" s="30">
        <f t="shared" si="17"/>
        <v>-7.2604717831365583E-12</v>
      </c>
      <c r="R33" s="30">
        <f t="shared" si="18"/>
        <v>-7.3225112472970185E-12</v>
      </c>
      <c r="S33" s="30">
        <f t="shared" si="19"/>
        <v>-3.9535401986915383E-10</v>
      </c>
      <c r="T33" s="30">
        <f t="shared" si="7"/>
        <v>-7.2604717831365583E-12</v>
      </c>
      <c r="U33" s="30" t="e">
        <f t="shared" si="12"/>
        <v>#NUM!</v>
      </c>
      <c r="V33" s="30">
        <f t="shared" si="13"/>
        <v>5</v>
      </c>
      <c r="X33" s="31">
        <f t="shared" si="8"/>
        <v>2.3199581635073226E-11</v>
      </c>
      <c r="Y33" s="31">
        <f t="shared" si="9"/>
        <v>2.3397655708281905E-11</v>
      </c>
      <c r="Z33" s="31">
        <f t="shared" si="10"/>
        <v>1.2643011610573819E-9</v>
      </c>
      <c r="AA33" s="31">
        <f t="shared" si="14"/>
        <v>2.3199581635073226E-11</v>
      </c>
      <c r="AB33" s="30">
        <f t="shared" si="15"/>
        <v>-24.48688687038986</v>
      </c>
      <c r="AC33" s="30">
        <f t="shared" si="16"/>
        <v>0.61593954991538169</v>
      </c>
    </row>
    <row r="34" spans="1:29" s="30" customFormat="1" x14ac:dyDescent="0.3">
      <c r="A34" s="30">
        <v>90554</v>
      </c>
      <c r="B34" s="30">
        <v>335</v>
      </c>
      <c r="C34" s="30">
        <v>4800</v>
      </c>
      <c r="D34" s="30">
        <v>2.1569920000000002</v>
      </c>
      <c r="E34" s="30">
        <v>2.7801850800314254</v>
      </c>
      <c r="F34" s="30">
        <v>1.8183152368527696E-3</v>
      </c>
      <c r="G34" s="31">
        <f t="shared" si="0"/>
        <v>1.0784960000000001E-2</v>
      </c>
      <c r="H34" s="31">
        <f t="shared" si="1"/>
        <v>1.0794051576184264E-2</v>
      </c>
      <c r="J34" s="30">
        <f t="shared" si="2"/>
        <v>5.7489603398678174E-12</v>
      </c>
      <c r="K34" s="31">
        <f t="shared" si="3"/>
        <v>5.7980859852266323E-12</v>
      </c>
      <c r="L34" s="31">
        <f t="shared" si="4"/>
        <v>3.1303665923750646E-10</v>
      </c>
      <c r="M34" s="31">
        <f t="shared" si="5"/>
        <v>5.7489603398678174E-12</v>
      </c>
      <c r="N34" s="30">
        <f t="shared" si="6"/>
        <v>16.44736842105263</v>
      </c>
      <c r="O34" s="30">
        <f t="shared" si="11"/>
        <v>-25.88200208792524</v>
      </c>
      <c r="Q34" s="30">
        <f t="shared" si="17"/>
        <v>-2.2525781253060102E-12</v>
      </c>
      <c r="R34" s="30">
        <f t="shared" si="18"/>
        <v>-2.2718451023618344E-12</v>
      </c>
      <c r="S34" s="30">
        <f t="shared" si="19"/>
        <v>-1.2254036021621307E-10</v>
      </c>
      <c r="T34" s="30">
        <f t="shared" si="7"/>
        <v>-2.2525781253060102E-12</v>
      </c>
      <c r="U34" s="30" t="e">
        <f t="shared" si="12"/>
        <v>#NUM!</v>
      </c>
      <c r="V34" s="30">
        <f t="shared" si="13"/>
        <v>5</v>
      </c>
      <c r="X34" s="31">
        <f t="shared" si="8"/>
        <v>9.3157447921366119E-12</v>
      </c>
      <c r="Y34" s="31">
        <f t="shared" si="9"/>
        <v>9.3953830024196132E-12</v>
      </c>
      <c r="Z34" s="31">
        <f t="shared" si="10"/>
        <v>5.0704012327269507E-10</v>
      </c>
      <c r="AA34" s="31">
        <f t="shared" si="14"/>
        <v>9.3157447921366119E-12</v>
      </c>
      <c r="AB34" s="30">
        <f t="shared" si="15"/>
        <v>-25.399315158856979</v>
      </c>
      <c r="AC34" s="30">
        <f t="shared" si="16"/>
        <v>0.48268692906826161</v>
      </c>
    </row>
    <row r="35" spans="1:29" s="30" customFormat="1" x14ac:dyDescent="0.3">
      <c r="A35" s="30">
        <v>90555</v>
      </c>
      <c r="B35" s="30">
        <v>325</v>
      </c>
      <c r="C35" s="30">
        <v>6000</v>
      </c>
      <c r="D35" s="30">
        <v>2.1582760000000003</v>
      </c>
      <c r="E35" s="30">
        <v>3.1939275128121931</v>
      </c>
      <c r="F35" s="30">
        <v>6.5972378817515218E-4</v>
      </c>
      <c r="G35" s="31">
        <f t="shared" si="0"/>
        <v>1.0791380000000001E-2</v>
      </c>
      <c r="H35" s="31">
        <f t="shared" si="1"/>
        <v>1.0794678618940878E-2</v>
      </c>
      <c r="J35" s="30">
        <f t="shared" si="2"/>
        <v>2.0146932283843473E-12</v>
      </c>
      <c r="K35" s="31">
        <f t="shared" si="3"/>
        <v>2.0319260576712895E-12</v>
      </c>
      <c r="L35" s="31">
        <f t="shared" si="4"/>
        <v>1.0959600685176157E-10</v>
      </c>
      <c r="M35" s="31">
        <f t="shared" si="5"/>
        <v>2.0146932283843473E-12</v>
      </c>
      <c r="N35" s="30">
        <f t="shared" si="6"/>
        <v>16.722408026755854</v>
      </c>
      <c r="O35" s="30">
        <f t="shared" si="11"/>
        <v>-26.930554176098184</v>
      </c>
      <c r="Q35" s="30">
        <f t="shared" si="17"/>
        <v>-8.3873433343068839E-13</v>
      </c>
      <c r="R35" s="30">
        <f t="shared" si="18"/>
        <v>-8.459115560829524E-13</v>
      </c>
      <c r="S35" s="30">
        <f t="shared" si="19"/>
        <v>-4.5606764376938771E-11</v>
      </c>
      <c r="T35" s="30">
        <f t="shared" si="7"/>
        <v>-8.3873433343068839E-13</v>
      </c>
      <c r="U35" s="30" t="e">
        <f t="shared" si="12"/>
        <v>#NUM!</v>
      </c>
      <c r="V35" s="30">
        <f t="shared" si="13"/>
        <v>5</v>
      </c>
      <c r="X35" s="31">
        <f t="shared" si="8"/>
        <v>3.0503160733305658E-12</v>
      </c>
      <c r="Y35" s="31">
        <f t="shared" si="9"/>
        <v>3.076411206596444E-12</v>
      </c>
      <c r="Z35" s="31">
        <f t="shared" si="10"/>
        <v>1.6590710341377258E-10</v>
      </c>
      <c r="AA35" s="31">
        <f t="shared" si="14"/>
        <v>3.0503160733305658E-12</v>
      </c>
      <c r="AB35" s="30">
        <f t="shared" si="15"/>
        <v>-26.515775900078321</v>
      </c>
      <c r="AC35" s="30">
        <f t="shared" si="16"/>
        <v>0.41477827601986306</v>
      </c>
    </row>
    <row r="36" spans="1:29" s="30" customFormat="1" ht="15" customHeight="1" x14ac:dyDescent="0.3">
      <c r="A36" s="30">
        <v>90556</v>
      </c>
      <c r="B36" s="30">
        <v>390</v>
      </c>
      <c r="C36" s="30">
        <v>3600</v>
      </c>
      <c r="D36" s="30">
        <v>2.2186080000000001</v>
      </c>
      <c r="E36" s="30">
        <v>3.1832527728459135</v>
      </c>
      <c r="F36" s="30">
        <v>3.1133252736601429E-2</v>
      </c>
      <c r="G36" s="31">
        <f t="shared" ref="G36:G67" si="20">D36/$D$87</f>
        <v>1.109304E-2</v>
      </c>
      <c r="H36" s="31">
        <f t="shared" ref="H36:H67" si="21">(D36+F36)/$D$87</f>
        <v>1.1248706263683008E-2</v>
      </c>
      <c r="J36" s="30">
        <f t="shared" ref="J36:J67" si="22">((G36^2-G35^2)*PI())/(36*C36)</f>
        <v>1.600286121833955E-10</v>
      </c>
      <c r="K36" s="31">
        <f t="shared" ref="K36:K67" si="23">(1/(PI()*PI()*C36))*(-(G36-G35)*PI()*PI()/3-2*PI()*(SQRT(1-PI()/3*G36)-SQRT(1-PI()/3*G35)))</f>
        <v>1.6141725184290099E-10</v>
      </c>
      <c r="L36" s="31">
        <f t="shared" ref="L36:L67" si="24">(1/(PI()^2*C36))*LN((1-G35)/(1-G36))</f>
        <v>8.5840811784880039E-9</v>
      </c>
      <c r="M36" s="31">
        <f t="shared" ref="M36:M67" si="25">(G36&lt;0.05)*J36+((G36&gt;=0.05)*(G36&lt;0.9))*K36+(G36&gt;=0.9)*L36</f>
        <v>1.600286121833955E-10</v>
      </c>
      <c r="N36" s="30">
        <f t="shared" ref="N36:N67" si="26">10000/(273+B36)</f>
        <v>15.082956259426847</v>
      </c>
      <c r="O36" s="30">
        <f t="shared" si="11"/>
        <v>-22.555668490535989</v>
      </c>
      <c r="Q36" s="30">
        <f t="shared" si="17"/>
        <v>1.5830257410848516E-10</v>
      </c>
      <c r="R36" s="30">
        <f t="shared" si="18"/>
        <v>1.5967644326135907E-10</v>
      </c>
      <c r="S36" s="30">
        <f t="shared" si="19"/>
        <v>8.4902293508873329E-9</v>
      </c>
      <c r="T36" s="30">
        <f t="shared" ref="T36:T67" si="27">(G36&lt;0.05)*Q36+((G36&gt;=0.05)*(G36&lt;0.9))*R36+(G36&gt;=0.9)*S36</f>
        <v>1.5830257410848516E-10</v>
      </c>
      <c r="U36" s="30">
        <f t="shared" si="12"/>
        <v>-22.566512888223158</v>
      </c>
      <c r="V36" s="30">
        <f t="shared" si="13"/>
        <v>1.084439768716905E-2</v>
      </c>
      <c r="X36" s="31">
        <f t="shared" ref="X36:X67" si="28">((H36^2-G35^2)*PI())/(36*C36)</f>
        <v>2.4433422467007051E-10</v>
      </c>
      <c r="Y36" s="31">
        <f t="shared" ref="Y36:Y67" si="29">(1/(PI()*PI()*C36))*(-(H36-G35)*PI()*PI()/3-2*PI()*(SQRT(1-PI()/3*H36)-SQRT(1-PI()/3*G35)))</f>
        <v>2.4646982410277407E-10</v>
      </c>
      <c r="Z36" s="31">
        <f t="shared" ref="Z36:Z67" si="30">(1/(PI()^2*C36))*LN((1-G35)/(1-H36))</f>
        <v>1.3014767514021184E-8</v>
      </c>
      <c r="AA36" s="31">
        <f t="shared" si="14"/>
        <v>2.4433422467007051E-10</v>
      </c>
      <c r="AB36" s="30">
        <f t="shared" si="15"/>
        <v>-22.132484054680901</v>
      </c>
      <c r="AC36" s="30">
        <f t="shared" si="16"/>
        <v>0.42318443585508803</v>
      </c>
    </row>
    <row r="37" spans="1:29" x14ac:dyDescent="0.3">
      <c r="A37">
        <v>90558</v>
      </c>
      <c r="B37">
        <v>400</v>
      </c>
      <c r="C37">
        <v>14400</v>
      </c>
      <c r="D37">
        <v>2.4239269999999999</v>
      </c>
      <c r="E37">
        <v>13.659506603935126</v>
      </c>
      <c r="F37">
        <v>2.8127064573060939E-2</v>
      </c>
      <c r="G37" s="28">
        <f t="shared" si="20"/>
        <v>1.2119635E-2</v>
      </c>
      <c r="H37" s="28">
        <f t="shared" si="21"/>
        <v>1.2260270322865306E-2</v>
      </c>
      <c r="J37">
        <f t="shared" si="22"/>
        <v>1.4441397277850252E-10</v>
      </c>
      <c r="K37" s="28">
        <f t="shared" si="23"/>
        <v>1.4574475378464301E-10</v>
      </c>
      <c r="L37" s="28">
        <f t="shared" si="24"/>
        <v>7.3081422847632511E-9</v>
      </c>
      <c r="M37" s="28">
        <f t="shared" si="25"/>
        <v>1.4441397277850252E-10</v>
      </c>
      <c r="N37">
        <f t="shared" si="26"/>
        <v>14.858841010401189</v>
      </c>
      <c r="O37">
        <f t="shared" si="11"/>
        <v>-22.658337129757133</v>
      </c>
      <c r="Q37">
        <f t="shared" si="17"/>
        <v>1.2333756965683377E-10</v>
      </c>
      <c r="R37">
        <f t="shared" si="18"/>
        <v>1.2448161071967319E-10</v>
      </c>
      <c r="S37">
        <f t="shared" si="19"/>
        <v>6.2004707008801032E-9</v>
      </c>
      <c r="T37">
        <f t="shared" si="27"/>
        <v>1.2333756965683377E-10</v>
      </c>
      <c r="U37">
        <f t="shared" si="12"/>
        <v>-22.816096050979365</v>
      </c>
      <c r="V37">
        <f t="shared" si="13"/>
        <v>0.15775892122223212</v>
      </c>
      <c r="X37" s="28">
        <f t="shared" si="28"/>
        <v>1.6519233482005773E-10</v>
      </c>
      <c r="Y37" s="28">
        <f t="shared" si="29"/>
        <v>1.6672418953992509E-10</v>
      </c>
      <c r="Z37" s="28">
        <f t="shared" si="30"/>
        <v>8.3098908719737027E-9</v>
      </c>
      <c r="AA37" s="28">
        <f t="shared" si="14"/>
        <v>1.6519233482005773E-10</v>
      </c>
      <c r="AB37">
        <f t="shared" si="15"/>
        <v>-22.523910655312481</v>
      </c>
      <c r="AC37">
        <f t="shared" si="16"/>
        <v>0.13442647444465194</v>
      </c>
    </row>
    <row r="38" spans="1:29" s="33" customFormat="1" x14ac:dyDescent="0.3">
      <c r="A38" s="33">
        <v>90559</v>
      </c>
      <c r="B38" s="33">
        <v>24.8</v>
      </c>
      <c r="C38" s="33">
        <v>3600</v>
      </c>
      <c r="D38" s="33">
        <v>2.4239269999999999</v>
      </c>
      <c r="E38" s="33">
        <v>1.4939125905491034E-2</v>
      </c>
      <c r="F38" s="33">
        <v>2.8127064573060939E-2</v>
      </c>
      <c r="G38" s="34">
        <f t="shared" si="20"/>
        <v>1.2119635E-2</v>
      </c>
      <c r="H38" s="34">
        <f t="shared" si="21"/>
        <v>1.2260270322865306E-2</v>
      </c>
      <c r="J38" s="33">
        <f t="shared" si="22"/>
        <v>0</v>
      </c>
      <c r="K38" s="34">
        <f t="shared" si="23"/>
        <v>0</v>
      </c>
      <c r="L38" s="34">
        <f t="shared" si="24"/>
        <v>0</v>
      </c>
      <c r="M38" s="34">
        <f t="shared" si="25"/>
        <v>0</v>
      </c>
      <c r="N38" s="33">
        <f t="shared" si="26"/>
        <v>33.579583613163194</v>
      </c>
      <c r="O38" s="33" t="e">
        <f t="shared" si="11"/>
        <v>#NUM!</v>
      </c>
      <c r="Q38" s="33">
        <f t="shared" ref="Q38:Q69" si="31">((G38^2-H37^2)*PI())/(36*C38)</f>
        <v>-8.3113448166220895E-11</v>
      </c>
      <c r="R38" s="33">
        <f t="shared" ref="R38:R69" si="32">(1/(PI()*PI()*C38))*(-(G38-H37)*PI()*PI()/3-2*PI()*(SQRT(1-PI()/3*G38)-SQRT(1-PI()/3*H37)))</f>
        <v>-8.3917743021111577E-11</v>
      </c>
      <c r="S38" s="33">
        <f t="shared" ref="S38:S69" si="33">(1/(PI()^2*C38))*LN((1-H37)/(1-G38))</f>
        <v>-4.0069943488423713E-9</v>
      </c>
      <c r="T38" s="33">
        <f t="shared" si="27"/>
        <v>-8.3113448166220895E-11</v>
      </c>
      <c r="U38" s="33" t="e">
        <f t="shared" si="12"/>
        <v>#NUM!</v>
      </c>
      <c r="V38" s="33">
        <f t="shared" si="13"/>
        <v>5</v>
      </c>
      <c r="X38" s="34">
        <f t="shared" si="28"/>
        <v>8.3113448166220895E-11</v>
      </c>
      <c r="Y38" s="34">
        <f t="shared" si="29"/>
        <v>8.3917743021111577E-11</v>
      </c>
      <c r="Z38" s="34">
        <f t="shared" si="30"/>
        <v>4.0069943488453152E-9</v>
      </c>
      <c r="AA38" s="34">
        <f t="shared" si="14"/>
        <v>8.3113448166220895E-11</v>
      </c>
      <c r="AB38" s="33">
        <f t="shared" si="15"/>
        <v>-23.210814596038599</v>
      </c>
      <c r="AC38" s="33" t="e">
        <f t="shared" si="16"/>
        <v>#NUM!</v>
      </c>
    </row>
    <row r="39" spans="1:29" s="38" customFormat="1" x14ac:dyDescent="0.3">
      <c r="A39" s="38">
        <v>90561</v>
      </c>
      <c r="B39" s="38">
        <v>400</v>
      </c>
      <c r="C39" s="38">
        <v>3600</v>
      </c>
      <c r="D39" s="38">
        <v>2.4480529999999998</v>
      </c>
      <c r="E39" s="38">
        <v>3.4148766509837816</v>
      </c>
      <c r="F39" s="38">
        <v>1.2314711276414869E-2</v>
      </c>
      <c r="G39" s="39">
        <f t="shared" si="20"/>
        <v>1.2240264999999998E-2</v>
      </c>
      <c r="H39" s="39">
        <f t="shared" si="21"/>
        <v>1.2301838556382075E-2</v>
      </c>
      <c r="J39" s="38">
        <f t="shared" si="22"/>
        <v>7.1232092145659412E-11</v>
      </c>
      <c r="K39" s="39">
        <f t="shared" si="23"/>
        <v>7.1920836489306904E-11</v>
      </c>
      <c r="L39" s="39">
        <f t="shared" si="24"/>
        <v>3.436966074373335E-9</v>
      </c>
      <c r="M39" s="39">
        <f t="shared" si="25"/>
        <v>7.1232092145659412E-11</v>
      </c>
      <c r="N39" s="38">
        <f t="shared" si="26"/>
        <v>14.858841010401189</v>
      </c>
      <c r="O39" s="38">
        <f t="shared" si="11"/>
        <v>-23.365077666677088</v>
      </c>
      <c r="Q39" s="38">
        <f t="shared" si="31"/>
        <v>-1.1881356020561472E-11</v>
      </c>
      <c r="R39" s="38">
        <f t="shared" si="32"/>
        <v>-1.1996906531805062E-11</v>
      </c>
      <c r="S39" s="38">
        <f t="shared" si="33"/>
        <v>-5.7002827447163809E-10</v>
      </c>
      <c r="T39" s="38">
        <f t="shared" si="27"/>
        <v>-1.1881356020561472E-11</v>
      </c>
      <c r="U39" s="38" t="e">
        <f t="shared" si="12"/>
        <v>#NUM!</v>
      </c>
      <c r="V39" s="38">
        <f t="shared" si="13"/>
        <v>5</v>
      </c>
      <c r="X39" s="39">
        <f t="shared" si="28"/>
        <v>1.0786327088522003E-10</v>
      </c>
      <c r="Y39" s="39">
        <f t="shared" si="29"/>
        <v>1.0890887840935279E-10</v>
      </c>
      <c r="Z39" s="39">
        <f t="shared" si="30"/>
        <v>5.1914694583886717E-9</v>
      </c>
      <c r="AA39" s="39">
        <f t="shared" si="14"/>
        <v>1.0786327088522003E-10</v>
      </c>
      <c r="AB39" s="38">
        <f t="shared" si="15"/>
        <v>-22.950156701194455</v>
      </c>
      <c r="AC39" s="38">
        <f t="shared" si="16"/>
        <v>0.41492096548263291</v>
      </c>
    </row>
    <row r="40" spans="1:29" s="38" customFormat="1" x14ac:dyDescent="0.3">
      <c r="A40" s="38">
        <v>90563</v>
      </c>
      <c r="B40" s="38">
        <v>400</v>
      </c>
      <c r="C40" s="38">
        <v>3600</v>
      </c>
      <c r="D40" s="38">
        <v>2.4701419999999996</v>
      </c>
      <c r="E40" s="38">
        <v>3.4148766509837816</v>
      </c>
      <c r="F40" s="38">
        <v>1.0833126446438997E-2</v>
      </c>
      <c r="G40" s="39">
        <f t="shared" si="20"/>
        <v>1.2350709999999997E-2</v>
      </c>
      <c r="H40" s="39">
        <f t="shared" si="21"/>
        <v>1.2404875632232193E-2</v>
      </c>
      <c r="J40" s="38">
        <f t="shared" si="22"/>
        <v>6.5836491529761244E-11</v>
      </c>
      <c r="K40" s="39">
        <f t="shared" si="23"/>
        <v>6.6479168789834388E-11</v>
      </c>
      <c r="L40" s="39">
        <f t="shared" si="24"/>
        <v>3.1471451671325764E-9</v>
      </c>
      <c r="M40" s="39">
        <f t="shared" si="25"/>
        <v>6.5836491529761244E-11</v>
      </c>
      <c r="N40" s="38">
        <f t="shared" si="26"/>
        <v>14.858841010401189</v>
      </c>
      <c r="O40" s="38">
        <f t="shared" si="11"/>
        <v>-23.443846848802163</v>
      </c>
      <c r="Q40" s="38">
        <f t="shared" si="31"/>
        <v>2.9205312790200634E-11</v>
      </c>
      <c r="R40" s="38">
        <f t="shared" si="32"/>
        <v>2.9491126869786208E-11</v>
      </c>
      <c r="S40" s="38">
        <f t="shared" si="33"/>
        <v>1.3926417831116892E-9</v>
      </c>
      <c r="T40" s="38">
        <f t="shared" si="27"/>
        <v>2.9205312790200634E-11</v>
      </c>
      <c r="U40" s="38">
        <f t="shared" si="12"/>
        <v>-24.256670478334389</v>
      </c>
      <c r="V40" s="38">
        <f t="shared" si="13"/>
        <v>0.81282362953222531</v>
      </c>
      <c r="X40" s="39">
        <f t="shared" si="28"/>
        <v>9.8340871977528391E-11</v>
      </c>
      <c r="Y40" s="39">
        <f t="shared" si="29"/>
        <v>9.9302993352925964E-11</v>
      </c>
      <c r="Z40" s="39">
        <f t="shared" si="30"/>
        <v>4.6907307867525261E-9</v>
      </c>
      <c r="AA40" s="39">
        <f t="shared" si="14"/>
        <v>9.8340871977528391E-11</v>
      </c>
      <c r="AB40" s="38">
        <f t="shared" si="15"/>
        <v>-23.04258138701713</v>
      </c>
      <c r="AC40" s="38">
        <f t="shared" si="16"/>
        <v>0.40126546178503375</v>
      </c>
    </row>
    <row r="41" spans="1:29" s="38" customFormat="1" x14ac:dyDescent="0.3">
      <c r="A41" s="38">
        <v>90565</v>
      </c>
      <c r="B41" s="38">
        <v>400</v>
      </c>
      <c r="C41" s="38">
        <v>3600</v>
      </c>
      <c r="D41" s="38">
        <v>2.4882849999999994</v>
      </c>
      <c r="E41" s="38">
        <v>3.4148766509837816</v>
      </c>
      <c r="F41" s="38">
        <v>8.9215053406168851E-3</v>
      </c>
      <c r="G41" s="39">
        <f t="shared" si="20"/>
        <v>1.2441424999999997E-2</v>
      </c>
      <c r="H41" s="39">
        <f t="shared" si="21"/>
        <v>1.2486032526703082E-2</v>
      </c>
      <c r="J41" s="38">
        <f t="shared" si="22"/>
        <v>5.4517747536406453E-11</v>
      </c>
      <c r="K41" s="39">
        <f t="shared" si="23"/>
        <v>5.5054334240681403E-11</v>
      </c>
      <c r="L41" s="39">
        <f t="shared" si="24"/>
        <v>2.5851994121289575E-9</v>
      </c>
      <c r="M41" s="39">
        <f t="shared" si="25"/>
        <v>5.4517747536406453E-11</v>
      </c>
      <c r="N41" s="38">
        <f t="shared" si="26"/>
        <v>14.858841010401189</v>
      </c>
      <c r="O41" s="38">
        <f t="shared" si="11"/>
        <v>-23.63249482439964</v>
      </c>
      <c r="Q41" s="38">
        <f t="shared" si="31"/>
        <v>2.20133670886393E-11</v>
      </c>
      <c r="R41" s="38">
        <f t="shared" si="32"/>
        <v>2.2230509677591726E-11</v>
      </c>
      <c r="S41" s="38">
        <f t="shared" si="33"/>
        <v>1.0416137925021018E-9</v>
      </c>
      <c r="T41" s="38">
        <f t="shared" si="27"/>
        <v>2.20133670886393E-11</v>
      </c>
      <c r="U41" s="38">
        <f t="shared" si="12"/>
        <v>-24.539371252143152</v>
      </c>
      <c r="V41" s="38">
        <f t="shared" si="13"/>
        <v>0.90687642774351218</v>
      </c>
      <c r="X41" s="39">
        <f t="shared" si="28"/>
        <v>8.1472230162258274E-11</v>
      </c>
      <c r="Y41" s="39">
        <f t="shared" si="29"/>
        <v>8.2275577353730204E-11</v>
      </c>
      <c r="Z41" s="39">
        <f t="shared" si="30"/>
        <v>3.8565134492631887E-9</v>
      </c>
      <c r="AA41" s="39">
        <f t="shared" si="14"/>
        <v>8.1472230162258274E-11</v>
      </c>
      <c r="AB41" s="38">
        <f t="shared" si="15"/>
        <v>-23.230758887950241</v>
      </c>
      <c r="AC41" s="38">
        <f t="shared" si="16"/>
        <v>0.40173593644939842</v>
      </c>
    </row>
    <row r="42" spans="1:29" x14ac:dyDescent="0.3">
      <c r="A42">
        <v>90566</v>
      </c>
      <c r="B42">
        <v>380</v>
      </c>
      <c r="C42">
        <v>4800</v>
      </c>
      <c r="D42">
        <v>2.4979669999999996</v>
      </c>
      <c r="E42">
        <v>3.9488625301368927</v>
      </c>
      <c r="F42">
        <v>4.0168323144549271E-3</v>
      </c>
      <c r="G42" s="28">
        <f t="shared" si="20"/>
        <v>1.2489834999999998E-2</v>
      </c>
      <c r="H42" s="28">
        <f t="shared" si="21"/>
        <v>1.2509919161572271E-2</v>
      </c>
      <c r="J42">
        <f t="shared" si="22"/>
        <v>2.1942466553543814E-11</v>
      </c>
      <c r="K42" s="28">
        <f t="shared" si="23"/>
        <v>2.2159658151004778E-11</v>
      </c>
      <c r="L42" s="28">
        <f t="shared" si="24"/>
        <v>1.0347653564697618E-9</v>
      </c>
      <c r="M42" s="28">
        <f t="shared" si="25"/>
        <v>2.1942466553543814E-11</v>
      </c>
      <c r="N42">
        <f t="shared" si="26"/>
        <v>15.313935681470138</v>
      </c>
      <c r="O42">
        <f t="shared" si="11"/>
        <v>-24.542597244722945</v>
      </c>
      <c r="Q42">
        <f t="shared" si="31"/>
        <v>1.7266045841549518E-12</v>
      </c>
      <c r="R42">
        <f t="shared" si="32"/>
        <v>1.743725816218891E-12</v>
      </c>
      <c r="S42">
        <f t="shared" si="33"/>
        <v>8.1279828619340414E-11</v>
      </c>
      <c r="T42">
        <f t="shared" si="27"/>
        <v>1.7266045841549518E-12</v>
      </c>
      <c r="U42">
        <f t="shared" si="12"/>
        <v>-27.084864304094282</v>
      </c>
      <c r="V42">
        <f t="shared" si="13"/>
        <v>2.542267059371337</v>
      </c>
      <c r="X42" s="28">
        <f t="shared" si="28"/>
        <v>3.1070885822872827E-11</v>
      </c>
      <c r="Y42" s="28">
        <f t="shared" si="29"/>
        <v>3.1378683494820782E-11</v>
      </c>
      <c r="Z42" s="28">
        <f t="shared" si="30"/>
        <v>1.464079864850694E-9</v>
      </c>
      <c r="AA42" s="28">
        <f t="shared" si="14"/>
        <v>3.1070885822872827E-11</v>
      </c>
      <c r="AB42">
        <f t="shared" si="15"/>
        <v>-24.194749882377295</v>
      </c>
      <c r="AC42">
        <f t="shared" si="16"/>
        <v>0.34784736234565017</v>
      </c>
    </row>
    <row r="43" spans="1:29" x14ac:dyDescent="0.3">
      <c r="A43">
        <v>90567</v>
      </c>
      <c r="B43">
        <v>360</v>
      </c>
      <c r="C43">
        <v>6000</v>
      </c>
      <c r="D43">
        <v>2.5007709999999994</v>
      </c>
      <c r="E43">
        <v>4.2467116078314797</v>
      </c>
      <c r="F43">
        <v>1.0262750760392752E-3</v>
      </c>
      <c r="G43" s="28">
        <f t="shared" si="20"/>
        <v>1.2503854999999998E-2</v>
      </c>
      <c r="H43" s="28">
        <f t="shared" si="21"/>
        <v>1.2508986375380194E-2</v>
      </c>
      <c r="J43">
        <f t="shared" si="22"/>
        <v>5.0965291681443992E-12</v>
      </c>
      <c r="K43" s="28">
        <f t="shared" si="23"/>
        <v>5.1471034448850557E-12</v>
      </c>
      <c r="L43" s="28">
        <f t="shared" si="24"/>
        <v>2.3974995041630564E-10</v>
      </c>
      <c r="M43" s="28">
        <f t="shared" si="25"/>
        <v>5.0965291681443992E-12</v>
      </c>
      <c r="N43">
        <f t="shared" si="26"/>
        <v>15.797788309636651</v>
      </c>
      <c r="O43">
        <f t="shared" si="11"/>
        <v>-26.002461363146928</v>
      </c>
      <c r="Q43">
        <f t="shared" si="31"/>
        <v>-2.206206247318812E-12</v>
      </c>
      <c r="R43">
        <f t="shared" si="32"/>
        <v>-2.228116830167803E-12</v>
      </c>
      <c r="S43">
        <f t="shared" si="33"/>
        <v>-1.0370165629101654E-10</v>
      </c>
      <c r="T43">
        <f t="shared" si="27"/>
        <v>-2.206206247318812E-12</v>
      </c>
      <c r="U43" t="e">
        <f t="shared" si="12"/>
        <v>#NUM!</v>
      </c>
      <c r="V43">
        <f t="shared" si="13"/>
        <v>5</v>
      </c>
      <c r="X43" s="28">
        <f t="shared" si="28"/>
        <v>6.9633082967460294E-12</v>
      </c>
      <c r="Y43" s="28">
        <f t="shared" si="29"/>
        <v>7.0324214898493857E-12</v>
      </c>
      <c r="Z43" s="28">
        <f t="shared" si="30"/>
        <v>3.2750023020325709E-10</v>
      </c>
      <c r="AA43" s="28">
        <f t="shared" si="14"/>
        <v>6.9633082967460294E-12</v>
      </c>
      <c r="AB43">
        <f t="shared" si="15"/>
        <v>-25.690366424523489</v>
      </c>
      <c r="AC43">
        <f t="shared" si="16"/>
        <v>0.31209493862343862</v>
      </c>
    </row>
    <row r="44" spans="1:29" x14ac:dyDescent="0.3">
      <c r="A44">
        <v>90568</v>
      </c>
      <c r="B44">
        <v>410</v>
      </c>
      <c r="C44">
        <v>3600</v>
      </c>
      <c r="D44">
        <v>2.5409489999999995</v>
      </c>
      <c r="E44">
        <v>3.6566228506649958</v>
      </c>
      <c r="F44">
        <v>1.7454036419300614E-2</v>
      </c>
      <c r="G44" s="28">
        <f t="shared" si="20"/>
        <v>1.2704744999999996E-2</v>
      </c>
      <c r="H44" s="28">
        <f t="shared" si="21"/>
        <v>1.2792015182096501E-2</v>
      </c>
      <c r="J44">
        <f t="shared" si="22"/>
        <v>1.2275859721636952E-10</v>
      </c>
      <c r="K44" s="28">
        <f t="shared" si="23"/>
        <v>1.2398738254978614E-10</v>
      </c>
      <c r="L44" s="28">
        <f t="shared" si="24"/>
        <v>5.7261779795883646E-9</v>
      </c>
      <c r="M44" s="28">
        <f t="shared" si="25"/>
        <v>1.2275859721636952E-10</v>
      </c>
      <c r="N44">
        <f t="shared" si="26"/>
        <v>14.641288433382138</v>
      </c>
      <c r="O44">
        <f t="shared" si="11"/>
        <v>-22.820801313283933</v>
      </c>
      <c r="Q44">
        <f t="shared" si="31"/>
        <v>1.1964729866870017E-10</v>
      </c>
      <c r="R44">
        <f t="shared" si="32"/>
        <v>1.2084518580817664E-10</v>
      </c>
      <c r="S44">
        <f t="shared" si="33"/>
        <v>5.5799275132695001E-9</v>
      </c>
      <c r="T44">
        <f t="shared" si="27"/>
        <v>1.1964729866870017E-10</v>
      </c>
      <c r="U44">
        <f>LN(T44)</f>
        <v>-22.846472878772612</v>
      </c>
      <c r="V44">
        <f t="shared" si="13"/>
        <v>2.5671565488678993E-2</v>
      </c>
      <c r="X44" s="28">
        <f t="shared" si="28"/>
        <v>1.7669671066498406E-10</v>
      </c>
      <c r="Y44" s="28">
        <f t="shared" si="29"/>
        <v>1.7847163568460724E-10</v>
      </c>
      <c r="Z44" s="28">
        <f t="shared" si="30"/>
        <v>8.2140943701646577E-9</v>
      </c>
      <c r="AA44" s="28">
        <f t="shared" si="14"/>
        <v>1.7669671066498406E-10</v>
      </c>
      <c r="AB44">
        <f t="shared" si="15"/>
        <v>-22.456586352141283</v>
      </c>
      <c r="AC44">
        <f t="shared" si="16"/>
        <v>0.3642149611426504</v>
      </c>
    </row>
    <row r="45" spans="1:29" x14ac:dyDescent="0.3">
      <c r="A45">
        <v>90569</v>
      </c>
      <c r="B45">
        <v>420</v>
      </c>
      <c r="C45">
        <v>3600</v>
      </c>
      <c r="D45">
        <v>2.6126109999999994</v>
      </c>
      <c r="E45">
        <v>3.9085870038796666</v>
      </c>
      <c r="F45">
        <v>2.8794476244604156E-2</v>
      </c>
      <c r="G45" s="28">
        <f t="shared" si="20"/>
        <v>1.3063054999999997E-2</v>
      </c>
      <c r="H45" s="28">
        <f t="shared" si="21"/>
        <v>1.3207027381223018E-2</v>
      </c>
      <c r="J45">
        <f t="shared" si="22"/>
        <v>2.2381085232105612E-10</v>
      </c>
      <c r="K45" s="28">
        <f t="shared" si="23"/>
        <v>2.2610151092397207E-10</v>
      </c>
      <c r="L45" s="28">
        <f t="shared" si="24"/>
        <v>1.021617802424489E-8</v>
      </c>
      <c r="M45" s="28">
        <f t="shared" si="25"/>
        <v>2.2381085232105612E-10</v>
      </c>
      <c r="N45">
        <f t="shared" si="26"/>
        <v>14.430014430014429</v>
      </c>
      <c r="O45">
        <f t="shared" si="11"/>
        <v>-22.220219830068846</v>
      </c>
      <c r="Q45">
        <f t="shared" si="31"/>
        <v>1.698727388724416E-10</v>
      </c>
      <c r="R45">
        <f t="shared" si="32"/>
        <v>1.7161725778914794E-10</v>
      </c>
      <c r="S45">
        <f t="shared" si="33"/>
        <v>7.7282616336667113E-9</v>
      </c>
      <c r="T45">
        <f t="shared" si="27"/>
        <v>1.698727388724416E-10</v>
      </c>
      <c r="U45">
        <f t="shared" si="12"/>
        <v>-22.495971554083329</v>
      </c>
      <c r="V45">
        <f t="shared" si="13"/>
        <v>0.27575172401448356</v>
      </c>
      <c r="X45" s="28">
        <f t="shared" si="28"/>
        <v>3.1549315101671244E-10</v>
      </c>
      <c r="Y45" s="28">
        <f t="shared" si="29"/>
        <v>3.1874060928797514E-10</v>
      </c>
      <c r="Z45" s="28">
        <f t="shared" si="30"/>
        <v>1.4322180565417465E-8</v>
      </c>
      <c r="AA45" s="28">
        <f t="shared" si="14"/>
        <v>3.1549315101671244E-10</v>
      </c>
      <c r="AB45">
        <f t="shared" si="15"/>
        <v>-21.876884142529306</v>
      </c>
      <c r="AC45">
        <f t="shared" si="16"/>
        <v>0.34333568753953969</v>
      </c>
    </row>
    <row r="46" spans="1:29" x14ac:dyDescent="0.3">
      <c r="A46">
        <v>90570</v>
      </c>
      <c r="B46">
        <v>430</v>
      </c>
      <c r="C46">
        <v>3600</v>
      </c>
      <c r="D46">
        <v>2.7032349999999994</v>
      </c>
      <c r="E46">
        <v>4.1708563136974526</v>
      </c>
      <c r="F46">
        <v>3.3836484209559543E-2</v>
      </c>
      <c r="G46" s="28">
        <f t="shared" si="20"/>
        <v>1.3516174999999997E-2</v>
      </c>
      <c r="H46" s="28">
        <f t="shared" si="21"/>
        <v>1.3685357421047794E-2</v>
      </c>
      <c r="J46">
        <f t="shared" si="22"/>
        <v>2.9194463458715974E-10</v>
      </c>
      <c r="K46" s="28">
        <f t="shared" si="23"/>
        <v>2.9502792856732421E-10</v>
      </c>
      <c r="L46" s="28">
        <f t="shared" si="24"/>
        <v>1.2924724484279154E-8</v>
      </c>
      <c r="M46" s="28">
        <f t="shared" si="25"/>
        <v>2.9194463458715974E-10</v>
      </c>
      <c r="N46">
        <f t="shared" si="26"/>
        <v>14.22475106685633</v>
      </c>
      <c r="O46">
        <f t="shared" si="11"/>
        <v>-21.954456939216275</v>
      </c>
      <c r="Q46">
        <f t="shared" si="31"/>
        <v>2.0026233589150342E-10</v>
      </c>
      <c r="R46">
        <f t="shared" si="32"/>
        <v>2.0238883020332114E-10</v>
      </c>
      <c r="S46">
        <f t="shared" si="33"/>
        <v>8.8187219431043239E-9</v>
      </c>
      <c r="T46">
        <f t="shared" si="27"/>
        <v>2.0026233589150342E-10</v>
      </c>
      <c r="U46">
        <f t="shared" si="12"/>
        <v>-22.331392929422982</v>
      </c>
      <c r="V46">
        <f t="shared" si="13"/>
        <v>0.37693599020670732</v>
      </c>
      <c r="X46" s="28">
        <f t="shared" si="28"/>
        <v>4.0350077436046701E-10</v>
      </c>
      <c r="Y46" s="28">
        <f t="shared" si="29"/>
        <v>4.0779005087786281E-10</v>
      </c>
      <c r="Z46" s="28">
        <f t="shared" si="30"/>
        <v>1.7751979741712274E-8</v>
      </c>
      <c r="AA46" s="28">
        <f t="shared" si="14"/>
        <v>4.0350077436046701E-10</v>
      </c>
      <c r="AB46">
        <f t="shared" si="15"/>
        <v>-21.630842709111423</v>
      </c>
      <c r="AC46">
        <f t="shared" si="16"/>
        <v>0.32361423010485169</v>
      </c>
    </row>
    <row r="47" spans="1:29" x14ac:dyDescent="0.3">
      <c r="A47">
        <v>90571</v>
      </c>
      <c r="B47">
        <v>440</v>
      </c>
      <c r="C47">
        <v>3600</v>
      </c>
      <c r="D47">
        <v>2.8065649999999995</v>
      </c>
      <c r="E47">
        <v>4.4435098185220347</v>
      </c>
      <c r="F47">
        <v>3.6000314495105573E-2</v>
      </c>
      <c r="G47" s="28">
        <f t="shared" si="20"/>
        <v>1.4032824999999997E-2</v>
      </c>
      <c r="H47" s="28">
        <f t="shared" si="21"/>
        <v>1.4212826572475525E-2</v>
      </c>
      <c r="J47">
        <f t="shared" si="22"/>
        <v>3.4502228249615392E-10</v>
      </c>
      <c r="K47" s="28">
        <f t="shared" si="23"/>
        <v>3.4880079014012551E-10</v>
      </c>
      <c r="L47" s="28">
        <f t="shared" si="24"/>
        <v>1.474408989007597E-8</v>
      </c>
      <c r="M47" s="28">
        <f t="shared" si="25"/>
        <v>3.4502228249615392E-10</v>
      </c>
      <c r="N47">
        <f t="shared" si="26"/>
        <v>14.025245441795231</v>
      </c>
      <c r="O47">
        <f t="shared" si="11"/>
        <v>-21.787412114037462</v>
      </c>
      <c r="Q47">
        <f t="shared" si="31"/>
        <v>2.3346614272284665E-10</v>
      </c>
      <c r="R47">
        <f t="shared" si="32"/>
        <v>2.3603866782959296E-10</v>
      </c>
      <c r="S47">
        <f t="shared" si="33"/>
        <v>9.9168346326409876E-9</v>
      </c>
      <c r="T47">
        <f t="shared" si="27"/>
        <v>2.3346614272284665E-10</v>
      </c>
      <c r="U47">
        <f t="shared" si="12"/>
        <v>-22.177984048378597</v>
      </c>
      <c r="V47">
        <f t="shared" si="13"/>
        <v>0.39057193434113557</v>
      </c>
      <c r="X47" s="28">
        <f t="shared" si="28"/>
        <v>4.6826826398828294E-10</v>
      </c>
      <c r="Y47" s="28">
        <f t="shared" si="29"/>
        <v>4.7343090951506351E-10</v>
      </c>
      <c r="Z47" s="28">
        <f t="shared" si="30"/>
        <v>1.9882765970285067E-8</v>
      </c>
      <c r="AA47" s="28">
        <f t="shared" si="14"/>
        <v>4.6826826398828294E-10</v>
      </c>
      <c r="AB47">
        <f t="shared" si="15"/>
        <v>-21.481979770584914</v>
      </c>
      <c r="AC47">
        <f t="shared" si="16"/>
        <v>0.30543234345254788</v>
      </c>
    </row>
    <row r="48" spans="1:29" x14ac:dyDescent="0.3">
      <c r="A48">
        <v>90572</v>
      </c>
      <c r="B48">
        <v>450</v>
      </c>
      <c r="C48">
        <v>3600</v>
      </c>
      <c r="D48">
        <v>2.9259979999999994</v>
      </c>
      <c r="E48">
        <v>4.7266186609260306</v>
      </c>
      <c r="F48">
        <v>3.8975737931465526E-2</v>
      </c>
      <c r="G48" s="28">
        <f t="shared" si="20"/>
        <v>1.4629989999999997E-2</v>
      </c>
      <c r="H48" s="28">
        <f t="shared" si="21"/>
        <v>1.4824868689657324E-2</v>
      </c>
      <c r="J48">
        <f t="shared" si="22"/>
        <v>4.1491396983570329E-10</v>
      </c>
      <c r="K48" s="28">
        <f t="shared" si="23"/>
        <v>4.1964407120965005E-10</v>
      </c>
      <c r="L48" s="28">
        <f t="shared" si="24"/>
        <v>1.7051445232447663E-8</v>
      </c>
      <c r="M48" s="28">
        <f t="shared" si="25"/>
        <v>4.1491396983570329E-10</v>
      </c>
      <c r="N48">
        <f t="shared" si="26"/>
        <v>13.831258644536653</v>
      </c>
      <c r="O48">
        <f t="shared" si="11"/>
        <v>-21.602949918788511</v>
      </c>
      <c r="Q48">
        <f t="shared" si="31"/>
        <v>2.9166798834357426E-10</v>
      </c>
      <c r="R48">
        <f t="shared" si="32"/>
        <v>2.9501395183471205E-10</v>
      </c>
      <c r="S48">
        <f t="shared" si="33"/>
        <v>1.1912769152238257E-8</v>
      </c>
      <c r="T48">
        <f t="shared" si="27"/>
        <v>2.9166798834357426E-10</v>
      </c>
      <c r="U48">
        <f t="shared" si="12"/>
        <v>-21.955404986785627</v>
      </c>
      <c r="V48">
        <f t="shared" si="13"/>
        <v>0.35245506799711634</v>
      </c>
      <c r="X48" s="28">
        <f t="shared" si="28"/>
        <v>5.5405850859443219E-10</v>
      </c>
      <c r="Y48" s="28">
        <f t="shared" si="29"/>
        <v>5.6041907294719562E-10</v>
      </c>
      <c r="Z48" s="28">
        <f t="shared" si="30"/>
        <v>2.2618246450489752E-8</v>
      </c>
      <c r="AA48" s="28">
        <f t="shared" si="14"/>
        <v>5.5405850859443219E-10</v>
      </c>
      <c r="AB48">
        <f t="shared" si="15"/>
        <v>-21.313750823576449</v>
      </c>
      <c r="AC48">
        <f t="shared" si="16"/>
        <v>0.28919909521206222</v>
      </c>
    </row>
    <row r="49" spans="1:29" x14ac:dyDescent="0.3">
      <c r="A49">
        <v>90573</v>
      </c>
      <c r="B49">
        <v>435</v>
      </c>
      <c r="C49">
        <v>3600</v>
      </c>
      <c r="D49">
        <v>2.9594799999999992</v>
      </c>
      <c r="E49">
        <v>4.3058804134384419</v>
      </c>
      <c r="F49">
        <v>1.2069969059363939E-2</v>
      </c>
      <c r="G49" s="28">
        <f t="shared" si="20"/>
        <v>1.4797399999999995E-2</v>
      </c>
      <c r="H49" s="28">
        <f t="shared" si="21"/>
        <v>1.4857749845296815E-2</v>
      </c>
      <c r="J49">
        <f t="shared" si="22"/>
        <v>1.1942026004180021E-10</v>
      </c>
      <c r="K49" s="28">
        <f t="shared" si="23"/>
        <v>1.208182711168611E-10</v>
      </c>
      <c r="L49" s="28">
        <f t="shared" si="24"/>
        <v>4.7820785435949491E-9</v>
      </c>
      <c r="M49" s="28">
        <f t="shared" si="25"/>
        <v>1.1942026004180021E-10</v>
      </c>
      <c r="N49">
        <f t="shared" si="26"/>
        <v>14.124293785310735</v>
      </c>
      <c r="O49">
        <f t="shared" si="11"/>
        <v>-22.848372247272295</v>
      </c>
      <c r="Q49">
        <f t="shared" si="31"/>
        <v>-1.9724278716928757E-11</v>
      </c>
      <c r="R49">
        <f t="shared" si="32"/>
        <v>-1.9956730620705459E-11</v>
      </c>
      <c r="S49">
        <f t="shared" si="33"/>
        <v>-7.847226744473208E-10</v>
      </c>
      <c r="T49">
        <f t="shared" si="27"/>
        <v>-1.9724278716928757E-11</v>
      </c>
      <c r="U49" t="e">
        <f t="shared" si="12"/>
        <v>#NUM!</v>
      </c>
      <c r="V49">
        <f t="shared" si="13"/>
        <v>5</v>
      </c>
      <c r="X49" s="28">
        <f t="shared" si="28"/>
        <v>1.6280341730406503E-10</v>
      </c>
      <c r="Y49" s="28">
        <f t="shared" si="29"/>
        <v>1.6471327722284346E-10</v>
      </c>
      <c r="Z49" s="28">
        <f t="shared" si="30"/>
        <v>6.5061754304736706E-9</v>
      </c>
      <c r="AA49" s="28">
        <f t="shared" si="14"/>
        <v>1.6280341730406503E-10</v>
      </c>
      <c r="AB49">
        <f t="shared" si="15"/>
        <v>-22.538477671769201</v>
      </c>
      <c r="AC49">
        <f t="shared" si="16"/>
        <v>0.30989457550309396</v>
      </c>
    </row>
    <row r="50" spans="1:29" x14ac:dyDescent="0.3">
      <c r="A50">
        <v>90574</v>
      </c>
      <c r="B50">
        <v>425</v>
      </c>
      <c r="C50">
        <v>3600</v>
      </c>
      <c r="D50">
        <v>2.9754359999999993</v>
      </c>
      <c r="E50">
        <v>4.0384283860860464</v>
      </c>
      <c r="F50">
        <v>6.1768470696860669E-3</v>
      </c>
      <c r="G50" s="28">
        <f t="shared" si="20"/>
        <v>1.4877179999999997E-2</v>
      </c>
      <c r="H50" s="28">
        <f t="shared" si="21"/>
        <v>1.4908064235348427E-2</v>
      </c>
      <c r="J50">
        <f t="shared" si="22"/>
        <v>5.7388316394701287E-11</v>
      </c>
      <c r="K50" s="28">
        <f t="shared" si="23"/>
        <v>5.8065852910732384E-11</v>
      </c>
      <c r="L50" s="28">
        <f t="shared" si="24"/>
        <v>2.2792072690561349E-9</v>
      </c>
      <c r="M50" s="28">
        <f t="shared" si="25"/>
        <v>5.7388316394701287E-11</v>
      </c>
      <c r="N50">
        <f t="shared" si="26"/>
        <v>14.326647564469914</v>
      </c>
      <c r="O50">
        <f t="shared" si="11"/>
        <v>-23.581180380452196</v>
      </c>
      <c r="Q50">
        <f t="shared" si="31"/>
        <v>1.4005159132436481E-11</v>
      </c>
      <c r="R50">
        <f t="shared" si="32"/>
        <v>1.4170846804751565E-11</v>
      </c>
      <c r="S50">
        <f t="shared" si="33"/>
        <v>5.5511038217757922E-10</v>
      </c>
      <c r="T50">
        <f t="shared" si="27"/>
        <v>1.4005159132436481E-11</v>
      </c>
      <c r="U50">
        <f t="shared" si="12"/>
        <v>-24.991595344736474</v>
      </c>
      <c r="V50">
        <f t="shared" si="13"/>
        <v>1.4104149642842785</v>
      </c>
      <c r="X50" s="28">
        <f t="shared" si="28"/>
        <v>7.9687188160856609E-11</v>
      </c>
      <c r="Y50" s="28">
        <f t="shared" si="29"/>
        <v>8.0628983228335904E-11</v>
      </c>
      <c r="Z50" s="28">
        <f t="shared" si="30"/>
        <v>3.1615778816155435E-9</v>
      </c>
      <c r="AA50" s="28">
        <f t="shared" si="14"/>
        <v>7.9687188160856609E-11</v>
      </c>
      <c r="AB50">
        <f t="shared" si="15"/>
        <v>-23.252912293858984</v>
      </c>
      <c r="AC50">
        <f t="shared" si="16"/>
        <v>0.32826808659321216</v>
      </c>
    </row>
    <row r="51" spans="1:29" x14ac:dyDescent="0.3">
      <c r="A51">
        <v>90575</v>
      </c>
      <c r="B51">
        <v>415</v>
      </c>
      <c r="C51">
        <v>3600</v>
      </c>
      <c r="D51">
        <v>2.9832379999999992</v>
      </c>
      <c r="E51">
        <v>3.7813220384058503</v>
      </c>
      <c r="F51">
        <v>3.3984428529637667E-3</v>
      </c>
      <c r="G51" s="28">
        <f t="shared" si="20"/>
        <v>1.4916189999999996E-2</v>
      </c>
      <c r="H51" s="28">
        <f t="shared" si="21"/>
        <v>1.4933182214264816E-2</v>
      </c>
      <c r="J51">
        <f t="shared" si="22"/>
        <v>2.8173477212289518E-11</v>
      </c>
      <c r="K51" s="28">
        <f t="shared" si="23"/>
        <v>2.8507446651039218E-11</v>
      </c>
      <c r="L51" s="28">
        <f t="shared" si="24"/>
        <v>1.1145304124784075E-9</v>
      </c>
      <c r="M51" s="28">
        <f t="shared" si="25"/>
        <v>2.8173477212289518E-11</v>
      </c>
      <c r="N51">
        <f t="shared" si="26"/>
        <v>14.534883720930232</v>
      </c>
      <c r="O51">
        <f t="shared" si="11"/>
        <v>-24.29264010494196</v>
      </c>
      <c r="Q51">
        <f t="shared" si="31"/>
        <v>5.874605446134194E-12</v>
      </c>
      <c r="R51">
        <f t="shared" si="32"/>
        <v>5.9443163334363736E-12</v>
      </c>
      <c r="S51">
        <f t="shared" si="33"/>
        <v>2.3215979992323866E-10</v>
      </c>
      <c r="T51">
        <f t="shared" si="27"/>
        <v>5.874605446134194E-12</v>
      </c>
      <c r="U51">
        <f t="shared" si="12"/>
        <v>-25.860382216258351</v>
      </c>
      <c r="V51">
        <f t="shared" si="13"/>
        <v>1.5677421113163916</v>
      </c>
      <c r="X51" s="28">
        <f t="shared" si="28"/>
        <v>4.0468520112810939E-11</v>
      </c>
      <c r="Y51" s="28">
        <f t="shared" si="29"/>
        <v>4.0948512965304451E-11</v>
      </c>
      <c r="Z51" s="28">
        <f t="shared" si="30"/>
        <v>1.6000181822890552E-9</v>
      </c>
      <c r="AA51" s="28">
        <f t="shared" si="14"/>
        <v>4.0468520112810939E-11</v>
      </c>
      <c r="AB51">
        <f t="shared" si="15"/>
        <v>-23.930496725220848</v>
      </c>
      <c r="AC51">
        <f t="shared" si="16"/>
        <v>0.3621433797211111</v>
      </c>
    </row>
    <row r="52" spans="1:29" s="38" customFormat="1" x14ac:dyDescent="0.3">
      <c r="A52" s="38">
        <v>90576</v>
      </c>
      <c r="B52" s="38">
        <v>405</v>
      </c>
      <c r="C52" s="38">
        <v>3600</v>
      </c>
      <c r="D52" s="38">
        <v>2.9867819999999994</v>
      </c>
      <c r="E52" s="38">
        <v>3.5344782830220414</v>
      </c>
      <c r="F52" s="38">
        <v>1.7030134764260251E-3</v>
      </c>
      <c r="G52" s="39">
        <f t="shared" si="20"/>
        <v>1.4933909999999996E-2</v>
      </c>
      <c r="H52" s="39">
        <f t="shared" si="21"/>
        <v>1.4942425067382128E-2</v>
      </c>
      <c r="J52" s="38">
        <f t="shared" si="22"/>
        <v>1.2821958860164713E-11</v>
      </c>
      <c r="K52" s="39">
        <f t="shared" si="23"/>
        <v>1.2974244014352715E-11</v>
      </c>
      <c r="L52" s="39">
        <f t="shared" si="24"/>
        <v>5.0628166082178903E-10</v>
      </c>
      <c r="M52" s="39">
        <f t="shared" si="25"/>
        <v>1.2821958860164713E-11</v>
      </c>
      <c r="N52" s="38">
        <f t="shared" si="26"/>
        <v>14.749262536873156</v>
      </c>
      <c r="O52" s="38">
        <f t="shared" si="11"/>
        <v>-25.079861878903593</v>
      </c>
      <c r="Q52" s="38">
        <f t="shared" si="31"/>
        <v>5.2691595964328554E-13</v>
      </c>
      <c r="R52" s="38">
        <f t="shared" si="32"/>
        <v>5.331777000864807E-13</v>
      </c>
      <c r="S52" s="38">
        <f t="shared" si="33"/>
        <v>2.0793891008377027E-11</v>
      </c>
      <c r="T52" s="38">
        <f t="shared" si="27"/>
        <v>5.2691595964328554E-13</v>
      </c>
      <c r="U52" s="38">
        <f t="shared" si="12"/>
        <v>-28.271735328453495</v>
      </c>
      <c r="V52" s="38">
        <f t="shared" si="13"/>
        <v>3.1918734495499024</v>
      </c>
      <c r="X52" s="39">
        <f t="shared" si="28"/>
        <v>1.8988764794210981E-11</v>
      </c>
      <c r="Y52" s="39">
        <f t="shared" si="29"/>
        <v>1.9214357698542284E-11</v>
      </c>
      <c r="Z52" s="39">
        <f t="shared" si="30"/>
        <v>7.4957059218223095E-10</v>
      </c>
      <c r="AA52" s="39">
        <f t="shared" si="14"/>
        <v>1.8988764794210981E-11</v>
      </c>
      <c r="AB52" s="38">
        <f t="shared" si="15"/>
        <v>-24.68717363828512</v>
      </c>
      <c r="AC52" s="38">
        <f t="shared" si="16"/>
        <v>0.39268824061847241</v>
      </c>
    </row>
    <row r="53" spans="1:29" x14ac:dyDescent="0.3">
      <c r="A53">
        <v>90577</v>
      </c>
      <c r="B53">
        <v>455</v>
      </c>
      <c r="C53">
        <v>3600</v>
      </c>
      <c r="D53">
        <v>3.0508139999999995</v>
      </c>
      <c r="E53">
        <v>4.8721139735867256</v>
      </c>
      <c r="F53">
        <v>2.025055931937244E-2</v>
      </c>
      <c r="G53" s="28">
        <f t="shared" si="20"/>
        <v>1.5254069999999998E-2</v>
      </c>
      <c r="H53" s="28">
        <f t="shared" si="21"/>
        <v>1.5355322796596859E-2</v>
      </c>
      <c r="J53">
        <f t="shared" si="22"/>
        <v>2.3428581571065066E-10</v>
      </c>
      <c r="K53" s="28">
        <f t="shared" si="23"/>
        <v>2.3710043098084931E-10</v>
      </c>
      <c r="L53" s="28">
        <f t="shared" si="24"/>
        <v>9.1489244521305241E-9</v>
      </c>
      <c r="M53" s="28">
        <f t="shared" si="25"/>
        <v>2.3428581571065066E-10</v>
      </c>
      <c r="N53">
        <f t="shared" si="26"/>
        <v>13.736263736263735</v>
      </c>
      <c r="O53">
        <f t="shared" si="11"/>
        <v>-22.174479311254398</v>
      </c>
      <c r="Q53">
        <f t="shared" si="31"/>
        <v>2.2811900977660439E-10</v>
      </c>
      <c r="R53">
        <f t="shared" si="32"/>
        <v>2.308603172966672E-10</v>
      </c>
      <c r="S53">
        <f t="shared" si="33"/>
        <v>8.9056355207706227E-9</v>
      </c>
      <c r="T53">
        <f t="shared" si="27"/>
        <v>2.2811900977660439E-10</v>
      </c>
      <c r="U53">
        <f t="shared" si="12"/>
        <v>-22.201153650450067</v>
      </c>
      <c r="V53">
        <f t="shared" si="13"/>
        <v>2.667433919566875E-2</v>
      </c>
      <c r="X53" s="28">
        <f t="shared" si="28"/>
        <v>3.0941464353100145E-10</v>
      </c>
      <c r="Y53" s="28">
        <f t="shared" si="29"/>
        <v>3.1314456471315613E-10</v>
      </c>
      <c r="Z53" s="28">
        <f t="shared" si="30"/>
        <v>1.2042953693066183E-8</v>
      </c>
      <c r="AA53" s="28">
        <f t="shared" si="14"/>
        <v>3.0941464353100145E-10</v>
      </c>
      <c r="AB53">
        <f t="shared" si="15"/>
        <v>-21.896338850108645</v>
      </c>
      <c r="AC53">
        <f t="shared" si="16"/>
        <v>0.27814046114575319</v>
      </c>
    </row>
    <row r="54" spans="1:29" x14ac:dyDescent="0.3">
      <c r="A54">
        <v>90578</v>
      </c>
      <c r="B54">
        <v>464.9</v>
      </c>
      <c r="C54">
        <v>3600</v>
      </c>
      <c r="D54">
        <v>3.1897169999999995</v>
      </c>
      <c r="E54">
        <v>5.1679811347997138</v>
      </c>
      <c r="F54">
        <v>4.1382580503253469E-2</v>
      </c>
      <c r="G54" s="28">
        <f t="shared" si="20"/>
        <v>1.5948584999999998E-2</v>
      </c>
      <c r="H54" s="28">
        <f t="shared" si="21"/>
        <v>1.6155497902516264E-2</v>
      </c>
      <c r="J54">
        <f t="shared" si="22"/>
        <v>5.2531288132994453E-10</v>
      </c>
      <c r="K54" s="28">
        <f t="shared" si="23"/>
        <v>5.3183968781156047E-10</v>
      </c>
      <c r="L54" s="28">
        <f t="shared" si="24"/>
        <v>1.9856759806233375E-8</v>
      </c>
      <c r="M54" s="28">
        <f t="shared" si="25"/>
        <v>5.2531288132994453E-10</v>
      </c>
      <c r="N54">
        <f t="shared" si="26"/>
        <v>13.551971811898632</v>
      </c>
      <c r="O54">
        <f t="shared" si="11"/>
        <v>-21.367027066415215</v>
      </c>
      <c r="Q54">
        <f t="shared" si="31"/>
        <v>4.5018405350959374E-10</v>
      </c>
      <c r="R54">
        <f t="shared" si="32"/>
        <v>4.5579555407924755E-10</v>
      </c>
      <c r="S54">
        <f t="shared" si="33"/>
        <v>1.6962730565297227E-8</v>
      </c>
      <c r="T54">
        <f t="shared" si="27"/>
        <v>4.5018405350959374E-10</v>
      </c>
      <c r="U54">
        <f t="shared" si="12"/>
        <v>-21.521364608985976</v>
      </c>
      <c r="V54">
        <f t="shared" si="13"/>
        <v>0.1543375425707616</v>
      </c>
      <c r="X54" s="28">
        <f t="shared" si="28"/>
        <v>6.8633766051657786E-10</v>
      </c>
      <c r="Y54" s="28">
        <f t="shared" si="29"/>
        <v>6.9492343711036864E-10</v>
      </c>
      <c r="Z54" s="28">
        <f t="shared" si="30"/>
        <v>2.5775280894032755E-8</v>
      </c>
      <c r="AA54" s="28">
        <f t="shared" si="14"/>
        <v>6.8633766051657786E-10</v>
      </c>
      <c r="AB54">
        <f t="shared" si="15"/>
        <v>-21.099651392804997</v>
      </c>
      <c r="AC54">
        <f t="shared" si="16"/>
        <v>0.26737567361021775</v>
      </c>
    </row>
    <row r="55" spans="1:29" x14ac:dyDescent="0.3">
      <c r="A55">
        <v>90579</v>
      </c>
      <c r="B55">
        <v>474.9</v>
      </c>
      <c r="C55">
        <v>3600</v>
      </c>
      <c r="D55">
        <v>3.3124949999999993</v>
      </c>
      <c r="E55">
        <v>5.4773839667709341</v>
      </c>
      <c r="F55">
        <v>3.4542940156756116E-2</v>
      </c>
      <c r="G55" s="28">
        <f t="shared" si="20"/>
        <v>1.6562474999999997E-2</v>
      </c>
      <c r="H55" s="28">
        <f t="shared" si="21"/>
        <v>1.6735189700783776E-2</v>
      </c>
      <c r="J55">
        <f t="shared" si="22"/>
        <v>4.8380077499723459E-10</v>
      </c>
      <c r="K55" s="28">
        <f t="shared" si="23"/>
        <v>4.9006720244423029E-10</v>
      </c>
      <c r="L55" s="28">
        <f t="shared" si="24"/>
        <v>1.7563296087752906E-8</v>
      </c>
      <c r="M55" s="28">
        <f t="shared" si="25"/>
        <v>4.8380077499723459E-10</v>
      </c>
      <c r="N55">
        <f t="shared" si="26"/>
        <v>13.370771493515177</v>
      </c>
      <c r="O55">
        <f t="shared" si="11"/>
        <v>-21.449347915858009</v>
      </c>
      <c r="Q55">
        <f t="shared" si="31"/>
        <v>3.2277599581060127E-10</v>
      </c>
      <c r="R55">
        <f t="shared" si="32"/>
        <v>3.2698345314541591E-10</v>
      </c>
      <c r="S55">
        <f t="shared" si="33"/>
        <v>1.1644774999958613E-8</v>
      </c>
      <c r="T55">
        <f t="shared" si="27"/>
        <v>3.2277599581060127E-10</v>
      </c>
      <c r="U55">
        <f t="shared" si="12"/>
        <v>-21.854062544718467</v>
      </c>
      <c r="V55">
        <f t="shared" si="13"/>
        <v>0.40471462886045728</v>
      </c>
      <c r="X55" s="28">
        <f t="shared" si="28"/>
        <v>6.2320885677888988E-10</v>
      </c>
      <c r="Y55" s="28">
        <f t="shared" si="29"/>
        <v>6.3132509116711966E-10</v>
      </c>
      <c r="Z55" s="28">
        <f t="shared" si="30"/>
        <v>2.2506612636460775E-8</v>
      </c>
      <c r="AA55" s="28">
        <f t="shared" si="14"/>
        <v>6.2320885677888988E-10</v>
      </c>
      <c r="AB55">
        <f t="shared" si="15"/>
        <v>-21.196139409696858</v>
      </c>
      <c r="AC55">
        <f t="shared" si="16"/>
        <v>0.25320850616115109</v>
      </c>
    </row>
    <row r="56" spans="1:29" x14ac:dyDescent="0.3">
      <c r="A56">
        <v>90580</v>
      </c>
      <c r="B56">
        <v>485</v>
      </c>
      <c r="C56">
        <v>3600</v>
      </c>
      <c r="D56">
        <v>3.4464219999999992</v>
      </c>
      <c r="E56">
        <v>5.8006868468157569</v>
      </c>
      <c r="F56">
        <v>3.5665232398757567E-2</v>
      </c>
      <c r="G56" s="28">
        <f t="shared" si="20"/>
        <v>1.7232109999999995E-2</v>
      </c>
      <c r="H56" s="28">
        <f t="shared" si="21"/>
        <v>1.7410436161993784E-2</v>
      </c>
      <c r="J56">
        <f t="shared" si="22"/>
        <v>5.485675752984524E-10</v>
      </c>
      <c r="K56" s="28">
        <f t="shared" si="23"/>
        <v>5.5595770698729245E-10</v>
      </c>
      <c r="L56" s="28">
        <f t="shared" si="24"/>
        <v>1.9170658171757579E-8</v>
      </c>
      <c r="M56" s="28">
        <f t="shared" si="25"/>
        <v>5.485675752984524E-10</v>
      </c>
      <c r="N56">
        <f t="shared" si="26"/>
        <v>13.192612137203167</v>
      </c>
      <c r="O56">
        <f t="shared" si="11"/>
        <v>-21.323710643622288</v>
      </c>
      <c r="Q56">
        <f t="shared" si="31"/>
        <v>4.0915949351679711E-10</v>
      </c>
      <c r="R56">
        <f t="shared" si="32"/>
        <v>4.1469981826440302E-10</v>
      </c>
      <c r="S56">
        <f t="shared" si="33"/>
        <v>1.4227341623052649E-8</v>
      </c>
      <c r="T56">
        <f t="shared" si="27"/>
        <v>4.0915949351679711E-10</v>
      </c>
      <c r="U56">
        <f t="shared" si="12"/>
        <v>-21.616916076201498</v>
      </c>
      <c r="V56">
        <f t="shared" si="13"/>
        <v>0.29320543257921017</v>
      </c>
      <c r="X56" s="28">
        <f t="shared" si="28"/>
        <v>6.9831857769098995E-10</v>
      </c>
      <c r="Y56" s="28">
        <f t="shared" si="29"/>
        <v>7.0777724613613292E-10</v>
      </c>
      <c r="Z56" s="28">
        <f t="shared" si="30"/>
        <v>2.4278074530013967E-8</v>
      </c>
      <c r="AA56" s="28">
        <f t="shared" si="14"/>
        <v>6.9831857769098995E-10</v>
      </c>
      <c r="AB56">
        <f t="shared" si="15"/>
        <v>-21.082345702261762</v>
      </c>
      <c r="AC56">
        <f t="shared" si="16"/>
        <v>0.24136494136052633</v>
      </c>
    </row>
    <row r="57" spans="1:29" x14ac:dyDescent="0.3">
      <c r="A57">
        <v>90581</v>
      </c>
      <c r="B57">
        <v>495</v>
      </c>
      <c r="C57">
        <v>3600</v>
      </c>
      <c r="D57">
        <v>3.6325789999999993</v>
      </c>
      <c r="E57">
        <v>6.1315270776421098</v>
      </c>
      <c r="F57">
        <v>4.7074221405096421E-2</v>
      </c>
      <c r="G57" s="28">
        <f t="shared" si="20"/>
        <v>1.8162894999999998E-2</v>
      </c>
      <c r="H57" s="28">
        <f t="shared" si="21"/>
        <v>1.8398266107025479E-2</v>
      </c>
      <c r="J57">
        <f t="shared" si="22"/>
        <v>7.9861272333241095E-10</v>
      </c>
      <c r="K57" s="28">
        <f t="shared" si="23"/>
        <v>8.0989005218974881E-10</v>
      </c>
      <c r="L57" s="28">
        <f t="shared" si="24"/>
        <v>2.6668704173454613E-8</v>
      </c>
      <c r="M57" s="28">
        <f t="shared" si="25"/>
        <v>7.9861272333241095E-10</v>
      </c>
      <c r="N57">
        <f t="shared" si="26"/>
        <v>13.020833333333334</v>
      </c>
      <c r="O57">
        <f t="shared" si="11"/>
        <v>-20.948144989379745</v>
      </c>
      <c r="Q57">
        <f t="shared" si="31"/>
        <v>6.488617209398733E-10</v>
      </c>
      <c r="R57">
        <f t="shared" si="32"/>
        <v>6.5807051304092054E-10</v>
      </c>
      <c r="S57">
        <f t="shared" si="33"/>
        <v>2.1561287815203331E-8</v>
      </c>
      <c r="T57">
        <f t="shared" si="27"/>
        <v>6.488617209398733E-10</v>
      </c>
      <c r="U57">
        <f t="shared" si="12"/>
        <v>-21.15580148673358</v>
      </c>
      <c r="V57">
        <f t="shared" si="13"/>
        <v>0.20765649735383462</v>
      </c>
      <c r="X57" s="28">
        <f t="shared" si="28"/>
        <v>1.0072144988963085E-9</v>
      </c>
      <c r="Y57" s="28">
        <f t="shared" si="29"/>
        <v>1.021535471494404E-9</v>
      </c>
      <c r="Z57" s="28">
        <f t="shared" si="30"/>
        <v>3.3416524715227336E-8</v>
      </c>
      <c r="AA57" s="28">
        <f t="shared" si="14"/>
        <v>1.0072144988963085E-9</v>
      </c>
      <c r="AB57">
        <f t="shared" si="15"/>
        <v>-20.716077238051515</v>
      </c>
      <c r="AC57">
        <f t="shared" si="16"/>
        <v>0.23206775132823054</v>
      </c>
    </row>
    <row r="58" spans="1:29" x14ac:dyDescent="0.3">
      <c r="A58">
        <v>90582</v>
      </c>
      <c r="B58">
        <v>490</v>
      </c>
      <c r="C58">
        <v>3600</v>
      </c>
      <c r="D58">
        <v>3.7058029999999995</v>
      </c>
      <c r="E58">
        <v>5.9647691454862537</v>
      </c>
      <c r="F58">
        <v>1.8995714015921324E-2</v>
      </c>
      <c r="G58" s="28">
        <f t="shared" si="20"/>
        <v>1.8529014999999996E-2</v>
      </c>
      <c r="H58" s="28">
        <f t="shared" si="21"/>
        <v>1.8623993570079603E-2</v>
      </c>
      <c r="J58">
        <f t="shared" si="22"/>
        <v>3.2564067359864942E-10</v>
      </c>
      <c r="K58" s="28">
        <f t="shared" si="23"/>
        <v>3.3040935941755829E-10</v>
      </c>
      <c r="L58" s="28">
        <f t="shared" si="24"/>
        <v>1.0496940901287477E-8</v>
      </c>
      <c r="M58" s="28">
        <f t="shared" si="25"/>
        <v>3.2564067359864942E-10</v>
      </c>
      <c r="N58">
        <f t="shared" si="26"/>
        <v>13.106159895150721</v>
      </c>
      <c r="O58">
        <f t="shared" si="11"/>
        <v>-21.84522657068711</v>
      </c>
      <c r="Q58">
        <f t="shared" si="31"/>
        <v>1.1703889803475194E-10</v>
      </c>
      <c r="R58">
        <f t="shared" si="32"/>
        <v>1.1876394011289861E-10</v>
      </c>
      <c r="S58">
        <f t="shared" si="33"/>
        <v>3.7491203595164984E-9</v>
      </c>
      <c r="T58">
        <f t="shared" si="27"/>
        <v>1.1703889803475194E-10</v>
      </c>
      <c r="U58">
        <f t="shared" si="12"/>
        <v>-22.868514774548494</v>
      </c>
      <c r="V58">
        <f t="shared" si="13"/>
        <v>1.0232882038613837</v>
      </c>
      <c r="X58" s="28">
        <f t="shared" si="28"/>
        <v>4.1117973603847054E-10</v>
      </c>
      <c r="Y58" s="28">
        <f t="shared" si="29"/>
        <v>4.172170176683818E-10</v>
      </c>
      <c r="Z58" s="28">
        <f t="shared" si="30"/>
        <v>1.3220688937411336E-8</v>
      </c>
      <c r="AA58" s="28">
        <f t="shared" si="14"/>
        <v>4.1117973603847054E-10</v>
      </c>
      <c r="AB58">
        <f t="shared" si="15"/>
        <v>-21.611990683063979</v>
      </c>
      <c r="AC58">
        <f t="shared" si="16"/>
        <v>0.23323588762313108</v>
      </c>
    </row>
    <row r="59" spans="1:29" x14ac:dyDescent="0.3">
      <c r="A59">
        <v>90583</v>
      </c>
      <c r="B59">
        <v>480</v>
      </c>
      <c r="C59">
        <v>4200</v>
      </c>
      <c r="D59">
        <v>3.7514079999999996</v>
      </c>
      <c r="E59">
        <v>6.5791552347286038</v>
      </c>
      <c r="F59">
        <v>1.0819266569980033E-2</v>
      </c>
      <c r="G59" s="28">
        <f t="shared" si="20"/>
        <v>1.8757039999999999E-2</v>
      </c>
      <c r="H59" s="28">
        <f t="shared" si="21"/>
        <v>1.88111363328499E-2</v>
      </c>
      <c r="J59">
        <f t="shared" si="22"/>
        <v>1.766554261568969E-10</v>
      </c>
      <c r="K59" s="28">
        <f t="shared" si="23"/>
        <v>1.7928489785202351E-10</v>
      </c>
      <c r="L59" s="28">
        <f t="shared" si="24"/>
        <v>5.6053975336974287E-9</v>
      </c>
      <c r="M59" s="28">
        <f t="shared" si="25"/>
        <v>1.766554261568969E-10</v>
      </c>
      <c r="N59">
        <f t="shared" si="26"/>
        <v>13.280212483399735</v>
      </c>
      <c r="O59">
        <f t="shared" si="11"/>
        <v>-22.456820025601679</v>
      </c>
      <c r="Q59">
        <f t="shared" si="31"/>
        <v>1.0333622977990742E-10</v>
      </c>
      <c r="R59">
        <f t="shared" si="32"/>
        <v>1.0487833363703979E-10</v>
      </c>
      <c r="S59">
        <f t="shared" si="33"/>
        <v>3.2707563598744777E-9</v>
      </c>
      <c r="T59">
        <f t="shared" si="27"/>
        <v>1.0333622977990742E-10</v>
      </c>
      <c r="U59">
        <f t="shared" si="12"/>
        <v>-22.993033077382165</v>
      </c>
      <c r="V59">
        <f t="shared" si="13"/>
        <v>0.53621305178048573</v>
      </c>
      <c r="X59" s="28">
        <f t="shared" si="28"/>
        <v>2.1888201706432244E-10</v>
      </c>
      <c r="Y59" s="28">
        <f t="shared" si="29"/>
        <v>2.2214484836869257E-10</v>
      </c>
      <c r="Z59" s="28">
        <f t="shared" si="30"/>
        <v>6.9354053939557184E-9</v>
      </c>
      <c r="AA59" s="28">
        <f t="shared" si="14"/>
        <v>2.1888201706432244E-10</v>
      </c>
      <c r="AB59">
        <f t="shared" si="15"/>
        <v>-22.242488266147923</v>
      </c>
      <c r="AC59">
        <f t="shared" si="16"/>
        <v>0.21433175945375638</v>
      </c>
    </row>
    <row r="60" spans="1:29" x14ac:dyDescent="0.3">
      <c r="A60">
        <v>90584</v>
      </c>
      <c r="B60">
        <v>470</v>
      </c>
      <c r="C60">
        <v>4800</v>
      </c>
      <c r="D60">
        <v>3.7794299999999996</v>
      </c>
      <c r="E60">
        <v>7.099265441482868</v>
      </c>
      <c r="F60">
        <v>6.2195997376445818E-3</v>
      </c>
      <c r="G60" s="28">
        <f t="shared" si="20"/>
        <v>1.8897149999999998E-2</v>
      </c>
      <c r="H60" s="28">
        <f t="shared" si="21"/>
        <v>1.8928247998688221E-2</v>
      </c>
      <c r="J60">
        <f t="shared" si="22"/>
        <v>9.5915451905423854E-11</v>
      </c>
      <c r="K60" s="28">
        <f t="shared" si="23"/>
        <v>9.7357449315532718E-11</v>
      </c>
      <c r="L60" s="28">
        <f t="shared" si="24"/>
        <v>3.0142731452462914E-9</v>
      </c>
      <c r="M60" s="28">
        <f t="shared" si="25"/>
        <v>9.5915451905423854E-11</v>
      </c>
      <c r="N60">
        <f t="shared" si="26"/>
        <v>13.458950201884253</v>
      </c>
      <c r="O60">
        <f t="shared" si="11"/>
        <v>-23.067554021831523</v>
      </c>
      <c r="Q60">
        <f t="shared" si="31"/>
        <v>5.896718486142653E-11</v>
      </c>
      <c r="R60">
        <f t="shared" si="32"/>
        <v>5.9854992613445005E-11</v>
      </c>
      <c r="S60">
        <f t="shared" si="33"/>
        <v>1.8505162675234201E-9</v>
      </c>
      <c r="T60">
        <f t="shared" si="27"/>
        <v>5.896718486142653E-11</v>
      </c>
      <c r="U60">
        <f t="shared" si="12"/>
        <v>-23.554040015542569</v>
      </c>
      <c r="V60">
        <f t="shared" si="13"/>
        <v>0.48648599371104595</v>
      </c>
      <c r="X60" s="28">
        <f t="shared" si="28"/>
        <v>1.1730108353740586E-10</v>
      </c>
      <c r="Y60" s="28">
        <f t="shared" si="29"/>
        <v>1.1906607852837475E-10</v>
      </c>
      <c r="Z60" s="28">
        <f t="shared" si="30"/>
        <v>3.6833620124842749E-9</v>
      </c>
      <c r="AA60" s="28">
        <f t="shared" si="14"/>
        <v>1.1730108353740586E-10</v>
      </c>
      <c r="AB60">
        <f t="shared" si="15"/>
        <v>-22.866277122993743</v>
      </c>
      <c r="AC60">
        <f t="shared" si="16"/>
        <v>0.20127689883777933</v>
      </c>
    </row>
    <row r="61" spans="1:29" x14ac:dyDescent="0.3">
      <c r="A61">
        <v>90585</v>
      </c>
      <c r="B61">
        <v>460</v>
      </c>
      <c r="C61">
        <v>5400</v>
      </c>
      <c r="D61">
        <v>3.7938649999999998</v>
      </c>
      <c r="E61">
        <v>7.5303695390183361</v>
      </c>
      <c r="F61">
        <v>3.0476715245955454E-3</v>
      </c>
      <c r="G61" s="28">
        <f t="shared" si="20"/>
        <v>1.8969324999999999E-2</v>
      </c>
      <c r="H61" s="28">
        <f t="shared" si="21"/>
        <v>1.8984563357622976E-2</v>
      </c>
      <c r="J61">
        <f t="shared" si="22"/>
        <v>4.4166733738231324E-11</v>
      </c>
      <c r="K61" s="28">
        <f t="shared" si="23"/>
        <v>4.483454264256053E-11</v>
      </c>
      <c r="L61" s="28">
        <f t="shared" si="24"/>
        <v>1.3803674984029468E-9</v>
      </c>
      <c r="M61" s="28">
        <f t="shared" si="25"/>
        <v>4.4166733738231324E-11</v>
      </c>
      <c r="N61">
        <f t="shared" si="26"/>
        <v>13.642564802182811</v>
      </c>
      <c r="O61">
        <f t="shared" si="11"/>
        <v>-23.843049240570071</v>
      </c>
      <c r="Q61">
        <f t="shared" si="31"/>
        <v>2.5157283398691768E-11</v>
      </c>
      <c r="R61">
        <f t="shared" si="32"/>
        <v>2.5537983342256504E-11</v>
      </c>
      <c r="S61">
        <f t="shared" si="33"/>
        <v>7.8562183863907505E-10</v>
      </c>
      <c r="T61">
        <f t="shared" si="27"/>
        <v>2.5157283398691768E-11</v>
      </c>
      <c r="U61">
        <f t="shared" si="12"/>
        <v>-24.405873662950786</v>
      </c>
      <c r="V61">
        <f t="shared" si="13"/>
        <v>0.5628244223807144</v>
      </c>
      <c r="X61" s="28">
        <f t="shared" si="28"/>
        <v>5.3513213060919E-11</v>
      </c>
      <c r="Y61" s="28">
        <f t="shared" si="29"/>
        <v>5.4322673969423106E-11</v>
      </c>
      <c r="Z61" s="28">
        <f t="shared" si="30"/>
        <v>1.6718184262374461E-9</v>
      </c>
      <c r="AA61" s="28">
        <f t="shared" si="14"/>
        <v>5.3513213060919E-11</v>
      </c>
      <c r="AB61">
        <f t="shared" si="15"/>
        <v>-23.651092519418132</v>
      </c>
      <c r="AC61">
        <f t="shared" si="16"/>
        <v>0.19195672115193929</v>
      </c>
    </row>
    <row r="62" spans="1:29" x14ac:dyDescent="0.3">
      <c r="A62">
        <v>90586</v>
      </c>
      <c r="B62">
        <v>450</v>
      </c>
      <c r="C62">
        <v>6000</v>
      </c>
      <c r="D62">
        <v>3.8027679999999999</v>
      </c>
      <c r="E62">
        <v>7.8776977682100497</v>
      </c>
      <c r="F62">
        <v>1.8108478632091773E-3</v>
      </c>
      <c r="G62" s="28">
        <f t="shared" si="20"/>
        <v>1.9013840000000001E-2</v>
      </c>
      <c r="H62" s="28">
        <f t="shared" si="21"/>
        <v>1.9022894239316045E-2</v>
      </c>
      <c r="J62">
        <f t="shared" si="22"/>
        <v>2.459198862964856E-11</v>
      </c>
      <c r="K62" s="28">
        <f t="shared" si="23"/>
        <v>2.4964988791972091E-11</v>
      </c>
      <c r="L62" s="28">
        <f t="shared" si="24"/>
        <v>7.6627145600809995E-10</v>
      </c>
      <c r="M62" s="28">
        <f t="shared" si="25"/>
        <v>2.459198862964856E-11</v>
      </c>
      <c r="N62">
        <f t="shared" si="26"/>
        <v>13.831258644536653</v>
      </c>
      <c r="O62">
        <f t="shared" si="11"/>
        <v>-24.428600391492186</v>
      </c>
      <c r="Q62">
        <f t="shared" si="31"/>
        <v>1.6180157239229661E-11</v>
      </c>
      <c r="R62">
        <f t="shared" si="32"/>
        <v>1.6425670597795544E-11</v>
      </c>
      <c r="S62">
        <f t="shared" si="33"/>
        <v>5.0396562096016199E-10</v>
      </c>
      <c r="T62">
        <f t="shared" si="27"/>
        <v>1.6180157239229661E-11</v>
      </c>
      <c r="U62">
        <f t="shared" si="12"/>
        <v>-24.847235486222452</v>
      </c>
      <c r="V62">
        <f t="shared" si="13"/>
        <v>0.41863509473026639</v>
      </c>
      <c r="X62" s="28">
        <f t="shared" si="28"/>
        <v>2.9600991874597607E-11</v>
      </c>
      <c r="Y62" s="28">
        <f t="shared" si="29"/>
        <v>3.0050075252780896E-11</v>
      </c>
      <c r="Z62" s="28">
        <f t="shared" si="30"/>
        <v>9.2213340315386209E-10</v>
      </c>
      <c r="AA62" s="28">
        <f t="shared" si="14"/>
        <v>2.9600991874597607E-11</v>
      </c>
      <c r="AB62">
        <f t="shared" si="15"/>
        <v>-24.243213245883009</v>
      </c>
      <c r="AC62">
        <f t="shared" si="16"/>
        <v>0.18538714560917668</v>
      </c>
    </row>
    <row r="63" spans="1:29" x14ac:dyDescent="0.3">
      <c r="A63">
        <v>90587</v>
      </c>
      <c r="B63">
        <v>500</v>
      </c>
      <c r="C63">
        <v>3600</v>
      </c>
      <c r="D63">
        <v>3.8942769999999998</v>
      </c>
      <c r="E63">
        <v>6.3009645175873974</v>
      </c>
      <c r="F63">
        <v>2.2570229512263833E-2</v>
      </c>
      <c r="G63" s="28">
        <f t="shared" si="20"/>
        <v>1.9471384999999997E-2</v>
      </c>
      <c r="H63" s="28">
        <f t="shared" si="21"/>
        <v>1.9584236147561319E-2</v>
      </c>
      <c r="J63">
        <f t="shared" si="22"/>
        <v>4.2684747323133658E-10</v>
      </c>
      <c r="K63" s="28">
        <f t="shared" si="23"/>
        <v>4.3340905956127571E-10</v>
      </c>
      <c r="L63" s="28">
        <f t="shared" si="24"/>
        <v>1.3130159065867957E-8</v>
      </c>
      <c r="M63" s="28">
        <f t="shared" si="25"/>
        <v>4.2684747323133658E-10</v>
      </c>
      <c r="N63">
        <f t="shared" si="26"/>
        <v>12.936610608020699</v>
      </c>
      <c r="O63">
        <f t="shared" si="11"/>
        <v>-21.574594372060243</v>
      </c>
      <c r="Q63">
        <f t="shared" si="31"/>
        <v>4.1849913448975485E-10</v>
      </c>
      <c r="R63">
        <f t="shared" si="32"/>
        <v>4.2493391545993301E-10</v>
      </c>
      <c r="S63">
        <f t="shared" si="33"/>
        <v>1.2870389153960985E-8</v>
      </c>
      <c r="T63">
        <f t="shared" si="27"/>
        <v>4.1849913448975485E-10</v>
      </c>
      <c r="U63">
        <f t="shared" si="12"/>
        <v>-21.594346294125994</v>
      </c>
      <c r="V63">
        <f t="shared" si="13"/>
        <v>1.975192206575116E-2</v>
      </c>
      <c r="X63" s="28">
        <f t="shared" si="28"/>
        <v>5.3368760135146144E-10</v>
      </c>
      <c r="Y63" s="28">
        <f t="shared" si="29"/>
        <v>5.4191624401076452E-10</v>
      </c>
      <c r="Z63" s="28">
        <f t="shared" si="30"/>
        <v>1.6369587980904573E-8</v>
      </c>
      <c r="AA63" s="28">
        <f t="shared" si="14"/>
        <v>5.3368760135146144E-10</v>
      </c>
      <c r="AB63">
        <f t="shared" si="15"/>
        <v>-21.35121046435286</v>
      </c>
      <c r="AC63">
        <f t="shared" si="16"/>
        <v>0.22338390770738314</v>
      </c>
    </row>
    <row r="64" spans="1:29" x14ac:dyDescent="0.3">
      <c r="A64">
        <v>90588</v>
      </c>
      <c r="B64">
        <v>500</v>
      </c>
      <c r="C64">
        <v>3600</v>
      </c>
      <c r="D64">
        <v>3.9728969999999997</v>
      </c>
      <c r="E64">
        <v>6.3009645175873974</v>
      </c>
      <c r="F64">
        <v>1.9391223204867091E-2</v>
      </c>
      <c r="G64" s="28">
        <f t="shared" si="20"/>
        <v>1.9864484999999998E-2</v>
      </c>
      <c r="H64" s="28">
        <f t="shared" si="21"/>
        <v>1.9961441116024336E-2</v>
      </c>
      <c r="J64">
        <f t="shared" si="22"/>
        <v>3.7483201274957327E-10</v>
      </c>
      <c r="K64" s="28">
        <f t="shared" si="23"/>
        <v>3.8072350896375076E-10</v>
      </c>
      <c r="L64" s="28">
        <f t="shared" si="24"/>
        <v>1.1285676457519736E-8</v>
      </c>
      <c r="M64" s="28">
        <f t="shared" si="25"/>
        <v>3.7483201274957327E-10</v>
      </c>
      <c r="N64">
        <f t="shared" si="26"/>
        <v>12.936610608020699</v>
      </c>
      <c r="O64">
        <f t="shared" si="11"/>
        <v>-21.704543156326018</v>
      </c>
      <c r="Q64">
        <f t="shared" si="31"/>
        <v>2.6799188462944831E-10</v>
      </c>
      <c r="R64">
        <f t="shared" si="32"/>
        <v>2.7221632451425895E-10</v>
      </c>
      <c r="S64">
        <f t="shared" si="33"/>
        <v>8.0462475424846506E-9</v>
      </c>
      <c r="T64">
        <f t="shared" si="27"/>
        <v>2.6799188462944831E-10</v>
      </c>
      <c r="U64">
        <f t="shared" si="12"/>
        <v>-22.04006441710958</v>
      </c>
      <c r="V64">
        <f t="shared" si="13"/>
        <v>0.33552126078356181</v>
      </c>
      <c r="X64" s="28">
        <f t="shared" si="28"/>
        <v>4.6843419296485112E-10</v>
      </c>
      <c r="Y64" s="28">
        <f t="shared" si="29"/>
        <v>4.7581550506155191E-10</v>
      </c>
      <c r="Z64" s="28">
        <f t="shared" si="30"/>
        <v>1.4069927037849296E-8</v>
      </c>
      <c r="AA64" s="28">
        <f t="shared" si="14"/>
        <v>4.6843419296485112E-10</v>
      </c>
      <c r="AB64">
        <f t="shared" si="15"/>
        <v>-21.481625487371346</v>
      </c>
      <c r="AC64">
        <f t="shared" si="16"/>
        <v>0.22291766895467191</v>
      </c>
    </row>
    <row r="65" spans="1:29" x14ac:dyDescent="0.3">
      <c r="A65">
        <v>90589</v>
      </c>
      <c r="B65">
        <v>510</v>
      </c>
      <c r="C65">
        <v>3600</v>
      </c>
      <c r="D65">
        <v>4.1364549999999998</v>
      </c>
      <c r="E65">
        <v>6.6478915082457224</v>
      </c>
      <c r="F65">
        <v>3.8445489677469386E-2</v>
      </c>
      <c r="G65" s="28">
        <f t="shared" si="20"/>
        <v>2.0682275E-2</v>
      </c>
      <c r="H65" s="28">
        <f t="shared" si="21"/>
        <v>2.0874502448387348E-2</v>
      </c>
      <c r="J65">
        <f t="shared" si="22"/>
        <v>8.037904154302836E-10</v>
      </c>
      <c r="K65" s="28">
        <f t="shared" si="23"/>
        <v>8.1682145778745416E-10</v>
      </c>
      <c r="L65" s="28">
        <f t="shared" si="24"/>
        <v>2.3492793774865215E-8</v>
      </c>
      <c r="M65" s="28">
        <f t="shared" si="25"/>
        <v>8.037904154302836E-10</v>
      </c>
      <c r="N65">
        <f t="shared" si="26"/>
        <v>12.771392081736909</v>
      </c>
      <c r="O65">
        <f t="shared" si="11"/>
        <v>-20.941682558057341</v>
      </c>
      <c r="Q65">
        <f t="shared" si="31"/>
        <v>7.1018823521500575E-10</v>
      </c>
      <c r="R65">
        <f t="shared" si="32"/>
        <v>7.2172946168962861E-10</v>
      </c>
      <c r="S65">
        <f t="shared" si="33"/>
        <v>2.0708543194536135E-8</v>
      </c>
      <c r="T65">
        <f t="shared" si="27"/>
        <v>7.1018823521500575E-10</v>
      </c>
      <c r="U65">
        <f t="shared" si="12"/>
        <v>-21.065491061010153</v>
      </c>
      <c r="V65">
        <f t="shared" si="13"/>
        <v>0.1238085029528122</v>
      </c>
      <c r="X65" s="28">
        <f t="shared" si="28"/>
        <v>9.9743356370771434E-10</v>
      </c>
      <c r="Y65" s="28">
        <f t="shared" si="29"/>
        <v>1.0136831660187586E-9</v>
      </c>
      <c r="Z65" s="28">
        <f t="shared" si="30"/>
        <v>2.9017792303578523E-8</v>
      </c>
      <c r="AA65" s="28">
        <f t="shared" si="14"/>
        <v>9.9743356370771434E-10</v>
      </c>
      <c r="AB65">
        <f t="shared" si="15"/>
        <v>-20.725835572181879</v>
      </c>
      <c r="AC65">
        <f t="shared" si="16"/>
        <v>0.21584698587546214</v>
      </c>
    </row>
    <row r="66" spans="1:29" x14ac:dyDescent="0.3">
      <c r="A66">
        <v>90590</v>
      </c>
      <c r="B66">
        <v>520.1</v>
      </c>
      <c r="C66">
        <v>3600</v>
      </c>
      <c r="D66">
        <v>4.3047810000000002</v>
      </c>
      <c r="E66">
        <v>7.0092047852674542</v>
      </c>
      <c r="F66">
        <v>3.7774268240655912E-2</v>
      </c>
      <c r="G66" s="28">
        <f t="shared" si="20"/>
        <v>2.1523904999999999E-2</v>
      </c>
      <c r="H66" s="28">
        <f t="shared" si="21"/>
        <v>2.1712776341203281E-2</v>
      </c>
      <c r="J66">
        <f t="shared" si="22"/>
        <v>8.6107727051715634E-10</v>
      </c>
      <c r="K66" s="28">
        <f t="shared" si="23"/>
        <v>8.7561906141766719E-10</v>
      </c>
      <c r="L66" s="28">
        <f t="shared" si="24"/>
        <v>2.4198142535856093E-8</v>
      </c>
      <c r="M66" s="28">
        <f t="shared" si="25"/>
        <v>8.6107727051715634E-10</v>
      </c>
      <c r="N66">
        <f t="shared" si="26"/>
        <v>12.608750472828142</v>
      </c>
      <c r="O66">
        <f t="shared" si="11"/>
        <v>-20.872836870443862</v>
      </c>
      <c r="Q66">
        <f t="shared" si="31"/>
        <v>6.6743412223972571E-10</v>
      </c>
      <c r="R66">
        <f t="shared" si="32"/>
        <v>6.7875735318637502E-10</v>
      </c>
      <c r="S66">
        <f t="shared" si="33"/>
        <v>1.8673144007141111E-8</v>
      </c>
      <c r="T66">
        <f t="shared" si="27"/>
        <v>6.6743412223972571E-10</v>
      </c>
      <c r="U66">
        <f t="shared" si="12"/>
        <v>-21.127580423798463</v>
      </c>
      <c r="V66">
        <f t="shared" si="13"/>
        <v>0.25474355335460075</v>
      </c>
      <c r="X66" s="28">
        <f t="shared" si="28"/>
        <v>1.0590308172872549E-9</v>
      </c>
      <c r="Y66" s="28">
        <f t="shared" si="29"/>
        <v>1.0769983754605998E-9</v>
      </c>
      <c r="Z66" s="28">
        <f t="shared" si="30"/>
        <v>2.9631340342035654E-8</v>
      </c>
      <c r="AA66" s="28">
        <f t="shared" si="14"/>
        <v>1.0590308172872549E-9</v>
      </c>
      <c r="AB66">
        <f t="shared" si="15"/>
        <v>-20.665911670384869</v>
      </c>
      <c r="AC66">
        <f t="shared" si="16"/>
        <v>0.2069252000589934</v>
      </c>
    </row>
    <row r="67" spans="1:29" x14ac:dyDescent="0.3">
      <c r="A67">
        <v>90591</v>
      </c>
      <c r="B67">
        <v>529.9</v>
      </c>
      <c r="C67">
        <v>3600</v>
      </c>
      <c r="D67">
        <v>4.4982860000000002</v>
      </c>
      <c r="E67">
        <v>7.3702905541143924</v>
      </c>
      <c r="F67">
        <v>4.1599455475689419E-2</v>
      </c>
      <c r="G67" s="28">
        <f t="shared" si="20"/>
        <v>2.249143E-2</v>
      </c>
      <c r="H67" s="28">
        <f t="shared" si="21"/>
        <v>2.2699427277378451E-2</v>
      </c>
      <c r="J67">
        <f t="shared" si="22"/>
        <v>1.0323122439234473E-9</v>
      </c>
      <c r="K67" s="28">
        <f t="shared" si="23"/>
        <v>1.050508324922797E-9</v>
      </c>
      <c r="L67" s="28">
        <f t="shared" si="24"/>
        <v>2.7843545434059693E-8</v>
      </c>
      <c r="M67" s="28">
        <f t="shared" si="25"/>
        <v>1.0323122439234473E-9</v>
      </c>
      <c r="N67">
        <f t="shared" si="26"/>
        <v>12.454851164528584</v>
      </c>
      <c r="O67">
        <f t="shared" si="11"/>
        <v>-20.691464653708348</v>
      </c>
      <c r="Q67">
        <f t="shared" si="31"/>
        <v>8.3435869715334871E-10</v>
      </c>
      <c r="R67">
        <f t="shared" si="32"/>
        <v>8.4912901087987654E-10</v>
      </c>
      <c r="S67">
        <f t="shared" si="33"/>
        <v>2.2410347627882963E-8</v>
      </c>
      <c r="T67">
        <f t="shared" si="27"/>
        <v>8.3435869715334871E-10</v>
      </c>
      <c r="U67">
        <f t="shared" si="12"/>
        <v>-20.904357713523062</v>
      </c>
      <c r="V67">
        <f t="shared" si="13"/>
        <v>0.21289305981471429</v>
      </c>
      <c r="X67" s="28">
        <f t="shared" si="28"/>
        <v>1.2601643784468869E-9</v>
      </c>
      <c r="Y67" s="28">
        <f t="shared" si="29"/>
        <v>1.2824854652454815E-9</v>
      </c>
      <c r="Z67" s="28">
        <f t="shared" si="30"/>
        <v>3.3832914011538582E-8</v>
      </c>
      <c r="AA67" s="28">
        <f t="shared" si="14"/>
        <v>1.2601643784468869E-9</v>
      </c>
      <c r="AB67">
        <f t="shared" si="15"/>
        <v>-20.492023665407238</v>
      </c>
      <c r="AC67">
        <f t="shared" si="16"/>
        <v>0.19944098830110946</v>
      </c>
    </row>
    <row r="68" spans="1:29" x14ac:dyDescent="0.3">
      <c r="A68">
        <v>90592</v>
      </c>
      <c r="B68">
        <v>540</v>
      </c>
      <c r="C68">
        <v>3600</v>
      </c>
      <c r="D68">
        <v>4.7210890000000001</v>
      </c>
      <c r="E68">
        <v>7.7532683914669427</v>
      </c>
      <c r="F68">
        <v>4.5914450982339629E-2</v>
      </c>
      <c r="G68" s="28">
        <f t="shared" ref="G68:G86" si="34">D68/$D$87</f>
        <v>2.3605444999999999E-2</v>
      </c>
      <c r="H68" s="28">
        <f t="shared" ref="H68:H86" si="35">(D68+F68)/$D$87</f>
        <v>2.3835017254911696E-2</v>
      </c>
      <c r="J68">
        <f t="shared" ref="J68:J86" si="36">((G68^2-G67^2)*PI())/(36*C68)</f>
        <v>1.2448223993580065E-9</v>
      </c>
      <c r="K68" s="28">
        <f t="shared" ref="K68:K86" si="37">(1/(PI()*PI()*C68))*(-(G68-G67)*PI()*PI()/3-2*PI()*(SQRT(1-PI()/3*G68)-SQRT(1-PI()/3*G67)))</f>
        <v>1.2678241112641923E-9</v>
      </c>
      <c r="L68" s="28">
        <f t="shared" ref="L68:L86" si="38">(1/(PI()^2*C68))*LN((1-G67)/(1-G68))</f>
        <v>3.2093405809595813E-8</v>
      </c>
      <c r="M68" s="28">
        <f t="shared" ref="M68:M99" si="39">(G68&lt;0.05)*J68+((G68&gt;=0.05)*(G68&lt;0.9))*K68+(G68&gt;=0.9)*L68</f>
        <v>1.2448223993580065E-9</v>
      </c>
      <c r="N68">
        <f t="shared" ref="N68:N86" si="40">10000/(273+B68)</f>
        <v>12.300123001230013</v>
      </c>
      <c r="O68">
        <f t="shared" si="11"/>
        <v>-20.504272968323445</v>
      </c>
      <c r="Q68">
        <f t="shared" si="31"/>
        <v>1.0169702648345667E-9</v>
      </c>
      <c r="R68">
        <f t="shared" si="32"/>
        <v>1.0358469709415078E-9</v>
      </c>
      <c r="S68">
        <f t="shared" si="33"/>
        <v>2.6104037232116322E-8</v>
      </c>
      <c r="T68">
        <f t="shared" ref="T68:T99" si="41">(G68&lt;0.05)*Q68+((G68&gt;=0.05)*(G68&lt;0.9))*R68+(G68&gt;=0.9)*S68</f>
        <v>1.0169702648345667E-9</v>
      </c>
      <c r="U68">
        <f t="shared" si="12"/>
        <v>-20.706437958424868</v>
      </c>
      <c r="V68">
        <f t="shared" si="13"/>
        <v>0.20216499010142286</v>
      </c>
      <c r="X68" s="28">
        <f t="shared" ref="X68:X86" si="42">((H68^2-G67^2)*PI())/(36*C68)</f>
        <v>1.5088280262041674E-9</v>
      </c>
      <c r="Y68" s="28">
        <f t="shared" ref="Y68:Y86" si="43">(1/(PI()*PI()*C68))*(-(H68-G67)*PI()*PI()/3-2*PI()*(SQRT(1-PI()/3*H68)-SQRT(1-PI()/3*G67)))</f>
        <v>1.5368522308123537E-9</v>
      </c>
      <c r="Z68" s="28">
        <f t="shared" ref="Z68:Z86" si="44">(1/(PI()^2*C68))*LN((1-G67)/(1-H68))</f>
        <v>3.8711651205110875E-8</v>
      </c>
      <c r="AA68" s="28">
        <f t="shared" si="14"/>
        <v>1.5088280262041674E-9</v>
      </c>
      <c r="AB68">
        <f t="shared" si="15"/>
        <v>-20.311932629060042</v>
      </c>
      <c r="AC68">
        <f t="shared" si="16"/>
        <v>0.19234033926340288</v>
      </c>
    </row>
    <row r="69" spans="1:29" x14ac:dyDescent="0.3">
      <c r="A69">
        <v>90593</v>
      </c>
      <c r="B69">
        <v>550</v>
      </c>
      <c r="C69">
        <v>3600</v>
      </c>
      <c r="D69">
        <v>5.0441780000000005</v>
      </c>
      <c r="E69">
        <v>8.1433003184184276</v>
      </c>
      <c r="F69">
        <v>6.3968815745194071E-2</v>
      </c>
      <c r="G69" s="28">
        <f t="shared" si="34"/>
        <v>2.5220890000000003E-2</v>
      </c>
      <c r="H69" s="28">
        <f t="shared" si="35"/>
        <v>2.5540734078725973E-2</v>
      </c>
      <c r="J69">
        <f t="shared" si="36"/>
        <v>1.9120144676931655E-9</v>
      </c>
      <c r="K69" s="28">
        <f t="shared" si="37"/>
        <v>1.9494887433172216E-9</v>
      </c>
      <c r="L69" s="28">
        <f t="shared" si="38"/>
        <v>4.6604097217226734E-8</v>
      </c>
      <c r="M69" s="28">
        <f t="shared" si="39"/>
        <v>1.9120144676931655E-9</v>
      </c>
      <c r="N69">
        <f t="shared" si="40"/>
        <v>12.150668286755771</v>
      </c>
      <c r="O69">
        <f t="shared" ref="O69:O86" si="45">LN(M69)</f>
        <v>-20.075108455560702</v>
      </c>
      <c r="Q69">
        <f t="shared" si="31"/>
        <v>1.6480088408470046E-9</v>
      </c>
      <c r="R69">
        <f t="shared" si="32"/>
        <v>1.6804606237690359E-9</v>
      </c>
      <c r="S69">
        <f t="shared" si="33"/>
        <v>3.9985851821709018E-8</v>
      </c>
      <c r="T69">
        <f t="shared" si="41"/>
        <v>1.6480088408470046E-9</v>
      </c>
      <c r="U69">
        <f t="shared" ref="U69:U86" si="46">LN(T69)</f>
        <v>-20.223698040881892</v>
      </c>
      <c r="V69">
        <f t="shared" ref="V69:V86" si="47">IFERROR(O69-U69,5)</f>
        <v>0.14858958532119004</v>
      </c>
      <c r="X69" s="28">
        <f t="shared" si="42"/>
        <v>2.3055814843718226E-9</v>
      </c>
      <c r="Y69" s="28">
        <f t="shared" si="43"/>
        <v>2.3510791600816987E-9</v>
      </c>
      <c r="Z69" s="28">
        <f t="shared" si="44"/>
        <v>5.5840462823368571E-8</v>
      </c>
      <c r="AA69" s="28">
        <f t="shared" ref="AA69:AA86" si="48">(H69&lt;0.05)*X69+((H69&gt;=0.05)*(H69&lt;0.9))*Y69+(H69&gt;=0.9)*Z69</f>
        <v>2.3055814843718226E-9</v>
      </c>
      <c r="AB69">
        <f t="shared" ref="AB69:AB86" si="49">LN(AA69)</f>
        <v>-19.887932921435599</v>
      </c>
      <c r="AC69">
        <f t="shared" ref="AC69:AC86" si="50">AB69-O69</f>
        <v>0.18717553412510313</v>
      </c>
    </row>
    <row r="70" spans="1:29" x14ac:dyDescent="0.3">
      <c r="A70">
        <v>90594</v>
      </c>
      <c r="B70">
        <v>540</v>
      </c>
      <c r="C70">
        <v>4200</v>
      </c>
      <c r="D70">
        <v>5.1671770000000006</v>
      </c>
      <c r="E70">
        <v>9.0454797900447677</v>
      </c>
      <c r="F70">
        <v>2.2421905329694174E-2</v>
      </c>
      <c r="G70" s="28">
        <f t="shared" si="34"/>
        <v>2.5835885000000003E-2</v>
      </c>
      <c r="H70" s="28">
        <f t="shared" si="35"/>
        <v>2.5947994526648473E-2</v>
      </c>
      <c r="J70">
        <f t="shared" si="36"/>
        <v>6.5241366001643948E-10</v>
      </c>
      <c r="K70" s="28">
        <f t="shared" si="37"/>
        <v>6.6579359384660357E-10</v>
      </c>
      <c r="L70" s="28">
        <f t="shared" si="38"/>
        <v>1.5224862230835121E-8</v>
      </c>
      <c r="M70" s="28">
        <f t="shared" si="39"/>
        <v>6.5241366001643948E-10</v>
      </c>
      <c r="N70">
        <f t="shared" si="40"/>
        <v>12.300123001230013</v>
      </c>
      <c r="O70">
        <f t="shared" si="45"/>
        <v>-21.150342307300889</v>
      </c>
      <c r="Q70">
        <f t="shared" ref="Q70:Q86" si="51">((G70^2-H69^2)*PI())/(36*C70)</f>
        <v>3.150705028633049E-10</v>
      </c>
      <c r="R70">
        <f t="shared" ref="R70:R86" si="52">(1/(PI()*PI()*C70))*(-(G70-H69)*PI()*PI()/3-2*PI()*(SQRT(1-PI()/3*G70)-SQRT(1-PI()/3*H69)))</f>
        <v>3.2157323661985683E-10</v>
      </c>
      <c r="S70">
        <f t="shared" ref="S70:S86" si="53">(1/(PI()^2*C70))*LN((1-H69)/(1-G70))</f>
        <v>7.3079774255767217E-9</v>
      </c>
      <c r="T70">
        <f t="shared" si="41"/>
        <v>3.150705028633049E-10</v>
      </c>
      <c r="U70">
        <f t="shared" si="46"/>
        <v>-21.878224683532899</v>
      </c>
      <c r="V70">
        <f t="shared" si="47"/>
        <v>0.72788237623201013</v>
      </c>
      <c r="X70" s="28">
        <f t="shared" si="42"/>
        <v>7.7303806499610958E-10</v>
      </c>
      <c r="Y70" s="28">
        <f t="shared" si="43"/>
        <v>7.8892773065798258E-10</v>
      </c>
      <c r="Z70" s="28">
        <f t="shared" si="44"/>
        <v>1.8001289790279523E-8</v>
      </c>
      <c r="AA70" s="28">
        <f t="shared" si="48"/>
        <v>7.7303806499610958E-10</v>
      </c>
      <c r="AB70">
        <f t="shared" si="49"/>
        <v>-20.980692825350285</v>
      </c>
      <c r="AC70">
        <f t="shared" si="50"/>
        <v>0.16964948195060359</v>
      </c>
    </row>
    <row r="71" spans="1:29" x14ac:dyDescent="0.3">
      <c r="A71">
        <v>90595</v>
      </c>
      <c r="B71">
        <v>529.9</v>
      </c>
      <c r="C71">
        <v>4800</v>
      </c>
      <c r="D71">
        <v>5.2435150000000004</v>
      </c>
      <c r="E71">
        <v>9.8270540721525226</v>
      </c>
      <c r="F71">
        <v>1.307578938280287E-2</v>
      </c>
      <c r="G71" s="28">
        <f t="shared" si="34"/>
        <v>2.6217575000000003E-2</v>
      </c>
      <c r="H71" s="28">
        <f t="shared" si="35"/>
        <v>2.6282953946914017E-2</v>
      </c>
      <c r="J71">
        <f t="shared" si="36"/>
        <v>3.6121561723668581E-10</v>
      </c>
      <c r="K71" s="28">
        <f t="shared" si="37"/>
        <v>3.6877129631180266E-10</v>
      </c>
      <c r="L71" s="28">
        <f t="shared" si="38"/>
        <v>8.2722331536585225E-9</v>
      </c>
      <c r="M71" s="28">
        <f t="shared" si="39"/>
        <v>3.6121561723668581E-10</v>
      </c>
      <c r="N71">
        <f t="shared" si="40"/>
        <v>12.454851164528584</v>
      </c>
      <c r="O71">
        <f t="shared" si="45"/>
        <v>-21.74154605823103</v>
      </c>
      <c r="Q71">
        <f t="shared" si="51"/>
        <v>2.5566926287947436E-10</v>
      </c>
      <c r="R71">
        <f t="shared" si="52"/>
        <v>2.6102892660183231E-10</v>
      </c>
      <c r="S71">
        <f t="shared" si="53"/>
        <v>5.8428590391471285E-9</v>
      </c>
      <c r="T71">
        <f t="shared" si="41"/>
        <v>2.5566926287947436E-10</v>
      </c>
      <c r="U71">
        <f t="shared" si="46"/>
        <v>-22.087136448602443</v>
      </c>
      <c r="V71">
        <f t="shared" si="47"/>
        <v>0.34559039037141304</v>
      </c>
      <c r="X71" s="28">
        <f t="shared" si="42"/>
        <v>4.236189427984288E-10</v>
      </c>
      <c r="Y71" s="28">
        <f t="shared" si="43"/>
        <v>4.3249138538566344E-10</v>
      </c>
      <c r="Z71" s="28">
        <f t="shared" si="44"/>
        <v>9.689493335147298E-9</v>
      </c>
      <c r="AA71" s="28">
        <f t="shared" si="48"/>
        <v>4.236189427984288E-10</v>
      </c>
      <c r="AB71">
        <f t="shared" si="49"/>
        <v>-21.582186784602399</v>
      </c>
      <c r="AC71">
        <f t="shared" si="50"/>
        <v>0.15935927362863112</v>
      </c>
    </row>
    <row r="72" spans="1:29" x14ac:dyDescent="0.3">
      <c r="A72">
        <v>90596</v>
      </c>
      <c r="B72">
        <v>520</v>
      </c>
      <c r="C72">
        <v>5400</v>
      </c>
      <c r="D72">
        <v>5.2859620000000005</v>
      </c>
      <c r="E72">
        <v>10.508360379972574</v>
      </c>
      <c r="F72">
        <v>6.9261026091876326E-3</v>
      </c>
      <c r="G72" s="28">
        <f t="shared" si="34"/>
        <v>2.6429810000000001E-2</v>
      </c>
      <c r="H72" s="28">
        <f t="shared" si="35"/>
        <v>2.6464440513045941E-2</v>
      </c>
      <c r="J72">
        <f t="shared" si="36"/>
        <v>1.8057075851142154E-10</v>
      </c>
      <c r="K72" s="28">
        <f t="shared" si="37"/>
        <v>1.8439188464569129E-10</v>
      </c>
      <c r="L72" s="28">
        <f t="shared" si="38"/>
        <v>4.0898643111350789E-9</v>
      </c>
      <c r="M72" s="28">
        <f t="shared" si="39"/>
        <v>1.8057075851142154E-10</v>
      </c>
      <c r="N72">
        <f t="shared" si="40"/>
        <v>12.610340479192939</v>
      </c>
      <c r="O72">
        <f t="shared" si="45"/>
        <v>-22.4348984010593</v>
      </c>
      <c r="Q72">
        <f t="shared" si="51"/>
        <v>1.2510113578987218E-10</v>
      </c>
      <c r="R72">
        <f t="shared" si="52"/>
        <v>1.2775180546893122E-10</v>
      </c>
      <c r="S72">
        <f t="shared" si="53"/>
        <v>2.8300774831449586E-9</v>
      </c>
      <c r="T72">
        <f t="shared" si="41"/>
        <v>1.2510113578987218E-10</v>
      </c>
      <c r="U72">
        <f t="shared" si="46"/>
        <v>-22.801898619441165</v>
      </c>
      <c r="V72">
        <f t="shared" si="47"/>
        <v>0.36700021838186458</v>
      </c>
      <c r="X72" s="28">
        <f t="shared" si="42"/>
        <v>2.1017275518381052E-10</v>
      </c>
      <c r="Y72" s="28">
        <f t="shared" si="43"/>
        <v>2.1462330374854175E-10</v>
      </c>
      <c r="Z72" s="28">
        <f t="shared" si="44"/>
        <v>4.7572945466809424E-9</v>
      </c>
      <c r="AA72" s="28">
        <f t="shared" si="48"/>
        <v>2.1017275518381052E-10</v>
      </c>
      <c r="AB72">
        <f t="shared" si="49"/>
        <v>-22.283091279664546</v>
      </c>
      <c r="AC72">
        <f t="shared" si="50"/>
        <v>0.15180712139475361</v>
      </c>
    </row>
    <row r="73" spans="1:29" x14ac:dyDescent="0.3">
      <c r="A73">
        <v>90597</v>
      </c>
      <c r="B73">
        <v>510</v>
      </c>
      <c r="C73">
        <v>6000</v>
      </c>
      <c r="D73">
        <v>5.3145050000000005</v>
      </c>
      <c r="E73">
        <v>11.079819180409539</v>
      </c>
      <c r="F73">
        <v>4.4871916216670891E-3</v>
      </c>
      <c r="G73" s="28">
        <f t="shared" si="34"/>
        <v>2.6572525000000003E-2</v>
      </c>
      <c r="H73" s="28">
        <f t="shared" si="35"/>
        <v>2.6594960958108337E-2</v>
      </c>
      <c r="J73">
        <f t="shared" si="36"/>
        <v>1.10017240126706E-10</v>
      </c>
      <c r="K73" s="28">
        <f t="shared" si="37"/>
        <v>1.1236141791112459E-10</v>
      </c>
      <c r="L73" s="28">
        <f t="shared" si="38"/>
        <v>2.4756154923997322E-9</v>
      </c>
      <c r="M73" s="28">
        <f t="shared" si="39"/>
        <v>1.10017240126706E-10</v>
      </c>
      <c r="N73">
        <f t="shared" si="40"/>
        <v>12.771392081736909</v>
      </c>
      <c r="O73">
        <f t="shared" si="45"/>
        <v>-22.930384033992148</v>
      </c>
      <c r="Q73">
        <f t="shared" si="51"/>
        <v>8.3375443121555897E-11</v>
      </c>
      <c r="R73">
        <f t="shared" si="52"/>
        <v>8.5153140718563747E-11</v>
      </c>
      <c r="S73">
        <f t="shared" si="53"/>
        <v>1.8749282804064737E-9</v>
      </c>
      <c r="T73">
        <f t="shared" si="41"/>
        <v>8.3375443121555897E-11</v>
      </c>
      <c r="U73">
        <f t="shared" si="46"/>
        <v>-23.207667296905615</v>
      </c>
      <c r="V73">
        <f t="shared" si="47"/>
        <v>0.27728326291346761</v>
      </c>
      <c r="X73" s="28">
        <f t="shared" si="42"/>
        <v>1.2736673628242745E-10</v>
      </c>
      <c r="Y73" s="28">
        <f t="shared" si="43"/>
        <v>1.3008176453042452E-10</v>
      </c>
      <c r="Z73" s="28">
        <f t="shared" si="44"/>
        <v>2.8648353859743834E-9</v>
      </c>
      <c r="AA73" s="28">
        <f t="shared" si="48"/>
        <v>1.2736673628242745E-10</v>
      </c>
      <c r="AB73">
        <f t="shared" si="49"/>
        <v>-22.783950503566402</v>
      </c>
      <c r="AC73">
        <f t="shared" si="50"/>
        <v>0.14643353042574603</v>
      </c>
    </row>
    <row r="74" spans="1:29" x14ac:dyDescent="0.3">
      <c r="A74">
        <v>90598</v>
      </c>
      <c r="B74">
        <v>500</v>
      </c>
      <c r="C74">
        <v>7200</v>
      </c>
      <c r="D74">
        <v>5.3343920000000002</v>
      </c>
      <c r="E74">
        <v>12.601929035174795</v>
      </c>
      <c r="F74">
        <v>2.8675575016051625E-3</v>
      </c>
      <c r="G74" s="28">
        <f t="shared" si="34"/>
        <v>2.6671960000000002E-2</v>
      </c>
      <c r="H74" s="28">
        <f t="shared" si="35"/>
        <v>2.6686297787508025E-2</v>
      </c>
      <c r="J74">
        <f t="shared" si="36"/>
        <v>6.4169519055429098E-11</v>
      </c>
      <c r="K74" s="28">
        <f t="shared" si="37"/>
        <v>6.554319637287332E-11</v>
      </c>
      <c r="L74" s="28">
        <f t="shared" si="38"/>
        <v>1.4375588035557897E-9</v>
      </c>
      <c r="M74" s="28">
        <f t="shared" si="39"/>
        <v>6.4169519055429098E-11</v>
      </c>
      <c r="N74">
        <f t="shared" si="40"/>
        <v>12.936610608020699</v>
      </c>
      <c r="O74">
        <f t="shared" si="45"/>
        <v>-23.469492799044932</v>
      </c>
      <c r="Q74">
        <f t="shared" si="51"/>
        <v>4.9711605592327898E-11</v>
      </c>
      <c r="R74">
        <f t="shared" si="52"/>
        <v>5.077624085679234E-11</v>
      </c>
      <c r="S74">
        <f t="shared" si="53"/>
        <v>1.1132088922395855E-9</v>
      </c>
      <c r="T74">
        <f t="shared" si="41"/>
        <v>4.9711605592327898E-11</v>
      </c>
      <c r="U74">
        <f t="shared" si="46"/>
        <v>-23.724782697161761</v>
      </c>
      <c r="V74">
        <f t="shared" si="47"/>
        <v>0.25528989811682834</v>
      </c>
      <c r="X74" s="28">
        <f t="shared" si="42"/>
        <v>7.344205778701307E-11</v>
      </c>
      <c r="Y74" s="28">
        <f t="shared" si="43"/>
        <v>7.5014666443726461E-11</v>
      </c>
      <c r="Z74" s="28">
        <f t="shared" si="44"/>
        <v>1.6448562067407871E-9</v>
      </c>
      <c r="AA74" s="28">
        <f t="shared" si="48"/>
        <v>7.344205778701307E-11</v>
      </c>
      <c r="AB74">
        <f t="shared" si="49"/>
        <v>-23.334524350033199</v>
      </c>
      <c r="AC74">
        <f t="shared" si="50"/>
        <v>0.13496844901173333</v>
      </c>
    </row>
    <row r="75" spans="1:29" x14ac:dyDescent="0.3">
      <c r="A75">
        <v>90599</v>
      </c>
      <c r="B75">
        <v>559.9</v>
      </c>
      <c r="C75">
        <v>3600</v>
      </c>
      <c r="D75">
        <v>5.5738190000000003</v>
      </c>
      <c r="E75">
        <v>8.5400645398741197</v>
      </c>
      <c r="F75">
        <v>4.5640738228465462E-2</v>
      </c>
      <c r="G75" s="28">
        <f t="shared" si="34"/>
        <v>2.7869095E-2</v>
      </c>
      <c r="H75" s="28">
        <f t="shared" si="35"/>
        <v>2.8097298691142331E-2</v>
      </c>
      <c r="J75">
        <f t="shared" si="36"/>
        <v>1.5827471265070458E-9</v>
      </c>
      <c r="K75" s="28">
        <f t="shared" si="37"/>
        <v>1.6174800441889496E-9</v>
      </c>
      <c r="L75" s="28">
        <f t="shared" si="38"/>
        <v>3.4637685307860336E-8</v>
      </c>
      <c r="M75" s="28">
        <f t="shared" si="39"/>
        <v>1.5827471265070458E-9</v>
      </c>
      <c r="N75">
        <f t="shared" si="40"/>
        <v>12.006243246488173</v>
      </c>
      <c r="O75">
        <f t="shared" si="45"/>
        <v>-20.264103812012486</v>
      </c>
      <c r="Q75">
        <f t="shared" si="51"/>
        <v>1.5642020490438779E-9</v>
      </c>
      <c r="R75">
        <f t="shared" si="52"/>
        <v>1.5985371040472571E-9</v>
      </c>
      <c r="S75">
        <f t="shared" si="53"/>
        <v>3.4223090501483471E-8</v>
      </c>
      <c r="T75">
        <f t="shared" si="41"/>
        <v>1.5642020490438779E-9</v>
      </c>
      <c r="U75">
        <f t="shared" si="46"/>
        <v>-20.275890015799053</v>
      </c>
      <c r="V75">
        <f t="shared" si="47"/>
        <v>1.1786203786567029E-2</v>
      </c>
      <c r="X75" s="28">
        <f t="shared" si="42"/>
        <v>1.8923427829988156E-9</v>
      </c>
      <c r="Y75" s="28">
        <f t="shared" si="43"/>
        <v>1.9340505556687838E-9</v>
      </c>
      <c r="Z75" s="28">
        <f t="shared" si="44"/>
        <v>4.1245329483366616E-8</v>
      </c>
      <c r="AA75" s="28">
        <f t="shared" si="48"/>
        <v>1.8923427829988156E-9</v>
      </c>
      <c r="AB75">
        <f t="shared" si="49"/>
        <v>-20.085450207780404</v>
      </c>
      <c r="AC75">
        <f t="shared" si="50"/>
        <v>0.17865360423208188</v>
      </c>
    </row>
    <row r="76" spans="1:29" x14ac:dyDescent="0.3">
      <c r="A76">
        <v>90600</v>
      </c>
      <c r="B76">
        <v>569.9</v>
      </c>
      <c r="C76">
        <v>3600</v>
      </c>
      <c r="D76">
        <v>6.0188550000000003</v>
      </c>
      <c r="E76">
        <v>8.9515737402178317</v>
      </c>
      <c r="F76">
        <v>8.1780379880269774E-2</v>
      </c>
      <c r="G76" s="28">
        <f t="shared" si="34"/>
        <v>3.0094275E-2</v>
      </c>
      <c r="H76" s="28">
        <f t="shared" si="35"/>
        <v>3.0503176899401348E-2</v>
      </c>
      <c r="J76">
        <f t="shared" si="36"/>
        <v>3.1265375321005762E-9</v>
      </c>
      <c r="K76" s="28">
        <f t="shared" si="37"/>
        <v>3.1995910871805555E-9</v>
      </c>
      <c r="L76" s="28">
        <f t="shared" si="38"/>
        <v>6.4496429103437551E-8</v>
      </c>
      <c r="M76" s="28">
        <f t="shared" si="39"/>
        <v>3.1265375321005762E-9</v>
      </c>
      <c r="N76">
        <f t="shared" si="40"/>
        <v>11.863803535413453</v>
      </c>
      <c r="O76">
        <f t="shared" si="45"/>
        <v>-19.58333966448323</v>
      </c>
      <c r="Q76">
        <f t="shared" si="51"/>
        <v>2.8169418756088063E-9</v>
      </c>
      <c r="R76">
        <f t="shared" si="52"/>
        <v>2.8830205757007457E-9</v>
      </c>
      <c r="S76">
        <f t="shared" si="53"/>
        <v>5.7888784927932727E-8</v>
      </c>
      <c r="T76">
        <f t="shared" si="41"/>
        <v>2.8169418756088063E-9</v>
      </c>
      <c r="U76">
        <f t="shared" si="46"/>
        <v>-19.687613981701752</v>
      </c>
      <c r="V76">
        <f t="shared" si="47"/>
        <v>0.10427431721852187</v>
      </c>
      <c r="X76" s="28">
        <f t="shared" si="42"/>
        <v>3.7271832174062778E-9</v>
      </c>
      <c r="Y76" s="28">
        <f t="shared" si="43"/>
        <v>3.8149190356119307E-9</v>
      </c>
      <c r="Z76" s="28">
        <f t="shared" si="44"/>
        <v>7.6364466933329171E-8</v>
      </c>
      <c r="AA76" s="28">
        <f t="shared" si="48"/>
        <v>3.7271832174062778E-9</v>
      </c>
      <c r="AB76">
        <f t="shared" si="49"/>
        <v>-19.407613058171052</v>
      </c>
      <c r="AC76">
        <f t="shared" si="50"/>
        <v>0.17572660631217829</v>
      </c>
    </row>
    <row r="77" spans="1:29" x14ac:dyDescent="0.3">
      <c r="A77">
        <v>90601</v>
      </c>
      <c r="B77">
        <v>579.9</v>
      </c>
      <c r="C77">
        <v>3600</v>
      </c>
      <c r="D77">
        <v>6.4493670000000005</v>
      </c>
      <c r="E77">
        <v>9.3738668717256282</v>
      </c>
      <c r="F77">
        <v>7.6381069812691521E-2</v>
      </c>
      <c r="G77" s="28">
        <f t="shared" si="34"/>
        <v>3.2246835000000001E-2</v>
      </c>
      <c r="H77" s="28">
        <f t="shared" si="35"/>
        <v>3.2628740349063462E-2</v>
      </c>
      <c r="J77">
        <f t="shared" si="36"/>
        <v>3.2529296243791246E-9</v>
      </c>
      <c r="K77" s="28">
        <f t="shared" si="37"/>
        <v>3.3348299016070334E-9</v>
      </c>
      <c r="L77" s="28">
        <f t="shared" si="38"/>
        <v>6.253251107044611E-8</v>
      </c>
      <c r="M77" s="28">
        <f t="shared" si="39"/>
        <v>3.2529296243791246E-9</v>
      </c>
      <c r="N77">
        <f t="shared" si="40"/>
        <v>11.724703951225232</v>
      </c>
      <c r="O77">
        <f t="shared" si="45"/>
        <v>-19.543709823756501</v>
      </c>
      <c r="Q77">
        <f t="shared" si="51"/>
        <v>2.6522839390734225E-9</v>
      </c>
      <c r="R77">
        <f t="shared" si="52"/>
        <v>2.7195019531757558E-9</v>
      </c>
      <c r="S77">
        <f t="shared" si="53"/>
        <v>5.0664473240548607E-8</v>
      </c>
      <c r="T77">
        <f t="shared" si="41"/>
        <v>2.6522839390734225E-9</v>
      </c>
      <c r="U77">
        <f t="shared" si="46"/>
        <v>-19.747844704338334</v>
      </c>
      <c r="V77">
        <f t="shared" si="47"/>
        <v>0.20413488058183304</v>
      </c>
      <c r="X77" s="28">
        <f t="shared" si="42"/>
        <v>3.8535247937677384E-9</v>
      </c>
      <c r="Y77" s="28">
        <f t="shared" si="43"/>
        <v>3.9511727872660199E-9</v>
      </c>
      <c r="Z77" s="28">
        <f t="shared" si="44"/>
        <v>7.3641501736744117E-8</v>
      </c>
      <c r="AA77" s="28">
        <f t="shared" si="48"/>
        <v>3.8535247937677384E-9</v>
      </c>
      <c r="AB77">
        <f t="shared" si="49"/>
        <v>-19.374277576640701</v>
      </c>
      <c r="AC77">
        <f t="shared" si="50"/>
        <v>0.16943224711580029</v>
      </c>
    </row>
    <row r="78" spans="1:29" x14ac:dyDescent="0.3">
      <c r="A78">
        <v>90602</v>
      </c>
      <c r="B78">
        <v>589.79999999999995</v>
      </c>
      <c r="C78">
        <v>3600</v>
      </c>
      <c r="D78">
        <v>7.1309080000000007</v>
      </c>
      <c r="E78">
        <v>9.8025483871469383</v>
      </c>
      <c r="F78">
        <v>0.11695479732460759</v>
      </c>
      <c r="G78" s="28">
        <f t="shared" si="34"/>
        <v>3.5654540000000005E-2</v>
      </c>
      <c r="H78" s="28">
        <f t="shared" si="35"/>
        <v>3.6239313986623042E-2</v>
      </c>
      <c r="J78">
        <f t="shared" si="36"/>
        <v>5.6089998896171991E-9</v>
      </c>
      <c r="K78" s="28">
        <f t="shared" si="37"/>
        <v>5.7632738453791256E-9</v>
      </c>
      <c r="L78" s="28">
        <f t="shared" si="38"/>
        <v>9.9279801436934368E-8</v>
      </c>
      <c r="M78" s="28">
        <f t="shared" si="39"/>
        <v>5.6089998896171991E-9</v>
      </c>
      <c r="N78">
        <f t="shared" si="40"/>
        <v>11.590171534538712</v>
      </c>
      <c r="O78">
        <f t="shared" si="45"/>
        <v>-18.998893406099796</v>
      </c>
      <c r="Q78">
        <f t="shared" si="51"/>
        <v>5.0084047202285853E-9</v>
      </c>
      <c r="R78">
        <f t="shared" si="52"/>
        <v>5.146930959720139E-9</v>
      </c>
      <c r="S78">
        <f t="shared" si="53"/>
        <v>8.8170810770640503E-8</v>
      </c>
      <c r="T78">
        <f t="shared" si="41"/>
        <v>5.0084047202285853E-9</v>
      </c>
      <c r="U78">
        <f t="shared" si="46"/>
        <v>-19.11214839167182</v>
      </c>
      <c r="V78">
        <f t="shared" si="47"/>
        <v>0.11325498557202351</v>
      </c>
      <c r="X78" s="28">
        <f t="shared" si="42"/>
        <v>6.628118380415094E-9</v>
      </c>
      <c r="Y78" s="28">
        <f t="shared" si="43"/>
        <v>6.8120988026799338E-9</v>
      </c>
      <c r="Z78" s="28">
        <f t="shared" si="44"/>
        <v>1.1635181978541065E-7</v>
      </c>
      <c r="AA78" s="28">
        <f t="shared" si="48"/>
        <v>6.628118380415094E-9</v>
      </c>
      <c r="AB78">
        <f t="shared" si="49"/>
        <v>-18.831944876887537</v>
      </c>
      <c r="AC78">
        <f t="shared" si="50"/>
        <v>0.16694852921225944</v>
      </c>
    </row>
    <row r="79" spans="1:29" x14ac:dyDescent="0.3">
      <c r="A79">
        <v>90603</v>
      </c>
      <c r="B79">
        <v>599.79999999999995</v>
      </c>
      <c r="C79">
        <v>3600</v>
      </c>
      <c r="D79">
        <v>8.124943</v>
      </c>
      <c r="E79">
        <v>10.246262946773358</v>
      </c>
      <c r="F79">
        <v>0.16516070655919146</v>
      </c>
      <c r="G79" s="28">
        <f t="shared" si="34"/>
        <v>4.0624714999999999E-2</v>
      </c>
      <c r="H79" s="28">
        <f t="shared" si="35"/>
        <v>4.1450518532795959E-2</v>
      </c>
      <c r="J79">
        <f t="shared" si="36"/>
        <v>9.1901583483285475E-9</v>
      </c>
      <c r="K79" s="28">
        <f t="shared" si="37"/>
        <v>9.4753736499936601E-9</v>
      </c>
      <c r="L79" s="28">
        <f t="shared" si="38"/>
        <v>1.4543146131962164E-7</v>
      </c>
      <c r="M79" s="28">
        <f t="shared" si="39"/>
        <v>9.1901583483285475E-9</v>
      </c>
      <c r="N79">
        <f t="shared" si="40"/>
        <v>11.457378551787352</v>
      </c>
      <c r="O79">
        <f t="shared" si="45"/>
        <v>-18.50513267022361</v>
      </c>
      <c r="Q79">
        <f t="shared" si="51"/>
        <v>8.1710398575306534E-9</v>
      </c>
      <c r="R79">
        <f t="shared" si="52"/>
        <v>8.4265486926928023E-9</v>
      </c>
      <c r="S79">
        <f t="shared" si="53"/>
        <v>1.28359442971147E-7</v>
      </c>
      <c r="T79">
        <f t="shared" si="41"/>
        <v>8.1710398575306534E-9</v>
      </c>
      <c r="U79">
        <f t="shared" si="46"/>
        <v>-18.622669658630066</v>
      </c>
      <c r="V79">
        <f t="shared" si="47"/>
        <v>0.11753698840645654</v>
      </c>
      <c r="X79" s="28">
        <f t="shared" si="42"/>
        <v>1.0833143863880852E-8</v>
      </c>
      <c r="Y79" s="28">
        <f t="shared" si="43"/>
        <v>1.1173286615575103E-8</v>
      </c>
      <c r="Z79" s="28">
        <f t="shared" si="44"/>
        <v>1.6966813108792732E-7</v>
      </c>
      <c r="AA79" s="28">
        <f t="shared" si="48"/>
        <v>1.0833143863880852E-8</v>
      </c>
      <c r="AB79">
        <f t="shared" si="49"/>
        <v>-18.340655525919694</v>
      </c>
      <c r="AC79">
        <f t="shared" si="50"/>
        <v>0.16447714430391613</v>
      </c>
    </row>
    <row r="80" spans="1:29" x14ac:dyDescent="0.3">
      <c r="A80">
        <v>90604</v>
      </c>
      <c r="B80">
        <v>580</v>
      </c>
      <c r="C80">
        <v>4800</v>
      </c>
      <c r="D80">
        <v>8.4407519999999998</v>
      </c>
      <c r="E80">
        <v>12.504192301454772</v>
      </c>
      <c r="F80">
        <v>4.5768566733030425E-2</v>
      </c>
      <c r="G80" s="28">
        <f t="shared" si="34"/>
        <v>4.220376E-2</v>
      </c>
      <c r="H80" s="28">
        <f t="shared" si="35"/>
        <v>4.2432602833665151E-2</v>
      </c>
      <c r="J80">
        <f t="shared" si="36"/>
        <v>2.3778272882449676E-9</v>
      </c>
      <c r="K80" s="28">
        <f t="shared" si="37"/>
        <v>2.4580861606682122E-9</v>
      </c>
      <c r="L80" s="28">
        <f t="shared" si="38"/>
        <v>3.4771437704781167E-8</v>
      </c>
      <c r="M80" s="28">
        <f t="shared" si="39"/>
        <v>2.3778272882449676E-9</v>
      </c>
      <c r="N80">
        <f t="shared" si="40"/>
        <v>11.723329425556859</v>
      </c>
      <c r="O80">
        <f t="shared" si="45"/>
        <v>-19.857078670312504</v>
      </c>
      <c r="Q80">
        <f t="shared" si="51"/>
        <v>1.1455881515807397E-9</v>
      </c>
      <c r="R80">
        <f t="shared" si="52"/>
        <v>1.1846514364821839E-9</v>
      </c>
      <c r="S80">
        <f t="shared" si="53"/>
        <v>1.6593935378554961E-8</v>
      </c>
      <c r="T80">
        <f t="shared" si="41"/>
        <v>1.1455881515807397E-9</v>
      </c>
      <c r="U80">
        <f t="shared" si="46"/>
        <v>-20.587347662320397</v>
      </c>
      <c r="V80">
        <f t="shared" si="47"/>
        <v>0.7302689920078933</v>
      </c>
      <c r="X80" s="28">
        <f t="shared" si="42"/>
        <v>2.7299551934066894E-9</v>
      </c>
      <c r="Y80" s="28">
        <f t="shared" si="43"/>
        <v>2.822367302763969E-9</v>
      </c>
      <c r="Z80" s="28">
        <f t="shared" si="44"/>
        <v>3.9815437887352648E-8</v>
      </c>
      <c r="AA80" s="28">
        <f t="shared" si="48"/>
        <v>2.7299551934066894E-9</v>
      </c>
      <c r="AB80">
        <f t="shared" si="49"/>
        <v>-19.718980640555774</v>
      </c>
      <c r="AC80">
        <f t="shared" si="50"/>
        <v>0.1380980297567298</v>
      </c>
    </row>
    <row r="81" spans="1:29" x14ac:dyDescent="0.3">
      <c r="A81">
        <v>90605</v>
      </c>
      <c r="B81">
        <v>560</v>
      </c>
      <c r="C81">
        <v>6000</v>
      </c>
      <c r="D81">
        <v>8.5526800000000005</v>
      </c>
      <c r="E81">
        <v>14.240210372942245</v>
      </c>
      <c r="F81">
        <v>1.4945466113477033E-2</v>
      </c>
      <c r="G81" s="28">
        <f t="shared" si="34"/>
        <v>4.27634E-2</v>
      </c>
      <c r="H81" s="28">
        <f t="shared" si="35"/>
        <v>4.283812733056739E-2</v>
      </c>
      <c r="J81">
        <f t="shared" si="36"/>
        <v>6.9160157208936355E-10</v>
      </c>
      <c r="K81" s="28">
        <f t="shared" si="37"/>
        <v>7.1556851197836634E-10</v>
      </c>
      <c r="L81" s="28">
        <f t="shared" si="38"/>
        <v>9.8698723147006959E-9</v>
      </c>
      <c r="M81" s="28">
        <f t="shared" si="39"/>
        <v>6.9160157208936355E-10</v>
      </c>
      <c r="N81">
        <f t="shared" si="40"/>
        <v>12.004801920768307</v>
      </c>
      <c r="O81">
        <f t="shared" si="45"/>
        <v>-21.092011089002614</v>
      </c>
      <c r="Q81">
        <f t="shared" si="51"/>
        <v>4.0989924795998605E-10</v>
      </c>
      <c r="R81">
        <f t="shared" si="52"/>
        <v>4.2414359830177562E-10</v>
      </c>
      <c r="S81">
        <f t="shared" si="53"/>
        <v>5.8346721686438846E-9</v>
      </c>
      <c r="T81">
        <f t="shared" si="41"/>
        <v>4.0989924795998605E-10</v>
      </c>
      <c r="U81">
        <f t="shared" si="46"/>
        <v>-21.615109723111363</v>
      </c>
      <c r="V81">
        <f t="shared" si="47"/>
        <v>0.52309863410874868</v>
      </c>
      <c r="X81" s="28">
        <f t="shared" si="42"/>
        <v>7.8463887321152027E-10</v>
      </c>
      <c r="Y81" s="28">
        <f t="shared" si="43"/>
        <v>8.1185491118439701E-10</v>
      </c>
      <c r="Z81" s="28">
        <f t="shared" si="44"/>
        <v>1.1188208369158004E-8</v>
      </c>
      <c r="AA81" s="28">
        <f t="shared" si="48"/>
        <v>7.8463887321152027E-10</v>
      </c>
      <c r="AB81">
        <f t="shared" si="49"/>
        <v>-20.965797538119755</v>
      </c>
      <c r="AC81">
        <f t="shared" si="50"/>
        <v>0.12621355088285924</v>
      </c>
    </row>
    <row r="82" spans="1:29" x14ac:dyDescent="0.3">
      <c r="A82">
        <v>90606</v>
      </c>
      <c r="B82">
        <v>540</v>
      </c>
      <c r="C82">
        <v>7200</v>
      </c>
      <c r="D82">
        <v>8.5929110000000009</v>
      </c>
      <c r="E82">
        <v>15.506536782933885</v>
      </c>
      <c r="F82">
        <v>5.1066994848402332E-3</v>
      </c>
      <c r="G82" s="28">
        <f t="shared" si="34"/>
        <v>4.2964555000000001E-2</v>
      </c>
      <c r="H82" s="28">
        <f t="shared" si="35"/>
        <v>4.2990088497424202E-2</v>
      </c>
      <c r="J82">
        <f t="shared" si="36"/>
        <v>2.0901053240472252E-10</v>
      </c>
      <c r="K82" s="28">
        <f t="shared" si="37"/>
        <v>2.1632092276335423E-10</v>
      </c>
      <c r="L82" s="28">
        <f t="shared" si="38"/>
        <v>2.9575012054882393E-9</v>
      </c>
      <c r="M82" s="28">
        <f t="shared" si="39"/>
        <v>2.0901053240472252E-10</v>
      </c>
      <c r="N82">
        <f t="shared" si="40"/>
        <v>12.300123001230013</v>
      </c>
      <c r="O82">
        <f t="shared" si="45"/>
        <v>-22.288636470952518</v>
      </c>
      <c r="Q82">
        <f t="shared" si="51"/>
        <v>1.3147944813625858E-10</v>
      </c>
      <c r="R82">
        <f t="shared" si="52"/>
        <v>1.3608225675832485E-10</v>
      </c>
      <c r="S82">
        <f t="shared" si="53"/>
        <v>1.8588878267716584E-9</v>
      </c>
      <c r="T82">
        <f t="shared" si="41"/>
        <v>1.3147944813625858E-10</v>
      </c>
      <c r="U82">
        <f t="shared" si="46"/>
        <v>-22.752170564462158</v>
      </c>
      <c r="V82">
        <f t="shared" si="47"/>
        <v>0.46353409350964014</v>
      </c>
      <c r="X82" s="28">
        <f t="shared" si="42"/>
        <v>2.3561132180102812E-10</v>
      </c>
      <c r="Y82" s="28">
        <f t="shared" si="43"/>
        <v>2.4385466085836369E-10</v>
      </c>
      <c r="Z82" s="28">
        <f t="shared" si="44"/>
        <v>3.3329544268418904E-9</v>
      </c>
      <c r="AA82" s="28">
        <f t="shared" si="48"/>
        <v>2.3561132180102812E-10</v>
      </c>
      <c r="AB82">
        <f t="shared" si="49"/>
        <v>-22.168837610123099</v>
      </c>
      <c r="AC82">
        <f t="shared" si="50"/>
        <v>0.1197988608294196</v>
      </c>
    </row>
    <row r="83" spans="1:29" x14ac:dyDescent="0.3">
      <c r="A83">
        <v>90607</v>
      </c>
      <c r="B83">
        <v>520</v>
      </c>
      <c r="C83">
        <v>8400</v>
      </c>
      <c r="D83">
        <v>8.6116840000000003</v>
      </c>
      <c r="E83">
        <v>16.346338368846226</v>
      </c>
      <c r="F83">
        <v>2.3121225492809191E-3</v>
      </c>
      <c r="G83" s="28">
        <f t="shared" si="34"/>
        <v>4.305842E-2</v>
      </c>
      <c r="H83" s="28">
        <f t="shared" si="35"/>
        <v>4.3069980612746403E-2</v>
      </c>
      <c r="J83">
        <f t="shared" si="36"/>
        <v>8.3885370758742206E-11</v>
      </c>
      <c r="K83" s="28">
        <f t="shared" si="37"/>
        <v>8.682984837865829E-11</v>
      </c>
      <c r="L83" s="28">
        <f t="shared" si="38"/>
        <v>1.1830903956466475E-9</v>
      </c>
      <c r="M83" s="28">
        <f t="shared" si="39"/>
        <v>8.3885370758742206E-11</v>
      </c>
      <c r="N83">
        <f t="shared" si="40"/>
        <v>12.610340479192939</v>
      </c>
      <c r="O83">
        <f t="shared" si="45"/>
        <v>-23.201569882870423</v>
      </c>
      <c r="Q83">
        <f t="shared" si="51"/>
        <v>6.1084694133337411E-11</v>
      </c>
      <c r="R83">
        <f t="shared" si="52"/>
        <v>6.3229501440077457E-11</v>
      </c>
      <c r="S83">
        <f t="shared" si="53"/>
        <v>8.6127334877070311E-10</v>
      </c>
      <c r="T83">
        <f t="shared" si="41"/>
        <v>6.1084694133337411E-11</v>
      </c>
      <c r="U83">
        <f t="shared" si="46"/>
        <v>-23.518759786315357</v>
      </c>
      <c r="V83">
        <f t="shared" si="47"/>
        <v>0.31718990344493392</v>
      </c>
      <c r="X83" s="28">
        <f t="shared" si="42"/>
        <v>9.422953296252642E-11</v>
      </c>
      <c r="Y83" s="28">
        <f t="shared" si="43"/>
        <v>9.75375654300469E-11</v>
      </c>
      <c r="Z83" s="28">
        <f t="shared" si="44"/>
        <v>1.3288103477971399E-9</v>
      </c>
      <c r="AA83" s="28">
        <f t="shared" si="48"/>
        <v>9.422953296252642E-11</v>
      </c>
      <c r="AB83">
        <f t="shared" si="49"/>
        <v>-23.085287470078672</v>
      </c>
      <c r="AC83">
        <f t="shared" si="50"/>
        <v>0.116282412791751</v>
      </c>
    </row>
    <row r="84" spans="1:29" x14ac:dyDescent="0.3">
      <c r="A84">
        <v>90608</v>
      </c>
      <c r="B84">
        <v>500</v>
      </c>
      <c r="C84">
        <v>9600</v>
      </c>
      <c r="D84">
        <v>8.6218060000000012</v>
      </c>
      <c r="E84">
        <v>16.802572046899723</v>
      </c>
      <c r="F84">
        <v>1.2276046411578687E-3</v>
      </c>
      <c r="G84" s="28">
        <f t="shared" si="34"/>
        <v>4.3109030000000007E-2</v>
      </c>
      <c r="H84" s="28">
        <f t="shared" si="35"/>
        <v>4.3115168023205801E-2</v>
      </c>
      <c r="J84">
        <f t="shared" si="36"/>
        <v>3.9642014588970721E-11</v>
      </c>
      <c r="K84" s="28">
        <f t="shared" si="37"/>
        <v>4.1035925301131012E-11</v>
      </c>
      <c r="L84" s="28">
        <f t="shared" si="38"/>
        <v>5.5820203824769727E-10</v>
      </c>
      <c r="M84" s="28">
        <f t="shared" si="39"/>
        <v>3.9642014588970721E-11</v>
      </c>
      <c r="N84">
        <f t="shared" si="40"/>
        <v>12.936610608020699</v>
      </c>
      <c r="O84">
        <f t="shared" si="45"/>
        <v>-23.951131585634784</v>
      </c>
      <c r="Q84">
        <f t="shared" si="51"/>
        <v>3.059087266065954E-11</v>
      </c>
      <c r="R84">
        <f t="shared" si="52"/>
        <v>3.1666672881165699E-11</v>
      </c>
      <c r="S84">
        <f t="shared" si="53"/>
        <v>4.3069708011864866E-10</v>
      </c>
      <c r="T84">
        <f t="shared" si="41"/>
        <v>3.059087266065954E-11</v>
      </c>
      <c r="U84">
        <f t="shared" si="46"/>
        <v>-24.210319430527676</v>
      </c>
      <c r="V84">
        <f t="shared" si="47"/>
        <v>0.25918784489289237</v>
      </c>
      <c r="X84" s="28">
        <f t="shared" si="42"/>
        <v>4.4452997658473104E-11</v>
      </c>
      <c r="Y84" s="28">
        <f t="shared" si="43"/>
        <v>4.6016190130885251E-11</v>
      </c>
      <c r="Z84" s="28">
        <f t="shared" si="44"/>
        <v>6.2590325658862053E-10</v>
      </c>
      <c r="AA84" s="28">
        <f t="shared" si="48"/>
        <v>4.4452997658473104E-11</v>
      </c>
      <c r="AB84">
        <f t="shared" si="49"/>
        <v>-23.836588717356751</v>
      </c>
      <c r="AC84">
        <f t="shared" si="50"/>
        <v>0.11454286827803273</v>
      </c>
    </row>
    <row r="85" spans="1:29" x14ac:dyDescent="0.3">
      <c r="A85">
        <v>90609</v>
      </c>
      <c r="B85">
        <v>581.6</v>
      </c>
      <c r="C85">
        <v>1200</v>
      </c>
      <c r="D85">
        <v>13.616655000000002</v>
      </c>
      <c r="E85">
        <v>3.1489094642348556</v>
      </c>
      <c r="F85">
        <v>2.6140658013875564</v>
      </c>
      <c r="G85" s="28">
        <f t="shared" si="34"/>
        <v>6.8083275000000013E-2</v>
      </c>
      <c r="H85" s="28">
        <f t="shared" si="35"/>
        <v>8.1153604006937788E-2</v>
      </c>
      <c r="J85">
        <f t="shared" si="36"/>
        <v>2.0194505677265656E-7</v>
      </c>
      <c r="K85" s="28">
        <f t="shared" si="37"/>
        <v>2.1138611465995609E-7</v>
      </c>
      <c r="L85" s="28">
        <f t="shared" si="38"/>
        <v>2.2329496965303202E-6</v>
      </c>
      <c r="M85" s="28">
        <f t="shared" si="39"/>
        <v>2.1138611465995609E-7</v>
      </c>
      <c r="N85">
        <f t="shared" si="40"/>
        <v>11.701380762930025</v>
      </c>
      <c r="O85">
        <f t="shared" si="45"/>
        <v>-15.369579448449146</v>
      </c>
      <c r="Q85">
        <f t="shared" si="51"/>
        <v>2.0190656890810056E-7</v>
      </c>
      <c r="R85">
        <f t="shared" si="52"/>
        <v>2.113462725413175E-7</v>
      </c>
      <c r="S85">
        <f t="shared" si="53"/>
        <v>2.232408086783593E-6</v>
      </c>
      <c r="T85">
        <f t="shared" si="41"/>
        <v>2.113462725413175E-7</v>
      </c>
      <c r="U85">
        <f t="shared" si="46"/>
        <v>-15.36976794651536</v>
      </c>
      <c r="V85">
        <f t="shared" si="47"/>
        <v>1.8849806621368259E-4</v>
      </c>
      <c r="X85" s="28">
        <f t="shared" si="42"/>
        <v>3.4379488157402412E-7</v>
      </c>
      <c r="Y85" s="28">
        <f t="shared" si="43"/>
        <v>3.6215626623281851E-7</v>
      </c>
      <c r="Z85" s="28">
        <f t="shared" si="44"/>
        <v>3.4255417388228905E-6</v>
      </c>
      <c r="AA85" s="28">
        <f t="shared" si="48"/>
        <v>3.6215626623281851E-7</v>
      </c>
      <c r="AB85">
        <f t="shared" si="49"/>
        <v>-14.831190043589054</v>
      </c>
      <c r="AC85">
        <f t="shared" si="50"/>
        <v>0.53838940486009257</v>
      </c>
    </row>
    <row r="86" spans="1:29" x14ac:dyDescent="0.3">
      <c r="A86">
        <v>90610</v>
      </c>
      <c r="B86">
        <v>24.8</v>
      </c>
      <c r="C86">
        <v>3600</v>
      </c>
      <c r="D86">
        <v>13.615832000000001</v>
      </c>
      <c r="E86">
        <v>1.4939125905491034E-2</v>
      </c>
      <c r="F86">
        <v>7.8774736124736535E-4</v>
      </c>
      <c r="G86" s="28">
        <f t="shared" si="34"/>
        <v>6.807916E-2</v>
      </c>
      <c r="H86" s="28">
        <f t="shared" si="35"/>
        <v>6.8083098736806236E-2</v>
      </c>
      <c r="J86">
        <f t="shared" si="36"/>
        <v>-1.3582259383489191E-11</v>
      </c>
      <c r="K86" s="28">
        <f t="shared" si="37"/>
        <v>-1.435453934526619E-11</v>
      </c>
      <c r="L86" s="28">
        <f t="shared" si="38"/>
        <v>-1.2427664731176486E-10</v>
      </c>
      <c r="M86" s="28">
        <f t="shared" si="39"/>
        <v>-1.435453934526619E-11</v>
      </c>
      <c r="N86">
        <f t="shared" si="40"/>
        <v>33.579583613163194</v>
      </c>
      <c r="O86" t="e">
        <f t="shared" si="45"/>
        <v>#NUM!</v>
      </c>
      <c r="Q86">
        <f t="shared" si="51"/>
        <v>-4.729685719317268E-8</v>
      </c>
      <c r="R86">
        <f t="shared" si="52"/>
        <v>-5.0271071730300134E-8</v>
      </c>
      <c r="S86">
        <f t="shared" si="53"/>
        <v>-3.9765495741150173E-7</v>
      </c>
      <c r="T86">
        <f t="shared" si="41"/>
        <v>-5.0271071730300134E-8</v>
      </c>
      <c r="U86" t="e">
        <f t="shared" si="46"/>
        <v>#NUM!</v>
      </c>
      <c r="V86">
        <f t="shared" si="47"/>
        <v>5</v>
      </c>
      <c r="X86" s="28">
        <f t="shared" si="42"/>
        <v>-5.818035649495889E-13</v>
      </c>
      <c r="Y86" s="28">
        <f t="shared" si="43"/>
        <v>-6.1488562623034182E-13</v>
      </c>
      <c r="Z86" s="28">
        <f t="shared" si="44"/>
        <v>-5.323315933386985E-12</v>
      </c>
      <c r="AA86" s="28">
        <f t="shared" si="48"/>
        <v>-6.1488562623034182E-13</v>
      </c>
      <c r="AB86" t="e">
        <f t="shared" si="49"/>
        <v>#NUM!</v>
      </c>
      <c r="AC86" t="e">
        <f t="shared" si="50"/>
        <v>#NUM!</v>
      </c>
    </row>
    <row r="87" spans="1:29" x14ac:dyDescent="0.3">
      <c r="A87" t="s">
        <v>179</v>
      </c>
      <c r="B87">
        <v>0</v>
      </c>
      <c r="C87">
        <v>0</v>
      </c>
      <c r="D87">
        <v>200</v>
      </c>
      <c r="E87">
        <v>0</v>
      </c>
      <c r="F87">
        <v>-3.82554207</v>
      </c>
    </row>
    <row r="88" spans="1:29" x14ac:dyDescent="0.3">
      <c r="B88">
        <v>0</v>
      </c>
      <c r="C88">
        <v>0</v>
      </c>
      <c r="E88">
        <v>0</v>
      </c>
      <c r="F88">
        <v>-3.8247771659999996</v>
      </c>
    </row>
    <row r="89" spans="1:29" x14ac:dyDescent="0.3">
      <c r="B89">
        <v>0</v>
      </c>
      <c r="C89">
        <v>0</v>
      </c>
      <c r="E89">
        <v>0</v>
      </c>
      <c r="F89">
        <v>5.7556199999999995E-4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59E1C-37D6-441C-96A5-A560C5B679AD}">
  <dimension ref="A1:R6"/>
  <sheetViews>
    <sheetView topLeftCell="C1" workbookViewId="0">
      <selection activeCell="Q6" sqref="Q6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180</v>
      </c>
      <c r="Q1" t="s">
        <v>181</v>
      </c>
    </row>
    <row r="2" spans="1:18" s="18" customFormat="1" x14ac:dyDescent="0.3">
      <c r="A2" s="18" t="s">
        <v>15</v>
      </c>
      <c r="B2" s="18">
        <v>90524</v>
      </c>
      <c r="C2" s="18">
        <v>24.9</v>
      </c>
      <c r="D2" s="18" t="s">
        <v>16</v>
      </c>
      <c r="E2" s="18" t="s">
        <v>17</v>
      </c>
      <c r="G2" s="18">
        <v>60</v>
      </c>
      <c r="H2" s="18" t="s">
        <v>18</v>
      </c>
      <c r="I2" s="19">
        <v>45085.670138888891</v>
      </c>
      <c r="J2" s="18">
        <v>481.13431800000001</v>
      </c>
      <c r="K2" s="18">
        <v>10073.5448</v>
      </c>
      <c r="L2" s="18">
        <v>17.642507999999999</v>
      </c>
      <c r="M2" s="18">
        <v>1.751E-3</v>
      </c>
      <c r="N2" s="18">
        <v>7.0340000000000003E-3</v>
      </c>
      <c r="O2" s="18">
        <v>8.1499999999999997E-4</v>
      </c>
    </row>
    <row r="3" spans="1:18" s="13" customFormat="1" x14ac:dyDescent="0.3">
      <c r="A3" s="13" t="s">
        <v>19</v>
      </c>
      <c r="B3" s="13">
        <v>90525</v>
      </c>
      <c r="D3" s="13" t="s">
        <v>16</v>
      </c>
      <c r="E3" s="13" t="s">
        <v>20</v>
      </c>
      <c r="I3" s="14">
        <v>45085.720833333333</v>
      </c>
      <c r="J3" s="13">
        <v>551.012338</v>
      </c>
      <c r="K3" s="13">
        <v>9973.0592030000007</v>
      </c>
      <c r="L3" s="13">
        <v>10011.402179999999</v>
      </c>
      <c r="M3" s="13">
        <v>1.003763</v>
      </c>
      <c r="N3" s="13">
        <v>4.0681710000000004</v>
      </c>
      <c r="O3" s="13">
        <v>4.0618970000000001</v>
      </c>
      <c r="P3" s="13">
        <f>N3-O3</f>
        <v>6.2740000000003349E-3</v>
      </c>
      <c r="Q3" s="13">
        <f>N3/M3</f>
        <v>4.0529198625571983</v>
      </c>
    </row>
    <row r="4" spans="1:18" s="13" customFormat="1" x14ac:dyDescent="0.3">
      <c r="A4" s="13" t="s">
        <v>146</v>
      </c>
      <c r="B4" s="13">
        <v>90613</v>
      </c>
      <c r="D4" s="13" t="s">
        <v>16</v>
      </c>
      <c r="E4" s="13" t="s">
        <v>20</v>
      </c>
      <c r="I4" s="14">
        <v>45092.940972222219</v>
      </c>
      <c r="J4" s="13">
        <v>472.35971999999998</v>
      </c>
      <c r="K4" s="13">
        <v>9661.2364909999997</v>
      </c>
      <c r="L4" s="13">
        <v>10298.74826</v>
      </c>
      <c r="M4" s="13">
        <v>1.066001</v>
      </c>
      <c r="N4" s="13">
        <v>4.0669909999999998</v>
      </c>
      <c r="O4" s="13">
        <v>4.0610850000000003</v>
      </c>
      <c r="P4" s="13">
        <f>N4-O4</f>
        <v>5.9059999999995227E-3</v>
      </c>
      <c r="Q4" s="13">
        <f>N4/M4</f>
        <v>3.8151849763743186</v>
      </c>
    </row>
    <row r="5" spans="1:18" s="13" customFormat="1" x14ac:dyDescent="0.3">
      <c r="A5" s="13" t="s">
        <v>147</v>
      </c>
      <c r="B5" s="13">
        <v>90614</v>
      </c>
      <c r="D5" s="13" t="s">
        <v>16</v>
      </c>
      <c r="E5" s="13" t="s">
        <v>20</v>
      </c>
      <c r="I5" s="14">
        <v>45092.974999999999</v>
      </c>
      <c r="J5" s="13">
        <v>474.92863899999998</v>
      </c>
      <c r="K5" s="13">
        <v>9637.6757180000004</v>
      </c>
      <c r="L5" s="13">
        <v>10286.07186</v>
      </c>
      <c r="M5" s="13">
        <v>1.067285</v>
      </c>
      <c r="N5" s="13">
        <v>4.0661699999999996</v>
      </c>
      <c r="O5" s="13">
        <v>4.0602729999999996</v>
      </c>
      <c r="P5" s="13">
        <f>N5-O5</f>
        <v>5.8970000000000411E-3</v>
      </c>
      <c r="Q5" s="13">
        <f>N5/M5</f>
        <v>3.8098258665679734</v>
      </c>
    </row>
    <row r="6" spans="1:18" x14ac:dyDescent="0.3">
      <c r="Q6">
        <f>_xlfn.STDEV.P(Q3:Q5)/AVERAGE(Q3:Q5)</f>
        <v>2.9119945939819116E-2</v>
      </c>
      <c r="R6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Batch 55</vt:lpstr>
      <vt:lpstr>Diffusivities</vt:lpstr>
      <vt:lpstr>STDs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Thyer</dc:creator>
  <cp:lastModifiedBy>Thyer, Benjamin J.</cp:lastModifiedBy>
  <dcterms:created xsi:type="dcterms:W3CDTF">2025-03-01T21:44:39Z</dcterms:created>
  <dcterms:modified xsi:type="dcterms:W3CDTF">2026-08-01T18:03:29Z</dcterms:modified>
</cp:coreProperties>
</file>