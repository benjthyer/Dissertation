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hf\pyrite\612\"/>
    </mc:Choice>
  </mc:AlternateContent>
  <xr:revisionPtr revIDLastSave="0" documentId="8_{5D133D10-2D3A-4924-8DD6-29F7380A098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atch 61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1" l="1"/>
  <c r="X12" i="1"/>
  <c r="AB14" i="1"/>
  <c r="AB12" i="1"/>
</calcChain>
</file>

<file path=xl/sharedStrings.xml><?xml version="1.0" encoding="utf-8"?>
<sst xmlns="http://schemas.openxmlformats.org/spreadsheetml/2006/main" count="63" uniqueCount="51">
  <si>
    <t>1xMM#1659 35.96,0.8127</t>
  </si>
  <si>
    <t>He27909.txt</t>
  </si>
  <si>
    <t>HB</t>
  </si>
  <si>
    <t>He27910.txt</t>
  </si>
  <si>
    <t>Press Dur</t>
  </si>
  <si>
    <t>He27911.txt</t>
  </si>
  <si>
    <t>RE</t>
  </si>
  <si>
    <t>He27912.txt</t>
  </si>
  <si>
    <t>1xMM#1660 35.95,0.8126</t>
  </si>
  <si>
    <t>He27913.txt</t>
  </si>
  <si>
    <t>He27914.txt</t>
  </si>
  <si>
    <t>He27915.txt</t>
  </si>
  <si>
    <t>He27916.txt</t>
  </si>
  <si>
    <t>He27917.txt</t>
  </si>
  <si>
    <t>He27918.txt</t>
  </si>
  <si>
    <t>1xAir#10169 62.50,0.1759</t>
  </si>
  <si>
    <t>He27919.txt</t>
  </si>
  <si>
    <t>GALTS230630</t>
  </si>
  <si>
    <t>He27920.txt</t>
  </si>
  <si>
    <t>He27921.txt</t>
  </si>
  <si>
    <t>LVCOPY230630</t>
  </si>
  <si>
    <t>He27922.txt</t>
  </si>
  <si>
    <t>He27923.txt</t>
  </si>
  <si>
    <t>He27924.txt</t>
  </si>
  <si>
    <t>20TS02 CH LIRR</t>
  </si>
  <si>
    <t>He27925.txt</t>
  </si>
  <si>
    <t>He27926.txt</t>
  </si>
  <si>
    <t>He27927.txt</t>
  </si>
  <si>
    <t>R11</t>
  </si>
  <si>
    <t>He27928.txt</t>
  </si>
  <si>
    <t>1xMM#1661 35.95,0.8125</t>
  </si>
  <si>
    <t>He27929.txt</t>
  </si>
  <si>
    <t>He27930.txt</t>
  </si>
  <si>
    <t>He27931.txt</t>
  </si>
  <si>
    <t>hb</t>
  </si>
  <si>
    <t>He27932.txt</t>
  </si>
  <si>
    <t>ruby12</t>
  </si>
  <si>
    <t>He27933.txt</t>
  </si>
  <si>
    <t>re</t>
  </si>
  <si>
    <t>He27934.txt</t>
  </si>
  <si>
    <t>mass</t>
  </si>
  <si>
    <t>He3 Diffused</t>
  </si>
  <si>
    <t>He3 Fusion</t>
  </si>
  <si>
    <t>He3 conc</t>
  </si>
  <si>
    <t>He4 Diffusion</t>
  </si>
  <si>
    <t>He4 Fusion</t>
  </si>
  <si>
    <t>He 4 conc</t>
  </si>
  <si>
    <t>ncc/mg</t>
  </si>
  <si>
    <t>pcc/mg</t>
  </si>
  <si>
    <t>Galena</t>
  </si>
  <si>
    <t>LVCOPyrite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</si>
</sst>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"/>
  <sheetViews>
    <sheetView tabSelected="1" zoomScale="130" zoomScaleNormal="130" workbookViewId="0">
      <selection activeCell="O11" sqref="O11"/>
    </sheetView>
  </sheetViews>
  <sheetFormatPr defaultRowHeight="14.4" x14ac:dyDescent="0.3"/>
  <cols>
    <col min="1" max="1" width="24.109375" bestFit="1" customWidth="1"/>
    <col min="3" max="3" width="14.6640625" bestFit="1" customWidth="1"/>
  </cols>
  <sheetData>
    <row r="1" spans="1:30" x14ac:dyDescent="0.3">
      <c r="A1" t="s">
        <v>0</v>
      </c>
      <c r="B1" t="s">
        <v>1</v>
      </c>
      <c r="C1" s="1">
        <v>45139.560497685183</v>
      </c>
      <c r="D1">
        <v>0.81532300000000002</v>
      </c>
      <c r="E1">
        <v>1.1670000000000001E-3</v>
      </c>
      <c r="F1">
        <v>35.852468000000002</v>
      </c>
      <c r="G1">
        <v>3.28E-4</v>
      </c>
      <c r="H1">
        <v>16.415868</v>
      </c>
      <c r="I1">
        <v>2.4250000000000001E-2</v>
      </c>
      <c r="J1">
        <v>470</v>
      </c>
      <c r="K1">
        <v>7.75</v>
      </c>
      <c r="L1">
        <v>1</v>
      </c>
      <c r="M1">
        <v>1.378933</v>
      </c>
      <c r="N1">
        <v>2.0370000000000002E-3</v>
      </c>
      <c r="O1">
        <v>383.20194400000003</v>
      </c>
      <c r="P1">
        <v>0.54859800000000003</v>
      </c>
      <c r="Q1">
        <v>277.85663</v>
      </c>
      <c r="R1">
        <v>2.5439999999999998E-3</v>
      </c>
      <c r="S1">
        <v>0</v>
      </c>
      <c r="T1">
        <v>0</v>
      </c>
    </row>
    <row r="2" spans="1:30" x14ac:dyDescent="0.3">
      <c r="A2" t="s">
        <v>2</v>
      </c>
      <c r="B2" t="s">
        <v>3</v>
      </c>
      <c r="C2" s="1">
        <v>45139.598969907405</v>
      </c>
      <c r="D2">
        <v>1.091E-3</v>
      </c>
      <c r="E2">
        <v>5.3999999999999998E-5</v>
      </c>
      <c r="F2">
        <v>0.183027</v>
      </c>
      <c r="G2">
        <v>6.0000000000000002E-5</v>
      </c>
      <c r="H2">
        <v>4.2982760000000004</v>
      </c>
      <c r="I2">
        <v>0.23951900000000001</v>
      </c>
      <c r="J2">
        <v>509.80954600000001</v>
      </c>
      <c r="K2">
        <v>8.298095</v>
      </c>
      <c r="L2">
        <v>0.627</v>
      </c>
      <c r="M2">
        <v>0.36105500000000001</v>
      </c>
      <c r="N2">
        <v>2.0119999999999999E-2</v>
      </c>
      <c r="O2">
        <v>0.34875099999999998</v>
      </c>
      <c r="P2">
        <v>1.7358999999999999E-2</v>
      </c>
      <c r="Q2">
        <v>0.95226999999999995</v>
      </c>
      <c r="R2">
        <v>3.1E-4</v>
      </c>
      <c r="S2">
        <v>0</v>
      </c>
      <c r="T2">
        <v>0</v>
      </c>
    </row>
    <row r="3" spans="1:30" x14ac:dyDescent="0.3">
      <c r="A3" t="s">
        <v>4</v>
      </c>
      <c r="B3" t="s">
        <v>5</v>
      </c>
      <c r="C3" s="1">
        <v>45139.672766203701</v>
      </c>
      <c r="D3">
        <v>7.0319140000000004</v>
      </c>
      <c r="E3">
        <v>4.7860000000000003E-3</v>
      </c>
      <c r="F3">
        <v>1046.2246620000001</v>
      </c>
      <c r="G3">
        <v>5.5099999999999995E-4</v>
      </c>
      <c r="H3">
        <v>4.8524950000000002</v>
      </c>
      <c r="I3">
        <v>3.3010000000000001E-3</v>
      </c>
      <c r="J3">
        <v>470</v>
      </c>
      <c r="K3">
        <v>7.75</v>
      </c>
      <c r="L3">
        <v>0.627</v>
      </c>
      <c r="M3">
        <v>0.40760999999999997</v>
      </c>
      <c r="N3">
        <v>2.7700000000000001E-4</v>
      </c>
      <c r="O3">
        <v>2072.2347949999998</v>
      </c>
      <c r="P3">
        <v>1.41028</v>
      </c>
      <c r="Q3">
        <v>5083.8671910000003</v>
      </c>
      <c r="R3">
        <v>2.6749999999999999E-3</v>
      </c>
      <c r="S3">
        <v>0</v>
      </c>
      <c r="T3">
        <v>0</v>
      </c>
    </row>
    <row r="4" spans="1:30" x14ac:dyDescent="0.3">
      <c r="A4" t="s">
        <v>6</v>
      </c>
      <c r="B4" t="s">
        <v>7</v>
      </c>
      <c r="C4" s="1">
        <v>45139.723194444443</v>
      </c>
      <c r="D4">
        <v>2.5850000000000001E-3</v>
      </c>
      <c r="E4">
        <v>9.1000000000000003E-5</v>
      </c>
      <c r="F4">
        <v>5.2924689999999996</v>
      </c>
      <c r="G4">
        <v>1.134E-3</v>
      </c>
      <c r="H4">
        <v>0.36850300000000002</v>
      </c>
      <c r="I4">
        <v>1.2331E-2</v>
      </c>
      <c r="J4">
        <v>504.52780999999999</v>
      </c>
      <c r="K4">
        <v>8.2452780000000008</v>
      </c>
      <c r="L4">
        <v>0.627</v>
      </c>
      <c r="M4">
        <v>3.0953999999999999E-2</v>
      </c>
      <c r="N4">
        <v>1.036E-3</v>
      </c>
      <c r="O4">
        <v>0.817747</v>
      </c>
      <c r="P4">
        <v>2.8941000000000001E-2</v>
      </c>
      <c r="Q4">
        <v>27.360949000000002</v>
      </c>
      <c r="R4">
        <v>5.8599999999999998E-3</v>
      </c>
      <c r="S4">
        <v>0</v>
      </c>
      <c r="T4">
        <v>0</v>
      </c>
    </row>
    <row r="5" spans="1:30" x14ac:dyDescent="0.3">
      <c r="A5" t="s">
        <v>8</v>
      </c>
      <c r="B5" t="s">
        <v>9</v>
      </c>
      <c r="C5" s="1">
        <v>45139.90525462963</v>
      </c>
      <c r="D5">
        <v>0.82918400000000003</v>
      </c>
      <c r="E5">
        <v>1.127E-3</v>
      </c>
      <c r="F5">
        <v>36.693857000000001</v>
      </c>
      <c r="G5">
        <v>3.6200000000000002E-4</v>
      </c>
      <c r="H5">
        <v>16.314747000000001</v>
      </c>
      <c r="I5">
        <v>2.283E-2</v>
      </c>
      <c r="J5">
        <v>470</v>
      </c>
      <c r="K5">
        <v>7.75</v>
      </c>
      <c r="L5">
        <v>1</v>
      </c>
      <c r="M5">
        <v>1.370439</v>
      </c>
      <c r="N5">
        <v>1.918E-3</v>
      </c>
      <c r="O5">
        <v>389.716655</v>
      </c>
      <c r="P5">
        <v>0.52957799999999999</v>
      </c>
      <c r="Q5">
        <v>284.37739199999999</v>
      </c>
      <c r="R5">
        <v>2.8059999999999999E-3</v>
      </c>
      <c r="S5">
        <v>0</v>
      </c>
      <c r="T5">
        <v>0</v>
      </c>
    </row>
    <row r="6" spans="1:30" x14ac:dyDescent="0.3">
      <c r="A6" t="s">
        <v>2</v>
      </c>
      <c r="B6" t="s">
        <v>10</v>
      </c>
      <c r="C6" s="1">
        <v>45139.944282407407</v>
      </c>
      <c r="D6">
        <v>1.6230000000000001E-3</v>
      </c>
      <c r="E6">
        <v>7.3999999999999996E-5</v>
      </c>
      <c r="F6">
        <v>1.4811540000000001</v>
      </c>
      <c r="G6">
        <v>9.8999999999999994E-5</v>
      </c>
      <c r="H6">
        <v>0.80984500000000004</v>
      </c>
      <c r="I6">
        <v>3.5443000000000002E-2</v>
      </c>
      <c r="J6">
        <v>508.46124300000002</v>
      </c>
      <c r="K6">
        <v>8.2846119999999992</v>
      </c>
      <c r="L6">
        <v>0.627</v>
      </c>
      <c r="M6">
        <v>6.8027000000000004E-2</v>
      </c>
      <c r="N6">
        <v>2.977E-3</v>
      </c>
      <c r="O6">
        <v>0.51755700000000004</v>
      </c>
      <c r="P6">
        <v>2.3661999999999999E-2</v>
      </c>
      <c r="Q6">
        <v>7.693784</v>
      </c>
      <c r="R6">
        <v>5.1400000000000003E-4</v>
      </c>
      <c r="S6">
        <v>0</v>
      </c>
      <c r="T6">
        <v>0</v>
      </c>
    </row>
    <row r="7" spans="1:30" x14ac:dyDescent="0.3">
      <c r="A7" t="s">
        <v>2</v>
      </c>
      <c r="B7" t="s">
        <v>11</v>
      </c>
      <c r="C7" s="1">
        <v>45140.013958333337</v>
      </c>
      <c r="D7">
        <v>1.4970000000000001E-3</v>
      </c>
      <c r="E7">
        <v>6.7999999999999999E-5</v>
      </c>
      <c r="F7">
        <v>1.1394059999999999</v>
      </c>
      <c r="G7">
        <v>8.5000000000000006E-5</v>
      </c>
      <c r="H7">
        <v>0.88745499999999999</v>
      </c>
      <c r="I7">
        <v>4.2889999999999998E-2</v>
      </c>
      <c r="J7">
        <v>508.81577600000003</v>
      </c>
      <c r="K7">
        <v>8.2881579999999992</v>
      </c>
      <c r="L7">
        <v>0.627</v>
      </c>
      <c r="M7">
        <v>7.4546000000000001E-2</v>
      </c>
      <c r="N7">
        <v>3.6029999999999999E-3</v>
      </c>
      <c r="O7">
        <v>0.47743200000000002</v>
      </c>
      <c r="P7">
        <v>2.1704000000000001E-2</v>
      </c>
      <c r="Q7">
        <v>5.9211210000000003</v>
      </c>
      <c r="R7">
        <v>4.3899999999999999E-4</v>
      </c>
      <c r="S7">
        <v>0</v>
      </c>
      <c r="T7">
        <v>0</v>
      </c>
    </row>
    <row r="8" spans="1:30" x14ac:dyDescent="0.3">
      <c r="A8" t="s">
        <v>2</v>
      </c>
      <c r="B8" t="s">
        <v>12</v>
      </c>
      <c r="C8" s="1">
        <v>45140.083622685182</v>
      </c>
      <c r="D8">
        <v>1.58E-3</v>
      </c>
      <c r="E8">
        <v>6.9999999999999994E-5</v>
      </c>
      <c r="F8">
        <v>0.86925600000000003</v>
      </c>
      <c r="G8">
        <v>7.6000000000000004E-5</v>
      </c>
      <c r="H8">
        <v>1.29088</v>
      </c>
      <c r="I8">
        <v>5.5710000000000003E-2</v>
      </c>
      <c r="J8">
        <v>509.09624600000001</v>
      </c>
      <c r="K8">
        <v>8.2909620000000004</v>
      </c>
      <c r="L8">
        <v>0.627</v>
      </c>
      <c r="M8">
        <v>0.108434</v>
      </c>
      <c r="N8">
        <v>4.6800000000000001E-3</v>
      </c>
      <c r="O8">
        <v>0.50445300000000004</v>
      </c>
      <c r="P8">
        <v>2.2422000000000001E-2</v>
      </c>
      <c r="Q8">
        <v>4.5187689999999998</v>
      </c>
      <c r="R8">
        <v>3.97E-4</v>
      </c>
      <c r="S8">
        <v>0</v>
      </c>
      <c r="T8">
        <v>0</v>
      </c>
    </row>
    <row r="9" spans="1:30" x14ac:dyDescent="0.3">
      <c r="A9" t="s">
        <v>2</v>
      </c>
      <c r="B9" t="s">
        <v>13</v>
      </c>
      <c r="C9" s="1">
        <v>45140.153715277775</v>
      </c>
      <c r="D9">
        <v>1.387E-3</v>
      </c>
      <c r="E9">
        <v>6.3E-5</v>
      </c>
      <c r="F9">
        <v>0.74682300000000001</v>
      </c>
      <c r="G9">
        <v>7.7000000000000001E-5</v>
      </c>
      <c r="H9">
        <v>1.3661129999999999</v>
      </c>
      <c r="I9">
        <v>6.2774999999999997E-2</v>
      </c>
      <c r="J9">
        <v>509.22341899999998</v>
      </c>
      <c r="K9">
        <v>8.2922340000000005</v>
      </c>
      <c r="L9">
        <v>0.627</v>
      </c>
      <c r="M9">
        <v>0.11475299999999999</v>
      </c>
      <c r="N9">
        <v>5.2729999999999999E-3</v>
      </c>
      <c r="O9">
        <v>0.44286500000000001</v>
      </c>
      <c r="P9">
        <v>2.0034E-2</v>
      </c>
      <c r="Q9">
        <v>3.8829060000000002</v>
      </c>
      <c r="R9">
        <v>3.9800000000000002E-4</v>
      </c>
      <c r="S9">
        <v>0</v>
      </c>
      <c r="T9">
        <v>0</v>
      </c>
    </row>
    <row r="10" spans="1:30" x14ac:dyDescent="0.3">
      <c r="A10" t="s">
        <v>2</v>
      </c>
      <c r="B10" t="s">
        <v>14</v>
      </c>
      <c r="C10" s="1">
        <v>45140.224120370367</v>
      </c>
      <c r="D10">
        <v>1.4989999999999999E-3</v>
      </c>
      <c r="E10">
        <v>6.0999999999999999E-5</v>
      </c>
      <c r="F10">
        <v>0.66886100000000004</v>
      </c>
      <c r="G10">
        <v>7.2999999999999999E-5</v>
      </c>
      <c r="H10">
        <v>1.6028709999999999</v>
      </c>
      <c r="I10">
        <v>7.0274000000000003E-2</v>
      </c>
      <c r="J10">
        <v>509.304419</v>
      </c>
      <c r="K10">
        <v>8.2930440000000001</v>
      </c>
      <c r="L10">
        <v>0.627</v>
      </c>
      <c r="M10">
        <v>0.13464100000000001</v>
      </c>
      <c r="N10">
        <v>5.9030000000000003E-3</v>
      </c>
      <c r="O10">
        <v>0.47867300000000002</v>
      </c>
      <c r="P10">
        <v>1.9517E-2</v>
      </c>
      <c r="Q10">
        <v>3.4779049999999998</v>
      </c>
      <c r="R10">
        <v>3.8099999999999999E-4</v>
      </c>
      <c r="S10">
        <v>0</v>
      </c>
      <c r="T10">
        <v>0</v>
      </c>
      <c r="X10" t="s">
        <v>48</v>
      </c>
      <c r="AB10" t="s">
        <v>47</v>
      </c>
    </row>
    <row r="11" spans="1:30" x14ac:dyDescent="0.3">
      <c r="A11" t="s">
        <v>15</v>
      </c>
      <c r="B11" t="s">
        <v>16</v>
      </c>
      <c r="C11" s="1">
        <v>45140.437268518515</v>
      </c>
      <c r="D11">
        <v>0.18</v>
      </c>
      <c r="E11">
        <v>4.9200000000000003E-4</v>
      </c>
      <c r="F11">
        <v>63.368071999999998</v>
      </c>
      <c r="G11">
        <v>5.4000000000000001E-4</v>
      </c>
      <c r="H11">
        <v>2.0513710000000001</v>
      </c>
      <c r="I11">
        <v>5.7609999999999996E-3</v>
      </c>
      <c r="J11">
        <v>470</v>
      </c>
      <c r="K11">
        <v>7.75</v>
      </c>
      <c r="L11">
        <v>1</v>
      </c>
      <c r="M11">
        <v>0.172315</v>
      </c>
      <c r="N11">
        <v>4.84E-4</v>
      </c>
      <c r="O11">
        <v>84.600104999999999</v>
      </c>
      <c r="P11">
        <v>0.23137099999999999</v>
      </c>
      <c r="Q11">
        <v>491.10256199999998</v>
      </c>
      <c r="R11">
        <v>4.1859999999999996E-3</v>
      </c>
      <c r="S11">
        <v>0</v>
      </c>
      <c r="T11">
        <v>0</v>
      </c>
      <c r="U11" t="s">
        <v>40</v>
      </c>
      <c r="V11" t="s">
        <v>41</v>
      </c>
      <c r="W11" t="s">
        <v>42</v>
      </c>
      <c r="X11" t="s">
        <v>43</v>
      </c>
      <c r="Z11" t="s">
        <v>44</v>
      </c>
      <c r="AA11" t="s">
        <v>45</v>
      </c>
      <c r="AB11" t="s">
        <v>46</v>
      </c>
    </row>
    <row r="12" spans="1:30" s="2" customFormat="1" x14ac:dyDescent="0.3">
      <c r="A12" s="2" t="s">
        <v>17</v>
      </c>
      <c r="B12" s="2" t="s">
        <v>18</v>
      </c>
      <c r="C12" s="3">
        <v>45140.478703703702</v>
      </c>
      <c r="D12" s="2">
        <v>0.207395</v>
      </c>
      <c r="E12" s="2">
        <v>3.1189999999999998E-3</v>
      </c>
      <c r="F12" s="2">
        <v>9.4219899999999992</v>
      </c>
      <c r="G12" s="2">
        <v>4.2760000000000003E-3</v>
      </c>
      <c r="H12" s="2">
        <v>16.078469999999999</v>
      </c>
      <c r="I12" s="2">
        <v>0.22221199999999999</v>
      </c>
      <c r="J12" s="2">
        <v>509.54823499999998</v>
      </c>
      <c r="K12" s="2">
        <v>8.2954819999999998</v>
      </c>
      <c r="L12" s="2">
        <v>2.8899999999999999E-2</v>
      </c>
      <c r="M12" s="2">
        <v>1.3505910000000001</v>
      </c>
      <c r="N12" s="2">
        <v>1.8665999999999999E-2</v>
      </c>
      <c r="O12" s="2">
        <v>3.05409</v>
      </c>
      <c r="P12" s="2">
        <v>4.5932000000000001E-2</v>
      </c>
      <c r="Q12" s="2">
        <v>2.258823</v>
      </c>
      <c r="R12" s="2">
        <v>1.0250000000000001E-3</v>
      </c>
      <c r="S12" s="2">
        <v>0</v>
      </c>
      <c r="T12" s="2">
        <v>0</v>
      </c>
      <c r="U12" s="2">
        <v>0.93</v>
      </c>
      <c r="V12" s="2">
        <v>15.87</v>
      </c>
      <c r="W12" s="2">
        <v>0.207395</v>
      </c>
      <c r="X12" s="2">
        <f>(V12+W12)/U12</f>
        <v>17.287521505376343</v>
      </c>
      <c r="Z12" s="2">
        <v>0.82</v>
      </c>
      <c r="AA12" s="2">
        <v>9.4219899999999992</v>
      </c>
      <c r="AB12" s="2">
        <f>(AA12+Z12)/U12</f>
        <v>11.012892473118278</v>
      </c>
      <c r="AD12" s="2" t="s">
        <v>49</v>
      </c>
    </row>
    <row r="13" spans="1:30" x14ac:dyDescent="0.3">
      <c r="A13" t="s">
        <v>2</v>
      </c>
      <c r="B13" t="s">
        <v>19</v>
      </c>
      <c r="C13" s="1">
        <v>45140.527754629627</v>
      </c>
      <c r="D13">
        <v>1.67E-3</v>
      </c>
      <c r="E13">
        <v>6.9999999999999994E-5</v>
      </c>
      <c r="F13">
        <v>1.1087039999999999</v>
      </c>
      <c r="G13">
        <v>1.6899999999999999E-4</v>
      </c>
      <c r="H13">
        <v>1.0398000000000001</v>
      </c>
      <c r="I13">
        <v>4.9715000000000002E-2</v>
      </c>
      <c r="J13">
        <v>508.84764100000001</v>
      </c>
      <c r="K13">
        <v>8.2884759999999993</v>
      </c>
      <c r="L13">
        <v>0.627</v>
      </c>
      <c r="M13">
        <v>8.7343000000000004E-2</v>
      </c>
      <c r="N13">
        <v>4.176E-3</v>
      </c>
      <c r="O13">
        <v>0.53271800000000002</v>
      </c>
      <c r="P13">
        <v>2.2492000000000002E-2</v>
      </c>
      <c r="Q13">
        <v>5.7617940000000001</v>
      </c>
      <c r="R13">
        <v>8.7900000000000001E-4</v>
      </c>
      <c r="S13">
        <v>0</v>
      </c>
      <c r="T13">
        <v>0</v>
      </c>
    </row>
    <row r="14" spans="1:30" s="2" customFormat="1" x14ac:dyDescent="0.3">
      <c r="A14" s="2" t="s">
        <v>20</v>
      </c>
      <c r="B14" s="2" t="s">
        <v>21</v>
      </c>
      <c r="C14" s="3">
        <v>45140.639687499999</v>
      </c>
      <c r="D14" s="2">
        <v>51.766952000000003</v>
      </c>
      <c r="E14" s="2">
        <v>4.9508000000000003E-2</v>
      </c>
      <c r="F14" s="2">
        <v>7.2682399999999996</v>
      </c>
      <c r="G14" s="2">
        <v>4.0949999999999997E-3</v>
      </c>
      <c r="H14" s="2">
        <v>5172.7015810000003</v>
      </c>
      <c r="I14" s="2">
        <v>5.1364580000000002</v>
      </c>
      <c r="J14" s="2">
        <v>509.65145999999999</v>
      </c>
      <c r="K14" s="2">
        <v>8.2965149999999994</v>
      </c>
      <c r="L14" s="2">
        <v>2.8899999999999999E-2</v>
      </c>
      <c r="M14" s="2">
        <v>434.506933</v>
      </c>
      <c r="N14" s="2">
        <v>0.43146200000000001</v>
      </c>
      <c r="O14" s="2">
        <v>762.47167100000001</v>
      </c>
      <c r="P14" s="2">
        <v>0.72919900000000004</v>
      </c>
      <c r="Q14" s="2">
        <v>1.7427010000000001</v>
      </c>
      <c r="R14" s="2">
        <v>9.8200000000000002E-4</v>
      </c>
      <c r="S14" s="2">
        <v>0</v>
      </c>
      <c r="T14" s="2">
        <v>0</v>
      </c>
      <c r="U14" s="2">
        <v>0.96</v>
      </c>
      <c r="V14" s="2">
        <v>0.97</v>
      </c>
      <c r="W14" s="2">
        <v>51.766952000000003</v>
      </c>
      <c r="X14" s="2">
        <f>(V14+W14)/U14</f>
        <v>54.934325000000001</v>
      </c>
      <c r="Z14" s="2">
        <v>1.86</v>
      </c>
      <c r="AA14" s="2">
        <v>7.2682399999999996</v>
      </c>
      <c r="AB14" s="2">
        <f>(AA14+Z14)/U14</f>
        <v>9.5085833333333341</v>
      </c>
      <c r="AD14" s="2" t="s">
        <v>50</v>
      </c>
    </row>
    <row r="15" spans="1:30" x14ac:dyDescent="0.3">
      <c r="A15" t="s">
        <v>2</v>
      </c>
      <c r="B15" t="s">
        <v>22</v>
      </c>
      <c r="C15" s="1">
        <v>45140.686608796299</v>
      </c>
      <c r="D15">
        <v>9.2999999999999992E-3</v>
      </c>
      <c r="E15">
        <v>1.65E-4</v>
      </c>
      <c r="F15">
        <v>0.28617599999999999</v>
      </c>
      <c r="G15">
        <v>1.7200000000000001E-4</v>
      </c>
      <c r="H15">
        <v>23.557102</v>
      </c>
      <c r="I15">
        <v>0.36477399999999999</v>
      </c>
      <c r="J15">
        <v>509.70224899999999</v>
      </c>
      <c r="K15">
        <v>8.2970220000000001</v>
      </c>
      <c r="L15">
        <v>0.627</v>
      </c>
      <c r="M15">
        <v>1.9787969999999999</v>
      </c>
      <c r="N15">
        <v>3.0641000000000002E-2</v>
      </c>
      <c r="O15">
        <v>2.972156</v>
      </c>
      <c r="P15">
        <v>5.2777999999999999E-2</v>
      </c>
      <c r="Q15">
        <v>1.4887539999999999</v>
      </c>
      <c r="R15">
        <v>8.92E-4</v>
      </c>
      <c r="S15">
        <v>0</v>
      </c>
      <c r="T15">
        <v>0</v>
      </c>
    </row>
    <row r="16" spans="1:30" x14ac:dyDescent="0.3">
      <c r="A16" t="s">
        <v>2</v>
      </c>
      <c r="B16" t="s">
        <v>23</v>
      </c>
      <c r="C16" s="1">
        <v>45140.757013888891</v>
      </c>
      <c r="D16">
        <v>1.2149999999999999E-3</v>
      </c>
      <c r="E16">
        <v>6.9999999999999994E-5</v>
      </c>
      <c r="F16">
        <v>0.27569300000000002</v>
      </c>
      <c r="G16">
        <v>1.73E-4</v>
      </c>
      <c r="H16">
        <v>3.3541300000000001</v>
      </c>
      <c r="I16">
        <v>0.155943</v>
      </c>
      <c r="J16">
        <v>509.71315199999998</v>
      </c>
      <c r="K16">
        <v>8.2971319999999995</v>
      </c>
      <c r="L16">
        <v>0.627</v>
      </c>
      <c r="M16">
        <v>0.28174700000000003</v>
      </c>
      <c r="N16">
        <v>1.3099E-2</v>
      </c>
      <c r="O16">
        <v>0.38836700000000002</v>
      </c>
      <c r="P16">
        <v>2.2398000000000001E-2</v>
      </c>
      <c r="Q16">
        <v>1.4342379999999999</v>
      </c>
      <c r="R16">
        <v>8.9899999999999995E-4</v>
      </c>
      <c r="S16">
        <v>0</v>
      </c>
      <c r="T16">
        <v>0</v>
      </c>
    </row>
    <row r="17" spans="1:20" x14ac:dyDescent="0.3">
      <c r="A17" t="s">
        <v>24</v>
      </c>
      <c r="B17" t="s">
        <v>25</v>
      </c>
      <c r="C17" s="1">
        <v>45140.828865740739</v>
      </c>
      <c r="D17">
        <v>40.431246999999999</v>
      </c>
      <c r="E17">
        <v>5.1289000000000001E-2</v>
      </c>
      <c r="F17">
        <v>2.1699619999999999</v>
      </c>
      <c r="G17">
        <v>5.1840000000000002E-3</v>
      </c>
      <c r="H17">
        <v>12653.165616</v>
      </c>
      <c r="I17">
        <v>28.592791999999999</v>
      </c>
      <c r="J17">
        <v>509.92184099999997</v>
      </c>
      <c r="K17">
        <v>8.2992179999999998</v>
      </c>
      <c r="L17">
        <v>2.1700000000000001E-2</v>
      </c>
      <c r="M17">
        <v>1062.865912</v>
      </c>
      <c r="N17">
        <v>2.4017949999999999</v>
      </c>
      <c r="O17">
        <v>447.38404100000002</v>
      </c>
      <c r="P17">
        <v>0.56752400000000003</v>
      </c>
      <c r="Q17">
        <v>0.390795</v>
      </c>
      <c r="R17">
        <v>9.3400000000000004E-4</v>
      </c>
      <c r="S17">
        <v>0</v>
      </c>
      <c r="T17">
        <v>0</v>
      </c>
    </row>
    <row r="18" spans="1:20" x14ac:dyDescent="0.3">
      <c r="A18" t="s">
        <v>2</v>
      </c>
      <c r="B18" t="s">
        <v>26</v>
      </c>
      <c r="C18" s="1">
        <v>45140.875740740739</v>
      </c>
      <c r="D18">
        <v>1.787069</v>
      </c>
      <c r="E18">
        <v>2.0010000000000002E-3</v>
      </c>
      <c r="F18">
        <v>0.206706</v>
      </c>
      <c r="G18">
        <v>1.8100000000000001E-4</v>
      </c>
      <c r="H18">
        <v>6246.7747419999996</v>
      </c>
      <c r="I18">
        <v>7.7175440000000002</v>
      </c>
      <c r="J18">
        <v>509.78491200000002</v>
      </c>
      <c r="K18">
        <v>8.2978489999999994</v>
      </c>
      <c r="L18">
        <v>0.627</v>
      </c>
      <c r="M18">
        <v>524.72907799999996</v>
      </c>
      <c r="N18">
        <v>0.64827400000000002</v>
      </c>
      <c r="O18">
        <v>571.21020699999997</v>
      </c>
      <c r="P18">
        <v>0.639486</v>
      </c>
      <c r="Q18">
        <v>1.0754379999999999</v>
      </c>
      <c r="R18">
        <v>9.3999999999999997E-4</v>
      </c>
      <c r="S18">
        <v>0</v>
      </c>
      <c r="T18">
        <v>0</v>
      </c>
    </row>
    <row r="19" spans="1:20" x14ac:dyDescent="0.3">
      <c r="A19" t="s">
        <v>2</v>
      </c>
      <c r="B19" t="s">
        <v>27</v>
      </c>
      <c r="C19" s="1">
        <v>45140.945381944446</v>
      </c>
      <c r="D19">
        <v>2.7137999999999999E-2</v>
      </c>
      <c r="E19">
        <v>2.3900000000000001E-4</v>
      </c>
      <c r="F19">
        <v>0.21143400000000001</v>
      </c>
      <c r="G19">
        <v>1.7799999999999999E-4</v>
      </c>
      <c r="H19">
        <v>93.118555000000001</v>
      </c>
      <c r="I19">
        <v>0.75001899999999999</v>
      </c>
      <c r="J19">
        <v>509.77999399999999</v>
      </c>
      <c r="K19">
        <v>8.2978000000000005</v>
      </c>
      <c r="L19">
        <v>0.627</v>
      </c>
      <c r="M19">
        <v>7.8219589999999997</v>
      </c>
      <c r="N19">
        <v>6.3002000000000002E-2</v>
      </c>
      <c r="O19">
        <v>8.6741189999999992</v>
      </c>
      <c r="P19">
        <v>7.6516000000000001E-2</v>
      </c>
      <c r="Q19">
        <v>1.1000319999999999</v>
      </c>
      <c r="R19">
        <v>9.2800000000000001E-4</v>
      </c>
      <c r="S19">
        <v>0</v>
      </c>
      <c r="T19">
        <v>0</v>
      </c>
    </row>
    <row r="20" spans="1:20" x14ac:dyDescent="0.3">
      <c r="A20" t="s">
        <v>28</v>
      </c>
      <c r="B20" t="s">
        <v>29</v>
      </c>
      <c r="C20" s="1">
        <v>45141.016203703701</v>
      </c>
      <c r="D20">
        <v>5.4862229999999998</v>
      </c>
      <c r="E20">
        <v>3.3019999999999998E-3</v>
      </c>
      <c r="F20">
        <v>0.73153599999999996</v>
      </c>
      <c r="G20">
        <v>1.7799999999999999E-4</v>
      </c>
      <c r="H20">
        <v>5478.16266</v>
      </c>
      <c r="I20">
        <v>3.4876070000000001</v>
      </c>
      <c r="J20">
        <v>509.23930000000001</v>
      </c>
      <c r="K20">
        <v>8.2923930000000006</v>
      </c>
      <c r="L20">
        <v>0.627</v>
      </c>
      <c r="M20">
        <v>460.165663</v>
      </c>
      <c r="N20">
        <v>0.29295900000000002</v>
      </c>
      <c r="O20">
        <v>1751.7129299999999</v>
      </c>
      <c r="P20">
        <v>1.054271</v>
      </c>
      <c r="Q20">
        <v>3.8034979999999998</v>
      </c>
      <c r="R20">
        <v>9.2299999999999999E-4</v>
      </c>
      <c r="S20">
        <v>0</v>
      </c>
      <c r="T20">
        <v>0</v>
      </c>
    </row>
    <row r="21" spans="1:20" x14ac:dyDescent="0.3">
      <c r="A21" t="s">
        <v>30</v>
      </c>
      <c r="B21" t="s">
        <v>31</v>
      </c>
      <c r="C21" s="1">
        <v>45141.045324074075</v>
      </c>
      <c r="D21">
        <v>0.82106900000000005</v>
      </c>
      <c r="E21">
        <v>1.0349999999999999E-3</v>
      </c>
      <c r="F21">
        <v>35.973894999999999</v>
      </c>
      <c r="G21">
        <v>3.9599999999999998E-4</v>
      </c>
      <c r="H21">
        <v>16.476099999999999</v>
      </c>
      <c r="I21">
        <v>2.1382999999999999E-2</v>
      </c>
      <c r="J21">
        <v>470</v>
      </c>
      <c r="K21">
        <v>7.75</v>
      </c>
      <c r="L21">
        <v>1</v>
      </c>
      <c r="M21">
        <v>1.3839920000000001</v>
      </c>
      <c r="N21">
        <v>1.7960000000000001E-3</v>
      </c>
      <c r="O21">
        <v>385.90249</v>
      </c>
      <c r="P21">
        <v>0.48662100000000003</v>
      </c>
      <c r="Q21">
        <v>278.797685</v>
      </c>
      <c r="R21">
        <v>3.0709999999999999E-3</v>
      </c>
      <c r="S21">
        <v>0</v>
      </c>
      <c r="T21">
        <v>0</v>
      </c>
    </row>
    <row r="22" spans="1:20" x14ac:dyDescent="0.3">
      <c r="A22" t="s">
        <v>2</v>
      </c>
      <c r="B22" t="s">
        <v>32</v>
      </c>
      <c r="C22" s="1">
        <v>45141.074537037035</v>
      </c>
      <c r="D22">
        <v>0.32181999999999999</v>
      </c>
      <c r="E22">
        <v>8.5400000000000005E-4</v>
      </c>
      <c r="F22">
        <v>0.20255200000000001</v>
      </c>
      <c r="G22">
        <v>1.6000000000000001E-4</v>
      </c>
      <c r="H22">
        <v>1147.5541619999999</v>
      </c>
      <c r="I22">
        <v>2.7915169999999998</v>
      </c>
      <c r="J22">
        <v>509.78923400000002</v>
      </c>
      <c r="K22">
        <v>8.2978919999999992</v>
      </c>
      <c r="L22">
        <v>0.627</v>
      </c>
      <c r="M22">
        <v>96.394549999999995</v>
      </c>
      <c r="N22">
        <v>0.234487</v>
      </c>
      <c r="O22">
        <v>102.86593499999999</v>
      </c>
      <c r="P22">
        <v>0.27307300000000001</v>
      </c>
      <c r="Q22">
        <v>1.053831</v>
      </c>
      <c r="R22">
        <v>8.3000000000000001E-4</v>
      </c>
      <c r="S22">
        <v>0</v>
      </c>
      <c r="T22">
        <v>0</v>
      </c>
    </row>
    <row r="23" spans="1:20" x14ac:dyDescent="0.3">
      <c r="A23" t="s">
        <v>2</v>
      </c>
      <c r="B23" t="s">
        <v>33</v>
      </c>
      <c r="C23" s="1">
        <v>45141.145046296297</v>
      </c>
      <c r="D23">
        <v>6.8120000000000003E-3</v>
      </c>
      <c r="E23">
        <v>1.37E-4</v>
      </c>
      <c r="F23">
        <v>0.19572600000000001</v>
      </c>
      <c r="G23">
        <v>1.8000000000000001E-4</v>
      </c>
      <c r="H23">
        <v>24.860977999999999</v>
      </c>
      <c r="I23">
        <v>0.45352500000000001</v>
      </c>
      <c r="J23">
        <v>509.796335</v>
      </c>
      <c r="K23">
        <v>8.2979629999999993</v>
      </c>
      <c r="L23">
        <v>0.627</v>
      </c>
      <c r="M23">
        <v>2.0883219999999998</v>
      </c>
      <c r="N23">
        <v>3.8095999999999998E-2</v>
      </c>
      <c r="O23">
        <v>2.1774900000000001</v>
      </c>
      <c r="P23">
        <v>4.3704E-2</v>
      </c>
      <c r="Q23">
        <v>1.0183260000000001</v>
      </c>
      <c r="R23">
        <v>9.3700000000000001E-4</v>
      </c>
      <c r="S23">
        <v>0</v>
      </c>
      <c r="T23">
        <v>0</v>
      </c>
    </row>
    <row r="24" spans="1:20" x14ac:dyDescent="0.3">
      <c r="A24" t="s">
        <v>34</v>
      </c>
      <c r="B24" t="s">
        <v>35</v>
      </c>
      <c r="C24" s="1">
        <v>45141.419930555552</v>
      </c>
      <c r="D24">
        <v>1.869E-3</v>
      </c>
      <c r="E24">
        <v>6.9999999999999994E-5</v>
      </c>
      <c r="F24">
        <v>0.32341399999999998</v>
      </c>
      <c r="G24">
        <v>1.8100000000000001E-4</v>
      </c>
      <c r="H24">
        <v>4.1780790000000003</v>
      </c>
      <c r="I24">
        <v>0.14774300000000001</v>
      </c>
      <c r="J24">
        <v>509.663521</v>
      </c>
      <c r="K24">
        <v>8.2966350000000002</v>
      </c>
      <c r="L24">
        <v>0.627</v>
      </c>
      <c r="M24">
        <v>0.35095900000000002</v>
      </c>
      <c r="N24">
        <v>1.2409999999999999E-2</v>
      </c>
      <c r="O24">
        <v>0.59714500000000004</v>
      </c>
      <c r="P24">
        <v>2.2428E-2</v>
      </c>
      <c r="Q24">
        <v>1.6823939999999999</v>
      </c>
      <c r="R24">
        <v>9.4300000000000004E-4</v>
      </c>
      <c r="S24">
        <v>0</v>
      </c>
      <c r="T24">
        <v>0</v>
      </c>
    </row>
    <row r="25" spans="1:20" x14ac:dyDescent="0.3">
      <c r="A25" t="s">
        <v>36</v>
      </c>
      <c r="B25" t="s">
        <v>37</v>
      </c>
      <c r="C25" s="1">
        <v>45141.477280092593</v>
      </c>
      <c r="D25">
        <v>5.2604649999999999</v>
      </c>
      <c r="E25">
        <v>3.594E-3</v>
      </c>
      <c r="F25">
        <v>1.5281389999999999</v>
      </c>
      <c r="G25">
        <v>1.92E-4</v>
      </c>
      <c r="H25">
        <v>2515.7184400000001</v>
      </c>
      <c r="I25">
        <v>1.761493</v>
      </c>
      <c r="J25">
        <v>508.41252400000002</v>
      </c>
      <c r="K25">
        <v>8.2841249999999995</v>
      </c>
      <c r="L25">
        <v>0.627</v>
      </c>
      <c r="M25">
        <v>211.32034899999999</v>
      </c>
      <c r="N25">
        <v>0.14796500000000001</v>
      </c>
      <c r="O25">
        <v>1676.902934</v>
      </c>
      <c r="P25">
        <v>1.1456280000000001</v>
      </c>
      <c r="Q25">
        <v>7.937379</v>
      </c>
      <c r="R25">
        <v>9.9599999999999992E-4</v>
      </c>
      <c r="S25">
        <v>0</v>
      </c>
      <c r="T25">
        <v>0</v>
      </c>
    </row>
    <row r="26" spans="1:20" x14ac:dyDescent="0.3">
      <c r="A26" t="s">
        <v>38</v>
      </c>
      <c r="B26" t="s">
        <v>39</v>
      </c>
      <c r="C26" s="1">
        <v>45141.534675925926</v>
      </c>
      <c r="D26">
        <v>1.4389000000000001E-2</v>
      </c>
      <c r="E26">
        <v>1.8599999999999999E-4</v>
      </c>
      <c r="F26">
        <v>0.25843699999999997</v>
      </c>
      <c r="G26">
        <v>1.7799999999999999E-4</v>
      </c>
      <c r="H26">
        <v>40.645749000000002</v>
      </c>
      <c r="I26">
        <v>0.49657400000000002</v>
      </c>
      <c r="J26">
        <v>509.73110100000002</v>
      </c>
      <c r="K26">
        <v>8.2973110000000005</v>
      </c>
      <c r="L26">
        <v>0.627</v>
      </c>
      <c r="M26">
        <v>3.4142429999999999</v>
      </c>
      <c r="N26">
        <v>4.1711999999999999E-2</v>
      </c>
      <c r="O26">
        <v>4.5989000000000004</v>
      </c>
      <c r="P26">
        <v>5.9544E-2</v>
      </c>
      <c r="Q26">
        <v>1.3444940000000001</v>
      </c>
      <c r="R26">
        <v>9.2599999999999996E-4</v>
      </c>
      <c r="S26">
        <v>0</v>
      </c>
      <c r="T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612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Thyer</cp:lastModifiedBy>
  <dcterms:created xsi:type="dcterms:W3CDTF">2023-08-14T16:39:36Z</dcterms:created>
  <dcterms:modified xsi:type="dcterms:W3CDTF">2023-11-15T22:18:34Z</dcterms:modified>
</cp:coreProperties>
</file>