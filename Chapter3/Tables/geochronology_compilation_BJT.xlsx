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3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_Repositories\DissertationBJT\Chapter3\Tables\"/>
    </mc:Choice>
  </mc:AlternateContent>
  <xr:revisionPtr revIDLastSave="0" documentId="13_ncr:1_{79D38343-6007-48FA-B59E-8318E0DB1DD6}" xr6:coauthVersionLast="47" xr6:coauthVersionMax="47" xr10:uidLastSave="{00000000-0000-0000-0000-000000000000}"/>
  <bookViews>
    <workbookView xWindow="28680" yWindow="-3045" windowWidth="29040" windowHeight="15720" activeTab="6" xr2:uid="{00000000-000D-0000-FFFF-FFFF00000000}"/>
  </bookViews>
  <sheets>
    <sheet name="Data" sheetId="1" r:id="rId1"/>
    <sheet name="plots" sheetId="5" r:id="rId2"/>
    <sheet name="Sheet1" sheetId="4" r:id="rId3"/>
    <sheet name="KiddCreekDistilled" sheetId="6" r:id="rId4"/>
    <sheet name="FranklinDistilled" sheetId="7" r:id="rId5"/>
    <sheet name="FranklinFluoriteDistilled" sheetId="8" r:id="rId6"/>
    <sheet name="DurangoDistilled" sheetId="9" r:id="rId7"/>
    <sheet name="GympieDistilled" sheetId="10" r:id="rId8"/>
    <sheet name="Sheet7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9" i="1" l="1"/>
  <c r="T99" i="1"/>
  <c r="AX7" i="1" l="1"/>
  <c r="AY9" i="1"/>
  <c r="AC65" i="1" l="1"/>
  <c r="AB65" i="1"/>
  <c r="AB66" i="1" s="1"/>
  <c r="F65" i="1"/>
  <c r="AT7" i="1"/>
  <c r="AT8" i="1"/>
  <c r="AT9" i="1"/>
  <c r="AT10" i="1"/>
  <c r="AT11" i="1"/>
  <c r="AT12" i="1"/>
  <c r="AT13" i="1"/>
  <c r="AT14" i="1"/>
  <c r="L94" i="1"/>
  <c r="L90" i="1"/>
  <c r="L78" i="1"/>
  <c r="L77" i="1"/>
  <c r="L74" i="1"/>
  <c r="L68" i="1"/>
  <c r="L55" i="1"/>
  <c r="L56" i="1"/>
  <c r="L63" i="1"/>
  <c r="L64" i="1"/>
  <c r="L39" i="1"/>
  <c r="L41" i="1"/>
  <c r="L47" i="1"/>
  <c r="L24" i="1"/>
  <c r="L7" i="1"/>
  <c r="L8" i="1"/>
  <c r="L3" i="1"/>
  <c r="AL3" i="4"/>
  <c r="G65" i="1"/>
  <c r="U65" i="1"/>
  <c r="T65" i="1"/>
  <c r="O5" i="4"/>
  <c r="AM7" i="4"/>
  <c r="AM6" i="4"/>
  <c r="AM5" i="4"/>
  <c r="AM4" i="4"/>
  <c r="AM3" i="4"/>
  <c r="AL7" i="4"/>
  <c r="AL6" i="4"/>
  <c r="AL5" i="4"/>
  <c r="AL4" i="4"/>
  <c r="AG7" i="4"/>
  <c r="AF7" i="4"/>
  <c r="AE7" i="4"/>
  <c r="AD7" i="4"/>
  <c r="AC7" i="4"/>
  <c r="AB7" i="4"/>
  <c r="K7" i="4"/>
  <c r="O7" i="4" s="1"/>
  <c r="Q7" i="4" s="1"/>
  <c r="J7" i="4"/>
  <c r="N7" i="4" s="1"/>
  <c r="P7" i="4" s="1"/>
  <c r="E7" i="4"/>
  <c r="C7" i="4"/>
  <c r="AG6" i="4"/>
  <c r="AF6" i="4"/>
  <c r="AE6" i="4"/>
  <c r="AD6" i="4"/>
  <c r="AC6" i="4"/>
  <c r="AB6" i="4"/>
  <c r="D6" i="4" s="1"/>
  <c r="K6" i="4"/>
  <c r="O6" i="4" s="1"/>
  <c r="Q6" i="4" s="1"/>
  <c r="J6" i="4"/>
  <c r="N6" i="4" s="1"/>
  <c r="P6" i="4" s="1"/>
  <c r="C6" i="4"/>
  <c r="AG5" i="4"/>
  <c r="AF5" i="4"/>
  <c r="AE5" i="4"/>
  <c r="AD5" i="4"/>
  <c r="D5" i="4" s="1"/>
  <c r="AC5" i="4"/>
  <c r="AB5" i="4"/>
  <c r="K5" i="4"/>
  <c r="Q5" i="4" s="1"/>
  <c r="J5" i="4"/>
  <c r="N5" i="4" s="1"/>
  <c r="P5" i="4" s="1"/>
  <c r="E5" i="4"/>
  <c r="C5" i="4"/>
  <c r="AG4" i="4"/>
  <c r="AF4" i="4"/>
  <c r="AE4" i="4"/>
  <c r="AD4" i="4"/>
  <c r="AC4" i="4"/>
  <c r="AB4" i="4"/>
  <c r="K4" i="4"/>
  <c r="O4" i="4" s="1"/>
  <c r="Q4" i="4" s="1"/>
  <c r="J4" i="4"/>
  <c r="N4" i="4" s="1"/>
  <c r="P4" i="4" s="1"/>
  <c r="E4" i="4"/>
  <c r="C4" i="4"/>
  <c r="AG3" i="4"/>
  <c r="AF3" i="4"/>
  <c r="AE3" i="4"/>
  <c r="AD3" i="4"/>
  <c r="AC3" i="4"/>
  <c r="AB3" i="4"/>
  <c r="K3" i="4"/>
  <c r="O3" i="4" s="1"/>
  <c r="Q3" i="4" s="1"/>
  <c r="J3" i="4"/>
  <c r="N3" i="4" s="1"/>
  <c r="P3" i="4" s="1"/>
  <c r="E3" i="4"/>
  <c r="C3" i="4"/>
  <c r="AC47" i="1"/>
  <c r="AB47" i="1"/>
  <c r="T47" i="1"/>
  <c r="U47" i="1"/>
  <c r="AZ52" i="1"/>
  <c r="AZ51" i="1"/>
  <c r="AZ50" i="1"/>
  <c r="AZ49" i="1"/>
  <c r="CA88" i="1"/>
  <c r="CA87" i="1"/>
  <c r="BY87" i="1"/>
  <c r="K97" i="1"/>
  <c r="Q97" i="1" s="1"/>
  <c r="S97" i="1" s="1"/>
  <c r="J97" i="1"/>
  <c r="P97" i="1" s="1"/>
  <c r="R97" i="1" s="1"/>
  <c r="K96" i="1"/>
  <c r="Q96" i="1" s="1"/>
  <c r="S96" i="1" s="1"/>
  <c r="J96" i="1"/>
  <c r="P96" i="1" s="1"/>
  <c r="R96" i="1" s="1"/>
  <c r="K95" i="1"/>
  <c r="Q95" i="1" s="1"/>
  <c r="J95" i="1"/>
  <c r="X95" i="1" s="1"/>
  <c r="Z95" i="1" s="1"/>
  <c r="K94" i="1"/>
  <c r="Q94" i="1" s="1"/>
  <c r="S94" i="1" s="1"/>
  <c r="J94" i="1"/>
  <c r="X94" i="1" s="1"/>
  <c r="Z94" i="1" s="1"/>
  <c r="K93" i="1"/>
  <c r="Q93" i="1" s="1"/>
  <c r="S93" i="1" s="1"/>
  <c r="J93" i="1"/>
  <c r="X93" i="1" s="1"/>
  <c r="Z93" i="1" s="1"/>
  <c r="K92" i="1"/>
  <c r="Q92" i="1" s="1"/>
  <c r="S92" i="1" s="1"/>
  <c r="J92" i="1"/>
  <c r="P92" i="1" s="1"/>
  <c r="R92" i="1" s="1"/>
  <c r="K91" i="1"/>
  <c r="J91" i="1"/>
  <c r="P91" i="1" s="1"/>
  <c r="R91" i="1" s="1"/>
  <c r="K90" i="1"/>
  <c r="Q90" i="1" s="1"/>
  <c r="S90" i="1" s="1"/>
  <c r="J90" i="1"/>
  <c r="P90" i="1" s="1"/>
  <c r="K89" i="1"/>
  <c r="Q89" i="1" s="1"/>
  <c r="S89" i="1" s="1"/>
  <c r="J89" i="1"/>
  <c r="P89" i="1" s="1"/>
  <c r="K87" i="1"/>
  <c r="Q87" i="1" s="1"/>
  <c r="J87" i="1"/>
  <c r="P87" i="1" s="1"/>
  <c r="R87" i="1" s="1"/>
  <c r="K85" i="1"/>
  <c r="J85" i="1"/>
  <c r="K84" i="1"/>
  <c r="Q84" i="1" s="1"/>
  <c r="S84" i="1" s="1"/>
  <c r="J84" i="1"/>
  <c r="X84" i="1" s="1"/>
  <c r="K83" i="1"/>
  <c r="Q83" i="1" s="1"/>
  <c r="J83" i="1"/>
  <c r="P83" i="1" s="1"/>
  <c r="R83" i="1" s="1"/>
  <c r="K82" i="1"/>
  <c r="Q82" i="1" s="1"/>
  <c r="S82" i="1" s="1"/>
  <c r="J82" i="1"/>
  <c r="X82" i="1" s="1"/>
  <c r="Z82" i="1" s="1"/>
  <c r="K81" i="1"/>
  <c r="Q81" i="1" s="1"/>
  <c r="S81" i="1" s="1"/>
  <c r="J81" i="1"/>
  <c r="P81" i="1" s="1"/>
  <c r="R81" i="1" s="1"/>
  <c r="K79" i="1"/>
  <c r="J79" i="1"/>
  <c r="K78" i="1"/>
  <c r="J78" i="1"/>
  <c r="K77" i="1"/>
  <c r="Q77" i="1" s="1"/>
  <c r="S77" i="1" s="1"/>
  <c r="J77" i="1"/>
  <c r="P77" i="1" s="1"/>
  <c r="R77" i="1" s="1"/>
  <c r="K75" i="1"/>
  <c r="Q75" i="1" s="1"/>
  <c r="J75" i="1"/>
  <c r="P75" i="1" s="1"/>
  <c r="R75" i="1" s="1"/>
  <c r="K74" i="1"/>
  <c r="Q74" i="1" s="1"/>
  <c r="J74" i="1"/>
  <c r="P74" i="1" s="1"/>
  <c r="K73" i="1"/>
  <c r="Q73" i="1" s="1"/>
  <c r="S73" i="1" s="1"/>
  <c r="J73" i="1"/>
  <c r="P73" i="1" s="1"/>
  <c r="R73" i="1" s="1"/>
  <c r="K72" i="1"/>
  <c r="Q72" i="1" s="1"/>
  <c r="S72" i="1" s="1"/>
  <c r="J72" i="1"/>
  <c r="X72" i="1" s="1"/>
  <c r="K71" i="1"/>
  <c r="Q71" i="1" s="1"/>
  <c r="J71" i="1"/>
  <c r="X71" i="1" s="1"/>
  <c r="Z71" i="1" s="1"/>
  <c r="K70" i="1"/>
  <c r="J70" i="1"/>
  <c r="P70" i="1" s="1"/>
  <c r="K69" i="1"/>
  <c r="Q69" i="1" s="1"/>
  <c r="S69" i="1" s="1"/>
  <c r="J69" i="1"/>
  <c r="X69" i="1" s="1"/>
  <c r="Z69" i="1" s="1"/>
  <c r="K68" i="1"/>
  <c r="Q68" i="1" s="1"/>
  <c r="S68" i="1" s="1"/>
  <c r="J68" i="1"/>
  <c r="P68" i="1" s="1"/>
  <c r="R68" i="1" s="1"/>
  <c r="K65" i="1"/>
  <c r="J65" i="1"/>
  <c r="K64" i="1"/>
  <c r="Q64" i="1" s="1"/>
  <c r="S64" i="1" s="1"/>
  <c r="J64" i="1"/>
  <c r="P64" i="1" s="1"/>
  <c r="R64" i="1" s="1"/>
  <c r="K63" i="1"/>
  <c r="Q63" i="1" s="1"/>
  <c r="S63" i="1" s="1"/>
  <c r="J63" i="1"/>
  <c r="P63" i="1" s="1"/>
  <c r="R63" i="1" s="1"/>
  <c r="K62" i="1"/>
  <c r="Q62" i="1" s="1"/>
  <c r="S62" i="1" s="1"/>
  <c r="J62" i="1"/>
  <c r="P62" i="1" s="1"/>
  <c r="R62" i="1" s="1"/>
  <c r="K61" i="1"/>
  <c r="Q61" i="1" s="1"/>
  <c r="S61" i="1" s="1"/>
  <c r="J61" i="1"/>
  <c r="X61" i="1" s="1"/>
  <c r="Z61" i="1" s="1"/>
  <c r="K60" i="1"/>
  <c r="Q60" i="1" s="1"/>
  <c r="S60" i="1" s="1"/>
  <c r="J60" i="1"/>
  <c r="X60" i="1" s="1"/>
  <c r="Z60" i="1" s="1"/>
  <c r="K59" i="1"/>
  <c r="Q59" i="1" s="1"/>
  <c r="S59" i="1" s="1"/>
  <c r="J59" i="1"/>
  <c r="X59" i="1" s="1"/>
  <c r="Z59" i="1" s="1"/>
  <c r="K58" i="1"/>
  <c r="J58" i="1"/>
  <c r="P58" i="1" s="1"/>
  <c r="R58" i="1" s="1"/>
  <c r="K57" i="1"/>
  <c r="Q57" i="1" s="1"/>
  <c r="S57" i="1" s="1"/>
  <c r="J57" i="1"/>
  <c r="P57" i="1" s="1"/>
  <c r="K56" i="1"/>
  <c r="Q56" i="1" s="1"/>
  <c r="S56" i="1" s="1"/>
  <c r="J56" i="1"/>
  <c r="P56" i="1" s="1"/>
  <c r="R56" i="1" s="1"/>
  <c r="K55" i="1"/>
  <c r="Q55" i="1" s="1"/>
  <c r="S55" i="1" s="1"/>
  <c r="J55" i="1"/>
  <c r="P55" i="1" s="1"/>
  <c r="R55" i="1" s="1"/>
  <c r="K54" i="1"/>
  <c r="J54" i="1"/>
  <c r="P54" i="1" s="1"/>
  <c r="R54" i="1" s="1"/>
  <c r="K53" i="1"/>
  <c r="Q53" i="1" s="1"/>
  <c r="S53" i="1" s="1"/>
  <c r="J53" i="1"/>
  <c r="X53" i="1" s="1"/>
  <c r="Z53" i="1" s="1"/>
  <c r="K52" i="1"/>
  <c r="Q52" i="1" s="1"/>
  <c r="S52" i="1" s="1"/>
  <c r="J52" i="1"/>
  <c r="X52" i="1" s="1"/>
  <c r="Z52" i="1" s="1"/>
  <c r="K51" i="1"/>
  <c r="Q51" i="1" s="1"/>
  <c r="S51" i="1" s="1"/>
  <c r="J51" i="1"/>
  <c r="X51" i="1" s="1"/>
  <c r="Z51" i="1" s="1"/>
  <c r="K50" i="1"/>
  <c r="J50" i="1"/>
  <c r="P50" i="1" s="1"/>
  <c r="R50" i="1" s="1"/>
  <c r="K49" i="1"/>
  <c r="Q49" i="1" s="1"/>
  <c r="S49" i="1" s="1"/>
  <c r="J49" i="1"/>
  <c r="P49" i="1" s="1"/>
  <c r="K47" i="1"/>
  <c r="J47" i="1"/>
  <c r="X47" i="1" s="1"/>
  <c r="K46" i="1"/>
  <c r="Q46" i="1" s="1"/>
  <c r="S46" i="1" s="1"/>
  <c r="J46" i="1"/>
  <c r="P46" i="1" s="1"/>
  <c r="R46" i="1" s="1"/>
  <c r="K45" i="1"/>
  <c r="Q45" i="1" s="1"/>
  <c r="J45" i="1"/>
  <c r="X45" i="1" s="1"/>
  <c r="Z45" i="1" s="1"/>
  <c r="K44" i="1"/>
  <c r="Q44" i="1" s="1"/>
  <c r="S44" i="1" s="1"/>
  <c r="J44" i="1"/>
  <c r="P44" i="1" s="1"/>
  <c r="R44" i="1" s="1"/>
  <c r="K43" i="1"/>
  <c r="Q43" i="1" s="1"/>
  <c r="S43" i="1" s="1"/>
  <c r="J43" i="1"/>
  <c r="X43" i="1" s="1"/>
  <c r="Z43" i="1" s="1"/>
  <c r="K42" i="1"/>
  <c r="Q42" i="1" s="1"/>
  <c r="S42" i="1" s="1"/>
  <c r="J42" i="1"/>
  <c r="X42" i="1" s="1"/>
  <c r="Z42" i="1" s="1"/>
  <c r="K41" i="1"/>
  <c r="J41" i="1"/>
  <c r="P41" i="1" s="1"/>
  <c r="K40" i="1"/>
  <c r="Q40" i="1" s="1"/>
  <c r="S40" i="1" s="1"/>
  <c r="J40" i="1"/>
  <c r="P40" i="1" s="1"/>
  <c r="R40" i="1" s="1"/>
  <c r="K39" i="1"/>
  <c r="Q39" i="1" s="1"/>
  <c r="S39" i="1" s="1"/>
  <c r="J39" i="1"/>
  <c r="P39" i="1" s="1"/>
  <c r="R39" i="1" s="1"/>
  <c r="K38" i="1"/>
  <c r="Q38" i="1" s="1"/>
  <c r="S38" i="1" s="1"/>
  <c r="J38" i="1"/>
  <c r="P38" i="1" s="1"/>
  <c r="R38" i="1" s="1"/>
  <c r="K37" i="1"/>
  <c r="J37" i="1"/>
  <c r="L37" i="1" s="1"/>
  <c r="K36" i="1"/>
  <c r="Q36" i="1" s="1"/>
  <c r="S36" i="1" s="1"/>
  <c r="J36" i="1"/>
  <c r="P36" i="1" s="1"/>
  <c r="R36" i="1" s="1"/>
  <c r="K35" i="1"/>
  <c r="Q35" i="1" s="1"/>
  <c r="S35" i="1" s="1"/>
  <c r="J35" i="1"/>
  <c r="P35" i="1" s="1"/>
  <c r="R35" i="1" s="1"/>
  <c r="K34" i="1"/>
  <c r="Q34" i="1" s="1"/>
  <c r="S34" i="1" s="1"/>
  <c r="J34" i="1"/>
  <c r="P34" i="1" s="1"/>
  <c r="R34" i="1" s="1"/>
  <c r="K33" i="1"/>
  <c r="Q33" i="1" s="1"/>
  <c r="J33" i="1"/>
  <c r="P33" i="1" s="1"/>
  <c r="K31" i="1"/>
  <c r="Q31" i="1" s="1"/>
  <c r="S31" i="1" s="1"/>
  <c r="J31" i="1"/>
  <c r="P31" i="1" s="1"/>
  <c r="R31" i="1" s="1"/>
  <c r="K30" i="1"/>
  <c r="Q30" i="1" s="1"/>
  <c r="S30" i="1" s="1"/>
  <c r="J30" i="1"/>
  <c r="P30" i="1" s="1"/>
  <c r="R30" i="1" s="1"/>
  <c r="K28" i="1"/>
  <c r="Q28" i="1" s="1"/>
  <c r="S28" i="1" s="1"/>
  <c r="J28" i="1"/>
  <c r="P28" i="1" s="1"/>
  <c r="R28" i="1" s="1"/>
  <c r="K27" i="1"/>
  <c r="Q27" i="1" s="1"/>
  <c r="S27" i="1" s="1"/>
  <c r="J27" i="1"/>
  <c r="P27" i="1" s="1"/>
  <c r="R27" i="1" s="1"/>
  <c r="K26" i="1"/>
  <c r="Q26" i="1" s="1"/>
  <c r="J26" i="1"/>
  <c r="P26" i="1" s="1"/>
  <c r="R26" i="1" s="1"/>
  <c r="K25" i="1"/>
  <c r="Q25" i="1" s="1"/>
  <c r="S25" i="1" s="1"/>
  <c r="J25" i="1"/>
  <c r="L25" i="1" s="1"/>
  <c r="K24" i="1"/>
  <c r="Q24" i="1" s="1"/>
  <c r="S24" i="1" s="1"/>
  <c r="J24" i="1"/>
  <c r="P24" i="1" s="1"/>
  <c r="R24" i="1" s="1"/>
  <c r="K22" i="1"/>
  <c r="Q22" i="1" s="1"/>
  <c r="J22" i="1"/>
  <c r="P22" i="1" s="1"/>
  <c r="R22" i="1" s="1"/>
  <c r="K21" i="1"/>
  <c r="J21" i="1"/>
  <c r="P21" i="1" s="1"/>
  <c r="K20" i="1"/>
  <c r="Q20" i="1" s="1"/>
  <c r="S20" i="1" s="1"/>
  <c r="J20" i="1"/>
  <c r="P20" i="1" s="1"/>
  <c r="R20" i="1" s="1"/>
  <c r="K19" i="1"/>
  <c r="Q19" i="1" s="1"/>
  <c r="S19" i="1" s="1"/>
  <c r="J19" i="1"/>
  <c r="P19" i="1" s="1"/>
  <c r="R19" i="1" s="1"/>
  <c r="K14" i="1"/>
  <c r="J14" i="1"/>
  <c r="P14" i="1" s="1"/>
  <c r="R14" i="1" s="1"/>
  <c r="K13" i="1"/>
  <c r="Q13" i="1" s="1"/>
  <c r="J13" i="1"/>
  <c r="X13" i="1" s="1"/>
  <c r="Z13" i="1" s="1"/>
  <c r="K12" i="1"/>
  <c r="Q12" i="1" s="1"/>
  <c r="S12" i="1" s="1"/>
  <c r="J12" i="1"/>
  <c r="P12" i="1" s="1"/>
  <c r="R12" i="1" s="1"/>
  <c r="K11" i="1"/>
  <c r="Q11" i="1" s="1"/>
  <c r="S11" i="1" s="1"/>
  <c r="J11" i="1"/>
  <c r="P11" i="1" s="1"/>
  <c r="R11" i="1" s="1"/>
  <c r="K10" i="1"/>
  <c r="Q10" i="1" s="1"/>
  <c r="J10" i="1"/>
  <c r="X10" i="1" s="1"/>
  <c r="Z10" i="1" s="1"/>
  <c r="K9" i="1"/>
  <c r="J9" i="1"/>
  <c r="P9" i="1" s="1"/>
  <c r="K8" i="1"/>
  <c r="Q8" i="1" s="1"/>
  <c r="S8" i="1" s="1"/>
  <c r="J8" i="1"/>
  <c r="X8" i="1" s="1"/>
  <c r="K7" i="1"/>
  <c r="Q7" i="1" s="1"/>
  <c r="S7" i="1" s="1"/>
  <c r="J7" i="1"/>
  <c r="P7" i="1" s="1"/>
  <c r="R7" i="1" s="1"/>
  <c r="K6" i="1"/>
  <c r="Q6" i="1" s="1"/>
  <c r="J6" i="1"/>
  <c r="P6" i="1" s="1"/>
  <c r="R6" i="1" s="1"/>
  <c r="K5" i="1"/>
  <c r="Q5" i="1" s="1"/>
  <c r="J5" i="1"/>
  <c r="P5" i="1" s="1"/>
  <c r="K4" i="1"/>
  <c r="Q4" i="1" s="1"/>
  <c r="S4" i="1" s="1"/>
  <c r="J4" i="1"/>
  <c r="P4" i="1" s="1"/>
  <c r="R4" i="1" s="1"/>
  <c r="K3" i="1"/>
  <c r="Q3" i="1" s="1"/>
  <c r="S3" i="1" s="1"/>
  <c r="J3" i="1"/>
  <c r="P3" i="1" s="1"/>
  <c r="R3" i="1" s="1"/>
  <c r="E84" i="1"/>
  <c r="E83" i="1"/>
  <c r="E82" i="1"/>
  <c r="E81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7" i="1"/>
  <c r="C87" i="1"/>
  <c r="C82" i="1"/>
  <c r="C84" i="1"/>
  <c r="C83" i="1"/>
  <c r="C81" i="1"/>
  <c r="E78" i="1"/>
  <c r="C78" i="1"/>
  <c r="E77" i="1"/>
  <c r="C77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1" i="1"/>
  <c r="E30" i="1"/>
  <c r="E28" i="1"/>
  <c r="E26" i="1"/>
  <c r="E25" i="1"/>
  <c r="E24" i="1"/>
  <c r="E18" i="1"/>
  <c r="E17" i="1"/>
  <c r="E16" i="1"/>
  <c r="E14" i="1"/>
  <c r="E13" i="1"/>
  <c r="E12" i="1"/>
  <c r="E11" i="1"/>
  <c r="E10" i="1"/>
  <c r="E9" i="1"/>
  <c r="E8" i="1"/>
  <c r="E7" i="1"/>
  <c r="E6" i="1"/>
  <c r="E5" i="1"/>
  <c r="E4" i="1"/>
  <c r="E3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1" i="1"/>
  <c r="C30" i="1"/>
  <c r="C28" i="1"/>
  <c r="C27" i="1"/>
  <c r="C26" i="1"/>
  <c r="C25" i="1"/>
  <c r="C24" i="1"/>
  <c r="C22" i="1"/>
  <c r="C21" i="1"/>
  <c r="C20" i="1"/>
  <c r="C19" i="1"/>
  <c r="C14" i="1"/>
  <c r="C13" i="1"/>
  <c r="C12" i="1"/>
  <c r="C11" i="1"/>
  <c r="C10" i="1"/>
  <c r="C9" i="1"/>
  <c r="C8" i="1"/>
  <c r="C7" i="1"/>
  <c r="C6" i="1"/>
  <c r="C5" i="1"/>
  <c r="C4" i="1"/>
  <c r="C3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Y97" i="1"/>
  <c r="AY96" i="1"/>
  <c r="AY95" i="1"/>
  <c r="AY94" i="1"/>
  <c r="AY93" i="1"/>
  <c r="AY92" i="1"/>
  <c r="AY91" i="1"/>
  <c r="AY84" i="1"/>
  <c r="AY82" i="1"/>
  <c r="AX82" i="1"/>
  <c r="AZ82" i="1" s="1"/>
  <c r="AX84" i="1"/>
  <c r="AZ84" i="1" s="1"/>
  <c r="AX97" i="1"/>
  <c r="AZ97" i="1" s="1"/>
  <c r="AX96" i="1"/>
  <c r="AZ96" i="1" s="1"/>
  <c r="AX95" i="1"/>
  <c r="AZ95" i="1" s="1"/>
  <c r="AX94" i="1"/>
  <c r="AZ94" i="1" s="1"/>
  <c r="AX93" i="1"/>
  <c r="AZ93" i="1" s="1"/>
  <c r="AX92" i="1"/>
  <c r="AZ92" i="1" s="1"/>
  <c r="AX91" i="1"/>
  <c r="AZ91" i="1" s="1"/>
  <c r="BA81" i="1"/>
  <c r="AY81" i="1" s="1"/>
  <c r="BA87" i="1"/>
  <c r="AY87" i="1" s="1"/>
  <c r="BA83" i="1"/>
  <c r="AY83" i="1" s="1"/>
  <c r="BA78" i="1"/>
  <c r="AY78" i="1" s="1"/>
  <c r="BA77" i="1"/>
  <c r="AX77" i="1" s="1"/>
  <c r="AZ77" i="1" s="1"/>
  <c r="BA75" i="1"/>
  <c r="AY75" i="1" s="1"/>
  <c r="BA74" i="1"/>
  <c r="AY74" i="1" s="1"/>
  <c r="BA73" i="1"/>
  <c r="AX73" i="1" s="1"/>
  <c r="AZ73" i="1" s="1"/>
  <c r="BA72" i="1"/>
  <c r="AX72" i="1" s="1"/>
  <c r="AZ72" i="1" s="1"/>
  <c r="BA71" i="1"/>
  <c r="AY71" i="1" s="1"/>
  <c r="BA70" i="1"/>
  <c r="AX70" i="1" s="1"/>
  <c r="AZ70" i="1" s="1"/>
  <c r="BA69" i="1"/>
  <c r="AY69" i="1" s="1"/>
  <c r="BA68" i="1"/>
  <c r="AX68" i="1" s="1"/>
  <c r="AZ68" i="1" s="1"/>
  <c r="BA64" i="1"/>
  <c r="AY64" i="1" s="1"/>
  <c r="BA63" i="1"/>
  <c r="AY63" i="1" s="1"/>
  <c r="BA62" i="1"/>
  <c r="AY62" i="1" s="1"/>
  <c r="BA61" i="1"/>
  <c r="AX61" i="1" s="1"/>
  <c r="AZ61" i="1" s="1"/>
  <c r="BA60" i="1"/>
  <c r="AY60" i="1" s="1"/>
  <c r="BA59" i="1"/>
  <c r="AX59" i="1" s="1"/>
  <c r="AZ59" i="1" s="1"/>
  <c r="BA58" i="1"/>
  <c r="AY58" i="1" s="1"/>
  <c r="BA57" i="1"/>
  <c r="AX57" i="1" s="1"/>
  <c r="AZ57" i="1" s="1"/>
  <c r="BA56" i="1"/>
  <c r="AY56" i="1" s="1"/>
  <c r="BA55" i="1"/>
  <c r="AX55" i="1" s="1"/>
  <c r="AZ55" i="1" s="1"/>
  <c r="BA54" i="1"/>
  <c r="AX54" i="1" s="1"/>
  <c r="AZ54" i="1" s="1"/>
  <c r="BA53" i="1"/>
  <c r="AX53" i="1" s="1"/>
  <c r="AZ53" i="1" s="1"/>
  <c r="BA52" i="1"/>
  <c r="BA51" i="1"/>
  <c r="BA50" i="1"/>
  <c r="BA49" i="1"/>
  <c r="BA14" i="1"/>
  <c r="AY14" i="1" s="1"/>
  <c r="BA13" i="1"/>
  <c r="AY13" i="1" s="1"/>
  <c r="BA12" i="1"/>
  <c r="AX12" i="1" s="1"/>
  <c r="AZ12" i="1" s="1"/>
  <c r="BA11" i="1"/>
  <c r="AX11" i="1" s="1"/>
  <c r="AZ11" i="1" s="1"/>
  <c r="BA10" i="1"/>
  <c r="AY10" i="1" s="1"/>
  <c r="BA9" i="1"/>
  <c r="AX9" i="1" s="1"/>
  <c r="AZ9" i="1" s="1"/>
  <c r="BA8" i="1"/>
  <c r="AY8" i="1" s="1"/>
  <c r="BA7" i="1"/>
  <c r="AZ7" i="1" s="1"/>
  <c r="L9" i="1" l="1"/>
  <c r="L21" i="1"/>
  <c r="L31" i="1"/>
  <c r="L49" i="1"/>
  <c r="L57" i="1"/>
  <c r="L22" i="1"/>
  <c r="L33" i="1"/>
  <c r="L40" i="1"/>
  <c r="L75" i="1"/>
  <c r="L91" i="1"/>
  <c r="L81" i="1"/>
  <c r="L92" i="1"/>
  <c r="L14" i="1"/>
  <c r="L6" i="1"/>
  <c r="L28" i="1"/>
  <c r="L46" i="1"/>
  <c r="L38" i="1"/>
  <c r="L62" i="1"/>
  <c r="L54" i="1"/>
  <c r="L73" i="1"/>
  <c r="L82" i="1"/>
  <c r="L93" i="1"/>
  <c r="L13" i="1"/>
  <c r="L5" i="1"/>
  <c r="L27" i="1"/>
  <c r="L45" i="1"/>
  <c r="L61" i="1"/>
  <c r="L53" i="1"/>
  <c r="L72" i="1"/>
  <c r="L83" i="1"/>
  <c r="L12" i="1"/>
  <c r="L4" i="1"/>
  <c r="L26" i="1"/>
  <c r="L44" i="1"/>
  <c r="L36" i="1"/>
  <c r="L60" i="1"/>
  <c r="L52" i="1"/>
  <c r="L71" i="1"/>
  <c r="L84" i="1"/>
  <c r="L95" i="1"/>
  <c r="X65" i="1"/>
  <c r="X66" i="1" s="1"/>
  <c r="L11" i="1"/>
  <c r="L19" i="1"/>
  <c r="L43" i="1"/>
  <c r="L35" i="1"/>
  <c r="L59" i="1"/>
  <c r="L51" i="1"/>
  <c r="L70" i="1"/>
  <c r="L87" i="1"/>
  <c r="L96" i="1"/>
  <c r="L10" i="1"/>
  <c r="L20" i="1"/>
  <c r="L30" i="1"/>
  <c r="L42" i="1"/>
  <c r="L34" i="1"/>
  <c r="L58" i="1"/>
  <c r="L50" i="1"/>
  <c r="L69" i="1"/>
  <c r="L89" i="1"/>
  <c r="L97" i="1"/>
  <c r="R47" i="1"/>
  <c r="R48" i="1" s="1"/>
  <c r="E47" i="1"/>
  <c r="C47" i="1"/>
  <c r="Q47" i="1"/>
  <c r="Q48" i="1" s="1"/>
  <c r="Z47" i="1"/>
  <c r="Z48" i="1" s="1"/>
  <c r="D3" i="4"/>
  <c r="D7" i="4"/>
  <c r="D4" i="4"/>
  <c r="Y47" i="1"/>
  <c r="Y48" i="1" s="1"/>
  <c r="Z65" i="1"/>
  <c r="Z66" i="1" s="1"/>
  <c r="Y8" i="1"/>
  <c r="AA8" i="1" s="1"/>
  <c r="R89" i="1"/>
  <c r="X64" i="1"/>
  <c r="Z64" i="1" s="1"/>
  <c r="P94" i="1"/>
  <c r="R94" i="1" s="1"/>
  <c r="Y72" i="1"/>
  <c r="AA72" i="1" s="1"/>
  <c r="AX58" i="1"/>
  <c r="AZ58" i="1" s="1"/>
  <c r="X40" i="1"/>
  <c r="Z40" i="1" s="1"/>
  <c r="P60" i="1"/>
  <c r="R60" i="1" s="1"/>
  <c r="X57" i="1"/>
  <c r="Z57" i="1" s="1"/>
  <c r="P61" i="1"/>
  <c r="R61" i="1" s="1"/>
  <c r="P13" i="1"/>
  <c r="R13" i="1" s="1"/>
  <c r="P95" i="1"/>
  <c r="R95" i="1" s="1"/>
  <c r="P52" i="1"/>
  <c r="R52" i="1" s="1"/>
  <c r="X31" i="1"/>
  <c r="Z31" i="1" s="1"/>
  <c r="P53" i="1"/>
  <c r="R53" i="1" s="1"/>
  <c r="AX78" i="1"/>
  <c r="AZ78" i="1" s="1"/>
  <c r="X9" i="1"/>
  <c r="Z9" i="1" s="1"/>
  <c r="X49" i="1"/>
  <c r="Z49" i="1" s="1"/>
  <c r="X68" i="1"/>
  <c r="Z68" i="1" s="1"/>
  <c r="X96" i="1"/>
  <c r="Z96" i="1" s="1"/>
  <c r="X50" i="1"/>
  <c r="Z50" i="1" s="1"/>
  <c r="X74" i="1"/>
  <c r="Z74" i="1" s="1"/>
  <c r="P71" i="1"/>
  <c r="R71" i="1" s="1"/>
  <c r="X92" i="1"/>
  <c r="Z92" i="1" s="1"/>
  <c r="AY68" i="1"/>
  <c r="X14" i="1"/>
  <c r="Z14" i="1" s="1"/>
  <c r="X54" i="1"/>
  <c r="Z54" i="1" s="1"/>
  <c r="X75" i="1"/>
  <c r="Z75" i="1" s="1"/>
  <c r="P72" i="1"/>
  <c r="R72" i="1" s="1"/>
  <c r="AY70" i="1"/>
  <c r="P82" i="1"/>
  <c r="R82" i="1" s="1"/>
  <c r="AX69" i="1"/>
  <c r="AZ69" i="1" s="1"/>
  <c r="X30" i="1"/>
  <c r="Z30" i="1" s="1"/>
  <c r="X56" i="1"/>
  <c r="Z56" i="1" s="1"/>
  <c r="X81" i="1"/>
  <c r="Y81" i="1" s="1"/>
  <c r="AA81" i="1" s="1"/>
  <c r="P10" i="1"/>
  <c r="R10" i="1" s="1"/>
  <c r="P43" i="1"/>
  <c r="R43" i="1" s="1"/>
  <c r="X58" i="1"/>
  <c r="Z58" i="1" s="1"/>
  <c r="X87" i="1"/>
  <c r="Y87" i="1" s="1"/>
  <c r="AA87" i="1" s="1"/>
  <c r="AY57" i="1"/>
  <c r="X44" i="1"/>
  <c r="Z44" i="1" s="1"/>
  <c r="X62" i="1"/>
  <c r="Z62" i="1" s="1"/>
  <c r="X91" i="1"/>
  <c r="Z91" i="1" s="1"/>
  <c r="Z84" i="1"/>
  <c r="Y84" i="1"/>
  <c r="AA84" i="1" s="1"/>
  <c r="P42" i="1"/>
  <c r="R42" i="1" s="1"/>
  <c r="AX81" i="1"/>
  <c r="AZ81" i="1" s="1"/>
  <c r="D81" i="1"/>
  <c r="D82" i="1"/>
  <c r="D83" i="1"/>
  <c r="D84" i="1"/>
  <c r="D87" i="1"/>
  <c r="S5" i="1"/>
  <c r="S13" i="1"/>
  <c r="S26" i="1"/>
  <c r="S75" i="1"/>
  <c r="S95" i="1"/>
  <c r="X11" i="1"/>
  <c r="Z11" i="1" s="1"/>
  <c r="X83" i="1"/>
  <c r="Z83" i="1" s="1"/>
  <c r="R33" i="1"/>
  <c r="R41" i="1"/>
  <c r="X12" i="1"/>
  <c r="Z12" i="1" s="1"/>
  <c r="P8" i="1"/>
  <c r="R8" i="1" s="1"/>
  <c r="P69" i="1"/>
  <c r="R69" i="1" s="1"/>
  <c r="P78" i="1"/>
  <c r="R78" i="1" s="1"/>
  <c r="S6" i="1"/>
  <c r="S10" i="1"/>
  <c r="S22" i="1"/>
  <c r="S33" i="1"/>
  <c r="S45" i="1"/>
  <c r="S87" i="1"/>
  <c r="X73" i="1"/>
  <c r="Z73" i="1" s="1"/>
  <c r="P51" i="1"/>
  <c r="R51" i="1" s="1"/>
  <c r="P59" i="1"/>
  <c r="R59" i="1" s="1"/>
  <c r="Q54" i="1"/>
  <c r="S54" i="1" s="1"/>
  <c r="X55" i="1"/>
  <c r="Z55" i="1" s="1"/>
  <c r="X97" i="1"/>
  <c r="Z97" i="1" s="1"/>
  <c r="X46" i="1"/>
  <c r="Z46" i="1" s="1"/>
  <c r="R70" i="1"/>
  <c r="P25" i="1"/>
  <c r="R25" i="1" s="1"/>
  <c r="P84" i="1"/>
  <c r="R84" i="1" s="1"/>
  <c r="X63" i="1"/>
  <c r="Z63" i="1" s="1"/>
  <c r="P93" i="1"/>
  <c r="R93" i="1" s="1"/>
  <c r="Q14" i="1"/>
  <c r="S14" i="1" s="1"/>
  <c r="Q37" i="1"/>
  <c r="S37" i="1" s="1"/>
  <c r="S74" i="1"/>
  <c r="P45" i="1"/>
  <c r="R45" i="1" s="1"/>
  <c r="Q50" i="1"/>
  <c r="S50" i="1" s="1"/>
  <c r="Q58" i="1"/>
  <c r="S58" i="1" s="1"/>
  <c r="Q78" i="1"/>
  <c r="S78" i="1" s="1"/>
  <c r="Q91" i="1"/>
  <c r="S91" i="1" s="1"/>
  <c r="S83" i="1"/>
  <c r="AY77" i="1"/>
  <c r="X41" i="1"/>
  <c r="Z41" i="1" s="1"/>
  <c r="X70" i="1"/>
  <c r="Z70" i="1" s="1"/>
  <c r="Y82" i="1"/>
  <c r="AA82" i="1" s="1"/>
  <c r="P37" i="1"/>
  <c r="R37" i="1" s="1"/>
  <c r="Q9" i="1"/>
  <c r="S9" i="1" s="1"/>
  <c r="Q21" i="1"/>
  <c r="S21" i="1" s="1"/>
  <c r="Q41" i="1"/>
  <c r="S41" i="1" s="1"/>
  <c r="Q70" i="1"/>
  <c r="S70" i="1" s="1"/>
  <c r="S71" i="1"/>
  <c r="R90" i="1"/>
  <c r="R21" i="1"/>
  <c r="R5" i="1"/>
  <c r="Y94" i="1"/>
  <c r="AA94" i="1" s="1"/>
  <c r="Y93" i="1"/>
  <c r="AA93" i="1" s="1"/>
  <c r="Y95" i="1"/>
  <c r="AA95" i="1" s="1"/>
  <c r="Z72" i="1"/>
  <c r="Y69" i="1"/>
  <c r="AA69" i="1" s="1"/>
  <c r="Y71" i="1"/>
  <c r="AA71" i="1" s="1"/>
  <c r="Y51" i="1"/>
  <c r="AA51" i="1" s="1"/>
  <c r="Y53" i="1"/>
  <c r="AA53" i="1" s="1"/>
  <c r="Y59" i="1"/>
  <c r="AA59" i="1" s="1"/>
  <c r="Y61" i="1"/>
  <c r="AA61" i="1" s="1"/>
  <c r="Y52" i="1"/>
  <c r="AA52" i="1" s="1"/>
  <c r="Y60" i="1"/>
  <c r="AA60" i="1" s="1"/>
  <c r="Y43" i="1"/>
  <c r="AA43" i="1" s="1"/>
  <c r="Y45" i="1"/>
  <c r="AA45" i="1" s="1"/>
  <c r="Y42" i="1"/>
  <c r="AA42" i="1" s="1"/>
  <c r="Y11" i="1"/>
  <c r="AA11" i="1" s="1"/>
  <c r="Y13" i="1"/>
  <c r="AA13" i="1" s="1"/>
  <c r="Y10" i="1"/>
  <c r="AA10" i="1" s="1"/>
  <c r="R49" i="1"/>
  <c r="R57" i="1"/>
  <c r="R74" i="1"/>
  <c r="R9" i="1"/>
  <c r="AY7" i="1"/>
  <c r="AY72" i="1"/>
  <c r="Z8" i="1"/>
  <c r="AY59" i="1"/>
  <c r="AX8" i="1"/>
  <c r="AZ8" i="1" s="1"/>
  <c r="AY53" i="1"/>
  <c r="AY61" i="1"/>
  <c r="AY11" i="1"/>
  <c r="AY12" i="1"/>
  <c r="AY73" i="1"/>
  <c r="AY54" i="1"/>
  <c r="AX63" i="1"/>
  <c r="AZ63" i="1" s="1"/>
  <c r="AX13" i="1"/>
  <c r="AZ13" i="1" s="1"/>
  <c r="AX74" i="1"/>
  <c r="AZ74" i="1" s="1"/>
  <c r="AX62" i="1"/>
  <c r="AZ62" i="1" s="1"/>
  <c r="AY55" i="1"/>
  <c r="AX56" i="1"/>
  <c r="AZ56" i="1" s="1"/>
  <c r="AX60" i="1"/>
  <c r="AZ60" i="1" s="1"/>
  <c r="AX64" i="1"/>
  <c r="AZ64" i="1" s="1"/>
  <c r="AX83" i="1"/>
  <c r="AZ83" i="1" s="1"/>
  <c r="AX10" i="1"/>
  <c r="AZ10" i="1" s="1"/>
  <c r="AX14" i="1"/>
  <c r="AZ14" i="1" s="1"/>
  <c r="AX71" i="1"/>
  <c r="AZ71" i="1" s="1"/>
  <c r="AX75" i="1"/>
  <c r="AZ75" i="1" s="1"/>
  <c r="AX87" i="1"/>
  <c r="AZ87" i="1" s="1"/>
  <c r="Y83" i="1" l="1"/>
  <c r="AA83" i="1" s="1"/>
  <c r="Y64" i="1"/>
  <c r="AA64" i="1" s="1"/>
  <c r="Y68" i="1"/>
  <c r="AA68" i="1" s="1"/>
  <c r="Y12" i="1"/>
  <c r="AA12" i="1" s="1"/>
  <c r="Y74" i="1"/>
  <c r="AA74" i="1" s="1"/>
  <c r="Y40" i="1"/>
  <c r="AA40" i="1" s="1"/>
  <c r="Y57" i="1"/>
  <c r="AA57" i="1" s="1"/>
  <c r="Y58" i="1"/>
  <c r="AA58" i="1" s="1"/>
  <c r="Y31" i="1"/>
  <c r="AA31" i="1" s="1"/>
  <c r="Y73" i="1"/>
  <c r="AA73" i="1" s="1"/>
  <c r="Y30" i="1"/>
  <c r="AA30" i="1" s="1"/>
  <c r="Y44" i="1"/>
  <c r="AA44" i="1" s="1"/>
  <c r="Y92" i="1"/>
  <c r="AA92" i="1" s="1"/>
  <c r="Y9" i="1"/>
  <c r="AA9" i="1" s="1"/>
  <c r="Y49" i="1"/>
  <c r="AA49" i="1" s="1"/>
  <c r="Y75" i="1"/>
  <c r="AA75" i="1" s="1"/>
  <c r="Y50" i="1"/>
  <c r="AA50" i="1" s="1"/>
  <c r="Y96" i="1"/>
  <c r="AA96" i="1" s="1"/>
  <c r="Z81" i="1"/>
  <c r="Y14" i="1"/>
  <c r="AA14" i="1" s="1"/>
  <c r="Y55" i="1"/>
  <c r="AA55" i="1" s="1"/>
  <c r="Y56" i="1"/>
  <c r="AA56" i="1" s="1"/>
  <c r="Y91" i="1"/>
  <c r="AA91" i="1" s="1"/>
  <c r="Y54" i="1"/>
  <c r="AA54" i="1" s="1"/>
  <c r="Y70" i="1"/>
  <c r="AA70" i="1" s="1"/>
  <c r="Z87" i="1"/>
  <c r="Y62" i="1"/>
  <c r="AA62" i="1" s="1"/>
  <c r="Y97" i="1"/>
  <c r="AA97" i="1" s="1"/>
  <c r="Y41" i="1"/>
  <c r="AA41" i="1" s="1"/>
  <c r="Y63" i="1"/>
  <c r="AA63" i="1" s="1"/>
  <c r="Y46" i="1"/>
  <c r="AA46" i="1" s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I28" i="1"/>
  <c r="AH28" i="1"/>
  <c r="AG28" i="1"/>
  <c r="AF28" i="1"/>
  <c r="AE28" i="1"/>
  <c r="AD28" i="1"/>
  <c r="AI27" i="1"/>
  <c r="AH27" i="1"/>
  <c r="AG27" i="1"/>
  <c r="AF27" i="1"/>
  <c r="AE27" i="1"/>
  <c r="AD27" i="1"/>
  <c r="AI26" i="1"/>
  <c r="AH26" i="1"/>
  <c r="AG26" i="1"/>
  <c r="AF26" i="1"/>
  <c r="AE26" i="1"/>
  <c r="AD26" i="1"/>
  <c r="AI25" i="1"/>
  <c r="AH25" i="1"/>
  <c r="AG25" i="1"/>
  <c r="AF25" i="1"/>
  <c r="AE25" i="1"/>
  <c r="AD25" i="1"/>
  <c r="AI24" i="1"/>
  <c r="AH24" i="1"/>
  <c r="AG24" i="1"/>
  <c r="AF24" i="1"/>
  <c r="AE24" i="1"/>
  <c r="AD24" i="1"/>
  <c r="AI18" i="1"/>
  <c r="AH18" i="1"/>
  <c r="AG18" i="1"/>
  <c r="AF18" i="1"/>
  <c r="AE18" i="1"/>
  <c r="AD18" i="1"/>
  <c r="AI17" i="1"/>
  <c r="AH17" i="1"/>
  <c r="AG17" i="1"/>
  <c r="AF17" i="1"/>
  <c r="AE17" i="1"/>
  <c r="AD17" i="1"/>
  <c r="AI16" i="1"/>
  <c r="AH16" i="1"/>
  <c r="AG16" i="1"/>
  <c r="AF16" i="1"/>
  <c r="AE16" i="1"/>
  <c r="AD16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S3" i="1"/>
  <c r="AR3" i="1"/>
  <c r="AQ3" i="1"/>
  <c r="AP3" i="1"/>
  <c r="AO3" i="1"/>
  <c r="AN3" i="1"/>
  <c r="AM3" i="1"/>
  <c r="AL3" i="1"/>
  <c r="AK3" i="1"/>
  <c r="AJ3" i="1"/>
  <c r="D24" i="1" l="1"/>
  <c r="D28" i="1"/>
  <c r="D4" i="1"/>
  <c r="D5" i="1"/>
  <c r="D6" i="1"/>
  <c r="D7" i="1"/>
  <c r="D9" i="1"/>
  <c r="D10" i="1"/>
  <c r="D11" i="1"/>
  <c r="D12" i="1"/>
  <c r="D13" i="1"/>
  <c r="D14" i="1"/>
  <c r="D16" i="1"/>
  <c r="D25" i="1"/>
  <c r="D30" i="1"/>
  <c r="D31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8" i="1"/>
  <c r="D69" i="1"/>
  <c r="D70" i="1"/>
  <c r="D71" i="1"/>
  <c r="D72" i="1"/>
  <c r="D73" i="1"/>
  <c r="D74" i="1"/>
  <c r="D75" i="1"/>
  <c r="D77" i="1"/>
  <c r="D78" i="1"/>
  <c r="D89" i="1"/>
  <c r="D95" i="1"/>
  <c r="D96" i="1"/>
  <c r="D97" i="1"/>
  <c r="D17" i="1"/>
  <c r="D26" i="1"/>
  <c r="D90" i="1"/>
  <c r="D8" i="1"/>
  <c r="D18" i="1"/>
  <c r="D27" i="1"/>
  <c r="D91" i="1"/>
  <c r="D92" i="1"/>
  <c r="D93" i="1"/>
  <c r="D94" i="1"/>
  <c r="AI3" i="1"/>
  <c r="AH3" i="1"/>
  <c r="AG3" i="1"/>
  <c r="AF3" i="1"/>
  <c r="AE3" i="1"/>
  <c r="AD3" i="1"/>
  <c r="D3" i="1" l="1"/>
</calcChain>
</file>

<file path=xl/sharedStrings.xml><?xml version="1.0" encoding="utf-8"?>
<sst xmlns="http://schemas.openxmlformats.org/spreadsheetml/2006/main" count="711" uniqueCount="139">
  <si>
    <t>2211StFr_PyA</t>
  </si>
  <si>
    <t>2211KC_Py_ST05_C</t>
  </si>
  <si>
    <t>2211KC_Py_ST05_A</t>
  </si>
  <si>
    <t>2211KC_Py_ST05_B</t>
  </si>
  <si>
    <t>2211KC_Py_ST05_D</t>
  </si>
  <si>
    <t>2211DApA</t>
  </si>
  <si>
    <t>2211DApC</t>
  </si>
  <si>
    <t>2211DApD</t>
  </si>
  <si>
    <t>2211KC_Py_ST05_DU1</t>
  </si>
  <si>
    <t>2211KC_Py_ST05_DU2</t>
  </si>
  <si>
    <t>2211KC_Py_ST05_DU3</t>
  </si>
  <si>
    <t>2211GFr_PyA</t>
  </si>
  <si>
    <t>2211GFr_PyB</t>
  </si>
  <si>
    <t>2211StFr_PyB</t>
  </si>
  <si>
    <t>2211AtmFr_PyC</t>
  </si>
  <si>
    <t>U (moles)</t>
  </si>
  <si>
    <t>Th (moles)</t>
  </si>
  <si>
    <t>Sm (moles)</t>
  </si>
  <si>
    <t>U ppm</t>
  </si>
  <si>
    <t>Th ppm</t>
  </si>
  <si>
    <t>Sm ppm</t>
  </si>
  <si>
    <t>mass (mg)</t>
  </si>
  <si>
    <t>2022StDApA</t>
  </si>
  <si>
    <t>12122022KCPyST05A</t>
  </si>
  <si>
    <t>12122022KCPyST05B</t>
  </si>
  <si>
    <t>12122022KCPyST05C</t>
  </si>
  <si>
    <t>12122022KCPyST05D</t>
  </si>
  <si>
    <t>2211HemMSA</t>
  </si>
  <si>
    <t>2211HemMSB</t>
  </si>
  <si>
    <t>Sample name</t>
  </si>
  <si>
    <t>Durango Apatite (32.1 Ma)</t>
  </si>
  <si>
    <t>Gogebic Iron Range BIF Hematite, Michigan. (571 Ma)</t>
  </si>
  <si>
    <t>011123KCPyST05C</t>
  </si>
  <si>
    <t>011423KCPyST05A</t>
  </si>
  <si>
    <t>011423KCPyST05B</t>
  </si>
  <si>
    <t>011423KCPyST05C</t>
  </si>
  <si>
    <t>011423KCPyST05D</t>
  </si>
  <si>
    <t>013023KCPyST05As1</t>
  </si>
  <si>
    <t>013023KCPyST05Cu1</t>
  </si>
  <si>
    <t>013023KCPyST05Cu2</t>
  </si>
  <si>
    <t>Kidd Creek VMS Pyrite ST05 (2.7 Ga)</t>
  </si>
  <si>
    <t>011423FrFl2</t>
  </si>
  <si>
    <t>011423FrFl3</t>
  </si>
  <si>
    <t>013023PVGyPy-1</t>
  </si>
  <si>
    <t>013023PVGyPy-2</t>
  </si>
  <si>
    <t>013023PVGyPy-3</t>
  </si>
  <si>
    <t>013023PVGyPy-4</t>
  </si>
  <si>
    <t>Magnet Cove Carbonatite, Arkansas 100 Ma</t>
  </si>
  <si>
    <t>011123DAp1</t>
  </si>
  <si>
    <t>011123DAp2</t>
  </si>
  <si>
    <t>011423DAp1</t>
  </si>
  <si>
    <t>011423DAp2</t>
  </si>
  <si>
    <t>011423DAp3</t>
  </si>
  <si>
    <t>011423DAp4</t>
  </si>
  <si>
    <t>011123MCARPy1</t>
  </si>
  <si>
    <t>Fe (moles)</t>
  </si>
  <si>
    <t>Cu (moles)</t>
  </si>
  <si>
    <t>As (moles)</t>
  </si>
  <si>
    <t>Zr (moles)</t>
  </si>
  <si>
    <t>Ag (moles)</t>
  </si>
  <si>
    <t>Sb (moles)</t>
  </si>
  <si>
    <t>Cu (ppm)</t>
  </si>
  <si>
    <t>As (ppm)</t>
  </si>
  <si>
    <t>Zr (ppm)</t>
  </si>
  <si>
    <t>Ag (ppm)</t>
  </si>
  <si>
    <t>Sb (ppm)</t>
  </si>
  <si>
    <t>062123GyPyHClb</t>
  </si>
  <si>
    <t>062123GyPyHClc</t>
  </si>
  <si>
    <t>230625GyPyHCl</t>
  </si>
  <si>
    <t>230625GyPyUnAbr</t>
  </si>
  <si>
    <t>230628GyPyHClab</t>
  </si>
  <si>
    <t>230628GyPyHClc</t>
  </si>
  <si>
    <t>230628GyPyUnAbrA</t>
  </si>
  <si>
    <t>230628GyPyUnAbrB</t>
  </si>
  <si>
    <t>062123MS</t>
  </si>
  <si>
    <t>230625MSHm</t>
  </si>
  <si>
    <t>230628MSHm</t>
  </si>
  <si>
    <t>062123BVPyHCla</t>
  </si>
  <si>
    <t>062123BVPyHClb</t>
  </si>
  <si>
    <t>230628BVPyUnAbrB</t>
  </si>
  <si>
    <t>230628BVPyUnAbrC</t>
  </si>
  <si>
    <t>Ti CPS</t>
  </si>
  <si>
    <t>Ti CPS/mg</t>
  </si>
  <si>
    <t>041323MG16a</t>
  </si>
  <si>
    <t>041323MG16b</t>
  </si>
  <si>
    <t>041323MG16d</t>
  </si>
  <si>
    <t>3/4He (Ra)</t>
  </si>
  <si>
    <t>3He pcc</t>
  </si>
  <si>
    <t>±2σ</t>
  </si>
  <si>
    <t>Ra</t>
  </si>
  <si>
    <t>1Ra atm-corrected 4He (ncc)</t>
  </si>
  <si>
    <t>1Ra atm-derived 4He (ncc)</t>
  </si>
  <si>
    <t>Exotic atm-derived 4He (ncc)</t>
  </si>
  <si>
    <t>Exotic atm-corrected 4He (ncc)</t>
  </si>
  <si>
    <t>Age (Ma Exotic Atm Corrected)</t>
  </si>
  <si>
    <t>Double aliquot below…</t>
  </si>
  <si>
    <t>013023BVPy H-3026-1</t>
  </si>
  <si>
    <t>041323BVPy1</t>
  </si>
  <si>
    <t>041323BVPy2</t>
  </si>
  <si>
    <t>062123DAp</t>
  </si>
  <si>
    <t>062523DAp</t>
  </si>
  <si>
    <t>062823DAp</t>
  </si>
  <si>
    <t>0413PyGy-1</t>
  </si>
  <si>
    <t>0413PyGy-2</t>
  </si>
  <si>
    <t>0413PyGy-3</t>
  </si>
  <si>
    <t>0413PyGy-4</t>
  </si>
  <si>
    <t>011123MCARPy2</t>
  </si>
  <si>
    <t>Gympie Mine, Scottish Queen, Triassic (~250 Ma), Devonian Country Rock</t>
  </si>
  <si>
    <t>Franklin NJ Fluorite (1.3 Ma, Will Amidon's Apatites ~70-130 Ma)</t>
  </si>
  <si>
    <t>Salzburg, Austria Arsenopyrite</t>
  </si>
  <si>
    <t>230625SBAsPy</t>
  </si>
  <si>
    <t>062123FCHCl</t>
  </si>
  <si>
    <t>062123FCMagHCl</t>
  </si>
  <si>
    <t>230625FCHFa</t>
  </si>
  <si>
    <t>230625FCMagHCl</t>
  </si>
  <si>
    <t>French Creek, PA Magnetite and Pyrite 130 Ma</t>
  </si>
  <si>
    <t>U/Th (molar)</t>
  </si>
  <si>
    <t>3He fcc</t>
  </si>
  <si>
    <t>Tube Blank He Isotope Ratio (Ra)</t>
  </si>
  <si>
    <t>4He ncc/mg meas.</t>
  </si>
  <si>
    <t>eU (ppm) meas.</t>
  </si>
  <si>
    <t>Age  (Ma Meas.)</t>
  </si>
  <si>
    <t>4He ncc (meas.)</t>
  </si>
  <si>
    <t>Age (Ma Atm=1Ra Corr.)</t>
  </si>
  <si>
    <t>X AsPy (Calc. FeAsS fraction)</t>
  </si>
  <si>
    <t>Mass (mg) from Fe</t>
  </si>
  <si>
    <t>011123DAp3</t>
  </si>
  <si>
    <t>Mass Deficit</t>
  </si>
  <si>
    <t>041323MG16e</t>
  </si>
  <si>
    <t>Franklin NJ Pyrite Marble and volcanics: 1.3 Ga . More volcanics ~ 1Ga</t>
  </si>
  <si>
    <t>U mole Recalc, sample = 0.12 ppm</t>
  </si>
  <si>
    <t>Recalc ages if all samples had 0.12 ppm U…</t>
  </si>
  <si>
    <t>no atm corr</t>
  </si>
  <si>
    <t>1 Ra atm Corr</t>
  </si>
  <si>
    <r>
      <t>2</t>
    </r>
    <r>
      <rPr>
        <sz val="11"/>
        <color theme="1"/>
        <rFont val="Aptos Narrow"/>
        <family val="2"/>
      </rPr>
      <t>σ</t>
    </r>
  </si>
  <si>
    <t>±</t>
  </si>
  <si>
    <t>Average for &gt; 0.5 mg</t>
  </si>
  <si>
    <t>Rustenberg (Pilanesberg?)</t>
  </si>
  <si>
    <t>2σ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</si>
</sst>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ptos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0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0" borderId="13" xfId="0" applyBorder="1"/>
    <xf numFmtId="2" fontId="14" fillId="0" borderId="0" xfId="0" applyNumberFormat="1" applyFont="1"/>
    <xf numFmtId="2" fontId="0" fillId="0" borderId="10" xfId="0" applyNumberFormat="1" applyBorder="1"/>
    <xf numFmtId="2" fontId="0" fillId="0" borderId="12" xfId="0" applyNumberFormat="1" applyBorder="1"/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0" fontId="0" fillId="34" borderId="0" xfId="0" applyFill="1"/>
    <xf numFmtId="2" fontId="0" fillId="34" borderId="0" xfId="0" applyNumberFormat="1" applyFill="1"/>
    <xf numFmtId="11" fontId="0" fillId="34" borderId="0" xfId="0" applyNumberFormat="1" applyFill="1"/>
    <xf numFmtId="2" fontId="0" fillId="0" borderId="13" xfId="0" applyNumberFormat="1" applyBorder="1"/>
    <xf numFmtId="2" fontId="0" fillId="34" borderId="13" xfId="0" applyNumberFormat="1" applyFill="1" applyBorder="1"/>
    <xf numFmtId="2" fontId="0" fillId="35" borderId="0" xfId="0" applyNumberFormat="1" applyFill="1"/>
    <xf numFmtId="0" fontId="19" fillId="0" borderId="0" xfId="0" applyFont="1" applyAlignment="1">
      <alignment horizontal="left"/>
    </xf>
    <xf numFmtId="2" fontId="19" fillId="0" borderId="13" xfId="0" applyNumberFormat="1" applyFont="1" applyBorder="1" applyAlignment="1">
      <alignment horizontal="center"/>
    </xf>
    <xf numFmtId="2" fontId="0" fillId="33" borderId="0" xfId="0" applyNumberFormat="1" applyFill="1"/>
    <xf numFmtId="2" fontId="19" fillId="33" borderId="0" xfId="0" applyNumberFormat="1" applyFont="1" applyFill="1" applyAlignment="1">
      <alignment horizontal="center"/>
    </xf>
    <xf numFmtId="164" fontId="0" fillId="0" borderId="0" xfId="0" applyNumberFormat="1"/>
    <xf numFmtId="164" fontId="19" fillId="0" borderId="0" xfId="0" applyNumberFormat="1" applyFont="1" applyAlignment="1">
      <alignment horizontal="center"/>
    </xf>
    <xf numFmtId="164" fontId="0" fillId="34" borderId="0" xfId="0" applyNumberFormat="1" applyFill="1"/>
    <xf numFmtId="165" fontId="19" fillId="0" borderId="0" xfId="0" applyNumberFormat="1" applyFont="1" applyAlignment="1">
      <alignment horizontal="center"/>
    </xf>
    <xf numFmtId="165" fontId="0" fillId="0" borderId="0" xfId="0" applyNumberFormat="1"/>
    <xf numFmtId="165" fontId="0" fillId="34" borderId="0" xfId="0" applyNumberFormat="1" applyFill="1"/>
    <xf numFmtId="165" fontId="0" fillId="0" borderId="13" xfId="0" applyNumberFormat="1" applyBorder="1"/>
    <xf numFmtId="0" fontId="20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34" borderId="0" xfId="0" applyFont="1" applyFill="1" applyAlignment="1">
      <alignment horizontal="left"/>
    </xf>
    <xf numFmtId="0" fontId="21" fillId="0" borderId="13" xfId="0" applyFont="1" applyBorder="1" applyAlignment="1">
      <alignment horizontal="left"/>
    </xf>
    <xf numFmtId="0" fontId="20" fillId="0" borderId="13" xfId="0" applyFont="1" applyBorder="1" applyAlignment="1">
      <alignment horizontal="left" wrapText="1"/>
    </xf>
    <xf numFmtId="2" fontId="0" fillId="0" borderId="0" xfId="0" applyNumberFormat="1" applyAlignment="1">
      <alignment wrapText="1"/>
    </xf>
    <xf numFmtId="2" fontId="0" fillId="35" borderId="0" xfId="0" applyNumberFormat="1" applyFill="1" applyAlignment="1">
      <alignment wrapText="1"/>
    </xf>
    <xf numFmtId="2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5" fontId="18" fillId="0" borderId="0" xfId="0" applyNumberFormat="1" applyFont="1" applyAlignment="1">
      <alignment wrapText="1"/>
    </xf>
    <xf numFmtId="2" fontId="0" fillId="33" borderId="0" xfId="0" applyNumberFormat="1" applyFill="1" applyAlignment="1">
      <alignment wrapText="1"/>
    </xf>
    <xf numFmtId="165" fontId="18" fillId="0" borderId="13" xfId="0" applyNumberFormat="1" applyFont="1" applyBorder="1" applyAlignment="1">
      <alignment wrapText="1"/>
    </xf>
    <xf numFmtId="2" fontId="18" fillId="35" borderId="0" xfId="0" applyNumberFormat="1" applyFont="1" applyFill="1" applyAlignment="1">
      <alignment wrapText="1"/>
    </xf>
    <xf numFmtId="2" fontId="18" fillId="0" borderId="13" xfId="0" applyNumberFormat="1" applyFont="1" applyBorder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2" fontId="19" fillId="35" borderId="0" xfId="0" applyNumberFormat="1" applyFont="1" applyFill="1" applyAlignment="1">
      <alignment horizontal="center"/>
    </xf>
    <xf numFmtId="2" fontId="0" fillId="35" borderId="11" xfId="0" applyNumberFormat="1" applyFill="1" applyBorder="1"/>
    <xf numFmtId="2" fontId="0" fillId="0" borderId="14" xfId="0" applyNumberFormat="1" applyBorder="1"/>
    <xf numFmtId="2" fontId="0" fillId="35" borderId="14" xfId="0" applyNumberFormat="1" applyFill="1" applyBorder="1"/>
    <xf numFmtId="0" fontId="0" fillId="0" borderId="14" xfId="0" applyBorder="1"/>
    <xf numFmtId="164" fontId="0" fillId="0" borderId="14" xfId="0" applyNumberFormat="1" applyBorder="1"/>
    <xf numFmtId="165" fontId="0" fillId="0" borderId="14" xfId="0" applyNumberFormat="1" applyBorder="1"/>
    <xf numFmtId="2" fontId="0" fillId="33" borderId="14" xfId="0" applyNumberFormat="1" applyFill="1" applyBorder="1"/>
    <xf numFmtId="165" fontId="0" fillId="0" borderId="15" xfId="0" applyNumberFormat="1" applyBorder="1"/>
    <xf numFmtId="2" fontId="0" fillId="0" borderId="15" xfId="0" applyNumberFormat="1" applyBorder="1"/>
    <xf numFmtId="11" fontId="0" fillId="0" borderId="14" xfId="0" applyNumberFormat="1" applyBorder="1"/>
    <xf numFmtId="0" fontId="20" fillId="0" borderId="16" xfId="0" applyFont="1" applyBorder="1" applyAlignment="1">
      <alignment horizontal="left"/>
    </xf>
    <xf numFmtId="2" fontId="0" fillId="0" borderId="17" xfId="0" applyNumberFormat="1" applyBorder="1"/>
    <xf numFmtId="2" fontId="0" fillId="35" borderId="17" xfId="0" applyNumberFormat="1" applyFill="1" applyBorder="1"/>
    <xf numFmtId="0" fontId="0" fillId="0" borderId="17" xfId="0" applyBorder="1"/>
    <xf numFmtId="164" fontId="0" fillId="0" borderId="17" xfId="0" applyNumberFormat="1" applyBorder="1"/>
    <xf numFmtId="165" fontId="0" fillId="0" borderId="17" xfId="0" applyNumberFormat="1" applyBorder="1"/>
    <xf numFmtId="2" fontId="0" fillId="33" borderId="17" xfId="0" applyNumberFormat="1" applyFill="1" applyBorder="1"/>
    <xf numFmtId="165" fontId="0" fillId="0" borderId="16" xfId="0" applyNumberFormat="1" applyBorder="1"/>
    <xf numFmtId="2" fontId="0" fillId="0" borderId="16" xfId="0" applyNumberFormat="1" applyBorder="1"/>
    <xf numFmtId="11" fontId="0" fillId="0" borderId="17" xfId="0" applyNumberFormat="1" applyBorder="1"/>
    <xf numFmtId="0" fontId="20" fillId="0" borderId="14" xfId="0" applyFont="1" applyBorder="1" applyAlignment="1">
      <alignment horizontal="left"/>
    </xf>
    <xf numFmtId="0" fontId="20" fillId="36" borderId="13" xfId="0" applyFont="1" applyFill="1" applyBorder="1" applyAlignment="1">
      <alignment horizontal="left"/>
    </xf>
    <xf numFmtId="2" fontId="0" fillId="36" borderId="0" xfId="0" applyNumberFormat="1" applyFill="1"/>
    <xf numFmtId="0" fontId="0" fillId="36" borderId="0" xfId="0" applyFill="1"/>
    <xf numFmtId="164" fontId="0" fillId="36" borderId="0" xfId="0" applyNumberFormat="1" applyFill="1"/>
    <xf numFmtId="165" fontId="0" fillId="36" borderId="0" xfId="0" applyNumberFormat="1" applyFill="1"/>
    <xf numFmtId="165" fontId="0" fillId="36" borderId="13" xfId="0" applyNumberFormat="1" applyFill="1" applyBorder="1"/>
    <xf numFmtId="2" fontId="0" fillId="36" borderId="13" xfId="0" applyNumberFormat="1" applyFill="1" applyBorder="1"/>
    <xf numFmtId="11" fontId="0" fillId="36" borderId="0" xfId="0" applyNumberFormat="1" applyFill="1"/>
    <xf numFmtId="2" fontId="23" fillId="0" borderId="0" xfId="0" applyNumberFormat="1" applyFont="1" applyAlignment="1">
      <alignment horizontal="center" wrapText="1"/>
    </xf>
    <xf numFmtId="2" fontId="22" fillId="0" borderId="0" xfId="0" applyNumberFormat="1" applyFont="1" applyAlignment="1">
      <alignment horizontal="center"/>
    </xf>
    <xf numFmtId="2" fontId="19" fillId="0" borderId="18" xfId="0" applyNumberFormat="1" applyFont="1" applyBorder="1" applyAlignment="1">
      <alignment horizontal="center"/>
    </xf>
    <xf numFmtId="0" fontId="0" fillId="0" borderId="20" xfId="0" applyBorder="1"/>
    <xf numFmtId="0" fontId="0" fillId="0" borderId="22" xfId="0" applyBorder="1"/>
    <xf numFmtId="0" fontId="0" fillId="35" borderId="19" xfId="0" applyFill="1" applyBorder="1"/>
    <xf numFmtId="0" fontId="0" fillId="35" borderId="21" xfId="0" applyFill="1" applyBorder="1"/>
    <xf numFmtId="0" fontId="0" fillId="35" borderId="0" xfId="0" applyFill="1"/>
    <xf numFmtId="0" fontId="0" fillId="35" borderId="14" xfId="0" applyFill="1" applyBorder="1"/>
    <xf numFmtId="2" fontId="22" fillId="0" borderId="19" xfId="0" applyNumberFormat="1" applyFont="1" applyBorder="1" applyAlignment="1">
      <alignment horizontal="center"/>
    </xf>
    <xf numFmtId="165" fontId="19" fillId="0" borderId="13" xfId="0" applyNumberFormat="1" applyFont="1" applyBorder="1" applyAlignment="1">
      <alignment horizontal="center"/>
    </xf>
    <xf numFmtId="165" fontId="0" fillId="34" borderId="13" xfId="0" applyNumberFormat="1" applyFill="1" applyBorder="1"/>
    <xf numFmtId="0" fontId="19" fillId="0" borderId="13" xfId="0" applyFont="1" applyBorder="1" applyAlignment="1">
      <alignment horizontal="center"/>
    </xf>
    <xf numFmtId="11" fontId="0" fillId="0" borderId="13" xfId="0" applyNumberFormat="1" applyBorder="1"/>
    <xf numFmtId="11" fontId="0" fillId="36" borderId="13" xfId="0" applyNumberFormat="1" applyFill="1" applyBorder="1"/>
    <xf numFmtId="11" fontId="0" fillId="0" borderId="16" xfId="0" applyNumberFormat="1" applyBorder="1"/>
    <xf numFmtId="11" fontId="0" fillId="0" borderId="15" xfId="0" applyNumberFormat="1" applyBorder="1"/>
    <xf numFmtId="11" fontId="0" fillId="34" borderId="13" xfId="0" applyNumberFormat="1" applyFill="1" applyBorder="1"/>
    <xf numFmtId="2" fontId="0" fillId="0" borderId="23" xfId="0" applyNumberFormat="1" applyBorder="1"/>
    <xf numFmtId="2" fontId="0" fillId="0" borderId="24" xfId="0" applyNumberFormat="1" applyBorder="1"/>
    <xf numFmtId="2" fontId="24" fillId="0" borderId="25" xfId="0" applyNumberFormat="1" applyFont="1" applyBorder="1"/>
    <xf numFmtId="2" fontId="0" fillId="0" borderId="25" xfId="0" applyNumberFormat="1" applyBorder="1"/>
    <xf numFmtId="2" fontId="0" fillId="37" borderId="0" xfId="0" applyNumberFormat="1" applyFill="1" applyAlignment="1">
      <alignment wrapText="1"/>
    </xf>
    <xf numFmtId="0" fontId="19" fillId="37" borderId="0" xfId="0" applyFont="1" applyFill="1" applyAlignment="1">
      <alignment horizontal="center"/>
    </xf>
    <xf numFmtId="2" fontId="0" fillId="37" borderId="0" xfId="0" applyNumberFormat="1" applyFill="1"/>
    <xf numFmtId="2" fontId="0" fillId="37" borderId="17" xfId="0" applyNumberFormat="1" applyFill="1" applyBorder="1"/>
    <xf numFmtId="2" fontId="0" fillId="37" borderId="14" xfId="0" applyNumberFormat="1" applyFill="1" applyBorder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samples,</a:t>
            </a:r>
            <a:r>
              <a:rPr lang="en-US" baseline="0"/>
              <a:t> calculated and weighed mass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Kidd creek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Data!$B$7:$B$14</c:f>
              <c:numCache>
                <c:formatCode>0.00</c:formatCode>
                <c:ptCount val="8"/>
                <c:pt idx="0">
                  <c:v>1.28</c:v>
                </c:pt>
                <c:pt idx="1">
                  <c:v>2.41</c:v>
                </c:pt>
                <c:pt idx="2">
                  <c:v>4.04</c:v>
                </c:pt>
                <c:pt idx="3">
                  <c:v>3.93</c:v>
                </c:pt>
                <c:pt idx="4">
                  <c:v>1.46</c:v>
                </c:pt>
                <c:pt idx="5">
                  <c:v>1.66</c:v>
                </c:pt>
                <c:pt idx="6">
                  <c:v>1.05</c:v>
                </c:pt>
                <c:pt idx="7">
                  <c:v>1.56</c:v>
                </c:pt>
              </c:numCache>
            </c:numRef>
          </c:xVal>
          <c:yVal>
            <c:numRef>
              <c:f>Data!$AX$7:$AX$14</c:f>
              <c:numCache>
                <c:formatCode>0.00</c:formatCode>
                <c:ptCount val="8"/>
                <c:pt idx="0">
                  <c:v>0.94039941658747717</c:v>
                </c:pt>
                <c:pt idx="1">
                  <c:v>2.5000138832234087</c:v>
                </c:pt>
                <c:pt idx="2">
                  <c:v>3.0305874292460548</c:v>
                </c:pt>
                <c:pt idx="3">
                  <c:v>4.0630375203838449</c:v>
                </c:pt>
                <c:pt idx="4">
                  <c:v>1.5640938606950707</c:v>
                </c:pt>
                <c:pt idx="5">
                  <c:v>1.3681535010990944</c:v>
                </c:pt>
                <c:pt idx="6">
                  <c:v>1.115179575844701</c:v>
                </c:pt>
                <c:pt idx="7">
                  <c:v>1.595789773499197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D-4A82-BF04-9D6FC3B50D4E}"/>
            </c:ext>
          </c:extLst>
        </c:ser>
        <c:ser>
          <c:idx val="1"/>
          <c:order val="1"/>
          <c:tx>
            <c:v>1-1 Line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Data!$BY$3:$BY$4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xVal>
          <c:yVal>
            <c:numRef>
              <c:f>Data!$BY$3:$BY$4</c:f>
              <c:numCache>
                <c:formatCode>General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BD-4A82-BF04-9D6FC3B50D4E}"/>
            </c:ext>
          </c:extLst>
        </c:ser>
        <c:ser>
          <c:idx val="2"/>
          <c:order val="2"/>
          <c:tx>
            <c:v>Gympie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Data!$B$49:$B$64</c:f>
              <c:numCache>
                <c:formatCode>0.00</c:formatCode>
                <c:ptCount val="16"/>
                <c:pt idx="0">
                  <c:v>3.81</c:v>
                </c:pt>
                <c:pt idx="1">
                  <c:v>1.1499999999999999</c:v>
                </c:pt>
                <c:pt idx="2">
                  <c:v>1.81</c:v>
                </c:pt>
                <c:pt idx="3">
                  <c:v>1.82</c:v>
                </c:pt>
                <c:pt idx="4">
                  <c:v>3.54</c:v>
                </c:pt>
                <c:pt idx="5">
                  <c:v>1.67</c:v>
                </c:pt>
                <c:pt idx="6">
                  <c:v>1.32</c:v>
                </c:pt>
                <c:pt idx="7">
                  <c:v>1.85</c:v>
                </c:pt>
                <c:pt idx="8">
                  <c:v>2.15</c:v>
                </c:pt>
                <c:pt idx="9">
                  <c:v>9.43</c:v>
                </c:pt>
                <c:pt idx="10">
                  <c:v>2.38</c:v>
                </c:pt>
                <c:pt idx="11">
                  <c:v>2.3199999999999998</c:v>
                </c:pt>
                <c:pt idx="12">
                  <c:v>6.17</c:v>
                </c:pt>
                <c:pt idx="13">
                  <c:v>4.03</c:v>
                </c:pt>
                <c:pt idx="14">
                  <c:v>2.5299999999999998</c:v>
                </c:pt>
                <c:pt idx="15">
                  <c:v>1.57</c:v>
                </c:pt>
              </c:numCache>
            </c:numRef>
          </c:xVal>
          <c:yVal>
            <c:numRef>
              <c:f>Data!$AX$49:$AX$64</c:f>
              <c:numCache>
                <c:formatCode>0.00</c:formatCode>
                <c:ptCount val="16"/>
                <c:pt idx="0">
                  <c:v>1.4044579781539199</c:v>
                </c:pt>
                <c:pt idx="1">
                  <c:v>2.1291891235846401</c:v>
                </c:pt>
                <c:pt idx="2">
                  <c:v>1.3951721099347201</c:v>
                </c:pt>
                <c:pt idx="3">
                  <c:v>1.9834408400183601</c:v>
                </c:pt>
                <c:pt idx="4">
                  <c:v>2.3526207224799998</c:v>
                </c:pt>
                <c:pt idx="5">
                  <c:v>0.92276195845599995</c:v>
                </c:pt>
                <c:pt idx="6">
                  <c:v>1.17835248776</c:v>
                </c:pt>
                <c:pt idx="7">
                  <c:v>1.2757678705600002</c:v>
                </c:pt>
                <c:pt idx="8">
                  <c:v>1.8104799550158195</c:v>
                </c:pt>
                <c:pt idx="9">
                  <c:v>8.0126664487911921</c:v>
                </c:pt>
                <c:pt idx="10">
                  <c:v>1.8937063509864172</c:v>
                </c:pt>
                <c:pt idx="11">
                  <c:v>1.7907053083879929</c:v>
                </c:pt>
                <c:pt idx="12">
                  <c:v>7.3478368238885086</c:v>
                </c:pt>
                <c:pt idx="13">
                  <c:v>3.304442062768393</c:v>
                </c:pt>
                <c:pt idx="14">
                  <c:v>1.9081497212710186</c:v>
                </c:pt>
                <c:pt idx="15">
                  <c:v>1.1486678621103166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BD-4A82-BF04-9D6FC3B50D4E}"/>
            </c:ext>
          </c:extLst>
        </c:ser>
        <c:ser>
          <c:idx val="3"/>
          <c:order val="3"/>
          <c:tx>
            <c:v>Rustenburg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Data!$B$68:$B$75</c:f>
              <c:numCache>
                <c:formatCode>0.00</c:formatCode>
                <c:ptCount val="8"/>
                <c:pt idx="0">
                  <c:v>1.03</c:v>
                </c:pt>
                <c:pt idx="1">
                  <c:v>0.95</c:v>
                </c:pt>
                <c:pt idx="2">
                  <c:v>0.53</c:v>
                </c:pt>
                <c:pt idx="3">
                  <c:v>1.22</c:v>
                </c:pt>
                <c:pt idx="4">
                  <c:v>0.53</c:v>
                </c:pt>
                <c:pt idx="5">
                  <c:v>0.75</c:v>
                </c:pt>
                <c:pt idx="6">
                  <c:v>1.1100000000000001</c:v>
                </c:pt>
                <c:pt idx="7">
                  <c:v>0.6</c:v>
                </c:pt>
              </c:numCache>
            </c:numRef>
          </c:xVal>
          <c:yVal>
            <c:numRef>
              <c:f>Data!$AX$68:$AX$75</c:f>
              <c:numCache>
                <c:formatCode>0.00</c:formatCode>
                <c:ptCount val="8"/>
                <c:pt idx="0">
                  <c:v>1.6034060938892678</c:v>
                </c:pt>
                <c:pt idx="1">
                  <c:v>0.94561284629600018</c:v>
                </c:pt>
                <c:pt idx="2">
                  <c:v>0.50003840759999996</c:v>
                </c:pt>
                <c:pt idx="3">
                  <c:v>1.3992935975690519</c:v>
                </c:pt>
                <c:pt idx="4">
                  <c:v>0.66621924480117256</c:v>
                </c:pt>
                <c:pt idx="5">
                  <c:v>0.72689500476014335</c:v>
                </c:pt>
                <c:pt idx="6">
                  <c:v>1.1187518659661801</c:v>
                </c:pt>
                <c:pt idx="7">
                  <c:v>0.57474512405871503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BD-4A82-BF04-9D6FC3B50D4E}"/>
            </c:ext>
          </c:extLst>
        </c:ser>
        <c:ser>
          <c:idx val="4"/>
          <c:order val="4"/>
          <c:tx>
            <c:v>other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Data!$B$77:$B$87</c:f>
              <c:numCache>
                <c:formatCode>0.00</c:formatCode>
                <c:ptCount val="11"/>
                <c:pt idx="0">
                  <c:v>3.38</c:v>
                </c:pt>
                <c:pt idx="1">
                  <c:v>3.9</c:v>
                </c:pt>
                <c:pt idx="4">
                  <c:v>4.3600000000000003</c:v>
                </c:pt>
                <c:pt idx="5">
                  <c:v>3.84</c:v>
                </c:pt>
                <c:pt idx="6">
                  <c:v>3.41</c:v>
                </c:pt>
                <c:pt idx="7">
                  <c:v>4.07</c:v>
                </c:pt>
                <c:pt idx="10">
                  <c:v>2.52</c:v>
                </c:pt>
              </c:numCache>
            </c:numRef>
          </c:xVal>
          <c:yVal>
            <c:numRef>
              <c:f>Data!$AX$77:$AX$87</c:f>
              <c:numCache>
                <c:formatCode>0.00</c:formatCode>
                <c:ptCount val="11"/>
                <c:pt idx="0">
                  <c:v>3.049208941049502</c:v>
                </c:pt>
                <c:pt idx="1">
                  <c:v>3.6654081947742223</c:v>
                </c:pt>
                <c:pt idx="4">
                  <c:v>5.0167655268715761</c:v>
                </c:pt>
                <c:pt idx="5">
                  <c:v>4.4083221038460634</c:v>
                </c:pt>
                <c:pt idx="6">
                  <c:v>3.8319796739815217</c:v>
                </c:pt>
                <c:pt idx="7">
                  <c:v>4.4076186772469654</c:v>
                </c:pt>
                <c:pt idx="10">
                  <c:v>2.5374932744832908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BD-4A82-BF04-9D6FC3B50D4E}"/>
            </c:ext>
          </c:extLst>
        </c:ser>
        <c:ser>
          <c:idx val="5"/>
          <c:order val="5"/>
          <c:tx>
            <c:v>MS Hematite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Data!$B$89:$B$96</c:f>
              <c:numCache>
                <c:formatCode>0.00</c:formatCode>
                <c:ptCount val="8"/>
                <c:pt idx="0">
                  <c:v>1.37</c:v>
                </c:pt>
                <c:pt idx="1">
                  <c:v>2.12</c:v>
                </c:pt>
                <c:pt idx="2">
                  <c:v>0.46</c:v>
                </c:pt>
                <c:pt idx="3">
                  <c:v>0.49</c:v>
                </c:pt>
                <c:pt idx="4">
                  <c:v>0.28000000000000003</c:v>
                </c:pt>
                <c:pt idx="5">
                  <c:v>0.42</c:v>
                </c:pt>
                <c:pt idx="6">
                  <c:v>0.32</c:v>
                </c:pt>
                <c:pt idx="7">
                  <c:v>0.23</c:v>
                </c:pt>
              </c:numCache>
            </c:numRef>
          </c:xVal>
          <c:yVal>
            <c:numRef>
              <c:f>Data!$AX$89:$AX$96</c:f>
              <c:numCache>
                <c:formatCode>0.00</c:formatCode>
                <c:ptCount val="8"/>
                <c:pt idx="2">
                  <c:v>0.37047662399999998</c:v>
                </c:pt>
                <c:pt idx="3">
                  <c:v>0.30739978500000004</c:v>
                </c:pt>
                <c:pt idx="4">
                  <c:v>0.26268708899999998</c:v>
                </c:pt>
                <c:pt idx="5">
                  <c:v>0.42157684800000006</c:v>
                </c:pt>
                <c:pt idx="6">
                  <c:v>0.35181990255048429</c:v>
                </c:pt>
                <c:pt idx="7">
                  <c:v>0.25927347924674432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BD-4A82-BF04-9D6FC3B50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798079"/>
        <c:axId val="716781759"/>
      </c:scatterChart>
      <c:valAx>
        <c:axId val="716798079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81759"/>
        <c:crosses val="autoZero"/>
        <c:crossBetween val="midCat"/>
      </c:valAx>
      <c:valAx>
        <c:axId val="71678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98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Data!$C$3:$C$14</c:f>
              <c:numCache>
                <c:formatCode>0.00</c:formatCode>
                <c:ptCount val="12"/>
                <c:pt idx="0">
                  <c:v>98.69979077568135</c:v>
                </c:pt>
                <c:pt idx="1">
                  <c:v>94.599166563467506</c:v>
                </c:pt>
                <c:pt idx="2">
                  <c:v>91.857957471264356</c:v>
                </c:pt>
                <c:pt idx="3">
                  <c:v>83.747024747474754</c:v>
                </c:pt>
                <c:pt idx="4">
                  <c:v>123.49463203124999</c:v>
                </c:pt>
                <c:pt idx="5">
                  <c:v>161.49582904564315</c:v>
                </c:pt>
                <c:pt idx="6">
                  <c:v>132.17927574257425</c:v>
                </c:pt>
                <c:pt idx="7">
                  <c:v>71.654073282442738</c:v>
                </c:pt>
                <c:pt idx="8">
                  <c:v>48.797513698630141</c:v>
                </c:pt>
                <c:pt idx="9">
                  <c:v>156.29384036144577</c:v>
                </c:pt>
                <c:pt idx="10">
                  <c:v>52.51184380952381</c:v>
                </c:pt>
                <c:pt idx="11">
                  <c:v>172.28648846153848</c:v>
                </c:pt>
              </c:numCache>
            </c:numRef>
          </c:xVal>
          <c:yVal>
            <c:numRef>
              <c:f>Data!$F$3:$F$14</c:f>
              <c:numCache>
                <c:formatCode>0.00</c:formatCode>
                <c:ptCount val="12"/>
                <c:pt idx="0">
                  <c:v>732.20659014597697</c:v>
                </c:pt>
                <c:pt idx="1">
                  <c:v>707.33945109815897</c:v>
                </c:pt>
                <c:pt idx="2">
                  <c:v>709.95973224589704</c:v>
                </c:pt>
                <c:pt idx="3">
                  <c:v>910.36751461352605</c:v>
                </c:pt>
                <c:pt idx="4">
                  <c:v>1610.9316588111501</c:v>
                </c:pt>
                <c:pt idx="5">
                  <c:v>594.99595935741604</c:v>
                </c:pt>
                <c:pt idx="6">
                  <c:v>466.25968978815899</c:v>
                </c:pt>
                <c:pt idx="7">
                  <c:v>543.14890381658302</c:v>
                </c:pt>
                <c:pt idx="8">
                  <c:v>736.28838859495102</c:v>
                </c:pt>
                <c:pt idx="9">
                  <c:v>557.70557395144601</c:v>
                </c:pt>
                <c:pt idx="10">
                  <c:v>905.99456916346799</c:v>
                </c:pt>
                <c:pt idx="11">
                  <c:v>534.02587570498099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66-410A-BC78-AE6269ACE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182319"/>
        <c:axId val="1548183279"/>
      </c:scatterChart>
      <c:valAx>
        <c:axId val="154818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83279"/>
        <c:crosses val="autoZero"/>
        <c:crossBetween val="midCat"/>
      </c:valAx>
      <c:valAx>
        <c:axId val="154818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8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Data!$AH$3:$AH$14</c:f>
              <c:numCache>
                <c:formatCode>0.00</c:formatCode>
                <c:ptCount val="12"/>
                <c:pt idx="0">
                  <c:v>9.9056603773584911E-2</c:v>
                </c:pt>
                <c:pt idx="1">
                  <c:v>0.13374613003095973</c:v>
                </c:pt>
                <c:pt idx="2">
                  <c:v>0.20258620689655168</c:v>
                </c:pt>
                <c:pt idx="3">
                  <c:v>3.7196969696969701E-2</c:v>
                </c:pt>
                <c:pt idx="4">
                  <c:v>0.38437499999999997</c:v>
                </c:pt>
                <c:pt idx="5">
                  <c:v>1.1763485477178424</c:v>
                </c:pt>
                <c:pt idx="6">
                  <c:v>2.2054455445544554</c:v>
                </c:pt>
                <c:pt idx="7">
                  <c:v>0.49236641221374045</c:v>
                </c:pt>
                <c:pt idx="8">
                  <c:v>7.3047945205479456E-2</c:v>
                </c:pt>
                <c:pt idx="9">
                  <c:v>11.475903614457829</c:v>
                </c:pt>
                <c:pt idx="10">
                  <c:v>0.24857142857142858</c:v>
                </c:pt>
                <c:pt idx="11">
                  <c:v>16.53846153846154</c:v>
                </c:pt>
              </c:numCache>
            </c:numRef>
          </c:xVal>
          <c:yVal>
            <c:numRef>
              <c:f>Data!$T$3:$T$14</c:f>
              <c:numCache>
                <c:formatCode>0.00</c:formatCode>
                <c:ptCount val="12"/>
                <c:pt idx="0">
                  <c:v>694.93517684553899</c:v>
                </c:pt>
                <c:pt idx="1">
                  <c:v>644.05027871025095</c:v>
                </c:pt>
                <c:pt idx="2">
                  <c:v>621.28576290311196</c:v>
                </c:pt>
                <c:pt idx="3">
                  <c:v>810.818929663821</c:v>
                </c:pt>
                <c:pt idx="4">
                  <c:v>1595.94175696248</c:v>
                </c:pt>
                <c:pt idx="5">
                  <c:v>590.96296246556699</c:v>
                </c:pt>
                <c:pt idx="6">
                  <c:v>465.15851721306399</c:v>
                </c:pt>
                <c:pt idx="7">
                  <c:v>539.93151462176002</c:v>
                </c:pt>
                <c:pt idx="8">
                  <c:v>731.28748031078999</c:v>
                </c:pt>
                <c:pt idx="9">
                  <c:v>551.53149028127905</c:v>
                </c:pt>
                <c:pt idx="10">
                  <c:v>860.08691075305398</c:v>
                </c:pt>
                <c:pt idx="11">
                  <c:v>523.37729086052195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63-4B9F-B9C8-7A3D3F3EC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73632"/>
        <c:axId val="2039969792"/>
      </c:scatterChart>
      <c:valAx>
        <c:axId val="203997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69792"/>
        <c:crosses val="autoZero"/>
        <c:crossBetween val="midCat"/>
      </c:valAx>
      <c:valAx>
        <c:axId val="203996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97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4140329240455546E-2"/>
                  <c:y val="-4.1327845703335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(Data!$AH$12,Data!$AN$12)</c:f>
              <c:numCache>
                <c:formatCode>0.00</c:formatCode>
                <c:ptCount val="2"/>
                <c:pt idx="0">
                  <c:v>11.475903614457829</c:v>
                </c:pt>
                <c:pt idx="1">
                  <c:v>6.8470309277861325</c:v>
                </c:pt>
              </c:numCache>
            </c:numRef>
          </c:xVal>
          <c:yVal>
            <c:numRef>
              <c:f>(Data!$AH$14,Data!$AN$14)</c:f>
              <c:numCache>
                <c:formatCode>0.00</c:formatCode>
                <c:ptCount val="2"/>
                <c:pt idx="0">
                  <c:v>16.53846153846154</c:v>
                </c:pt>
                <c:pt idx="1">
                  <c:v>8.8089595313741604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9-46F4-B189-5FF47C327E7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1868163540696976"/>
                  <c:y val="0.31841316793372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(Data!$AH$7:$AH$11,Data!$AH$13)</c:f>
              <c:numCache>
                <c:formatCode>0.00</c:formatCode>
                <c:ptCount val="6"/>
                <c:pt idx="0">
                  <c:v>0.38437499999999997</c:v>
                </c:pt>
                <c:pt idx="1">
                  <c:v>1.1763485477178424</c:v>
                </c:pt>
                <c:pt idx="2">
                  <c:v>2.2054455445544554</c:v>
                </c:pt>
                <c:pt idx="3">
                  <c:v>0.49236641221374045</c:v>
                </c:pt>
                <c:pt idx="4">
                  <c:v>7.3047945205479456E-2</c:v>
                </c:pt>
                <c:pt idx="5">
                  <c:v>0.24857142857142858</c:v>
                </c:pt>
              </c:numCache>
            </c:numRef>
          </c:xVal>
          <c:yVal>
            <c:numRef>
              <c:f>(Data!$AN$7:$AN$11,Data!$AN$13)</c:f>
              <c:numCache>
                <c:formatCode>0.00</c:formatCode>
                <c:ptCount val="6"/>
                <c:pt idx="0">
                  <c:v>9.127945312010084</c:v>
                </c:pt>
                <c:pt idx="1">
                  <c:v>28.909649128472665</c:v>
                </c:pt>
                <c:pt idx="2">
                  <c:v>41.163654585016594</c:v>
                </c:pt>
                <c:pt idx="3">
                  <c:v>15.457571534188016</c:v>
                </c:pt>
                <c:pt idx="4">
                  <c:v>7.4272495385318509</c:v>
                </c:pt>
                <c:pt idx="5">
                  <c:v>4.9106348874336598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B9-46F4-B189-5FF47C327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030864"/>
        <c:axId val="755027984"/>
      </c:scatterChart>
      <c:valAx>
        <c:axId val="75503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27984"/>
        <c:crosses val="autoZero"/>
        <c:crossBetween val="midCat"/>
      </c:valAx>
      <c:valAx>
        <c:axId val="7550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3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 Vs Th, Extensive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Data!$BD$3:$BD$14</c:f>
              <c:numCache>
                <c:formatCode>0.00E+00</c:formatCode>
                <c:ptCount val="12"/>
                <c:pt idx="0">
                  <c:v>2.6800000000000001E-11</c:v>
                </c:pt>
                <c:pt idx="1">
                  <c:v>2.92E-11</c:v>
                </c:pt>
                <c:pt idx="2">
                  <c:v>9.4899999999999993E-12</c:v>
                </c:pt>
                <c:pt idx="3">
                  <c:v>6.1799999999999999E-12</c:v>
                </c:pt>
                <c:pt idx="4">
                  <c:v>3.2099999999999999E-12</c:v>
                </c:pt>
                <c:pt idx="5">
                  <c:v>3.3400000000000002E-11</c:v>
                </c:pt>
                <c:pt idx="6">
                  <c:v>4.6800000000000003E-11</c:v>
                </c:pt>
                <c:pt idx="7">
                  <c:v>2.6499999999999999E-11</c:v>
                </c:pt>
                <c:pt idx="8">
                  <c:v>4.2499999999999999E-12</c:v>
                </c:pt>
                <c:pt idx="9">
                  <c:v>4.5099999999999998E-11</c:v>
                </c:pt>
                <c:pt idx="10">
                  <c:v>3.6E-12</c:v>
                </c:pt>
                <c:pt idx="11">
                  <c:v>5.29E-11</c:v>
                </c:pt>
              </c:numCache>
            </c:numRef>
          </c:xVal>
          <c:yVal>
            <c:numRef>
              <c:f>Data!$BF$3:$BF$14</c:f>
              <c:numCache>
                <c:formatCode>0.00E+00</c:formatCode>
                <c:ptCount val="12"/>
                <c:pt idx="0">
                  <c:v>3.1500000000000001E-12</c:v>
                </c:pt>
                <c:pt idx="1">
                  <c:v>2.8799999999999998E-12</c:v>
                </c:pt>
                <c:pt idx="2">
                  <c:v>2.3499999999999999E-12</c:v>
                </c:pt>
                <c:pt idx="3">
                  <c:v>4.9100000000000003E-13</c:v>
                </c:pt>
                <c:pt idx="4">
                  <c:v>3.2800000000000002E-12</c:v>
                </c:pt>
                <c:pt idx="5">
                  <c:v>1.8900000000000001E-11</c:v>
                </c:pt>
                <c:pt idx="6">
                  <c:v>5.9399999999999997E-11</c:v>
                </c:pt>
                <c:pt idx="7">
                  <c:v>1.29E-11</c:v>
                </c:pt>
                <c:pt idx="8">
                  <c:v>7.11E-13</c:v>
                </c:pt>
                <c:pt idx="9">
                  <c:v>1.27E-10</c:v>
                </c:pt>
                <c:pt idx="10">
                  <c:v>1.7400000000000001E-12</c:v>
                </c:pt>
                <c:pt idx="11">
                  <c:v>1.72E-10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D0-461F-ABDE-683EF739D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02656"/>
        <c:axId val="526204096"/>
      </c:scatterChart>
      <c:valAx>
        <c:axId val="52620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Th, Moles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04096"/>
        <c:crosses val="autoZero"/>
        <c:crossBetween val="midCat"/>
      </c:valAx>
      <c:valAx>
        <c:axId val="5262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Sm,</a:t>
                </a:r>
                <a:r>
                  <a:rPr lang="en-US" baseline="0"/>
                  <a:t> Moles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0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Data!$F$3:$F$14</c:f>
              <c:numCache>
                <c:formatCode>0.00</c:formatCode>
                <c:ptCount val="12"/>
                <c:pt idx="0">
                  <c:v>732.20659014597697</c:v>
                </c:pt>
                <c:pt idx="1">
                  <c:v>707.33945109815897</c:v>
                </c:pt>
                <c:pt idx="2">
                  <c:v>709.95973224589704</c:v>
                </c:pt>
                <c:pt idx="3">
                  <c:v>910.36751461352605</c:v>
                </c:pt>
                <c:pt idx="4">
                  <c:v>1610.9316588111501</c:v>
                </c:pt>
                <c:pt idx="5">
                  <c:v>594.99595935741604</c:v>
                </c:pt>
                <c:pt idx="6">
                  <c:v>466.25968978815899</c:v>
                </c:pt>
                <c:pt idx="7">
                  <c:v>543.14890381658302</c:v>
                </c:pt>
                <c:pt idx="8">
                  <c:v>736.28838859495102</c:v>
                </c:pt>
                <c:pt idx="9">
                  <c:v>557.70557395144601</c:v>
                </c:pt>
                <c:pt idx="10">
                  <c:v>905.99456916346799</c:v>
                </c:pt>
                <c:pt idx="11">
                  <c:v>534.02587570498099</c:v>
                </c:pt>
              </c:numCache>
            </c:numRef>
          </c:xVal>
          <c:yVal>
            <c:numRef>
              <c:f>Data!$BU$3:$BU$14</c:f>
              <c:numCache>
                <c:formatCode>0.000</c:formatCode>
                <c:ptCount val="12"/>
                <c:pt idx="0">
                  <c:v>3.5469000000000001E-2</c:v>
                </c:pt>
                <c:pt idx="1">
                  <c:v>3.9654000000000002E-2</c:v>
                </c:pt>
                <c:pt idx="2">
                  <c:v>2.93E-2</c:v>
                </c:pt>
                <c:pt idx="3">
                  <c:v>2.7099999999999999E-2</c:v>
                </c:pt>
                <c:pt idx="4">
                  <c:v>2.1770000000000001E-3</c:v>
                </c:pt>
                <c:pt idx="5">
                  <c:v>3.7320000000000001E-3</c:v>
                </c:pt>
                <c:pt idx="6">
                  <c:v>2.0960000000000002E-3</c:v>
                </c:pt>
                <c:pt idx="7">
                  <c:v>2.5179999999999998E-3</c:v>
                </c:pt>
                <c:pt idx="8">
                  <c:v>7.7099999999999998E-4</c:v>
                </c:pt>
                <c:pt idx="9">
                  <c:v>4.1539999999999997E-3</c:v>
                </c:pt>
                <c:pt idx="10">
                  <c:v>4.0489999999999996E-3</c:v>
                </c:pt>
                <c:pt idx="11">
                  <c:v>7.4650000000000003E-3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DD-43F6-B284-EBF56C7C5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10896"/>
        <c:axId val="161623856"/>
      </c:scatterChart>
      <c:valAx>
        <c:axId val="16161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23856"/>
        <c:crosses val="autoZero"/>
        <c:crossBetween val="midCat"/>
      </c:valAx>
      <c:valAx>
        <c:axId val="16162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0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193027620818534"/>
                  <c:y val="3.97820064158646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(Data!$AH$7:$AH$11,Data!$AH$13)</c:f>
              <c:numCache>
                <c:formatCode>0.00</c:formatCode>
                <c:ptCount val="6"/>
                <c:pt idx="0">
                  <c:v>0.38437499999999997</c:v>
                </c:pt>
                <c:pt idx="1">
                  <c:v>1.1763485477178424</c:v>
                </c:pt>
                <c:pt idx="2">
                  <c:v>2.2054455445544554</c:v>
                </c:pt>
                <c:pt idx="3">
                  <c:v>0.49236641221374045</c:v>
                </c:pt>
                <c:pt idx="4">
                  <c:v>7.3047945205479456E-2</c:v>
                </c:pt>
                <c:pt idx="5">
                  <c:v>0.24857142857142858</c:v>
                </c:pt>
              </c:numCache>
            </c:numRef>
          </c:xVal>
          <c:yVal>
            <c:numRef>
              <c:f>(Data!$AN$7:$AN$11,Data!$AN$13)</c:f>
              <c:numCache>
                <c:formatCode>0.00</c:formatCode>
                <c:ptCount val="6"/>
                <c:pt idx="0">
                  <c:v>9.127945312010084</c:v>
                </c:pt>
                <c:pt idx="1">
                  <c:v>28.909649128472665</c:v>
                </c:pt>
                <c:pt idx="2">
                  <c:v>41.163654585016594</c:v>
                </c:pt>
                <c:pt idx="3">
                  <c:v>15.457571534188016</c:v>
                </c:pt>
                <c:pt idx="4">
                  <c:v>7.4272495385318509</c:v>
                </c:pt>
                <c:pt idx="5">
                  <c:v>4.9106348874336598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B-45A2-BEA6-968C91581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004464"/>
        <c:axId val="755015504"/>
      </c:scatterChart>
      <c:valAx>
        <c:axId val="75500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15504"/>
        <c:crosses val="autoZero"/>
        <c:crossBetween val="midCat"/>
      </c:valAx>
      <c:valAx>
        <c:axId val="75501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0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20875153105861768"/>
                  <c:y val="4.0410469524642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(Data!$D$7:$D$11,Data!$D$13)</c:f>
              <c:numCache>
                <c:formatCode>0.00</c:formatCode>
                <c:ptCount val="6"/>
                <c:pt idx="0">
                  <c:v>0.68560687499999995</c:v>
                </c:pt>
                <c:pt idx="1">
                  <c:v>2.6776232365145223</c:v>
                </c:pt>
                <c:pt idx="2">
                  <c:v>2.8107782178217819</c:v>
                </c:pt>
                <c:pt idx="3">
                  <c:v>1.3066463104325698</c:v>
                </c:pt>
                <c:pt idx="4">
                  <c:v>0.64487671232876709</c:v>
                </c:pt>
                <c:pt idx="5">
                  <c:v>0.56381714285714268</c:v>
                </c:pt>
              </c:numCache>
            </c:numRef>
          </c:xVal>
          <c:yVal>
            <c:numRef>
              <c:f>(Data!$AN$7:$AN$11,Data!$AN$13)</c:f>
              <c:numCache>
                <c:formatCode>0.00</c:formatCode>
                <c:ptCount val="6"/>
                <c:pt idx="0">
                  <c:v>9.127945312010084</c:v>
                </c:pt>
                <c:pt idx="1">
                  <c:v>28.909649128472665</c:v>
                </c:pt>
                <c:pt idx="2">
                  <c:v>41.163654585016594</c:v>
                </c:pt>
                <c:pt idx="3">
                  <c:v>15.457571534188016</c:v>
                </c:pt>
                <c:pt idx="4">
                  <c:v>7.4272495385318509</c:v>
                </c:pt>
                <c:pt idx="5">
                  <c:v>4.9106348874336598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B6-48A9-8FEB-372366C54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224256"/>
        <c:axId val="526225216"/>
      </c:scatterChart>
      <c:valAx>
        <c:axId val="52622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25216"/>
        <c:crosses val="autoZero"/>
        <c:crossBetween val="midCat"/>
      </c:valAx>
      <c:valAx>
        <c:axId val="5262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2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Data!$AD$7:$AD$11</c:f>
              <c:numCache>
                <c:formatCode>0.00</c:formatCode>
                <c:ptCount val="5"/>
                <c:pt idx="0">
                  <c:v>0.509859375</c:v>
                </c:pt>
                <c:pt idx="1">
                  <c:v>1.7063900414937756</c:v>
                </c:pt>
                <c:pt idx="2">
                  <c:v>1.9989603960396036</c:v>
                </c:pt>
                <c:pt idx="3">
                  <c:v>0.83409669211195925</c:v>
                </c:pt>
                <c:pt idx="4">
                  <c:v>0.44087671232876713</c:v>
                </c:pt>
              </c:numCache>
            </c:numRef>
          </c:xVal>
          <c:yVal>
            <c:numRef>
              <c:f>Data!$AD$13</c:f>
              <c:numCache>
                <c:formatCode>0.00</c:formatCode>
                <c:ptCount val="1"/>
                <c:pt idx="0">
                  <c:v>0.32354285714285708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2F-425C-950D-22FB40CFA8D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Data!$AD$7:$AD$11</c:f>
              <c:numCache>
                <c:formatCode>0.00</c:formatCode>
                <c:ptCount val="5"/>
                <c:pt idx="0">
                  <c:v>0.509859375</c:v>
                </c:pt>
                <c:pt idx="1">
                  <c:v>1.7063900414937756</c:v>
                </c:pt>
                <c:pt idx="2">
                  <c:v>1.9989603960396036</c:v>
                </c:pt>
                <c:pt idx="3">
                  <c:v>0.83409669211195925</c:v>
                </c:pt>
                <c:pt idx="4">
                  <c:v>0.44087671232876713</c:v>
                </c:pt>
              </c:numCache>
            </c:numRef>
          </c:xVal>
          <c:yVal>
            <c:numRef>
              <c:f>Data!$AN$7:$AN$11</c:f>
              <c:numCache>
                <c:formatCode>0.00</c:formatCode>
                <c:ptCount val="5"/>
                <c:pt idx="0">
                  <c:v>9.127945312010084</c:v>
                </c:pt>
                <c:pt idx="1">
                  <c:v>28.909649128472665</c:v>
                </c:pt>
                <c:pt idx="2">
                  <c:v>41.163654585016594</c:v>
                </c:pt>
                <c:pt idx="3">
                  <c:v>15.457571534188016</c:v>
                </c:pt>
                <c:pt idx="4">
                  <c:v>7.4272495385318509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F-425C-950D-22FB40CFA8D0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Data!$AD$7:$AD$11</c:f>
              <c:numCache>
                <c:formatCode>0.00</c:formatCode>
                <c:ptCount val="5"/>
                <c:pt idx="0">
                  <c:v>0.509859375</c:v>
                </c:pt>
                <c:pt idx="1">
                  <c:v>1.7063900414937756</c:v>
                </c:pt>
                <c:pt idx="2">
                  <c:v>1.9989603960396036</c:v>
                </c:pt>
                <c:pt idx="3">
                  <c:v>0.83409669211195925</c:v>
                </c:pt>
                <c:pt idx="4">
                  <c:v>0.44087671232876713</c:v>
                </c:pt>
              </c:numCache>
            </c:numRef>
          </c:xVal>
          <c:yVal>
            <c:numRef>
              <c:f>Data!$AN$14</c:f>
              <c:numCache>
                <c:formatCode>0.00</c:formatCode>
                <c:ptCount val="1"/>
                <c:pt idx="0">
                  <c:v>8.8089595313741604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2F-425C-950D-22FB40CFA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003984"/>
        <c:axId val="755005904"/>
      </c:scatterChart>
      <c:valAx>
        <c:axId val="75500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05904"/>
        <c:crosses val="autoZero"/>
        <c:crossBetween val="midCat"/>
      </c:valAx>
      <c:valAx>
        <c:axId val="7550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0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Data!$C$68:$C$75</c:f>
              <c:numCache>
                <c:formatCode>0.00</c:formatCode>
                <c:ptCount val="8"/>
                <c:pt idx="0">
                  <c:v>219.5304359223301</c:v>
                </c:pt>
                <c:pt idx="1">
                  <c:v>47.824854736842106</c:v>
                </c:pt>
                <c:pt idx="2">
                  <c:v>133.61789245283018</c:v>
                </c:pt>
                <c:pt idx="3">
                  <c:v>197.69758524590165</c:v>
                </c:pt>
                <c:pt idx="4">
                  <c:v>1973.7060811320755</c:v>
                </c:pt>
                <c:pt idx="5">
                  <c:v>311.552616</c:v>
                </c:pt>
                <c:pt idx="6">
                  <c:v>651.54193423423419</c:v>
                </c:pt>
                <c:pt idx="7">
                  <c:v>1469.2285183333333</c:v>
                </c:pt>
              </c:numCache>
            </c:numRef>
          </c:xVal>
          <c:yVal>
            <c:numRef>
              <c:f>Data!$F$68:$F$75</c:f>
              <c:numCache>
                <c:formatCode>0.00</c:formatCode>
                <c:ptCount val="8"/>
                <c:pt idx="0">
                  <c:v>765.121323508665</c:v>
                </c:pt>
                <c:pt idx="1">
                  <c:v>754.20014378174801</c:v>
                </c:pt>
                <c:pt idx="2">
                  <c:v>502.45782059737098</c:v>
                </c:pt>
                <c:pt idx="3">
                  <c:v>578.55805136564595</c:v>
                </c:pt>
                <c:pt idx="4">
                  <c:v>5118.7815400629097</c:v>
                </c:pt>
                <c:pt idx="5">
                  <c:v>1253.6213794000601</c:v>
                </c:pt>
                <c:pt idx="6">
                  <c:v>5051.7872118846099</c:v>
                </c:pt>
                <c:pt idx="7">
                  <c:v>474.73577108002797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49-4CD3-90A5-39596A86E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008304"/>
        <c:axId val="754994384"/>
      </c:scatterChart>
      <c:valAx>
        <c:axId val="75500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94384"/>
        <c:crosses val="autoZero"/>
        <c:crossBetween val="midCat"/>
      </c:valAx>
      <c:valAx>
        <c:axId val="7549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0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Data!$F$68:$F$75</c:f>
              <c:numCache>
                <c:formatCode>0.00</c:formatCode>
                <c:ptCount val="8"/>
                <c:pt idx="0">
                  <c:v>765.121323508665</c:v>
                </c:pt>
                <c:pt idx="1">
                  <c:v>754.20014378174801</c:v>
                </c:pt>
                <c:pt idx="2">
                  <c:v>502.45782059737098</c:v>
                </c:pt>
                <c:pt idx="3">
                  <c:v>578.55805136564595</c:v>
                </c:pt>
                <c:pt idx="4">
                  <c:v>5118.7815400629097</c:v>
                </c:pt>
                <c:pt idx="5">
                  <c:v>1253.6213794000601</c:v>
                </c:pt>
                <c:pt idx="6">
                  <c:v>5051.7872118846099</c:v>
                </c:pt>
                <c:pt idx="7">
                  <c:v>474.73577108002797</c:v>
                </c:pt>
              </c:numCache>
            </c:numRef>
          </c:xVal>
          <c:yVal>
            <c:numRef>
              <c:f>Data!$AN$68:$AN$75</c:f>
              <c:numCache>
                <c:formatCode>0.00</c:formatCode>
                <c:ptCount val="8"/>
                <c:pt idx="0">
                  <c:v>10.857960833094497</c:v>
                </c:pt>
                <c:pt idx="1">
                  <c:v>0</c:v>
                </c:pt>
                <c:pt idx="2">
                  <c:v>130.28969811320755</c:v>
                </c:pt>
                <c:pt idx="3">
                  <c:v>12.174212880786547</c:v>
                </c:pt>
                <c:pt idx="4">
                  <c:v>7.8921857744617725</c:v>
                </c:pt>
                <c:pt idx="5">
                  <c:v>0</c:v>
                </c:pt>
                <c:pt idx="6">
                  <c:v>0</c:v>
                </c:pt>
                <c:pt idx="7">
                  <c:v>202.96964234420864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7-4DA1-B070-07AA39EE3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110064"/>
        <c:axId val="755117264"/>
      </c:scatterChart>
      <c:valAx>
        <c:axId val="75511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17264"/>
        <c:crosses val="autoZero"/>
        <c:crossBetween val="midCat"/>
      </c:valAx>
      <c:valAx>
        <c:axId val="7551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1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Data!$D$68:$D$75</c:f>
              <c:numCache>
                <c:formatCode>0.00</c:formatCode>
                <c:ptCount val="8"/>
                <c:pt idx="0">
                  <c:v>2.7481403796315749</c:v>
                </c:pt>
                <c:pt idx="1">
                  <c:v>0.60476160000000001</c:v>
                </c:pt>
                <c:pt idx="2">
                  <c:v>2.6297720754716978</c:v>
                </c:pt>
                <c:pt idx="3">
                  <c:v>3.326044556662858</c:v>
                </c:pt>
                <c:pt idx="4">
                  <c:v>1.5206748979173039</c:v>
                </c:pt>
                <c:pt idx="5">
                  <c:v>2.2470698172800385</c:v>
                </c:pt>
                <c:pt idx="6">
                  <c:v>0.53020679552584637</c:v>
                </c:pt>
                <c:pt idx="7">
                  <c:v>30.3184499980763</c:v>
                </c:pt>
              </c:numCache>
            </c:numRef>
          </c:xVal>
          <c:yVal>
            <c:numRef>
              <c:f>Data!$E$68:$E$75</c:f>
              <c:numCache>
                <c:formatCode>0.00</c:formatCode>
                <c:ptCount val="8"/>
                <c:pt idx="0">
                  <c:v>2.3528531254563472</c:v>
                </c:pt>
                <c:pt idx="1">
                  <c:v>3.3088235294117645</c:v>
                </c:pt>
                <c:pt idx="2">
                  <c:v>0.86792452830188682</c:v>
                </c:pt>
                <c:pt idx="3">
                  <c:v>3.7999993627733653</c:v>
                </c:pt>
                <c:pt idx="4">
                  <c:v>5.614497341273724</c:v>
                </c:pt>
                <c:pt idx="5">
                  <c:v>5.0061722640179509</c:v>
                </c:pt>
                <c:pt idx="6">
                  <c:v>3.9462378116685644</c:v>
                </c:pt>
                <c:pt idx="7">
                  <c:v>5.2216686619327417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9-4CBF-85AE-2E15CA857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066384"/>
        <c:axId val="755050544"/>
      </c:scatterChart>
      <c:valAx>
        <c:axId val="75506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50544"/>
        <c:crosses val="autoZero"/>
        <c:crossBetween val="midCat"/>
      </c:valAx>
      <c:valAx>
        <c:axId val="7550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06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Data!$B$3:$B$22</c:f>
              <c:numCache>
                <c:formatCode>0.00</c:formatCode>
                <c:ptCount val="20"/>
                <c:pt idx="0">
                  <c:v>4.7699999999999996</c:v>
                </c:pt>
                <c:pt idx="1">
                  <c:v>3.23</c:v>
                </c:pt>
                <c:pt idx="2">
                  <c:v>1.74</c:v>
                </c:pt>
                <c:pt idx="3">
                  <c:v>1.98</c:v>
                </c:pt>
                <c:pt idx="4">
                  <c:v>1.28</c:v>
                </c:pt>
                <c:pt idx="5">
                  <c:v>2.41</c:v>
                </c:pt>
                <c:pt idx="6">
                  <c:v>4.04</c:v>
                </c:pt>
                <c:pt idx="7">
                  <c:v>3.93</c:v>
                </c:pt>
                <c:pt idx="8">
                  <c:v>1.46</c:v>
                </c:pt>
                <c:pt idx="9">
                  <c:v>1.66</c:v>
                </c:pt>
                <c:pt idx="10">
                  <c:v>1.05</c:v>
                </c:pt>
                <c:pt idx="11">
                  <c:v>1.56</c:v>
                </c:pt>
                <c:pt idx="13">
                  <c:v>2.09</c:v>
                </c:pt>
                <c:pt idx="14">
                  <c:v>2.98</c:v>
                </c:pt>
                <c:pt idx="15">
                  <c:v>1.77</c:v>
                </c:pt>
                <c:pt idx="16">
                  <c:v>14.35</c:v>
                </c:pt>
                <c:pt idx="17">
                  <c:v>10.52</c:v>
                </c:pt>
                <c:pt idx="18">
                  <c:v>12.19</c:v>
                </c:pt>
                <c:pt idx="19">
                  <c:v>9.6</c:v>
                </c:pt>
              </c:numCache>
            </c:numRef>
          </c:xVal>
          <c:yVal>
            <c:numRef>
              <c:f>Data!$C$3:$C$22</c:f>
              <c:numCache>
                <c:formatCode>0.00</c:formatCode>
                <c:ptCount val="20"/>
                <c:pt idx="0">
                  <c:v>98.69979077568135</c:v>
                </c:pt>
                <c:pt idx="1">
                  <c:v>94.599166563467506</c:v>
                </c:pt>
                <c:pt idx="2">
                  <c:v>91.857957471264356</c:v>
                </c:pt>
                <c:pt idx="3">
                  <c:v>83.747024747474754</c:v>
                </c:pt>
                <c:pt idx="4">
                  <c:v>123.49463203124999</c:v>
                </c:pt>
                <c:pt idx="5">
                  <c:v>161.49582904564315</c:v>
                </c:pt>
                <c:pt idx="6">
                  <c:v>132.17927574257425</c:v>
                </c:pt>
                <c:pt idx="7">
                  <c:v>71.654073282442738</c:v>
                </c:pt>
                <c:pt idx="8">
                  <c:v>48.797513698630141</c:v>
                </c:pt>
                <c:pt idx="9">
                  <c:v>156.29384036144577</c:v>
                </c:pt>
                <c:pt idx="10">
                  <c:v>52.51184380952381</c:v>
                </c:pt>
                <c:pt idx="11">
                  <c:v>172.28648846153848</c:v>
                </c:pt>
                <c:pt idx="16">
                  <c:v>99.156943902439025</c:v>
                </c:pt>
                <c:pt idx="17">
                  <c:v>91.325338498098859</c:v>
                </c:pt>
                <c:pt idx="18">
                  <c:v>98.766726579163247</c:v>
                </c:pt>
                <c:pt idx="19">
                  <c:v>90.182190416666671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4F6B-BF1A-633B2457B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100464"/>
        <c:axId val="755106704"/>
      </c:scatterChart>
      <c:valAx>
        <c:axId val="75510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06704"/>
        <c:crosses val="autoZero"/>
        <c:crossBetween val="midCat"/>
      </c:valAx>
      <c:valAx>
        <c:axId val="7551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0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67147892941359"/>
          <c:y val="0.19513212795549373"/>
          <c:w val="0.83654150849794895"/>
          <c:h val="0.7204994542580647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Data!$D$53:$D$64</c:f>
              <c:numCache>
                <c:formatCode>0.00</c:formatCode>
                <c:ptCount val="12"/>
                <c:pt idx="0">
                  <c:v>0.60310440677966104</c:v>
                </c:pt>
                <c:pt idx="1">
                  <c:v>0.3188416766467066</c:v>
                </c:pt>
                <c:pt idx="2">
                  <c:v>0.92033393939393915</c:v>
                </c:pt>
                <c:pt idx="3">
                  <c:v>1.0515679999999998</c:v>
                </c:pt>
                <c:pt idx="4">
                  <c:v>0.77637716587060202</c:v>
                </c:pt>
                <c:pt idx="5">
                  <c:v>0.42502530684542195</c:v>
                </c:pt>
                <c:pt idx="6">
                  <c:v>0.58767903486760009</c:v>
                </c:pt>
                <c:pt idx="7">
                  <c:v>0.73922806048912781</c:v>
                </c:pt>
                <c:pt idx="8">
                  <c:v>0.79863557449765521</c:v>
                </c:pt>
                <c:pt idx="9">
                  <c:v>0.69946818372963382</c:v>
                </c:pt>
                <c:pt idx="10">
                  <c:v>0.39689157179318357</c:v>
                </c:pt>
                <c:pt idx="11">
                  <c:v>0.56692185983732912</c:v>
                </c:pt>
              </c:numCache>
            </c:numRef>
          </c:xVal>
          <c:yVal>
            <c:numRef>
              <c:f>Data!$F$53:$F$64</c:f>
              <c:numCache>
                <c:formatCode>0.00</c:formatCode>
                <c:ptCount val="12"/>
                <c:pt idx="0">
                  <c:v>249.81621159484601</c:v>
                </c:pt>
                <c:pt idx="1">
                  <c:v>285.14275470835099</c:v>
                </c:pt>
                <c:pt idx="2">
                  <c:v>250.679756751974</c:v>
                </c:pt>
                <c:pt idx="3">
                  <c:v>632.29684170640701</c:v>
                </c:pt>
                <c:pt idx="4">
                  <c:v>197.82265885069401</c:v>
                </c:pt>
                <c:pt idx="5">
                  <c:v>313.77958481674199</c:v>
                </c:pt>
                <c:pt idx="6">
                  <c:v>252.96309325271</c:v>
                </c:pt>
                <c:pt idx="7">
                  <c:v>291.87204827730199</c:v>
                </c:pt>
                <c:pt idx="8">
                  <c:v>271.91026398172801</c:v>
                </c:pt>
                <c:pt idx="9">
                  <c:v>280.63820159550698</c:v>
                </c:pt>
                <c:pt idx="10">
                  <c:v>317.19819664713202</c:v>
                </c:pt>
                <c:pt idx="11">
                  <c:v>268.94452491919202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7-49B1-BD88-5512C993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634191"/>
        <c:axId val="1337634671"/>
      </c:scatterChart>
      <c:valAx>
        <c:axId val="133763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634671"/>
        <c:crosses val="autoZero"/>
        <c:crossBetween val="midCat"/>
      </c:valAx>
      <c:valAx>
        <c:axId val="133763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63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Data!$C$89:$C$97</c:f>
              <c:numCache>
                <c:formatCode>0.00</c:formatCode>
                <c:ptCount val="9"/>
                <c:pt idx="0">
                  <c:v>547.86572189781009</c:v>
                </c:pt>
                <c:pt idx="1">
                  <c:v>504.7975424528301</c:v>
                </c:pt>
                <c:pt idx="2">
                  <c:v>523.29936304347825</c:v>
                </c:pt>
                <c:pt idx="3">
                  <c:v>385.17798571428574</c:v>
                </c:pt>
                <c:pt idx="4">
                  <c:v>622.42390714285705</c:v>
                </c:pt>
                <c:pt idx="5">
                  <c:v>612.12379523809523</c:v>
                </c:pt>
                <c:pt idx="6">
                  <c:v>584.65026562499997</c:v>
                </c:pt>
                <c:pt idx="7">
                  <c:v>647.31498260869557</c:v>
                </c:pt>
                <c:pt idx="8">
                  <c:v>583.23679047619055</c:v>
                </c:pt>
              </c:numCache>
            </c:numRef>
          </c:xVal>
          <c:yVal>
            <c:numRef>
              <c:f>Data!$F$89:$F$97</c:f>
              <c:numCache>
                <c:formatCode>0.00</c:formatCode>
                <c:ptCount val="9"/>
                <c:pt idx="0">
                  <c:v>454.87536425936202</c:v>
                </c:pt>
                <c:pt idx="1">
                  <c:v>557.08785471670501</c:v>
                </c:pt>
                <c:pt idx="2">
                  <c:v>551.74490302554796</c:v>
                </c:pt>
                <c:pt idx="3">
                  <c:v>1541.7340649866001</c:v>
                </c:pt>
                <c:pt idx="4">
                  <c:v>535.89504504524598</c:v>
                </c:pt>
                <c:pt idx="5">
                  <c:v>491.300214306474</c:v>
                </c:pt>
                <c:pt idx="6">
                  <c:v>562.34943879140496</c:v>
                </c:pt>
                <c:pt idx="7">
                  <c:v>551.03011400994603</c:v>
                </c:pt>
                <c:pt idx="8">
                  <c:v>579.73591839661697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0E-4F3A-A03C-9E0A654A2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897279"/>
        <c:axId val="1495896319"/>
      </c:scatterChart>
      <c:valAx>
        <c:axId val="149589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896319"/>
        <c:crosses val="autoZero"/>
        <c:crossBetween val="midCat"/>
      </c:valAx>
      <c:valAx>
        <c:axId val="149589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89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Kidd Creek Sm-Th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Data!$AF$3:$AF$14</c:f>
              <c:numCache>
                <c:formatCode>0.00</c:formatCode>
                <c:ptCount val="12"/>
                <c:pt idx="0">
                  <c:v>1.6405870020964362</c:v>
                </c:pt>
                <c:pt idx="1">
                  <c:v>2.6397523219814243</c:v>
                </c:pt>
                <c:pt idx="2">
                  <c:v>1.5925747126436782</c:v>
                </c:pt>
                <c:pt idx="3">
                  <c:v>0.91139393939393942</c:v>
                </c:pt>
                <c:pt idx="4">
                  <c:v>0.73228124999999999</c:v>
                </c:pt>
                <c:pt idx="5">
                  <c:v>4.0468049792531122</c:v>
                </c:pt>
                <c:pt idx="6">
                  <c:v>3.3825742574257429</c:v>
                </c:pt>
                <c:pt idx="7">
                  <c:v>1.9689567430025441</c:v>
                </c:pt>
                <c:pt idx="8">
                  <c:v>0.85</c:v>
                </c:pt>
                <c:pt idx="9">
                  <c:v>7.9332530120481923</c:v>
                </c:pt>
                <c:pt idx="10">
                  <c:v>1.0011428571428569</c:v>
                </c:pt>
                <c:pt idx="11">
                  <c:v>9.9017948717948716</c:v>
                </c:pt>
              </c:numCache>
            </c:numRef>
          </c:xVal>
          <c:yVal>
            <c:numRef>
              <c:f>Data!$AH$3:$AH$14</c:f>
              <c:numCache>
                <c:formatCode>0.00</c:formatCode>
                <c:ptCount val="12"/>
                <c:pt idx="0">
                  <c:v>9.9056603773584911E-2</c:v>
                </c:pt>
                <c:pt idx="1">
                  <c:v>0.13374613003095973</c:v>
                </c:pt>
                <c:pt idx="2">
                  <c:v>0.20258620689655168</c:v>
                </c:pt>
                <c:pt idx="3">
                  <c:v>3.7196969696969701E-2</c:v>
                </c:pt>
                <c:pt idx="4">
                  <c:v>0.38437499999999997</c:v>
                </c:pt>
                <c:pt idx="5">
                  <c:v>1.1763485477178424</c:v>
                </c:pt>
                <c:pt idx="6">
                  <c:v>2.2054455445544554</c:v>
                </c:pt>
                <c:pt idx="7">
                  <c:v>0.49236641221374045</c:v>
                </c:pt>
                <c:pt idx="8">
                  <c:v>7.3047945205479456E-2</c:v>
                </c:pt>
                <c:pt idx="9">
                  <c:v>11.475903614457829</c:v>
                </c:pt>
                <c:pt idx="10">
                  <c:v>0.24857142857142858</c:v>
                </c:pt>
                <c:pt idx="11">
                  <c:v>16.53846153846154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00-48DC-A820-31B1CEC6B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5167695"/>
        <c:axId val="1615168175"/>
      </c:scatterChart>
      <c:valAx>
        <c:axId val="161516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68175"/>
        <c:crosses val="autoZero"/>
        <c:crossBetween val="midCat"/>
      </c:valAx>
      <c:valAx>
        <c:axId val="16151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16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Kidd Creek</a:t>
            </a:r>
            <a:r>
              <a:rPr lang="en-US" baseline="0"/>
              <a:t> Th-Age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Data!$U$3:$U$14</c:f>
                <c:numCache>
                  <c:formatCode>General</c:formatCode>
                  <c:ptCount val="12"/>
                  <c:pt idx="0">
                    <c:v>29.1497707860098</c:v>
                  </c:pt>
                  <c:pt idx="1">
                    <c:v>8.4482354633419998</c:v>
                  </c:pt>
                  <c:pt idx="2">
                    <c:v>25.568673418692999</c:v>
                  </c:pt>
                  <c:pt idx="3">
                    <c:v>19.586375157266001</c:v>
                  </c:pt>
                  <c:pt idx="4">
                    <c:v>46.028684693177098</c:v>
                  </c:pt>
                  <c:pt idx="5">
                    <c:v>7.70377394487274</c:v>
                  </c:pt>
                  <c:pt idx="6">
                    <c:v>8.8461195792096596</c:v>
                  </c:pt>
                  <c:pt idx="7">
                    <c:v>16.259434222890601</c:v>
                  </c:pt>
                  <c:pt idx="8">
                    <c:v>34.566604907353501</c:v>
                  </c:pt>
                  <c:pt idx="9">
                    <c:v>10.280880782832501</c:v>
                  </c:pt>
                  <c:pt idx="10">
                    <c:v>120.523558268225</c:v>
                  </c:pt>
                  <c:pt idx="11">
                    <c:v>9.9845100913970697</c:v>
                  </c:pt>
                </c:numCache>
              </c:numRef>
            </c:plus>
            <c:minus>
              <c:numRef>
                <c:f>Data!$U$3:$U$14</c:f>
                <c:numCache>
                  <c:formatCode>General</c:formatCode>
                  <c:ptCount val="12"/>
                  <c:pt idx="0">
                    <c:v>29.1497707860098</c:v>
                  </c:pt>
                  <c:pt idx="1">
                    <c:v>8.4482354633419998</c:v>
                  </c:pt>
                  <c:pt idx="2">
                    <c:v>25.568673418692999</c:v>
                  </c:pt>
                  <c:pt idx="3">
                    <c:v>19.586375157266001</c:v>
                  </c:pt>
                  <c:pt idx="4">
                    <c:v>46.028684693177098</c:v>
                  </c:pt>
                  <c:pt idx="5">
                    <c:v>7.70377394487274</c:v>
                  </c:pt>
                  <c:pt idx="6">
                    <c:v>8.8461195792096596</c:v>
                  </c:pt>
                  <c:pt idx="7">
                    <c:v>16.259434222890601</c:v>
                  </c:pt>
                  <c:pt idx="8">
                    <c:v>34.566604907353501</c:v>
                  </c:pt>
                  <c:pt idx="9">
                    <c:v>10.280880782832501</c:v>
                  </c:pt>
                  <c:pt idx="10">
                    <c:v>120.523558268225</c:v>
                  </c:pt>
                  <c:pt idx="11">
                    <c:v>9.9845100913970697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Data!$AF$3:$AF$14</c:f>
              <c:numCache>
                <c:formatCode>0.00</c:formatCode>
                <c:ptCount val="12"/>
                <c:pt idx="0">
                  <c:v>1.6405870020964362</c:v>
                </c:pt>
                <c:pt idx="1">
                  <c:v>2.6397523219814243</c:v>
                </c:pt>
                <c:pt idx="2">
                  <c:v>1.5925747126436782</c:v>
                </c:pt>
                <c:pt idx="3">
                  <c:v>0.91139393939393942</c:v>
                </c:pt>
                <c:pt idx="4">
                  <c:v>0.73228124999999999</c:v>
                </c:pt>
                <c:pt idx="5">
                  <c:v>4.0468049792531122</c:v>
                </c:pt>
                <c:pt idx="6">
                  <c:v>3.3825742574257429</c:v>
                </c:pt>
                <c:pt idx="7">
                  <c:v>1.9689567430025441</c:v>
                </c:pt>
                <c:pt idx="8">
                  <c:v>0.85</c:v>
                </c:pt>
                <c:pt idx="9">
                  <c:v>7.9332530120481923</c:v>
                </c:pt>
                <c:pt idx="10">
                  <c:v>1.0011428571428569</c:v>
                </c:pt>
                <c:pt idx="11">
                  <c:v>9.9017948717948716</c:v>
                </c:pt>
              </c:numCache>
            </c:numRef>
          </c:xVal>
          <c:yVal>
            <c:numRef>
              <c:f>Data!$T$3:$T$14</c:f>
              <c:numCache>
                <c:formatCode>0.00</c:formatCode>
                <c:ptCount val="12"/>
                <c:pt idx="0">
                  <c:v>694.93517684553899</c:v>
                </c:pt>
                <c:pt idx="1">
                  <c:v>644.05027871025095</c:v>
                </c:pt>
                <c:pt idx="2">
                  <c:v>621.28576290311196</c:v>
                </c:pt>
                <c:pt idx="3">
                  <c:v>810.818929663821</c:v>
                </c:pt>
                <c:pt idx="4">
                  <c:v>1595.94175696248</c:v>
                </c:pt>
                <c:pt idx="5">
                  <c:v>590.96296246556699</c:v>
                </c:pt>
                <c:pt idx="6">
                  <c:v>465.15851721306399</c:v>
                </c:pt>
                <c:pt idx="7">
                  <c:v>539.93151462176002</c:v>
                </c:pt>
                <c:pt idx="8">
                  <c:v>731.28748031078999</c:v>
                </c:pt>
                <c:pt idx="9">
                  <c:v>551.53149028127905</c:v>
                </c:pt>
                <c:pt idx="10">
                  <c:v>860.08691075305398</c:v>
                </c:pt>
                <c:pt idx="11">
                  <c:v>523.37729086052195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23-4FD3-9A06-23EA78E9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8027279"/>
        <c:axId val="1908011439"/>
      </c:scatterChart>
      <c:valAx>
        <c:axId val="190802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011439"/>
        <c:crosses val="autoZero"/>
        <c:crossBetween val="midCat"/>
      </c:valAx>
      <c:valAx>
        <c:axId val="190801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with atmosphere</a:t>
                </a:r>
                <a:r>
                  <a:rPr lang="en-US" baseline="0"/>
                  <a:t> correction, </a:t>
                </a:r>
                <a:r>
                  <a:rPr lang="en-US"/>
                  <a:t>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027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Durango Apatite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(Data!$U$37:$U$46,Data!$U$33)</c:f>
                <c:numCache>
                  <c:formatCode>General</c:formatCode>
                  <c:ptCount val="11"/>
                  <c:pt idx="0">
                    <c:v>0.91820802143809599</c:v>
                  </c:pt>
                  <c:pt idx="1">
                    <c:v>0.69493845315597302</c:v>
                  </c:pt>
                  <c:pt idx="2">
                    <c:v>0.68730643997001195</c:v>
                  </c:pt>
                  <c:pt idx="3">
                    <c:v>0.67845513946128999</c:v>
                  </c:pt>
                  <c:pt idx="4">
                    <c:v>0.59661808886811596</c:v>
                  </c:pt>
                  <c:pt idx="5">
                    <c:v>0.72225827132188702</c:v>
                  </c:pt>
                  <c:pt idx="6">
                    <c:v>0.77755685798164398</c:v>
                  </c:pt>
                  <c:pt idx="7">
                    <c:v>0.74115465120691604</c:v>
                  </c:pt>
                  <c:pt idx="8">
                    <c:v>0.65272283603133696</c:v>
                  </c:pt>
                  <c:pt idx="9">
                    <c:v>0.38277978921116401</c:v>
                  </c:pt>
                  <c:pt idx="10">
                    <c:v>0.51219405523565897</c:v>
                  </c:pt>
                </c:numCache>
              </c:numRef>
            </c:plus>
            <c:minus>
              <c:numRef>
                <c:f>(Data!$U$37:$U$46,Data!$U$33)</c:f>
                <c:numCache>
                  <c:formatCode>General</c:formatCode>
                  <c:ptCount val="11"/>
                  <c:pt idx="0">
                    <c:v>0.91820802143809599</c:v>
                  </c:pt>
                  <c:pt idx="1">
                    <c:v>0.69493845315597302</c:v>
                  </c:pt>
                  <c:pt idx="2">
                    <c:v>0.68730643997001195</c:v>
                  </c:pt>
                  <c:pt idx="3">
                    <c:v>0.67845513946128999</c:v>
                  </c:pt>
                  <c:pt idx="4">
                    <c:v>0.59661808886811596</c:v>
                  </c:pt>
                  <c:pt idx="5">
                    <c:v>0.72225827132188702</c:v>
                  </c:pt>
                  <c:pt idx="6">
                    <c:v>0.77755685798164398</c:v>
                  </c:pt>
                  <c:pt idx="7">
                    <c:v>0.74115465120691604</c:v>
                  </c:pt>
                  <c:pt idx="8">
                    <c:v>0.65272283603133696</c:v>
                  </c:pt>
                  <c:pt idx="9">
                    <c:v>0.38277978921116401</c:v>
                  </c:pt>
                  <c:pt idx="10">
                    <c:v>0.51219405523565897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yVal>
            <c:numRef>
              <c:f>(Data!$T$37:$T$46,Data!$T$33)</c:f>
              <c:numCache>
                <c:formatCode>0.00</c:formatCode>
                <c:ptCount val="11"/>
                <c:pt idx="0">
                  <c:v>31.2294248369641</c:v>
                </c:pt>
                <c:pt idx="1">
                  <c:v>32.150753836987697</c:v>
                </c:pt>
                <c:pt idx="2">
                  <c:v>32.717220313176497</c:v>
                </c:pt>
                <c:pt idx="3">
                  <c:v>32.211123406717597</c:v>
                </c:pt>
                <c:pt idx="4">
                  <c:v>32.509491687811298</c:v>
                </c:pt>
                <c:pt idx="5">
                  <c:v>32.931244147209199</c:v>
                </c:pt>
                <c:pt idx="6">
                  <c:v>31.839968620252201</c:v>
                </c:pt>
                <c:pt idx="7">
                  <c:v>32.312631839814003</c:v>
                </c:pt>
                <c:pt idx="8">
                  <c:v>31.636410432650798</c:v>
                </c:pt>
                <c:pt idx="9">
                  <c:v>31.943098532658802</c:v>
                </c:pt>
                <c:pt idx="10">
                  <c:v>31.749468046359102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A-4B88-A95E-B366E39D4475}"/>
            </c:ext>
          </c:extLst>
        </c:ser>
        <c:ser>
          <c:idx val="1"/>
          <c:order val="1"/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Data!$S$47:$S$48</c:f>
              <c:numCache>
                <c:formatCode>0.00</c:formatCode>
                <c:ptCount val="2"/>
                <c:pt idx="0">
                  <c:v>0.1</c:v>
                </c:pt>
                <c:pt idx="1">
                  <c:v>11</c:v>
                </c:pt>
              </c:numCache>
            </c:numRef>
          </c:xVal>
          <c:yVal>
            <c:numRef>
              <c:f>Data!$R$47:$R$48</c:f>
              <c:numCache>
                <c:formatCode>0.00</c:formatCode>
                <c:ptCount val="2"/>
                <c:pt idx="0">
                  <c:v>31.99511300383967</c:v>
                </c:pt>
                <c:pt idx="1">
                  <c:v>31.99511300383967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AA-4B88-A95E-B366E39D4475}"/>
            </c:ext>
          </c:extLst>
        </c:ser>
        <c:ser>
          <c:idx val="2"/>
          <c:order val="2"/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Data!$S$47:$S$48</c:f>
              <c:numCache>
                <c:formatCode>0.00</c:formatCode>
                <c:ptCount val="2"/>
                <c:pt idx="0">
                  <c:v>0.1</c:v>
                </c:pt>
                <c:pt idx="1">
                  <c:v>11</c:v>
                </c:pt>
              </c:numCache>
            </c:numRef>
          </c:xVal>
          <c:yVal>
            <c:numRef>
              <c:f>Data!$Q$47:$Q$48</c:f>
              <c:numCache>
                <c:formatCode>0.00</c:formatCode>
                <c:ptCount val="2"/>
                <c:pt idx="0">
                  <c:v>32.301160527008754</c:v>
                </c:pt>
                <c:pt idx="1">
                  <c:v>32.301160527008754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AA-4B88-A95E-B366E39D4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493007"/>
        <c:axId val="954494927"/>
      </c:scatterChart>
      <c:valAx>
        <c:axId val="95449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94927"/>
        <c:crosses val="autoZero"/>
        <c:crossBetween val="midCat"/>
      </c:valAx>
      <c:valAx>
        <c:axId val="95449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49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Entrained</a:t>
            </a:r>
            <a:r>
              <a:rPr lang="en-US" baseline="0"/>
              <a:t> atmosphere in Durango Apatite Tubes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Data!$G$33:$G$46</c:f>
                <c:numCache>
                  <c:formatCode>General</c:formatCode>
                  <c:ptCount val="14"/>
                  <c:pt idx="0">
                    <c:v>0.51270075599926901</c:v>
                  </c:pt>
                  <c:pt idx="1">
                    <c:v>0.63295131432045504</c:v>
                  </c:pt>
                  <c:pt idx="2">
                    <c:v>0.517057498317681</c:v>
                  </c:pt>
                  <c:pt idx="3">
                    <c:v>0.69347606563018704</c:v>
                  </c:pt>
                  <c:pt idx="4">
                    <c:v>0.93678743749382998</c:v>
                  </c:pt>
                  <c:pt idx="5">
                    <c:v>0.71303882794670803</c:v>
                  </c:pt>
                  <c:pt idx="6">
                    <c:v>0.71734785843113302</c:v>
                  </c:pt>
                  <c:pt idx="7">
                    <c:v>0.70944669937474403</c:v>
                  </c:pt>
                  <c:pt idx="8">
                    <c:v>0.57591351446219796</c:v>
                  </c:pt>
                  <c:pt idx="9">
                    <c:v>0.74492586320214704</c:v>
                  </c:pt>
                  <c:pt idx="10">
                    <c:v>0.80137711789311705</c:v>
                  </c:pt>
                  <c:pt idx="11">
                    <c:v>0.72982846871345497</c:v>
                  </c:pt>
                  <c:pt idx="12">
                    <c:v>0.65007010400398801</c:v>
                  </c:pt>
                  <c:pt idx="13">
                    <c:v>0.39536697954650601</c:v>
                  </c:pt>
                </c:numCache>
              </c:numRef>
            </c:plus>
            <c:minus>
              <c:numRef>
                <c:f>Data!$G$33:$G$46</c:f>
                <c:numCache>
                  <c:formatCode>General</c:formatCode>
                  <c:ptCount val="14"/>
                  <c:pt idx="0">
                    <c:v>0.51270075599926901</c:v>
                  </c:pt>
                  <c:pt idx="1">
                    <c:v>0.63295131432045504</c:v>
                  </c:pt>
                  <c:pt idx="2">
                    <c:v>0.517057498317681</c:v>
                  </c:pt>
                  <c:pt idx="3">
                    <c:v>0.69347606563018704</c:v>
                  </c:pt>
                  <c:pt idx="4">
                    <c:v>0.93678743749382998</c:v>
                  </c:pt>
                  <c:pt idx="5">
                    <c:v>0.71303882794670803</c:v>
                  </c:pt>
                  <c:pt idx="6">
                    <c:v>0.71734785843113302</c:v>
                  </c:pt>
                  <c:pt idx="7">
                    <c:v>0.70944669937474403</c:v>
                  </c:pt>
                  <c:pt idx="8">
                    <c:v>0.57591351446219796</c:v>
                  </c:pt>
                  <c:pt idx="9">
                    <c:v>0.74492586320214704</c:v>
                  </c:pt>
                  <c:pt idx="10">
                    <c:v>0.80137711789311705</c:v>
                  </c:pt>
                  <c:pt idx="11">
                    <c:v>0.72982846871345497</c:v>
                  </c:pt>
                  <c:pt idx="12">
                    <c:v>0.65007010400398801</c:v>
                  </c:pt>
                  <c:pt idx="13">
                    <c:v>0.39536697954650601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Data!$J$33:$J$46</c:f>
              <c:numCache>
                <c:formatCode>0.00</c:formatCode>
                <c:ptCount val="14"/>
                <c:pt idx="0">
                  <c:v>0.70399999999999996</c:v>
                </c:pt>
                <c:pt idx="1">
                  <c:v>7.86</c:v>
                </c:pt>
                <c:pt idx="2">
                  <c:v>18.221999999999998</c:v>
                </c:pt>
                <c:pt idx="3">
                  <c:v>16.074000000000002</c:v>
                </c:pt>
                <c:pt idx="4">
                  <c:v>1.4690000000000001</c:v>
                </c:pt>
                <c:pt idx="5">
                  <c:v>1.4630000000000001</c:v>
                </c:pt>
                <c:pt idx="6">
                  <c:v>1.5469999999999999</c:v>
                </c:pt>
                <c:pt idx="7">
                  <c:v>0.80599999999999994</c:v>
                </c:pt>
                <c:pt idx="8">
                  <c:v>0.45700000000000002</c:v>
                </c:pt>
                <c:pt idx="9">
                  <c:v>0.8899999999999999</c:v>
                </c:pt>
                <c:pt idx="10">
                  <c:v>0.53900000000000003</c:v>
                </c:pt>
                <c:pt idx="11">
                  <c:v>0.25999999999999995</c:v>
                </c:pt>
                <c:pt idx="12">
                  <c:v>0.41</c:v>
                </c:pt>
                <c:pt idx="13">
                  <c:v>0.30099999999999999</c:v>
                </c:pt>
              </c:numCache>
            </c:numRef>
          </c:xVal>
          <c:yVal>
            <c:numRef>
              <c:f>Data!$F$33:$F$46</c:f>
              <c:numCache>
                <c:formatCode>0.00</c:formatCode>
                <c:ptCount val="14"/>
                <c:pt idx="0">
                  <c:v>31.844800707311599</c:v>
                </c:pt>
                <c:pt idx="1">
                  <c:v>38.001131647450102</c:v>
                </c:pt>
                <c:pt idx="2">
                  <c:v>35.007624999305897</c:v>
                </c:pt>
                <c:pt idx="3">
                  <c:v>35.347401040040097</c:v>
                </c:pt>
                <c:pt idx="4">
                  <c:v>31.5523779753436</c:v>
                </c:pt>
                <c:pt idx="5">
                  <c:v>32.4671459099971</c:v>
                </c:pt>
                <c:pt idx="6">
                  <c:v>32.949640807500799</c:v>
                </c:pt>
                <c:pt idx="7">
                  <c:v>32.348920111798698</c:v>
                </c:pt>
                <c:pt idx="8">
                  <c:v>32.550016603984403</c:v>
                </c:pt>
                <c:pt idx="9">
                  <c:v>33.0329972915887</c:v>
                </c:pt>
                <c:pt idx="10">
                  <c:v>31.928782257728098</c:v>
                </c:pt>
                <c:pt idx="11">
                  <c:v>32.413577264870597</c:v>
                </c:pt>
                <c:pt idx="12">
                  <c:v>31.682654105452301</c:v>
                </c:pt>
                <c:pt idx="13">
                  <c:v>31.990539794421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90-4D76-A565-6227D466D09D}"/>
            </c:ext>
          </c:extLst>
        </c:ser>
        <c:ser>
          <c:idx val="1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Data!$BY$33:$BY$34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Data!$BZ$33:$BZ$34</c:f>
              <c:numCache>
                <c:formatCode>General</c:formatCode>
                <c:ptCount val="2"/>
                <c:pt idx="0">
                  <c:v>32.1</c:v>
                </c:pt>
                <c:pt idx="1">
                  <c:v>32.1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90-4D76-A565-6227D466D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787519"/>
        <c:axId val="716802399"/>
      </c:scatterChart>
      <c:valAx>
        <c:axId val="716787519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3He</a:t>
                </a:r>
                <a:r>
                  <a:rPr lang="en-US" baseline="0"/>
                  <a:t> (fccs)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02399"/>
        <c:crosses val="autoZero"/>
        <c:crossBetween val="midCat"/>
      </c:valAx>
      <c:valAx>
        <c:axId val="71680239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Uncorrected 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8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Gympie</a:t>
            </a:r>
            <a:r>
              <a:rPr lang="en-US" baseline="0"/>
              <a:t>: Uranium in Rutile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Data!$AU$53:$AU$64</c:f>
              <c:numCache>
                <c:formatCode>General</c:formatCode>
                <c:ptCount val="12"/>
                <c:pt idx="0">
                  <c:v>178846</c:v>
                </c:pt>
                <c:pt idx="1">
                  <c:v>80126</c:v>
                </c:pt>
                <c:pt idx="2">
                  <c:v>79057</c:v>
                </c:pt>
                <c:pt idx="3">
                  <c:v>173035</c:v>
                </c:pt>
                <c:pt idx="4">
                  <c:v>331280</c:v>
                </c:pt>
                <c:pt idx="5">
                  <c:v>395176</c:v>
                </c:pt>
                <c:pt idx="6">
                  <c:v>214556</c:v>
                </c:pt>
                <c:pt idx="7">
                  <c:v>279883</c:v>
                </c:pt>
                <c:pt idx="8">
                  <c:v>626429</c:v>
                </c:pt>
                <c:pt idx="9">
                  <c:v>446037</c:v>
                </c:pt>
                <c:pt idx="10">
                  <c:v>223646</c:v>
                </c:pt>
                <c:pt idx="11">
                  <c:v>154186</c:v>
                </c:pt>
              </c:numCache>
            </c:numRef>
          </c:xVal>
          <c:yVal>
            <c:numRef>
              <c:f>Data!$BB$53:$BB$64</c:f>
              <c:numCache>
                <c:formatCode>0.00E+00</c:formatCode>
                <c:ptCount val="12"/>
                <c:pt idx="0">
                  <c:v>5.4900000000000002E-12</c:v>
                </c:pt>
                <c:pt idx="1">
                  <c:v>1.2999999999999999E-12</c:v>
                </c:pt>
                <c:pt idx="2">
                  <c:v>3.3099999999999998E-12</c:v>
                </c:pt>
                <c:pt idx="3">
                  <c:v>5.3499999999999996E-12</c:v>
                </c:pt>
                <c:pt idx="4">
                  <c:v>4.59178512168277E-12</c:v>
                </c:pt>
                <c:pt idx="5">
                  <c:v>1.0458465987573099E-11</c:v>
                </c:pt>
                <c:pt idx="6">
                  <c:v>3.8056553011760104E-12</c:v>
                </c:pt>
                <c:pt idx="7">
                  <c:v>4.7864963328890103E-12</c:v>
                </c:pt>
                <c:pt idx="8">
                  <c:v>1.29797068262187E-11</c:v>
                </c:pt>
                <c:pt idx="9">
                  <c:v>7.9063542198138003E-12</c:v>
                </c:pt>
                <c:pt idx="10">
                  <c:v>2.6142323631663198E-12</c:v>
                </c:pt>
                <c:pt idx="11">
                  <c:v>2.4680294504582298E-12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7-4095-88F9-46F65F406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766399"/>
        <c:axId val="716774079"/>
      </c:scatterChart>
      <c:valAx>
        <c:axId val="71676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 CPS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74079"/>
        <c:crosses val="autoZero"/>
        <c:crossBetween val="midCat"/>
      </c:valAx>
      <c:valAx>
        <c:axId val="71677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 moles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66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Gympie Pyrite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Data!$D$53:$D$55</c:f>
              <c:strCache>
                <c:ptCount val="3"/>
                <c:pt idx="0">
                  <c:v>0.60</c:v>
                </c:pt>
                <c:pt idx="1">
                  <c:v>0.32</c:v>
                </c:pt>
                <c:pt idx="2">
                  <c:v>0.92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(Data!$AC$53:$AC$55,Data!$AC$57:$AC$64)</c:f>
                <c:numCache>
                  <c:formatCode>General</c:formatCode>
                  <c:ptCount val="11"/>
                  <c:pt idx="0">
                    <c:v>3.4477388014280002</c:v>
                  </c:pt>
                  <c:pt idx="1">
                    <c:v>11.6721850774228</c:v>
                  </c:pt>
                  <c:pt idx="2">
                    <c:v>5.1592576899567399</c:v>
                  </c:pt>
                  <c:pt idx="3">
                    <c:v>6.0722011277469896</c:v>
                  </c:pt>
                  <c:pt idx="4">
                    <c:v>5.0807605978666901</c:v>
                  </c:pt>
                  <c:pt idx="5">
                    <c:v>4.5032223889420004</c:v>
                  </c:pt>
                  <c:pt idx="6">
                    <c:v>5.6344235970597198</c:v>
                  </c:pt>
                  <c:pt idx="7">
                    <c:v>3.5721664533695301</c:v>
                  </c:pt>
                  <c:pt idx="8">
                    <c:v>8.9628445139269495</c:v>
                  </c:pt>
                  <c:pt idx="9">
                    <c:v>12.524347985204299</c:v>
                  </c:pt>
                  <c:pt idx="10">
                    <c:v>8.8852033581475904</c:v>
                  </c:pt>
                </c:numCache>
              </c:numRef>
            </c:plus>
            <c:minus>
              <c:numRef>
                <c:f>(Data!$AC$53:$AC$55,Data!$AC$57:$AC$64)</c:f>
                <c:numCache>
                  <c:formatCode>General</c:formatCode>
                  <c:ptCount val="11"/>
                  <c:pt idx="0">
                    <c:v>3.4477388014280002</c:v>
                  </c:pt>
                  <c:pt idx="1">
                    <c:v>11.6721850774228</c:v>
                  </c:pt>
                  <c:pt idx="2">
                    <c:v>5.1592576899567399</c:v>
                  </c:pt>
                  <c:pt idx="3">
                    <c:v>6.0722011277469896</c:v>
                  </c:pt>
                  <c:pt idx="4">
                    <c:v>5.0807605978666901</c:v>
                  </c:pt>
                  <c:pt idx="5">
                    <c:v>4.5032223889420004</c:v>
                  </c:pt>
                  <c:pt idx="6">
                    <c:v>5.6344235970597198</c:v>
                  </c:pt>
                  <c:pt idx="7">
                    <c:v>3.5721664533695301</c:v>
                  </c:pt>
                  <c:pt idx="8">
                    <c:v>8.9628445139269495</c:v>
                  </c:pt>
                  <c:pt idx="9">
                    <c:v>12.524347985204299</c:v>
                  </c:pt>
                  <c:pt idx="10">
                    <c:v>8.8852033581475904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(Data!$D$53:$D$55,Data!$D$57:$D$64)</c:f>
              <c:numCache>
                <c:formatCode>0.00</c:formatCode>
                <c:ptCount val="11"/>
                <c:pt idx="0">
                  <c:v>0.60310440677966104</c:v>
                </c:pt>
                <c:pt idx="1">
                  <c:v>0.3188416766467066</c:v>
                </c:pt>
                <c:pt idx="2">
                  <c:v>0.92033393939393915</c:v>
                </c:pt>
                <c:pt idx="3">
                  <c:v>0.77637716587060202</c:v>
                </c:pt>
                <c:pt idx="4">
                  <c:v>0.42502530684542195</c:v>
                </c:pt>
                <c:pt idx="5">
                  <c:v>0.58767903486760009</c:v>
                </c:pt>
                <c:pt idx="6">
                  <c:v>0.73922806048912781</c:v>
                </c:pt>
                <c:pt idx="7">
                  <c:v>0.79863557449765521</c:v>
                </c:pt>
                <c:pt idx="8">
                  <c:v>0.69946818372963382</c:v>
                </c:pt>
                <c:pt idx="9">
                  <c:v>0.39689157179318357</c:v>
                </c:pt>
                <c:pt idx="10">
                  <c:v>0.56692185983732912</c:v>
                </c:pt>
              </c:numCache>
            </c:numRef>
          </c:xVal>
          <c:yVal>
            <c:numRef>
              <c:f>(Data!$AB$53:$AB$55,Data!$AB$57:$AB$64)</c:f>
              <c:numCache>
                <c:formatCode>0.00</c:formatCode>
                <c:ptCount val="11"/>
                <c:pt idx="0">
                  <c:v>220.951137934657</c:v>
                </c:pt>
                <c:pt idx="1">
                  <c:v>237.491864080239</c:v>
                </c:pt>
                <c:pt idx="2">
                  <c:v>224.310758856017</c:v>
                </c:pt>
                <c:pt idx="3">
                  <c:v>190.09555543358599</c:v>
                </c:pt>
                <c:pt idx="4">
                  <c:v>305.43468254618102</c:v>
                </c:pt>
                <c:pt idx="5">
                  <c:v>224.77920305876401</c:v>
                </c:pt>
                <c:pt idx="6">
                  <c:v>284.33504408352002</c:v>
                </c:pt>
                <c:pt idx="7">
                  <c:v>261.244284889082</c:v>
                </c:pt>
                <c:pt idx="8">
                  <c:v>273.34650642787699</c:v>
                </c:pt>
                <c:pt idx="9">
                  <c:v>297.40625361455199</c:v>
                </c:pt>
                <c:pt idx="10">
                  <c:v>258.33052600628002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6-4FE3-861F-904B0F403D2A}"/>
            </c:ext>
          </c:extLst>
        </c:ser>
        <c:ser>
          <c:idx val="1"/>
          <c:order val="1"/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Data!$AA$65:$AA$66</c:f>
              <c:numCache>
                <c:formatCode>0.00</c:formatCode>
                <c:ptCount val="2"/>
                <c:pt idx="0">
                  <c:v>0.1</c:v>
                </c:pt>
                <c:pt idx="1">
                  <c:v>1.1000000000000001</c:v>
                </c:pt>
              </c:numCache>
            </c:numRef>
          </c:xVal>
          <c:yVal>
            <c:numRef>
              <c:f>Data!$Z$65:$Z$66</c:f>
              <c:numCache>
                <c:formatCode>0.00</c:formatCode>
                <c:ptCount val="2"/>
                <c:pt idx="0">
                  <c:v>231.74616647292478</c:v>
                </c:pt>
                <c:pt idx="1">
                  <c:v>231.74616647292478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C6-4FE3-861F-904B0F403D2A}"/>
            </c:ext>
          </c:extLst>
        </c:ser>
        <c:ser>
          <c:idx val="2"/>
          <c:order val="2"/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Data!$AA$65:$AA$66</c:f>
              <c:numCache>
                <c:formatCode>0.00</c:formatCode>
                <c:ptCount val="2"/>
                <c:pt idx="0">
                  <c:v>0.1</c:v>
                </c:pt>
                <c:pt idx="1">
                  <c:v>1.1000000000000001</c:v>
                </c:pt>
              </c:numCache>
            </c:numRef>
          </c:xVal>
          <c:yVal>
            <c:numRef>
              <c:f>Data!$X$65:$X$66</c:f>
              <c:numCache>
                <c:formatCode>0.00</c:formatCode>
                <c:ptCount val="2"/>
                <c:pt idx="0">
                  <c:v>273.29489115084885</c:v>
                </c:pt>
                <c:pt idx="1">
                  <c:v>273.29489115084885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C6-4FE3-861F-904B0F403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761119"/>
        <c:axId val="716766879"/>
      </c:scatterChart>
      <c:valAx>
        <c:axId val="71676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66879"/>
        <c:crosses val="autoZero"/>
        <c:crossBetween val="midCat"/>
      </c:valAx>
      <c:valAx>
        <c:axId val="716766879"/>
        <c:scaling>
          <c:orientation val="minMax"/>
          <c:max val="350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76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</a:t>
            </a:r>
            <a:r>
              <a:rPr lang="en-US" baseline="0"/>
              <a:t> BIF Hematite Standard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Data!$U$89:$U$97</c:f>
                <c:numCache>
                  <c:formatCode>General</c:formatCode>
                  <c:ptCount val="9"/>
                  <c:pt idx="0">
                    <c:v>4.7751620267575898</c:v>
                  </c:pt>
                  <c:pt idx="1">
                    <c:v>7.0005004990180302</c:v>
                  </c:pt>
                  <c:pt idx="2">
                    <c:v>7.6608075289650097</c:v>
                  </c:pt>
                  <c:pt idx="3">
                    <c:v>35.1613429884883</c:v>
                  </c:pt>
                  <c:pt idx="4">
                    <c:v>8.3306704107204208</c:v>
                  </c:pt>
                  <c:pt idx="5">
                    <c:v>17.820314821473499</c:v>
                  </c:pt>
                  <c:pt idx="6">
                    <c:v>5.5252220215443399</c:v>
                  </c:pt>
                  <c:pt idx="7">
                    <c:v>6.0200153317060003</c:v>
                  </c:pt>
                  <c:pt idx="8">
                    <c:v>6.3855784394324004</c:v>
                  </c:pt>
                </c:numCache>
              </c:numRef>
            </c:plus>
            <c:minus>
              <c:numRef>
                <c:f>Data!$U$89:$U$97</c:f>
                <c:numCache>
                  <c:formatCode>General</c:formatCode>
                  <c:ptCount val="9"/>
                  <c:pt idx="0">
                    <c:v>4.7751620267575898</c:v>
                  </c:pt>
                  <c:pt idx="1">
                    <c:v>7.0005004990180302</c:v>
                  </c:pt>
                  <c:pt idx="2">
                    <c:v>7.6608075289650097</c:v>
                  </c:pt>
                  <c:pt idx="3">
                    <c:v>35.1613429884883</c:v>
                  </c:pt>
                  <c:pt idx="4">
                    <c:v>8.3306704107204208</c:v>
                  </c:pt>
                  <c:pt idx="5">
                    <c:v>17.820314821473499</c:v>
                  </c:pt>
                  <c:pt idx="6">
                    <c:v>5.5252220215443399</c:v>
                  </c:pt>
                  <c:pt idx="7">
                    <c:v>6.0200153317060003</c:v>
                  </c:pt>
                  <c:pt idx="8">
                    <c:v>6.3855784394324004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Data!$AD$89:$AD$97</c:f>
              <c:numCache>
                <c:formatCode>0.00</c:formatCode>
                <c:ptCount val="9"/>
                <c:pt idx="0">
                  <c:v>11.792703058380429</c:v>
                </c:pt>
                <c:pt idx="1">
                  <c:v>8.765096840430072</c:v>
                </c:pt>
                <c:pt idx="2">
                  <c:v>9.1991304347826084</c:v>
                </c:pt>
                <c:pt idx="3">
                  <c:v>2.1528979591836737</c:v>
                </c:pt>
                <c:pt idx="4">
                  <c:v>11.28142857142857</c:v>
                </c:pt>
                <c:pt idx="5">
                  <c:v>12.061904761904762</c:v>
                </c:pt>
                <c:pt idx="6">
                  <c:v>10.07156726102164</c:v>
                </c:pt>
                <c:pt idx="7">
                  <c:v>11.371380545435207</c:v>
                </c:pt>
                <c:pt idx="8">
                  <c:v>9.7472722610646976</c:v>
                </c:pt>
              </c:numCache>
            </c:numRef>
          </c:xVal>
          <c:yVal>
            <c:numRef>
              <c:f>Data!$T$89:$T$97</c:f>
              <c:numCache>
                <c:formatCode>0.00</c:formatCode>
                <c:ptCount val="9"/>
                <c:pt idx="0">
                  <c:v>450.06267922096401</c:v>
                </c:pt>
                <c:pt idx="1">
                  <c:v>554.83937761311802</c:v>
                </c:pt>
                <c:pt idx="2">
                  <c:v>549.37297868955602</c:v>
                </c:pt>
                <c:pt idx="3">
                  <c:v>1539.66091478102</c:v>
                </c:pt>
                <c:pt idx="4">
                  <c:v>531.75072759244699</c:v>
                </c:pt>
                <c:pt idx="5">
                  <c:v>489.61080773114401</c:v>
                </c:pt>
                <c:pt idx="6">
                  <c:v>561.753169618323</c:v>
                </c:pt>
                <c:pt idx="7">
                  <c:v>549.44632174568005</c:v>
                </c:pt>
                <c:pt idx="8">
                  <c:v>579.46992088380205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E-4163-BD63-BEE651358644}"/>
            </c:ext>
          </c:extLst>
        </c:ser>
        <c:ser>
          <c:idx val="1"/>
          <c:order val="1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Data!$BX$87:$BX$88</c:f>
              <c:numCache>
                <c:formatCode>General</c:formatCode>
                <c:ptCount val="2"/>
                <c:pt idx="0">
                  <c:v>0</c:v>
                </c:pt>
                <c:pt idx="1">
                  <c:v>20</c:v>
                </c:pt>
              </c:numCache>
            </c:numRef>
          </c:xVal>
          <c:yVal>
            <c:numRef>
              <c:f>Data!$BY$87:$BY$88</c:f>
              <c:numCache>
                <c:formatCode>General</c:formatCode>
                <c:ptCount val="2"/>
                <c:pt idx="0">
                  <c:v>553</c:v>
                </c:pt>
                <c:pt idx="1">
                  <c:v>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3E-4163-BD63-BEE65135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364527"/>
        <c:axId val="681365487"/>
      </c:scatterChart>
      <c:valAx>
        <c:axId val="681364527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65487"/>
        <c:crosses val="autoZero"/>
        <c:crossBetween val="midCat"/>
      </c:valAx>
      <c:valAx>
        <c:axId val="681365487"/>
        <c:scaling>
          <c:orientation val="minMax"/>
          <c:max val="6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3645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Rustenburg pyrite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Data!$AC$68:$AC$75</c:f>
                <c:numCache>
                  <c:formatCode>General</c:formatCode>
                  <c:ptCount val="8"/>
                  <c:pt idx="0">
                    <c:v>81.227997061540194</c:v>
                  </c:pt>
                  <c:pt idx="1">
                    <c:v>20.227135920294799</c:v>
                  </c:pt>
                  <c:pt idx="2">
                    <c:v>52.604814308497801</c:v>
                  </c:pt>
                  <c:pt idx="3">
                    <c:v>18.918015363963502</c:v>
                  </c:pt>
                  <c:pt idx="4">
                    <c:v>57.856967850126402</c:v>
                  </c:pt>
                  <c:pt idx="5">
                    <c:v>39.345304980680297</c:v>
                  </c:pt>
                  <c:pt idx="6">
                    <c:v>426.00629778491901</c:v>
                  </c:pt>
                  <c:pt idx="7">
                    <c:v>6.1182451739521602</c:v>
                  </c:pt>
                </c:numCache>
              </c:numRef>
            </c:plus>
            <c:minus>
              <c:numRef>
                <c:f>Data!$AC$68:$AC$75</c:f>
                <c:numCache>
                  <c:formatCode>General</c:formatCode>
                  <c:ptCount val="8"/>
                  <c:pt idx="0">
                    <c:v>81.227997061540194</c:v>
                  </c:pt>
                  <c:pt idx="1">
                    <c:v>20.227135920294799</c:v>
                  </c:pt>
                  <c:pt idx="2">
                    <c:v>52.604814308497801</c:v>
                  </c:pt>
                  <c:pt idx="3">
                    <c:v>18.918015363963502</c:v>
                  </c:pt>
                  <c:pt idx="4">
                    <c:v>57.856967850126402</c:v>
                  </c:pt>
                  <c:pt idx="5">
                    <c:v>39.345304980680297</c:v>
                  </c:pt>
                  <c:pt idx="6">
                    <c:v>426.00629778491901</c:v>
                  </c:pt>
                  <c:pt idx="7">
                    <c:v>6.1182451739521602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Data!$AF$68:$AF$75</c:f>
              <c:numCache>
                <c:formatCode>0.00</c:formatCode>
                <c:ptCount val="8"/>
                <c:pt idx="0">
                  <c:v>1.0404895428052789</c:v>
                </c:pt>
                <c:pt idx="1">
                  <c:v>0.16720842105263159</c:v>
                </c:pt>
                <c:pt idx="2">
                  <c:v>2.3359999999999999</c:v>
                </c:pt>
                <c:pt idx="3">
                  <c:v>0.80766845512322394</c:v>
                </c:pt>
                <c:pt idx="4">
                  <c:v>0.25472522790588142</c:v>
                </c:pt>
                <c:pt idx="5">
                  <c:v>0.42008852318952383</c:v>
                </c:pt>
                <c:pt idx="6">
                  <c:v>0.12424804981910437</c:v>
                </c:pt>
                <c:pt idx="7">
                  <c:v>5.4441821181814758</c:v>
                </c:pt>
              </c:numCache>
            </c:numRef>
          </c:xVal>
          <c:yVal>
            <c:numRef>
              <c:f>Data!$AB$68:$AB$75</c:f>
              <c:numCache>
                <c:formatCode>0.00</c:formatCode>
                <c:ptCount val="8"/>
                <c:pt idx="0">
                  <c:v>751.37660231191501</c:v>
                </c:pt>
                <c:pt idx="1">
                  <c:v>704.23544042792798</c:v>
                </c:pt>
                <c:pt idx="2">
                  <c:v>481.07134007463497</c:v>
                </c:pt>
                <c:pt idx="3">
                  <c:v>570.38952628013703</c:v>
                </c:pt>
                <c:pt idx="4">
                  <c:v>5109.9280334530504</c:v>
                </c:pt>
                <c:pt idx="5">
                  <c:v>1239.6068680723599</c:v>
                </c:pt>
                <c:pt idx="6">
                  <c:v>5044.42139963311</c:v>
                </c:pt>
                <c:pt idx="7">
                  <c:v>473.57443824898297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4-40B7-AFD7-A5340E946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226959"/>
        <c:axId val="952228399"/>
      </c:scatterChart>
      <c:valAx>
        <c:axId val="952226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28399"/>
        <c:crosses val="autoZero"/>
        <c:crossBetween val="midCat"/>
      </c:valAx>
      <c:valAx>
        <c:axId val="95222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Age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26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Franklin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Recalculated U=0.12ppm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Data!$AA$24:$AA$28</c:f>
                <c:numCache>
                  <c:formatCode>General</c:formatCode>
                  <c:ptCount val="5"/>
                  <c:pt idx="0">
                    <c:v>124.051663417521</c:v>
                  </c:pt>
                  <c:pt idx="1">
                    <c:v>137.14045869774199</c:v>
                  </c:pt>
                  <c:pt idx="2">
                    <c:v>151.223473771448</c:v>
                  </c:pt>
                  <c:pt idx="3">
                    <c:v>125.92844677385099</c:v>
                  </c:pt>
                  <c:pt idx="4">
                    <c:v>151.505481970434</c:v>
                  </c:pt>
                </c:numCache>
              </c:numRef>
            </c:plus>
            <c:minus>
              <c:numRef>
                <c:f>Data!$AA$24:$AA$28</c:f>
                <c:numCache>
                  <c:formatCode>General</c:formatCode>
                  <c:ptCount val="5"/>
                  <c:pt idx="0">
                    <c:v>124.051663417521</c:v>
                  </c:pt>
                  <c:pt idx="1">
                    <c:v>137.14045869774199</c:v>
                  </c:pt>
                  <c:pt idx="2">
                    <c:v>151.223473771448</c:v>
                  </c:pt>
                  <c:pt idx="3">
                    <c:v>125.92844677385099</c:v>
                  </c:pt>
                  <c:pt idx="4">
                    <c:v>151.505481970434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Data!$AD$24:$AD$28</c:f>
              <c:numCache>
                <c:formatCode>0.00</c:formatCode>
                <c:ptCount val="5"/>
                <c:pt idx="0">
                  <c:v>0.29321285140562248</c:v>
                </c:pt>
                <c:pt idx="1">
                  <c:v>1.7780666666666667</c:v>
                </c:pt>
                <c:pt idx="2">
                  <c:v>0.64121379310344828</c:v>
                </c:pt>
                <c:pt idx="3">
                  <c:v>0.12014229249011861</c:v>
                </c:pt>
                <c:pt idx="4">
                  <c:v>0.99590673575129551</c:v>
                </c:pt>
              </c:numCache>
            </c:numRef>
          </c:xVal>
          <c:yVal>
            <c:numRef>
              <c:f>Data!$Z$24:$Z$28</c:f>
              <c:numCache>
                <c:formatCode>General</c:formatCode>
                <c:ptCount val="5"/>
                <c:pt idx="0">
                  <c:v>1248.40953627202</c:v>
                </c:pt>
                <c:pt idx="1">
                  <c:v>1387.62808083703</c:v>
                </c:pt>
                <c:pt idx="2">
                  <c:v>1525.5754122528499</c:v>
                </c:pt>
                <c:pt idx="3">
                  <c:v>1266.6981993445099</c:v>
                </c:pt>
                <c:pt idx="4">
                  <c:v>1603.35856120634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4B-4414-8D10-ADA1C20BEC7D}"/>
            </c:ext>
          </c:extLst>
        </c:ser>
        <c:ser>
          <c:idx val="0"/>
          <c:order val="1"/>
          <c:tx>
            <c:v>Original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4.9733335103626354E-2"/>
                  <c:y val="-6.41520788206052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Data!$AD$24:$AD$28</c:f>
              <c:numCache>
                <c:formatCode>0.00</c:formatCode>
                <c:ptCount val="5"/>
                <c:pt idx="0">
                  <c:v>0.29321285140562248</c:v>
                </c:pt>
                <c:pt idx="1">
                  <c:v>1.7780666666666667</c:v>
                </c:pt>
                <c:pt idx="2">
                  <c:v>0.64121379310344828</c:v>
                </c:pt>
                <c:pt idx="3">
                  <c:v>0.12014229249011861</c:v>
                </c:pt>
                <c:pt idx="4">
                  <c:v>0.99590673575129551</c:v>
                </c:pt>
              </c:numCache>
            </c:numRef>
          </c:xVal>
          <c:yVal>
            <c:numRef>
              <c:f>Data!$T$24:$T$28</c:f>
              <c:numCache>
                <c:formatCode>0.00</c:formatCode>
                <c:ptCount val="5"/>
                <c:pt idx="0">
                  <c:v>529.10223941355798</c:v>
                </c:pt>
                <c:pt idx="1">
                  <c:v>106.91835705407701</c:v>
                </c:pt>
                <c:pt idx="2">
                  <c:v>322.17074936636402</c:v>
                </c:pt>
                <c:pt idx="3">
                  <c:v>1256.60565182961</c:v>
                </c:pt>
                <c:pt idx="4">
                  <c:v>223.21356370317801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4B-4414-8D10-ADA1C20BEC7D}"/>
            </c:ext>
          </c:extLst>
        </c:ser>
        <c:ser>
          <c:idx val="2"/>
          <c:order val="2"/>
          <c:tx>
            <c:v>Host Marble and volcanic formation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Sheet1!$AC$14:$AC$15</c:f>
              <c:numCache>
                <c:formatCode>General</c:formatCode>
                <c:ptCount val="2"/>
                <c:pt idx="0">
                  <c:v>0</c:v>
                </c:pt>
                <c:pt idx="1">
                  <c:v>2</c:v>
                </c:pt>
              </c:numCache>
            </c:numRef>
          </c:xVal>
          <c:yVal>
            <c:numRef>
              <c:f>Sheet1!$AD$14:$AD$15</c:f>
              <c:numCache>
                <c:formatCode>General</c:formatCode>
                <c:ptCount val="2"/>
                <c:pt idx="0">
                  <c:v>1300</c:v>
                </c:pt>
                <c:pt idx="1">
                  <c:v>1300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4B-4414-8D10-ADA1C20BE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433183"/>
        <c:axId val="723432703"/>
      </c:scatterChart>
      <c:valAx>
        <c:axId val="723433183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32703"/>
        <c:crosses val="autoZero"/>
        <c:crossBetween val="midCat"/>
      </c:valAx>
      <c:valAx>
        <c:axId val="7234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(Ma)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433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556433857898721"/>
          <c:y val="0.21771747262939911"/>
          <c:w val="0.3212644332388766"/>
          <c:h val="0.493788898198458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Data!$F$68:$F$75</c:f>
              <c:numCache>
                <c:formatCode>0.00</c:formatCode>
                <c:ptCount val="8"/>
                <c:pt idx="0">
                  <c:v>765.121323508665</c:v>
                </c:pt>
                <c:pt idx="1">
                  <c:v>754.20014378174801</c:v>
                </c:pt>
                <c:pt idx="2">
                  <c:v>502.45782059737098</c:v>
                </c:pt>
                <c:pt idx="3">
                  <c:v>578.55805136564595</c:v>
                </c:pt>
                <c:pt idx="4">
                  <c:v>5118.7815400629097</c:v>
                </c:pt>
                <c:pt idx="5">
                  <c:v>1253.6213794000601</c:v>
                </c:pt>
                <c:pt idx="6">
                  <c:v>5051.7872118846099</c:v>
                </c:pt>
                <c:pt idx="7">
                  <c:v>474.73577108002797</c:v>
                </c:pt>
              </c:numCache>
            </c:numRef>
          </c:xVal>
          <c:yVal>
            <c:numRef>
              <c:f>Data!$AN$68:$AN$75</c:f>
              <c:numCache>
                <c:formatCode>0.00</c:formatCode>
                <c:ptCount val="8"/>
                <c:pt idx="0">
                  <c:v>10.857960833094497</c:v>
                </c:pt>
                <c:pt idx="1">
                  <c:v>0</c:v>
                </c:pt>
                <c:pt idx="2">
                  <c:v>130.28969811320755</c:v>
                </c:pt>
                <c:pt idx="3">
                  <c:v>12.174212880786547</c:v>
                </c:pt>
                <c:pt idx="4">
                  <c:v>7.8921857744617725</c:v>
                </c:pt>
                <c:pt idx="5">
                  <c:v>0</c:v>
                </c:pt>
                <c:pt idx="6">
                  <c:v>0</c:v>
                </c:pt>
                <c:pt idx="7">
                  <c:v>202.96964234420864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A2-4782-8133-55EC561D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110064"/>
        <c:axId val="755117264"/>
      </c:scatterChart>
      <c:valAx>
        <c:axId val="75511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17264"/>
        <c:crosses val="autoZero"/>
        <c:crossBetween val="midCat"/>
      </c:valAx>
      <c:valAx>
        <c:axId val="7551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11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768144</xdr:colOff>
      <xdr:row>15</xdr:row>
      <xdr:rowOff>60223</xdr:rowOff>
    </xdr:from>
    <xdr:to>
      <xdr:col>49</xdr:col>
      <xdr:colOff>30724</xdr:colOff>
      <xdr:row>27</xdr:row>
      <xdr:rowOff>185585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DE390C9-03B0-302C-460D-485BE6B32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807941</xdr:colOff>
      <xdr:row>19</xdr:row>
      <xdr:rowOff>68237</xdr:rowOff>
    </xdr:from>
    <xdr:to>
      <xdr:col>28</xdr:col>
      <xdr:colOff>376910</xdr:colOff>
      <xdr:row>30</xdr:row>
      <xdr:rowOff>194329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A0841D-6957-39AE-44D6-4007ECC12C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229419</xdr:colOff>
      <xdr:row>1</xdr:row>
      <xdr:rowOff>88581</xdr:rowOff>
    </xdr:from>
    <xdr:to>
      <xdr:col>26</xdr:col>
      <xdr:colOff>185816</xdr:colOff>
      <xdr:row>14</xdr:row>
      <xdr:rowOff>15148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8B6A7D-72F6-1E27-79FD-3B80C940C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328945</xdr:colOff>
      <xdr:row>22</xdr:row>
      <xdr:rowOff>455122</xdr:rowOff>
    </xdr:from>
    <xdr:to>
      <xdr:col>37</xdr:col>
      <xdr:colOff>633550</xdr:colOff>
      <xdr:row>34</xdr:row>
      <xdr:rowOff>172491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1FB8F8E7-4F5B-85AA-98C7-C8CF64CA9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53</xdr:col>
      <xdr:colOff>208586</xdr:colOff>
      <xdr:row>14</xdr:row>
      <xdr:rowOff>16897</xdr:rowOff>
    </xdr:from>
    <xdr:to>
      <xdr:col>60</xdr:col>
      <xdr:colOff>34538</xdr:colOff>
      <xdr:row>26</xdr:row>
      <xdr:rowOff>10490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4285530E-FD60-1776-4AE7-1C81BFE1A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57</xdr:col>
      <xdr:colOff>607942</xdr:colOff>
      <xdr:row>15</xdr:row>
      <xdr:rowOff>92924</xdr:rowOff>
    </xdr:from>
    <xdr:to>
      <xdr:col>64</xdr:col>
      <xdr:colOff>459599</xdr:colOff>
      <xdr:row>27</xdr:row>
      <xdr:rowOff>105567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92BEB7A4-283F-9E22-BE4D-5D56FB0EA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593720</xdr:colOff>
      <xdr:row>17</xdr:row>
      <xdr:rowOff>44727</xdr:rowOff>
    </xdr:from>
    <xdr:to>
      <xdr:col>44</xdr:col>
      <xdr:colOff>379398</xdr:colOff>
      <xdr:row>28</xdr:row>
      <xdr:rowOff>261609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BC3E7549-F0DD-BA6D-B828-743060965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281590</xdr:colOff>
      <xdr:row>25</xdr:row>
      <xdr:rowOff>147132</xdr:rowOff>
    </xdr:from>
    <xdr:to>
      <xdr:col>16</xdr:col>
      <xdr:colOff>62435</xdr:colOff>
      <xdr:row>37</xdr:row>
      <xdr:rowOff>170648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080D7E4A-021E-0EF0-2423-0808F1948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45</xdr:col>
      <xdr:colOff>342772</xdr:colOff>
      <xdr:row>3</xdr:row>
      <xdr:rowOff>167305</xdr:rowOff>
    </xdr:from>
    <xdr:to>
      <xdr:col>52</xdr:col>
      <xdr:colOff>425520</xdr:colOff>
      <xdr:row>17</xdr:row>
      <xdr:rowOff>63026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2FEABB6C-77C7-DF85-02BA-B0424ABE8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379670</xdr:colOff>
      <xdr:row>64</xdr:row>
      <xdr:rowOff>155283</xdr:rowOff>
    </xdr:from>
    <xdr:to>
      <xdr:col>29</xdr:col>
      <xdr:colOff>355001</xdr:colOff>
      <xdr:row>77</xdr:row>
      <xdr:rowOff>35540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B5DA1575-71F8-F49E-E235-726CF5B63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38</xdr:col>
      <xdr:colOff>418012</xdr:colOff>
      <xdr:row>50</xdr:row>
      <xdr:rowOff>28031</xdr:rowOff>
    </xdr:from>
    <xdr:to>
      <xdr:col>46</xdr:col>
      <xdr:colOff>437334</xdr:colOff>
      <xdr:row>64</xdr:row>
      <xdr:rowOff>104231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5C262656-FDD3-6400-69D7-49E87A2D9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61328</xdr:colOff>
      <xdr:row>66</xdr:row>
      <xdr:rowOff>123441</xdr:rowOff>
    </xdr:from>
    <xdr:to>
      <xdr:col>14</xdr:col>
      <xdr:colOff>268030</xdr:colOff>
      <xdr:row>79</xdr:row>
      <xdr:rowOff>5282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C2959B44-7BD7-F26B-5D9D-410C7B37F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201050</xdr:colOff>
      <xdr:row>2</xdr:row>
      <xdr:rowOff>181567</xdr:rowOff>
    </xdr:from>
    <xdr:to>
      <xdr:col>14</xdr:col>
      <xdr:colOff>390589</xdr:colOff>
      <xdr:row>16</xdr:row>
      <xdr:rowOff>181566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E7FDB38A-3890-67B1-6C74-4510ABEFE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341779</xdr:colOff>
      <xdr:row>34</xdr:row>
      <xdr:rowOff>161813</xdr:rowOff>
    </xdr:from>
    <xdr:to>
      <xdr:col>21</xdr:col>
      <xdr:colOff>412824</xdr:colOff>
      <xdr:row>47</xdr:row>
      <xdr:rowOff>413497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5215FF-9559-1A6D-9B90-C51A1D751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151279</xdr:colOff>
      <xdr:row>87</xdr:row>
      <xdr:rowOff>214032</xdr:rowOff>
    </xdr:from>
    <xdr:to>
      <xdr:col>18</xdr:col>
      <xdr:colOff>16808</xdr:colOff>
      <xdr:row>100</xdr:row>
      <xdr:rowOff>178173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9D8433-4988-CA0D-F8AE-0591AAA88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348953</xdr:colOff>
      <xdr:row>23</xdr:row>
      <xdr:rowOff>165657</xdr:rowOff>
    </xdr:from>
    <xdr:to>
      <xdr:col>28</xdr:col>
      <xdr:colOff>42097</xdr:colOff>
      <xdr:row>38</xdr:row>
      <xdr:rowOff>158414</xdr:rowOff>
    </xdr:to>
    <xdr:graphicFrame macro="">
      <xdr:nvGraphicFramePr>
        <xdr:cNvPr id="2" name="Chart 13">
          <a:extLst>
            <a:ext uri="{FF2B5EF4-FFF2-40B4-BE49-F238E27FC236}">
              <a16:creationId xmlns:a16="http://schemas.microsoft.com/office/drawing/2014/main" id="{BFA3DBE8-DCC7-0396-50CF-C52F1B2B6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299713</xdr:colOff>
      <xdr:row>2</xdr:row>
      <xdr:rowOff>103719</xdr:rowOff>
    </xdr:from>
    <xdr:to>
      <xdr:col>28</xdr:col>
      <xdr:colOff>295283</xdr:colOff>
      <xdr:row>20</xdr:row>
      <xdr:rowOff>88099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1060EAC-F0CF-A9C9-C79B-ECDDC00D3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168080</xdr:colOff>
      <xdr:row>20</xdr:row>
      <xdr:rowOff>114711</xdr:rowOff>
    </xdr:from>
    <xdr:to>
      <xdr:col>18</xdr:col>
      <xdr:colOff>468971</xdr:colOff>
      <xdr:row>35</xdr:row>
      <xdr:rowOff>114710</xdr:rowOff>
    </xdr:to>
    <xdr:graphicFrame macro="">
      <xdr:nvGraphicFramePr>
        <xdr:cNvPr id="4" name="Chart 18">
          <a:extLst>
            <a:ext uri="{FF2B5EF4-FFF2-40B4-BE49-F238E27FC236}">
              <a16:creationId xmlns:a16="http://schemas.microsoft.com/office/drawing/2014/main" id="{CFFF819D-D1EF-540D-4EDF-4B25A751C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105760</xdr:colOff>
      <xdr:row>4</xdr:row>
      <xdr:rowOff>74194</xdr:rowOff>
    </xdr:from>
    <xdr:to>
      <xdr:col>18</xdr:col>
      <xdr:colOff>473850</xdr:colOff>
      <xdr:row>19</xdr:row>
      <xdr:rowOff>662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EED0F3-9E8D-D88B-5063-6137B648D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203663</xdr:colOff>
      <xdr:row>2</xdr:row>
      <xdr:rowOff>173335</xdr:rowOff>
    </xdr:from>
    <xdr:to>
      <xdr:col>9</xdr:col>
      <xdr:colOff>534057</xdr:colOff>
      <xdr:row>17</xdr:row>
      <xdr:rowOff>115043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F83AC2-022E-308E-B9FC-B80E206BF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161277</xdr:colOff>
      <xdr:row>20</xdr:row>
      <xdr:rowOff>114205</xdr:rowOff>
    </xdr:from>
    <xdr:to>
      <xdr:col>10</xdr:col>
      <xdr:colOff>489701</xdr:colOff>
      <xdr:row>36</xdr:row>
      <xdr:rowOff>76415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4800C1-F047-D968-7C0A-9B4ED2267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156965</xdr:colOff>
      <xdr:row>45</xdr:row>
      <xdr:rowOff>35619</xdr:rowOff>
    </xdr:from>
    <xdr:to>
      <xdr:col>10</xdr:col>
      <xdr:colOff>504075</xdr:colOff>
      <xdr:row>59</xdr:row>
      <xdr:rowOff>137838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7B7C80EB-9CCD-E954-F363-5D1FFA2FE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416862</xdr:colOff>
      <xdr:row>43</xdr:row>
      <xdr:rowOff>113419</xdr:rowOff>
    </xdr:from>
    <xdr:to>
      <xdr:col>19</xdr:col>
      <xdr:colOff>75668</xdr:colOff>
      <xdr:row>58</xdr:row>
      <xdr:rowOff>127067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B91B1EBD-7F6A-11CC-19D3-9CFC79065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263543</xdr:colOff>
      <xdr:row>8</xdr:row>
      <xdr:rowOff>97189</xdr:rowOff>
    </xdr:from>
    <xdr:to>
      <xdr:col>27</xdr:col>
      <xdr:colOff>572566</xdr:colOff>
      <xdr:row>24</xdr:row>
      <xdr:rowOff>23693</xdr:rowOff>
    </xdr:to>
    <xdr:graphicFrame macro="">
      <xdr:nvGraphicFramePr>
        <xdr:cNvPr id="2" name="Chart 14">
          <a:extLst>
            <a:ext uri="{FF2B5EF4-FFF2-40B4-BE49-F238E27FC236}">
              <a16:creationId xmlns:a16="http://schemas.microsoft.com/office/drawing/2014/main" id="{B2326BFC-BA7A-F6EF-7666-C514A984D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418012</xdr:colOff>
      <xdr:row>3</xdr:row>
      <xdr:rowOff>28031</xdr:rowOff>
    </xdr:from>
    <xdr:to>
      <xdr:col>46</xdr:col>
      <xdr:colOff>437334</xdr:colOff>
      <xdr:row>17</xdr:row>
      <xdr:rowOff>104231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F4905D-86F5-4811-A7D7-379BC127F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5"/>
  <sheetViews>
    <sheetView zoomScale="85" zoomScaleNormal="85" workbookViewId="0">
      <selection activeCell="BS1" sqref="A1:BS1"/>
    </sheetView>
  </sheetViews>
  <sheetFormatPr defaultRowHeight="15.6" x14ac:dyDescent="0.3"/>
  <cols>
    <col min="1" max="1" width="22.109375" style="26" customWidth="1"/>
    <col min="2" max="2" width="9" style="2" bestFit="1" customWidth="1"/>
    <col min="3" max="5" width="9" style="2" customWidth="1"/>
    <col min="6" max="6" width="12.6640625" style="14" customWidth="1"/>
    <col min="7" max="7" width="13" style="2" bestFit="1" customWidth="1"/>
    <col min="8" max="8" width="13.33203125" style="19" customWidth="1"/>
    <col min="9" max="9" width="8.109375" style="23" customWidth="1"/>
    <col min="10" max="10" width="12.44140625" style="2" customWidth="1"/>
    <col min="11" max="11" width="5.109375" style="23" customWidth="1"/>
    <col min="12" max="12" width="6.88671875" style="23" customWidth="1"/>
    <col min="13" max="13" width="5.109375" style="23" customWidth="1"/>
    <col min="14" max="14" width="12.44140625" style="17" customWidth="1"/>
    <col min="15" max="15" width="6.44140625" style="25" customWidth="1"/>
    <col min="16" max="16" width="12.44140625" style="2" customWidth="1"/>
    <col min="17" max="17" width="7.33203125" style="2" customWidth="1"/>
    <col min="18" max="18" width="12.44140625" style="2" customWidth="1"/>
    <col min="19" max="19" width="7.6640625" style="2" customWidth="1"/>
    <col min="20" max="20" width="12.88671875" style="14" customWidth="1"/>
    <col min="21" max="21" width="12.44140625" style="12" customWidth="1"/>
    <col min="22" max="22" width="14.109375" style="2" customWidth="1"/>
    <col min="23" max="23" width="7.109375" style="2" customWidth="1"/>
    <col min="24" max="24" width="14.109375" style="2" customWidth="1"/>
    <col min="25" max="25" width="5.33203125" style="2" customWidth="1"/>
    <col min="26" max="26" width="14.109375" style="2" customWidth="1"/>
    <col min="27" max="27" width="5.33203125" style="2" customWidth="1"/>
    <col min="28" max="28" width="12.88671875" style="14" customWidth="1"/>
    <col min="29" max="29" width="8.33203125" style="12" customWidth="1"/>
    <col min="30" max="30" width="9" style="2" bestFit="1" customWidth="1"/>
    <col min="31" max="31" width="5.5546875" style="2" customWidth="1"/>
    <col min="32" max="32" width="9" style="2" bestFit="1" customWidth="1"/>
    <col min="33" max="33" width="5.44140625" style="2" customWidth="1"/>
    <col min="34" max="34" width="9.33203125" style="2" customWidth="1"/>
    <col min="35" max="35" width="5.6640625" style="2" customWidth="1"/>
    <col min="36" max="36" width="9.109375" style="2" bestFit="1" customWidth="1"/>
    <col min="37" max="37" width="8.77734375" style="2" customWidth="1"/>
    <col min="38" max="38" width="11" style="2" customWidth="1"/>
    <col min="39" max="39" width="11.5546875" style="2" customWidth="1"/>
    <col min="40" max="40" width="9.109375" style="2" bestFit="1" customWidth="1"/>
    <col min="41" max="41" width="5.77734375" style="2" customWidth="1"/>
    <col min="42" max="42" width="9.109375" style="2" bestFit="1" customWidth="1"/>
    <col min="43" max="43" width="5.5546875" style="2" customWidth="1"/>
    <col min="44" max="44" width="9.109375" style="2" bestFit="1" customWidth="1"/>
    <col min="45" max="45" width="6.77734375" style="12" customWidth="1"/>
    <col min="46" max="46" width="9.5546875" style="2" customWidth="1"/>
    <col min="47" max="48" width="9.109375" style="2" customWidth="1"/>
    <col min="49" max="49" width="11.109375" style="2" customWidth="1"/>
    <col min="50" max="50" width="9" style="96" bestFit="1" customWidth="1"/>
    <col min="51" max="51" width="9" style="2" bestFit="1" customWidth="1"/>
    <col min="52" max="53" width="9" style="2" customWidth="1"/>
    <col min="54" max="54" width="10.33203125" customWidth="1"/>
    <col min="55" max="55" width="9.77734375" customWidth="1"/>
    <col min="56" max="56" width="10" customWidth="1"/>
    <col min="57" max="57" width="10.109375" customWidth="1"/>
    <col min="58" max="58" width="10" customWidth="1"/>
    <col min="59" max="59" width="9.109375" customWidth="1"/>
    <col min="60" max="60" width="9.77734375" customWidth="1"/>
    <col min="61" max="61" width="9.6640625" customWidth="1"/>
    <col min="62" max="62" width="10.33203125" customWidth="1"/>
    <col min="63" max="65" width="9.6640625" customWidth="1"/>
    <col min="66" max="66" width="9.88671875" customWidth="1"/>
    <col min="67" max="67" width="9.5546875" customWidth="1"/>
    <col min="68" max="68" width="9.6640625" customWidth="1"/>
    <col min="69" max="69" width="9" customWidth="1"/>
    <col min="70" max="70" width="9.33203125" customWidth="1"/>
    <col min="71" max="71" width="9.33203125" style="3" customWidth="1"/>
    <col min="73" max="73" width="8.44140625" style="23" customWidth="1"/>
    <col min="74" max="75" width="7.77734375" style="23" customWidth="1"/>
  </cols>
  <sheetData>
    <row r="1" spans="1:78" s="40" customFormat="1" ht="55.8" customHeight="1" x14ac:dyDescent="0.3">
      <c r="A1" s="30" t="s">
        <v>29</v>
      </c>
      <c r="B1" s="31" t="s">
        <v>21</v>
      </c>
      <c r="C1" s="31" t="s">
        <v>119</v>
      </c>
      <c r="D1" s="31" t="s">
        <v>120</v>
      </c>
      <c r="E1" s="31" t="s">
        <v>116</v>
      </c>
      <c r="F1" s="32" t="s">
        <v>121</v>
      </c>
      <c r="G1" s="33" t="s">
        <v>88</v>
      </c>
      <c r="H1" s="34" t="s">
        <v>122</v>
      </c>
      <c r="I1" s="35" t="s">
        <v>88</v>
      </c>
      <c r="J1" s="31" t="s">
        <v>117</v>
      </c>
      <c r="K1" s="35" t="s">
        <v>88</v>
      </c>
      <c r="L1" s="35"/>
      <c r="M1" s="35"/>
      <c r="N1" s="36" t="s">
        <v>86</v>
      </c>
      <c r="O1" s="37" t="s">
        <v>88</v>
      </c>
      <c r="P1" s="33" t="s">
        <v>91</v>
      </c>
      <c r="Q1" s="33" t="s">
        <v>88</v>
      </c>
      <c r="R1" s="33" t="s">
        <v>90</v>
      </c>
      <c r="S1" s="33" t="s">
        <v>88</v>
      </c>
      <c r="T1" s="38" t="s">
        <v>123</v>
      </c>
      <c r="U1" s="39" t="s">
        <v>88</v>
      </c>
      <c r="V1" s="31" t="s">
        <v>118</v>
      </c>
      <c r="W1" s="33" t="s">
        <v>88</v>
      </c>
      <c r="X1" s="33" t="s">
        <v>92</v>
      </c>
      <c r="Y1" s="33" t="s">
        <v>88</v>
      </c>
      <c r="Z1" s="33" t="s">
        <v>93</v>
      </c>
      <c r="AA1" s="33" t="s">
        <v>88</v>
      </c>
      <c r="AB1" s="38" t="s">
        <v>94</v>
      </c>
      <c r="AC1" s="39" t="s">
        <v>88</v>
      </c>
      <c r="AD1" s="31" t="s">
        <v>18</v>
      </c>
      <c r="AE1" s="33" t="s">
        <v>88</v>
      </c>
      <c r="AF1" s="31" t="s">
        <v>19</v>
      </c>
      <c r="AG1" s="33" t="s">
        <v>88</v>
      </c>
      <c r="AH1" s="31" t="s">
        <v>20</v>
      </c>
      <c r="AI1" s="33" t="s">
        <v>88</v>
      </c>
      <c r="AJ1" s="31" t="s">
        <v>61</v>
      </c>
      <c r="AK1" s="33" t="s">
        <v>88</v>
      </c>
      <c r="AL1" s="31" t="s">
        <v>62</v>
      </c>
      <c r="AM1" s="33" t="s">
        <v>88</v>
      </c>
      <c r="AN1" s="31" t="s">
        <v>63</v>
      </c>
      <c r="AO1" s="33" t="s">
        <v>88</v>
      </c>
      <c r="AP1" s="31" t="s">
        <v>64</v>
      </c>
      <c r="AQ1" s="33" t="s">
        <v>88</v>
      </c>
      <c r="AR1" s="31" t="s">
        <v>65</v>
      </c>
      <c r="AS1" s="39" t="s">
        <v>88</v>
      </c>
      <c r="AT1" s="33"/>
      <c r="AU1" s="31" t="s">
        <v>81</v>
      </c>
      <c r="AV1" s="33" t="s">
        <v>88</v>
      </c>
      <c r="AW1" s="31" t="s">
        <v>82</v>
      </c>
      <c r="AX1" s="94" t="s">
        <v>125</v>
      </c>
      <c r="AY1" s="33" t="s">
        <v>88</v>
      </c>
      <c r="AZ1" s="33" t="s">
        <v>127</v>
      </c>
      <c r="BA1" s="33" t="s">
        <v>124</v>
      </c>
      <c r="BB1" s="40" t="s">
        <v>15</v>
      </c>
      <c r="BC1" s="33" t="s">
        <v>88</v>
      </c>
      <c r="BD1" s="40" t="s">
        <v>16</v>
      </c>
      <c r="BE1" s="33" t="s">
        <v>88</v>
      </c>
      <c r="BF1" s="40" t="s">
        <v>17</v>
      </c>
      <c r="BG1" s="33" t="s">
        <v>88</v>
      </c>
      <c r="BH1" s="40" t="s">
        <v>55</v>
      </c>
      <c r="BI1" s="33" t="s">
        <v>88</v>
      </c>
      <c r="BJ1" s="40" t="s">
        <v>56</v>
      </c>
      <c r="BK1" s="33" t="s">
        <v>88</v>
      </c>
      <c r="BL1" s="40" t="s">
        <v>57</v>
      </c>
      <c r="BM1" s="33" t="s">
        <v>88</v>
      </c>
      <c r="BN1" s="40" t="s">
        <v>58</v>
      </c>
      <c r="BO1" s="33" t="s">
        <v>88</v>
      </c>
      <c r="BP1" s="40" t="s">
        <v>59</v>
      </c>
      <c r="BQ1" s="33" t="s">
        <v>88</v>
      </c>
      <c r="BR1" s="40" t="s">
        <v>60</v>
      </c>
      <c r="BS1" s="39" t="s">
        <v>88</v>
      </c>
      <c r="BU1" s="41" t="s">
        <v>87</v>
      </c>
      <c r="BV1" s="35" t="s">
        <v>88</v>
      </c>
      <c r="BW1" s="35"/>
    </row>
    <row r="2" spans="1:78" ht="33" customHeight="1" x14ac:dyDescent="0.7">
      <c r="A2" s="15" t="s">
        <v>40</v>
      </c>
      <c r="B2" s="8"/>
      <c r="C2" s="8"/>
      <c r="D2" s="8"/>
      <c r="E2" s="8"/>
      <c r="F2" s="42"/>
      <c r="G2" s="8"/>
      <c r="H2" s="20"/>
      <c r="I2" s="22"/>
      <c r="J2" s="8"/>
      <c r="K2" s="22"/>
      <c r="L2" s="22"/>
      <c r="M2" s="22"/>
      <c r="N2" s="18"/>
      <c r="O2" s="82"/>
      <c r="P2" s="8"/>
      <c r="Q2" s="8"/>
      <c r="R2" s="8"/>
      <c r="S2" s="8"/>
      <c r="T2" s="42"/>
      <c r="U2" s="16"/>
      <c r="V2" s="8"/>
      <c r="W2" s="8"/>
      <c r="X2" s="8"/>
      <c r="Y2" s="8"/>
      <c r="Z2" s="8"/>
      <c r="AA2" s="8"/>
      <c r="AB2" s="42"/>
      <c r="AC2" s="16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16"/>
      <c r="AT2" s="8"/>
      <c r="AU2" s="7"/>
      <c r="AV2" s="7"/>
      <c r="AW2" s="7"/>
      <c r="AX2" s="95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84"/>
      <c r="BU2" s="22"/>
      <c r="BV2" s="22"/>
      <c r="BW2" s="22"/>
    </row>
    <row r="3" spans="1:78" x14ac:dyDescent="0.3">
      <c r="A3" s="26" t="s">
        <v>1</v>
      </c>
      <c r="B3" s="2">
        <v>4.7699999999999996</v>
      </c>
      <c r="C3" s="2">
        <f>H3/B3</f>
        <v>98.69979077568135</v>
      </c>
      <c r="D3" s="2">
        <f>AD3+(0.24*AF3)</f>
        <v>1.3121056603773584</v>
      </c>
      <c r="E3" s="2">
        <f>BB3/BD3</f>
        <v>0.54850746268656725</v>
      </c>
      <c r="F3" s="14">
        <v>732.20659014597697</v>
      </c>
      <c r="G3" s="2">
        <v>30.179960778795198</v>
      </c>
      <c r="H3" s="19">
        <v>470.798002</v>
      </c>
      <c r="I3" s="23">
        <v>3.993E-3</v>
      </c>
      <c r="J3" s="2">
        <f>BU3*1000</f>
        <v>35.469000000000001</v>
      </c>
      <c r="K3" s="2">
        <f t="shared" ref="K3:K65" si="0">BV3*1000</f>
        <v>0.36699999999999999</v>
      </c>
      <c r="L3" s="2">
        <f>J3/B3</f>
        <v>7.4358490566037743</v>
      </c>
      <c r="M3" s="2"/>
      <c r="N3" s="17">
        <v>5.4533999999999999E-2</v>
      </c>
      <c r="O3" s="25">
        <v>5.8200000000000005E-4</v>
      </c>
      <c r="P3" s="2">
        <f t="shared" ref="P3:P14" si="1">(J3/1000000)/$F$105</f>
        <v>25.51726618705036</v>
      </c>
      <c r="Q3" s="2">
        <f t="shared" ref="Q3:Q14" si="2">(K3/1000000)/$F$105</f>
        <v>0.26402877697841726</v>
      </c>
      <c r="R3" s="2">
        <f>H3-P3</f>
        <v>445.28073581294962</v>
      </c>
      <c r="S3" s="2">
        <f>I3+Q3</f>
        <v>0.26802177697841728</v>
      </c>
      <c r="T3" s="14">
        <v>694.93517684553899</v>
      </c>
      <c r="U3" s="12">
        <v>29.1497707860098</v>
      </c>
      <c r="AD3" s="2">
        <f t="shared" ref="AD3:AD14" si="3">1000000*(BB3*298)/($B3/1000)</f>
        <v>0.91836477987421383</v>
      </c>
      <c r="AE3" s="2">
        <f t="shared" ref="AE3:AE14" si="4">1000000*(BC3*298)/($B3/1000)</f>
        <v>5.4414675052410905E-2</v>
      </c>
      <c r="AF3" s="2">
        <f t="shared" ref="AF3:AF14" si="5">1000000*(BD3*292)/($B3/1000)</f>
        <v>1.6405870020964362</v>
      </c>
      <c r="AG3" s="2">
        <f t="shared" ref="AG3:AG14" si="6">1000000*(BE3*292)/($B3/1000)</f>
        <v>4.003522012578617E-2</v>
      </c>
      <c r="AH3" s="2">
        <f t="shared" ref="AH3:AH14" si="7">1000000*(BF3*150)/($B3/1000)</f>
        <v>9.9056603773584911E-2</v>
      </c>
      <c r="AI3" s="2">
        <f t="shared" ref="AI3:AI14" si="8">1000000*(BG3*150)/($B3/1000)</f>
        <v>5.5345911949685536E-3</v>
      </c>
      <c r="AJ3" s="2">
        <f t="shared" ref="AJ3:AJ14" si="9">1000000*(BJ3*63.55)/($B3/1000)</f>
        <v>0</v>
      </c>
      <c r="AK3" s="2">
        <f t="shared" ref="AK3:AK14" si="10">1000000*(BK3*63.55)/($B3/1000)</f>
        <v>0</v>
      </c>
      <c r="AL3" s="2">
        <f t="shared" ref="AL3:AL14" si="11">1000000*(BL3*74.92)/($B3/1000)</f>
        <v>0</v>
      </c>
      <c r="AM3" s="2">
        <f t="shared" ref="AM3:AM14" si="12">1000000*(BM3*74.92)/($B3/1000)</f>
        <v>0</v>
      </c>
      <c r="AN3" s="2">
        <f t="shared" ref="AN3:AN14" si="13">1000000*(BN3*91.22)/($B3/1000)</f>
        <v>0</v>
      </c>
      <c r="AO3" s="2">
        <f t="shared" ref="AO3:AO14" si="14">1000000*(BO3*91.22)/($B3/1000)</f>
        <v>0</v>
      </c>
      <c r="AP3" s="2">
        <f t="shared" ref="AP3:AP14" si="15">1000000*(BP3*107.87)/($B3/1000)</f>
        <v>0</v>
      </c>
      <c r="AQ3" s="2">
        <f t="shared" ref="AQ3:AQ14" si="16">1000000*(BQ3*107.87)/($B3/1000)</f>
        <v>0</v>
      </c>
      <c r="AR3" s="2">
        <f t="shared" ref="AR3:AR14" si="17">1000000*(BR3*121.76)/($B3/1000)</f>
        <v>0</v>
      </c>
      <c r="AS3" s="12">
        <f t="shared" ref="AS3:AS14" si="18">1000000*(BS3*121.76)/($B3/1000)</f>
        <v>0</v>
      </c>
      <c r="BB3" s="1">
        <v>1.4700000000000002E-11</v>
      </c>
      <c r="BC3" s="1">
        <v>8.7100000000000002E-13</v>
      </c>
      <c r="BD3" s="1">
        <v>2.6800000000000001E-11</v>
      </c>
      <c r="BE3" s="1">
        <v>6.5400000000000004E-13</v>
      </c>
      <c r="BF3" s="1">
        <v>3.1500000000000001E-12</v>
      </c>
      <c r="BG3" s="1">
        <v>1.7600000000000001E-13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85"/>
      <c r="BU3" s="23">
        <v>3.5469000000000001E-2</v>
      </c>
      <c r="BV3" s="23">
        <v>3.6699999999999998E-4</v>
      </c>
      <c r="BY3">
        <v>0</v>
      </c>
      <c r="BZ3">
        <v>0</v>
      </c>
    </row>
    <row r="4" spans="1:78" x14ac:dyDescent="0.3">
      <c r="A4" s="26" t="s">
        <v>2</v>
      </c>
      <c r="B4" s="2">
        <v>3.23</v>
      </c>
      <c r="C4" s="2">
        <f t="shared" ref="C4:C22" si="19">H4/B4</f>
        <v>94.599166563467506</v>
      </c>
      <c r="D4" s="2">
        <f t="shared" ref="D4:D18" si="20">AD4+(0.24*AF4)</f>
        <v>1.3199554179566566</v>
      </c>
      <c r="E4" s="2">
        <f>BB4/BD4</f>
        <v>0.25479452054794521</v>
      </c>
      <c r="F4" s="14">
        <v>707.33945109815897</v>
      </c>
      <c r="G4" s="2">
        <v>8.8754015145782095</v>
      </c>
      <c r="H4" s="19">
        <v>305.55530800000003</v>
      </c>
      <c r="I4" s="23">
        <v>3.8899999999999998E-3</v>
      </c>
      <c r="J4" s="2">
        <f t="shared" ref="J4:J68" si="21">BU4*1000</f>
        <v>39.654000000000003</v>
      </c>
      <c r="K4" s="2">
        <f t="shared" si="0"/>
        <v>1.3719999999999999</v>
      </c>
      <c r="L4" s="2">
        <f t="shared" ref="L4:L14" si="22">J4/B4</f>
        <v>12.276780185758515</v>
      </c>
      <c r="M4" s="2"/>
      <c r="N4" s="17">
        <v>8.3131999999999998E-2</v>
      </c>
      <c r="O4" s="25">
        <v>3.836E-3</v>
      </c>
      <c r="P4" s="2">
        <f t="shared" si="1"/>
        <v>28.528057553956838</v>
      </c>
      <c r="Q4" s="2">
        <f t="shared" si="2"/>
        <v>0.98705035971223021</v>
      </c>
      <c r="R4" s="2">
        <f t="shared" ref="R4:R14" si="23">H4-P4</f>
        <v>277.02725044604318</v>
      </c>
      <c r="S4" s="2">
        <f t="shared" ref="S4:S14" si="24">I4+Q4</f>
        <v>0.99094035971223016</v>
      </c>
      <c r="T4" s="14">
        <v>644.05027871025095</v>
      </c>
      <c r="U4" s="12">
        <v>8.4482354633419998</v>
      </c>
      <c r="AD4" s="2">
        <f t="shared" si="3"/>
        <v>0.68641486068111468</v>
      </c>
      <c r="AE4" s="2">
        <f t="shared" si="4"/>
        <v>1.310092879256966E-2</v>
      </c>
      <c r="AF4" s="2">
        <f t="shared" si="5"/>
        <v>2.6397523219814243</v>
      </c>
      <c r="AG4" s="2">
        <f t="shared" si="6"/>
        <v>4.9902167182662535E-2</v>
      </c>
      <c r="AH4" s="2">
        <f t="shared" si="7"/>
        <v>0.13374613003095973</v>
      </c>
      <c r="AI4" s="2">
        <f t="shared" si="8"/>
        <v>8.8699690402476786E-3</v>
      </c>
      <c r="AJ4" s="2">
        <f t="shared" si="9"/>
        <v>0</v>
      </c>
      <c r="AK4" s="2">
        <f t="shared" si="10"/>
        <v>0</v>
      </c>
      <c r="AL4" s="2">
        <f t="shared" si="11"/>
        <v>0</v>
      </c>
      <c r="AM4" s="2">
        <f t="shared" si="12"/>
        <v>0</v>
      </c>
      <c r="AN4" s="2">
        <f t="shared" si="13"/>
        <v>0</v>
      </c>
      <c r="AO4" s="2">
        <f t="shared" si="14"/>
        <v>0</v>
      </c>
      <c r="AP4" s="2">
        <f t="shared" si="15"/>
        <v>0</v>
      </c>
      <c r="AQ4" s="2">
        <f t="shared" si="16"/>
        <v>0</v>
      </c>
      <c r="AR4" s="2">
        <f t="shared" si="17"/>
        <v>0</v>
      </c>
      <c r="AS4" s="12">
        <f t="shared" si="18"/>
        <v>0</v>
      </c>
      <c r="BB4" s="1">
        <v>7.4400000000000006E-12</v>
      </c>
      <c r="BC4" s="1">
        <v>1.42E-13</v>
      </c>
      <c r="BD4" s="1">
        <v>2.92E-11</v>
      </c>
      <c r="BE4" s="1">
        <v>5.5199999999999997E-13</v>
      </c>
      <c r="BF4" s="1">
        <v>2.8799999999999998E-12</v>
      </c>
      <c r="BG4" s="1">
        <v>1.9099999999999999E-13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85"/>
      <c r="BU4" s="23">
        <v>3.9654000000000002E-2</v>
      </c>
      <c r="BV4" s="23">
        <v>1.372E-3</v>
      </c>
      <c r="BY4">
        <v>9</v>
      </c>
      <c r="BZ4">
        <v>9</v>
      </c>
    </row>
    <row r="5" spans="1:78" x14ac:dyDescent="0.3">
      <c r="A5" s="26" t="s">
        <v>3</v>
      </c>
      <c r="B5" s="2">
        <v>1.74</v>
      </c>
      <c r="C5" s="2">
        <f t="shared" si="19"/>
        <v>91.857957471264356</v>
      </c>
      <c r="D5" s="2">
        <f t="shared" si="20"/>
        <v>1.2608041379310344</v>
      </c>
      <c r="E5" s="2">
        <f t="shared" ref="E5:E46" si="25">BB5/BD5</f>
        <v>0.54056902002107488</v>
      </c>
      <c r="F5" s="14">
        <v>709.95973224589704</v>
      </c>
      <c r="G5" s="2">
        <v>28.498667499913399</v>
      </c>
      <c r="H5" s="19">
        <v>159.83284599999999</v>
      </c>
      <c r="I5" s="23">
        <v>2.5690000000000001E-3</v>
      </c>
      <c r="J5" s="2">
        <f t="shared" si="21"/>
        <v>29.3</v>
      </c>
      <c r="K5" s="2">
        <f t="shared" si="0"/>
        <v>0.34799999999999998</v>
      </c>
      <c r="L5" s="2">
        <f t="shared" si="22"/>
        <v>16.839080459770116</v>
      </c>
      <c r="M5" s="2"/>
      <c r="N5" s="17">
        <v>0.13274900000000001</v>
      </c>
      <c r="O5" s="25">
        <v>1.619E-3</v>
      </c>
      <c r="P5" s="2">
        <f t="shared" si="1"/>
        <v>21.079136690647481</v>
      </c>
      <c r="Q5" s="2">
        <f t="shared" si="2"/>
        <v>0.2503597122302158</v>
      </c>
      <c r="R5" s="2">
        <f t="shared" si="23"/>
        <v>138.7537093093525</v>
      </c>
      <c r="S5" s="2">
        <f t="shared" si="24"/>
        <v>0.25292871223021579</v>
      </c>
      <c r="T5" s="14">
        <v>621.28576290311196</v>
      </c>
      <c r="U5" s="12">
        <v>25.568673418692999</v>
      </c>
      <c r="AD5" s="2">
        <f t="shared" si="3"/>
        <v>0.87858620689655176</v>
      </c>
      <c r="AE5" s="2">
        <f t="shared" si="4"/>
        <v>5.240689655172414E-2</v>
      </c>
      <c r="AF5" s="2">
        <f t="shared" si="5"/>
        <v>1.5925747126436782</v>
      </c>
      <c r="AG5" s="2">
        <f t="shared" si="6"/>
        <v>3.305977011494253E-2</v>
      </c>
      <c r="AH5" s="2">
        <f t="shared" si="7"/>
        <v>0.20258620689655168</v>
      </c>
      <c r="AI5" s="2">
        <f t="shared" si="8"/>
        <v>1.2068965517241381E-2</v>
      </c>
      <c r="AJ5" s="2">
        <f t="shared" si="9"/>
        <v>0</v>
      </c>
      <c r="AK5" s="2">
        <f t="shared" si="10"/>
        <v>0</v>
      </c>
      <c r="AL5" s="2">
        <f t="shared" si="11"/>
        <v>0</v>
      </c>
      <c r="AM5" s="2">
        <f t="shared" si="12"/>
        <v>0</v>
      </c>
      <c r="AN5" s="2">
        <f t="shared" si="13"/>
        <v>0</v>
      </c>
      <c r="AO5" s="2">
        <f t="shared" si="14"/>
        <v>0</v>
      </c>
      <c r="AP5" s="2">
        <f t="shared" si="15"/>
        <v>0</v>
      </c>
      <c r="AQ5" s="2">
        <f t="shared" si="16"/>
        <v>0</v>
      </c>
      <c r="AR5" s="2">
        <f t="shared" si="17"/>
        <v>0</v>
      </c>
      <c r="AS5" s="12">
        <f t="shared" si="18"/>
        <v>0</v>
      </c>
      <c r="BB5" s="1">
        <v>5.1300000000000002E-12</v>
      </c>
      <c r="BC5" s="1">
        <v>3.0600000000000001E-13</v>
      </c>
      <c r="BD5" s="1">
        <v>9.4899999999999993E-12</v>
      </c>
      <c r="BE5" s="1">
        <v>1.9699999999999999E-13</v>
      </c>
      <c r="BF5" s="1">
        <v>2.3499999999999999E-12</v>
      </c>
      <c r="BG5" s="1">
        <v>1.4000000000000001E-13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85"/>
      <c r="BU5" s="23">
        <v>2.93E-2</v>
      </c>
      <c r="BV5" s="23">
        <v>3.48E-4</v>
      </c>
    </row>
    <row r="6" spans="1:78" x14ac:dyDescent="0.3">
      <c r="A6" s="26" t="s">
        <v>4</v>
      </c>
      <c r="B6" s="2">
        <v>1.98</v>
      </c>
      <c r="C6" s="2">
        <f t="shared" si="19"/>
        <v>83.747024747474754</v>
      </c>
      <c r="D6" s="2">
        <f t="shared" si="20"/>
        <v>0.87794666666666665</v>
      </c>
      <c r="E6" s="2">
        <f t="shared" si="25"/>
        <v>0.70873786407766992</v>
      </c>
      <c r="F6" s="14">
        <v>910.36751461352605</v>
      </c>
      <c r="G6" s="2">
        <v>21.638239719672001</v>
      </c>
      <c r="H6" s="19">
        <v>165.819109</v>
      </c>
      <c r="I6" s="23">
        <v>1.5070000000000001E-3</v>
      </c>
      <c r="J6" s="2">
        <f t="shared" si="21"/>
        <v>27.099999999999998</v>
      </c>
      <c r="K6" s="2">
        <f t="shared" si="0"/>
        <v>0.26200000000000001</v>
      </c>
      <c r="L6" s="2">
        <f t="shared" si="22"/>
        <v>13.686868686868685</v>
      </c>
      <c r="M6" s="2"/>
      <c r="N6" s="17">
        <v>0.118413</v>
      </c>
      <c r="O6" s="25">
        <v>1.1770000000000001E-3</v>
      </c>
      <c r="P6" s="2">
        <f t="shared" si="1"/>
        <v>19.49640287769784</v>
      </c>
      <c r="Q6" s="2">
        <f t="shared" si="2"/>
        <v>0.18848920863309351</v>
      </c>
      <c r="R6" s="2">
        <f t="shared" si="23"/>
        <v>146.32270612230215</v>
      </c>
      <c r="S6" s="2">
        <f t="shared" si="24"/>
        <v>0.18999620863309352</v>
      </c>
      <c r="T6" s="14">
        <v>810.818929663821</v>
      </c>
      <c r="U6" s="12">
        <v>19.586375157266001</v>
      </c>
      <c r="AD6" s="2">
        <f t="shared" si="3"/>
        <v>0.65921212121212125</v>
      </c>
      <c r="AE6" s="2">
        <f t="shared" si="4"/>
        <v>2.0769696969696969E-2</v>
      </c>
      <c r="AF6" s="2">
        <f t="shared" si="5"/>
        <v>0.91139393939393942</v>
      </c>
      <c r="AG6" s="2">
        <f t="shared" si="6"/>
        <v>2.875757575757576E-2</v>
      </c>
      <c r="AH6" s="2">
        <f t="shared" si="7"/>
        <v>3.7196969696969701E-2</v>
      </c>
      <c r="AI6" s="2">
        <f t="shared" si="8"/>
        <v>4.681818181818182E-3</v>
      </c>
      <c r="AJ6" s="2">
        <f t="shared" si="9"/>
        <v>0</v>
      </c>
      <c r="AK6" s="2">
        <f t="shared" si="10"/>
        <v>0</v>
      </c>
      <c r="AL6" s="2">
        <f t="shared" si="11"/>
        <v>0</v>
      </c>
      <c r="AM6" s="2">
        <f t="shared" si="12"/>
        <v>0</v>
      </c>
      <c r="AN6" s="2">
        <f t="shared" si="13"/>
        <v>0</v>
      </c>
      <c r="AO6" s="2">
        <f t="shared" si="14"/>
        <v>0</v>
      </c>
      <c r="AP6" s="2">
        <f t="shared" si="15"/>
        <v>0</v>
      </c>
      <c r="AQ6" s="2">
        <f t="shared" si="16"/>
        <v>0</v>
      </c>
      <c r="AR6" s="2">
        <f t="shared" si="17"/>
        <v>0</v>
      </c>
      <c r="AS6" s="12">
        <f t="shared" si="18"/>
        <v>0</v>
      </c>
      <c r="BB6" s="1">
        <v>4.3800000000000003E-12</v>
      </c>
      <c r="BC6" s="1">
        <v>1.3799999999999999E-13</v>
      </c>
      <c r="BD6" s="1">
        <v>6.1799999999999999E-12</v>
      </c>
      <c r="BE6" s="1">
        <v>1.95E-13</v>
      </c>
      <c r="BF6" s="1">
        <v>4.9100000000000003E-13</v>
      </c>
      <c r="BG6" s="1">
        <v>6.1799999999999999E-14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85"/>
      <c r="BU6" s="23">
        <v>2.7099999999999999E-2</v>
      </c>
      <c r="BV6" s="23">
        <v>2.6200000000000003E-4</v>
      </c>
    </row>
    <row r="7" spans="1:78" x14ac:dyDescent="0.3">
      <c r="A7" s="26" t="s">
        <v>32</v>
      </c>
      <c r="B7" s="2">
        <v>1.28</v>
      </c>
      <c r="C7" s="2">
        <f t="shared" si="19"/>
        <v>123.49463203124999</v>
      </c>
      <c r="D7" s="2">
        <f t="shared" si="20"/>
        <v>0.68560687499999995</v>
      </c>
      <c r="E7" s="2">
        <f t="shared" si="25"/>
        <v>0.68224299065420568</v>
      </c>
      <c r="F7" s="14">
        <v>1610.9316588111501</v>
      </c>
      <c r="G7" s="2">
        <v>45.693447284526002</v>
      </c>
      <c r="H7" s="19">
        <v>158.07312899999999</v>
      </c>
      <c r="I7" s="23">
        <v>1.3680000000000001E-3</v>
      </c>
      <c r="J7" s="2">
        <f t="shared" si="21"/>
        <v>2.177</v>
      </c>
      <c r="K7" s="2">
        <f t="shared" si="0"/>
        <v>7.1000000000000008E-2</v>
      </c>
      <c r="L7" s="2">
        <f t="shared" si="22"/>
        <v>1.7007812499999999</v>
      </c>
      <c r="M7" s="2"/>
      <c r="N7" s="17">
        <v>9.4570000000000001E-3</v>
      </c>
      <c r="O7" s="25">
        <v>3.8099999999999999E-4</v>
      </c>
      <c r="P7" s="2">
        <f t="shared" si="1"/>
        <v>1.5661870503597122</v>
      </c>
      <c r="Q7" s="2">
        <f t="shared" si="2"/>
        <v>5.1079136690647488E-2</v>
      </c>
      <c r="R7" s="2">
        <f t="shared" si="23"/>
        <v>156.50694194964029</v>
      </c>
      <c r="S7" s="2">
        <f t="shared" si="24"/>
        <v>5.2447136690647489E-2</v>
      </c>
      <c r="T7" s="14">
        <v>1595.94175696248</v>
      </c>
      <c r="U7" s="12">
        <v>46.028684693177098</v>
      </c>
      <c r="AD7" s="2">
        <f t="shared" si="3"/>
        <v>0.509859375</v>
      </c>
      <c r="AE7" s="2">
        <f t="shared" si="4"/>
        <v>1.9323437499999999E-2</v>
      </c>
      <c r="AF7" s="2">
        <f t="shared" si="5"/>
        <v>0.73228124999999999</v>
      </c>
      <c r="AG7" s="2">
        <f t="shared" si="6"/>
        <v>5.0643749999999994E-2</v>
      </c>
      <c r="AH7" s="2">
        <f t="shared" si="7"/>
        <v>0.38437499999999997</v>
      </c>
      <c r="AI7" s="2">
        <f t="shared" si="8"/>
        <v>6.9609374999999987E-2</v>
      </c>
      <c r="AJ7" s="2">
        <f t="shared" si="9"/>
        <v>248.35995266515937</v>
      </c>
      <c r="AK7" s="2">
        <f t="shared" si="10"/>
        <v>27.855230944494622</v>
      </c>
      <c r="AL7" s="2">
        <f t="shared" si="11"/>
        <v>49.381022334005976</v>
      </c>
      <c r="AM7" s="2">
        <f t="shared" si="12"/>
        <v>12.693660852007131</v>
      </c>
      <c r="AN7" s="2">
        <f t="shared" si="13"/>
        <v>9.127945312010084</v>
      </c>
      <c r="AO7" s="2">
        <f t="shared" si="14"/>
        <v>2.6356004048493253</v>
      </c>
      <c r="AP7" s="2">
        <f t="shared" si="15"/>
        <v>3.8803296229650699</v>
      </c>
      <c r="AQ7" s="2">
        <f t="shared" si="16"/>
        <v>0.97897823000473339</v>
      </c>
      <c r="AR7" s="2">
        <f t="shared" si="17"/>
        <v>15.910835760965266</v>
      </c>
      <c r="AS7" s="12">
        <f t="shared" si="18"/>
        <v>0.936350068301393</v>
      </c>
      <c r="AT7" s="2">
        <f>AH7/AN7</f>
        <v>4.2109695759708264E-2</v>
      </c>
      <c r="AX7" s="96">
        <f xml:space="preserve"> (119974.6 + (42856.8 *$BA7))*BH7</f>
        <v>0.94039941658747717</v>
      </c>
      <c r="AY7" s="2">
        <f t="shared" ref="AY7:AY14" si="26" xml:space="preserve"> (119974.6 + (42856.8 *$BA7))*BI7</f>
        <v>2.4799210832088723E-2</v>
      </c>
      <c r="AZ7" s="2">
        <f>AX7-B7</f>
        <v>-0.33960058341252286</v>
      </c>
      <c r="BA7" s="2">
        <f>BL7/BH7</f>
        <v>1.076380783503225E-4</v>
      </c>
      <c r="BB7" s="1">
        <v>2.1900000000000002E-12</v>
      </c>
      <c r="BC7" s="1">
        <v>8.3E-14</v>
      </c>
      <c r="BD7" s="1">
        <v>3.2099999999999999E-12</v>
      </c>
      <c r="BE7" s="1">
        <v>2.2199999999999999E-13</v>
      </c>
      <c r="BF7" s="1">
        <v>3.2800000000000002E-12</v>
      </c>
      <c r="BG7" s="1">
        <v>5.9399999999999999E-13</v>
      </c>
      <c r="BH7" s="1">
        <v>7.8380195442899706E-6</v>
      </c>
      <c r="BI7" s="1">
        <v>2.0669589512319499E-7</v>
      </c>
      <c r="BJ7" s="1">
        <v>5.0023719812966797E-9</v>
      </c>
      <c r="BK7" s="1">
        <v>5.6104949817392796E-10</v>
      </c>
      <c r="BL7" s="1">
        <v>8.4366936181964296E-10</v>
      </c>
      <c r="BM7" s="1">
        <v>2.1686980633434501E-10</v>
      </c>
      <c r="BN7" s="1">
        <v>1.2808342468069401E-10</v>
      </c>
      <c r="BO7" s="1">
        <v>3.69827726179252E-11</v>
      </c>
      <c r="BP7" s="1">
        <v>4.6044515781916099E-11</v>
      </c>
      <c r="BQ7" s="1">
        <v>1.16166879985729E-11</v>
      </c>
      <c r="BR7" s="1">
        <v>1.6726239958964799E-10</v>
      </c>
      <c r="BS7" s="85">
        <v>9.8433647127610305E-12</v>
      </c>
      <c r="BU7" s="23">
        <v>2.1770000000000001E-3</v>
      </c>
      <c r="BV7" s="23">
        <v>7.1000000000000005E-5</v>
      </c>
    </row>
    <row r="8" spans="1:78" x14ac:dyDescent="0.3">
      <c r="A8" s="26" t="s">
        <v>33</v>
      </c>
      <c r="B8" s="2">
        <v>2.41</v>
      </c>
      <c r="C8" s="2">
        <f t="shared" si="19"/>
        <v>161.49582904564315</v>
      </c>
      <c r="D8" s="2">
        <f t="shared" si="20"/>
        <v>2.6776232365145223</v>
      </c>
      <c r="E8" s="2">
        <f t="shared" si="25"/>
        <v>0.41317365269461076</v>
      </c>
      <c r="F8" s="14">
        <v>594.99595935741604</v>
      </c>
      <c r="G8" s="2">
        <v>7.8024016758530603</v>
      </c>
      <c r="H8" s="19">
        <v>389.204948</v>
      </c>
      <c r="I8" s="23">
        <v>2.4550000000000002E-3</v>
      </c>
      <c r="J8" s="2">
        <f t="shared" si="21"/>
        <v>3.7320000000000002</v>
      </c>
      <c r="K8" s="2">
        <f t="shared" si="0"/>
        <v>0.10500000000000001</v>
      </c>
      <c r="L8" s="2">
        <f t="shared" si="22"/>
        <v>1.5485477178423237</v>
      </c>
      <c r="M8" s="2"/>
      <c r="N8" s="17">
        <v>6.9439999999999997E-3</v>
      </c>
      <c r="O8" s="25">
        <v>1.8699999999999999E-4</v>
      </c>
      <c r="P8" s="2">
        <f t="shared" si="1"/>
        <v>2.6848920863309353</v>
      </c>
      <c r="Q8" s="2">
        <f t="shared" si="2"/>
        <v>7.5539568345323743E-2</v>
      </c>
      <c r="R8" s="2">
        <f t="shared" si="23"/>
        <v>386.52005591366907</v>
      </c>
      <c r="S8" s="2">
        <f t="shared" si="24"/>
        <v>7.7994568345323742E-2</v>
      </c>
      <c r="T8" s="14">
        <v>590.96296246556699</v>
      </c>
      <c r="U8" s="12">
        <v>7.70377394487274</v>
      </c>
      <c r="V8" s="2">
        <v>0.65630500000000003</v>
      </c>
      <c r="W8" s="2">
        <v>4.0682000000000003E-2</v>
      </c>
      <c r="X8" s="2">
        <f t="shared" ref="X8:X14" si="27">(J8/1000000)/(V8*$F$105)</f>
        <v>4.0909212733880365</v>
      </c>
      <c r="Y8" s="2">
        <f>X8*((((W8/V8)^2) + ((K8/J8)^2))^(0.5))</f>
        <v>0.27848021321949351</v>
      </c>
      <c r="Z8" s="2">
        <f>H8-X8</f>
        <v>385.11402672661194</v>
      </c>
      <c r="AA8" s="2">
        <f>I8+Y8</f>
        <v>0.2809352132194935</v>
      </c>
      <c r="AB8" s="14">
        <v>589.07129918349995</v>
      </c>
      <c r="AC8" s="12">
        <v>7.5681341819869203</v>
      </c>
      <c r="AD8" s="2">
        <f t="shared" si="3"/>
        <v>1.7063900414937756</v>
      </c>
      <c r="AE8" s="2">
        <f t="shared" si="4"/>
        <v>2.4235684647302906E-2</v>
      </c>
      <c r="AF8" s="2">
        <f t="shared" si="5"/>
        <v>4.0468049792531122</v>
      </c>
      <c r="AG8" s="2">
        <f t="shared" si="6"/>
        <v>0.11522489626556016</v>
      </c>
      <c r="AH8" s="2">
        <f t="shared" si="7"/>
        <v>1.1763485477178424</v>
      </c>
      <c r="AI8" s="2">
        <f t="shared" si="8"/>
        <v>7.0954356846473027E-2</v>
      </c>
      <c r="AJ8" s="2">
        <f t="shared" si="9"/>
        <v>555.10094288955588</v>
      </c>
      <c r="AK8" s="2">
        <f t="shared" si="10"/>
        <v>38.855672916670507</v>
      </c>
      <c r="AL8" s="2">
        <f t="shared" si="11"/>
        <v>5922.2039763590228</v>
      </c>
      <c r="AM8" s="2">
        <f t="shared" si="12"/>
        <v>397.88912221694102</v>
      </c>
      <c r="AN8" s="2">
        <f t="shared" si="13"/>
        <v>28.909649128472665</v>
      </c>
      <c r="AO8" s="2">
        <f t="shared" si="14"/>
        <v>2.2473271757349194</v>
      </c>
      <c r="AP8" s="2">
        <f t="shared" si="15"/>
        <v>7.818996857738636</v>
      </c>
      <c r="AQ8" s="2">
        <f t="shared" si="16"/>
        <v>1.1185069574650548</v>
      </c>
      <c r="AR8" s="2">
        <f t="shared" si="17"/>
        <v>35.687800509553611</v>
      </c>
      <c r="AS8" s="12">
        <f t="shared" si="18"/>
        <v>0.94702677622603548</v>
      </c>
      <c r="AT8" s="2">
        <f t="shared" ref="AT8:AT14" si="28">AH8/AN8</f>
        <v>4.0690516252557173E-2</v>
      </c>
      <c r="AX8" s="96">
        <f t="shared" ref="AX8:AX14" si="29" xml:space="preserve"> (119974.6 + (42856.8 *$BA8))*BH8</f>
        <v>2.5000138832234087</v>
      </c>
      <c r="AY8" s="2">
        <f t="shared" si="26"/>
        <v>5.3009167642312296E-2</v>
      </c>
      <c r="AZ8" s="2">
        <f t="shared" ref="AZ8:AZ14" si="30">AX8-B8</f>
        <v>9.0013883223408531E-2</v>
      </c>
      <c r="BA8" s="2">
        <f t="shared" ref="BA8:BA14" si="31">BL8/BH8</f>
        <v>9.1721285751546183E-3</v>
      </c>
      <c r="BB8" s="1">
        <v>1.38E-11</v>
      </c>
      <c r="BC8" s="1">
        <v>1.96E-13</v>
      </c>
      <c r="BD8" s="1">
        <v>3.3400000000000002E-11</v>
      </c>
      <c r="BE8" s="1">
        <v>9.5100000000000009E-13</v>
      </c>
      <c r="BF8" s="1">
        <v>1.8900000000000001E-11</v>
      </c>
      <c r="BG8" s="1">
        <v>1.14E-12</v>
      </c>
      <c r="BH8" s="1">
        <v>2.0769808933802E-5</v>
      </c>
      <c r="BI8" s="1">
        <v>4.4039366783481101E-7</v>
      </c>
      <c r="BJ8" s="1">
        <v>2.1051034970319902E-8</v>
      </c>
      <c r="BK8" s="1">
        <v>1.47351961808302E-9</v>
      </c>
      <c r="BL8" s="1">
        <v>1.9050335802222699E-7</v>
      </c>
      <c r="BM8" s="1">
        <v>1.27991562272134E-8</v>
      </c>
      <c r="BN8" s="1">
        <v>7.6378266169282097E-10</v>
      </c>
      <c r="BO8" s="1">
        <v>5.9373585765415003E-11</v>
      </c>
      <c r="BP8" s="1">
        <v>1.7468974160702801E-10</v>
      </c>
      <c r="BQ8" s="1">
        <v>2.4989355404568301E-11</v>
      </c>
      <c r="BR8" s="1">
        <v>7.0636990167562595E-10</v>
      </c>
      <c r="BS8" s="85">
        <v>1.8744534582003498E-11</v>
      </c>
      <c r="BU8" s="23">
        <v>3.7320000000000001E-3</v>
      </c>
      <c r="BV8" s="23">
        <v>1.05E-4</v>
      </c>
    </row>
    <row r="9" spans="1:78" x14ac:dyDescent="0.3">
      <c r="A9" s="26" t="s">
        <v>34</v>
      </c>
      <c r="B9" s="2">
        <v>4.04</v>
      </c>
      <c r="C9" s="2">
        <f t="shared" si="19"/>
        <v>132.17927574257425</v>
      </c>
      <c r="D9" s="2">
        <f t="shared" si="20"/>
        <v>2.8107782178217819</v>
      </c>
      <c r="E9" s="2">
        <f t="shared" si="25"/>
        <v>0.579059829059829</v>
      </c>
      <c r="F9" s="14">
        <v>466.25968978815899</v>
      </c>
      <c r="G9" s="2">
        <v>8.9940055197096793</v>
      </c>
      <c r="H9" s="19">
        <v>534.00427400000001</v>
      </c>
      <c r="I9" s="23">
        <v>2.9550000000000002E-3</v>
      </c>
      <c r="J9" s="2">
        <f t="shared" si="21"/>
        <v>2.0960000000000001</v>
      </c>
      <c r="K9" s="2">
        <f t="shared" si="0"/>
        <v>6.4999999999999988E-2</v>
      </c>
      <c r="L9" s="2">
        <f t="shared" si="22"/>
        <v>0.51881188118811883</v>
      </c>
      <c r="M9" s="2"/>
      <c r="N9" s="17">
        <v>2.7690000000000002E-3</v>
      </c>
      <c r="O9" s="25">
        <v>1.12E-4</v>
      </c>
      <c r="P9" s="2">
        <f t="shared" si="1"/>
        <v>1.5079136690647481</v>
      </c>
      <c r="Q9" s="2">
        <f t="shared" si="2"/>
        <v>4.6762589928057541E-2</v>
      </c>
      <c r="R9" s="2">
        <f t="shared" si="23"/>
        <v>532.49636033093532</v>
      </c>
      <c r="S9" s="2">
        <f t="shared" si="24"/>
        <v>4.971758992805754E-2</v>
      </c>
      <c r="T9" s="14">
        <v>465.15851721306399</v>
      </c>
      <c r="U9" s="12">
        <v>8.8461195792096596</v>
      </c>
      <c r="V9" s="2">
        <v>0.65630500000000003</v>
      </c>
      <c r="W9" s="2">
        <v>4.0682000000000003E-2</v>
      </c>
      <c r="X9" s="2">
        <f t="shared" si="27"/>
        <v>2.2975806508631629</v>
      </c>
      <c r="Y9" s="2">
        <f t="shared" ref="Y9:Y14" si="32">X9*((((W9/V9)^2) + ((K9/J9)^2))^(0.5))</f>
        <v>0.15924781293399193</v>
      </c>
      <c r="Z9" s="2">
        <f t="shared" ref="Z9:Z14" si="33">H9-X9</f>
        <v>531.7066933491368</v>
      </c>
      <c r="AA9" s="2">
        <f t="shared" ref="AA9:AA14" si="34">I9+Y9</f>
        <v>0.16220281293399194</v>
      </c>
      <c r="AB9" s="14">
        <v>464.43589106384201</v>
      </c>
      <c r="AC9" s="12">
        <v>9.2392400529707803</v>
      </c>
      <c r="AD9" s="2">
        <f t="shared" si="3"/>
        <v>1.9989603960396036</v>
      </c>
      <c r="AE9" s="2">
        <f t="shared" si="4"/>
        <v>5.2297524752475247E-2</v>
      </c>
      <c r="AF9" s="2">
        <f t="shared" si="5"/>
        <v>3.3825742574257429</v>
      </c>
      <c r="AG9" s="2">
        <f t="shared" si="6"/>
        <v>8.6009900990098989E-2</v>
      </c>
      <c r="AH9" s="2">
        <f t="shared" si="7"/>
        <v>2.2054455445544554</v>
      </c>
      <c r="AI9" s="2">
        <f t="shared" si="8"/>
        <v>0.1303217821782178</v>
      </c>
      <c r="AJ9" s="2">
        <f t="shared" si="9"/>
        <v>1365.5635607424942</v>
      </c>
      <c r="AK9" s="2">
        <f t="shared" si="10"/>
        <v>58.405048714010491</v>
      </c>
      <c r="AL9" s="2">
        <f t="shared" si="11"/>
        <v>1604.1387680749115</v>
      </c>
      <c r="AM9" s="2">
        <f t="shared" si="12"/>
        <v>109.69509029842905</v>
      </c>
      <c r="AN9" s="2">
        <f t="shared" si="13"/>
        <v>41.163654585016594</v>
      </c>
      <c r="AO9" s="2">
        <f t="shared" si="14"/>
        <v>3.8621356127037036</v>
      </c>
      <c r="AP9" s="2">
        <f t="shared" si="15"/>
        <v>12.622370012912052</v>
      </c>
      <c r="AQ9" s="2">
        <f t="shared" si="16"/>
        <v>1.0373345856740417</v>
      </c>
      <c r="AR9" s="2">
        <f t="shared" si="17"/>
        <v>22.440211943230633</v>
      </c>
      <c r="AS9" s="12">
        <f t="shared" si="18"/>
        <v>0.41257158806712158</v>
      </c>
      <c r="AT9" s="2">
        <f t="shared" si="28"/>
        <v>5.3577496137994236E-2</v>
      </c>
      <c r="AX9" s="96">
        <f t="shared" si="29"/>
        <v>3.0305874292460548</v>
      </c>
      <c r="AY9" s="2">
        <f xml:space="preserve"> (119974.6 + (42856.8 *$BA9))*BI9</f>
        <v>5.5488110323897527E-2</v>
      </c>
      <c r="AZ9" s="2">
        <f t="shared" si="30"/>
        <v>-1.0094125707539452</v>
      </c>
      <c r="BA9" s="2">
        <f t="shared" si="31"/>
        <v>3.4286219743147627E-3</v>
      </c>
      <c r="BB9" s="1">
        <v>2.7099999999999999E-11</v>
      </c>
      <c r="BC9" s="1">
        <v>7.0900000000000001E-13</v>
      </c>
      <c r="BD9" s="1">
        <v>4.6800000000000003E-11</v>
      </c>
      <c r="BE9" s="1">
        <v>1.19E-12</v>
      </c>
      <c r="BF9" s="1">
        <v>5.9399999999999997E-11</v>
      </c>
      <c r="BG9" s="1">
        <v>3.5100000000000002E-12</v>
      </c>
      <c r="BH9" s="1">
        <v>2.52293421741342E-5</v>
      </c>
      <c r="BI9" s="1">
        <v>4.61933059065711E-7</v>
      </c>
      <c r="BJ9" s="1">
        <v>8.6811593790710897E-8</v>
      </c>
      <c r="BK9" s="1">
        <v>3.7129252054225399E-9</v>
      </c>
      <c r="BL9" s="1">
        <v>8.6501876975742703E-8</v>
      </c>
      <c r="BM9" s="1">
        <v>5.9152184304011396E-9</v>
      </c>
      <c r="BN9" s="1">
        <v>1.8230778833969199E-9</v>
      </c>
      <c r="BO9" s="1">
        <v>1.7104832136946901E-10</v>
      </c>
      <c r="BP9" s="1">
        <v>4.7273917541637802E-10</v>
      </c>
      <c r="BQ9" s="1">
        <v>3.8850762270539799E-11</v>
      </c>
      <c r="BR9" s="1">
        <v>7.4456682203229099E-10</v>
      </c>
      <c r="BS9" s="85">
        <v>1.36891361349472E-11</v>
      </c>
      <c r="BU9" s="23">
        <v>2.0960000000000002E-3</v>
      </c>
      <c r="BV9" s="23">
        <v>6.4999999999999994E-5</v>
      </c>
    </row>
    <row r="10" spans="1:78" x14ac:dyDescent="0.3">
      <c r="A10" s="26" t="s">
        <v>35</v>
      </c>
      <c r="B10" s="2">
        <v>3.93</v>
      </c>
      <c r="C10" s="2">
        <f t="shared" si="19"/>
        <v>71.654073282442738</v>
      </c>
      <c r="D10" s="2">
        <f t="shared" si="20"/>
        <v>1.3066463104325698</v>
      </c>
      <c r="E10" s="2">
        <f t="shared" si="25"/>
        <v>0.41509433962264153</v>
      </c>
      <c r="F10" s="14">
        <v>543.14890381658302</v>
      </c>
      <c r="G10" s="2">
        <v>16.5128799993721</v>
      </c>
      <c r="H10" s="19">
        <v>281.60050799999999</v>
      </c>
      <c r="I10" s="23">
        <v>2.2130000000000001E-3</v>
      </c>
      <c r="J10" s="2">
        <f t="shared" si="21"/>
        <v>2.5179999999999998</v>
      </c>
      <c r="K10" s="2">
        <f t="shared" si="0"/>
        <v>9.0000000000000011E-2</v>
      </c>
      <c r="L10" s="2">
        <f t="shared" si="22"/>
        <v>0.64071246819338412</v>
      </c>
      <c r="M10" s="2"/>
      <c r="N10" s="17">
        <v>6.476E-3</v>
      </c>
      <c r="O10" s="25">
        <v>2.2800000000000001E-4</v>
      </c>
      <c r="P10" s="2">
        <f t="shared" si="1"/>
        <v>1.8115107913669064</v>
      </c>
      <c r="Q10" s="2">
        <f t="shared" si="2"/>
        <v>6.4748201438848935E-2</v>
      </c>
      <c r="R10" s="2">
        <f t="shared" si="23"/>
        <v>279.78899720863308</v>
      </c>
      <c r="S10" s="2">
        <f t="shared" si="24"/>
        <v>6.6961201438848941E-2</v>
      </c>
      <c r="T10" s="14">
        <v>539.93151462176002</v>
      </c>
      <c r="U10" s="12">
        <v>16.259434222890601</v>
      </c>
      <c r="V10" s="2">
        <v>0.65630500000000003</v>
      </c>
      <c r="W10" s="2">
        <v>4.0682000000000003E-2</v>
      </c>
      <c r="X10" s="2">
        <f t="shared" si="27"/>
        <v>2.760166068164811</v>
      </c>
      <c r="Y10" s="2">
        <f t="shared" si="32"/>
        <v>0.19749859060710373</v>
      </c>
      <c r="Z10" s="2">
        <f t="shared" si="33"/>
        <v>278.84034193183516</v>
      </c>
      <c r="AA10" s="2">
        <f t="shared" si="34"/>
        <v>0.19971159060710372</v>
      </c>
      <c r="AB10" s="14">
        <v>538.381787269141</v>
      </c>
      <c r="AC10" s="12">
        <v>16.332152474620301</v>
      </c>
      <c r="AD10" s="2">
        <f t="shared" si="3"/>
        <v>0.83409669211195925</v>
      </c>
      <c r="AE10" s="2">
        <f t="shared" si="4"/>
        <v>3.7686005089058526E-2</v>
      </c>
      <c r="AF10" s="2">
        <f t="shared" si="5"/>
        <v>1.9689567430025441</v>
      </c>
      <c r="AG10" s="2">
        <f t="shared" si="6"/>
        <v>6.2337913486005078E-2</v>
      </c>
      <c r="AH10" s="2">
        <f t="shared" si="7"/>
        <v>0.49236641221374045</v>
      </c>
      <c r="AI10" s="2">
        <f t="shared" si="8"/>
        <v>4.6564885496183206E-2</v>
      </c>
      <c r="AJ10" s="2">
        <f t="shared" si="9"/>
        <v>780.58255792869102</v>
      </c>
      <c r="AK10" s="2">
        <f t="shared" si="10"/>
        <v>52.487275244915523</v>
      </c>
      <c r="AL10" s="2">
        <f t="shared" si="11"/>
        <v>8026.8812489419679</v>
      </c>
      <c r="AM10" s="2">
        <f t="shared" si="12"/>
        <v>487.81158463900437</v>
      </c>
      <c r="AN10" s="2">
        <f t="shared" si="13"/>
        <v>15.457571534188016</v>
      </c>
      <c r="AO10" s="2">
        <f t="shared" si="14"/>
        <v>1.0959189841227495</v>
      </c>
      <c r="AP10" s="2">
        <f t="shared" si="15"/>
        <v>11.173804802924616</v>
      </c>
      <c r="AQ10" s="2">
        <f t="shared" si="16"/>
        <v>1.6430502194649634</v>
      </c>
      <c r="AR10" s="2">
        <f t="shared" si="17"/>
        <v>21.969323616434405</v>
      </c>
      <c r="AS10" s="12">
        <f t="shared" si="18"/>
        <v>0.46103896238538816</v>
      </c>
      <c r="AT10" s="2">
        <f t="shared" si="28"/>
        <v>3.18527662074704E-2</v>
      </c>
      <c r="AX10" s="96">
        <f t="shared" si="29"/>
        <v>4.0630375203838449</v>
      </c>
      <c r="AY10" s="2">
        <f t="shared" si="26"/>
        <v>7.9658008260846819E-2</v>
      </c>
      <c r="AZ10" s="2">
        <f t="shared" si="30"/>
        <v>0.13303752038384475</v>
      </c>
      <c r="BA10" s="2">
        <f t="shared" si="31"/>
        <v>1.2488584807205999E-2</v>
      </c>
      <c r="BB10" s="1">
        <v>1.1000000000000001E-11</v>
      </c>
      <c r="BC10" s="1">
        <v>4.97E-13</v>
      </c>
      <c r="BD10" s="1">
        <v>2.6499999999999999E-11</v>
      </c>
      <c r="BE10" s="1">
        <v>8.3899999999999996E-13</v>
      </c>
      <c r="BF10" s="1">
        <v>1.29E-11</v>
      </c>
      <c r="BG10" s="1">
        <v>1.2200000000000001E-12</v>
      </c>
      <c r="BH10" s="1">
        <v>3.3715405881776199E-5</v>
      </c>
      <c r="BI10" s="1">
        <v>6.6100843685898501E-7</v>
      </c>
      <c r="BJ10" s="1">
        <v>4.8272060624071697E-8</v>
      </c>
      <c r="BK10" s="1">
        <v>3.24586926376897E-9</v>
      </c>
      <c r="BL10" s="1">
        <v>4.2105770566393399E-7</v>
      </c>
      <c r="BM10" s="1">
        <v>2.5588621564752901E-8</v>
      </c>
      <c r="BN10" s="1">
        <v>6.6595325728303998E-10</v>
      </c>
      <c r="BO10" s="1">
        <v>4.7215102034667898E-11</v>
      </c>
      <c r="BP10" s="1">
        <v>4.0709236002126398E-10</v>
      </c>
      <c r="BQ10" s="1">
        <v>5.9860826573628506E-11</v>
      </c>
      <c r="BR10" s="1">
        <v>7.0909528426894899E-10</v>
      </c>
      <c r="BS10" s="85">
        <v>1.48807746564929E-11</v>
      </c>
      <c r="BU10" s="23">
        <v>2.5179999999999998E-3</v>
      </c>
      <c r="BV10" s="23">
        <v>9.0000000000000006E-5</v>
      </c>
    </row>
    <row r="11" spans="1:78" x14ac:dyDescent="0.3">
      <c r="A11" s="26" t="s">
        <v>36</v>
      </c>
      <c r="B11" s="2">
        <v>1.46</v>
      </c>
      <c r="C11" s="2">
        <f t="shared" si="19"/>
        <v>48.797513698630141</v>
      </c>
      <c r="D11" s="2">
        <f t="shared" si="20"/>
        <v>0.64487671232876709</v>
      </c>
      <c r="E11" s="2">
        <f t="shared" si="25"/>
        <v>0.50823529411764712</v>
      </c>
      <c r="F11" s="14">
        <v>736.28838859495102</v>
      </c>
      <c r="G11" s="2">
        <v>34.684435371902801</v>
      </c>
      <c r="H11" s="19">
        <v>71.244370000000004</v>
      </c>
      <c r="I11" s="23">
        <v>6.8499999999999995E-4</v>
      </c>
      <c r="J11" s="2">
        <f t="shared" si="21"/>
        <v>0.77100000000000002</v>
      </c>
      <c r="K11" s="2">
        <f t="shared" si="0"/>
        <v>6.0000000000000005E-2</v>
      </c>
      <c r="L11" s="2">
        <f t="shared" si="22"/>
        <v>0.52808219178082194</v>
      </c>
      <c r="M11" s="2"/>
      <c r="N11" s="17">
        <v>6.8950000000000001E-3</v>
      </c>
      <c r="O11" s="25">
        <v>5.22E-4</v>
      </c>
      <c r="P11" s="2">
        <f t="shared" si="1"/>
        <v>0.5546762589928057</v>
      </c>
      <c r="Q11" s="2">
        <f t="shared" si="2"/>
        <v>4.3165467625899283E-2</v>
      </c>
      <c r="R11" s="2">
        <f t="shared" si="23"/>
        <v>70.689693741007204</v>
      </c>
      <c r="S11" s="2">
        <f t="shared" si="24"/>
        <v>4.3850467625899281E-2</v>
      </c>
      <c r="T11" s="14">
        <v>731.28748031078999</v>
      </c>
      <c r="U11" s="12">
        <v>34.566604907353501</v>
      </c>
      <c r="V11" s="2">
        <v>0.65630500000000003</v>
      </c>
      <c r="W11" s="2">
        <v>4.0682000000000003E-2</v>
      </c>
      <c r="X11" s="2">
        <f t="shared" si="27"/>
        <v>0.84515013445395926</v>
      </c>
      <c r="Y11" s="2">
        <f t="shared" si="32"/>
        <v>8.4084694142413999E-2</v>
      </c>
      <c r="Z11" s="2">
        <f t="shared" si="33"/>
        <v>70.399219865546044</v>
      </c>
      <c r="AA11" s="2">
        <f t="shared" si="34"/>
        <v>8.4769694142414004E-2</v>
      </c>
      <c r="AB11" s="14">
        <v>727.99534650373903</v>
      </c>
      <c r="AC11" s="12">
        <v>35.131026805304202</v>
      </c>
      <c r="AD11" s="2">
        <f t="shared" si="3"/>
        <v>0.44087671232876713</v>
      </c>
      <c r="AE11" s="2">
        <f t="shared" si="4"/>
        <v>2.4493150684931509E-2</v>
      </c>
      <c r="AF11" s="2">
        <f t="shared" si="5"/>
        <v>0.85</v>
      </c>
      <c r="AG11" s="2">
        <f t="shared" si="6"/>
        <v>8.7800000000000003E-2</v>
      </c>
      <c r="AH11" s="2">
        <f t="shared" si="7"/>
        <v>7.3047945205479456E-2</v>
      </c>
      <c r="AI11" s="2">
        <f t="shared" si="8"/>
        <v>3.4931506849315078E-2</v>
      </c>
      <c r="AJ11" s="2">
        <f t="shared" si="9"/>
        <v>146.70828435412233</v>
      </c>
      <c r="AK11" s="2">
        <f t="shared" si="10"/>
        <v>19.634042145750239</v>
      </c>
      <c r="AL11" s="2">
        <f t="shared" si="11"/>
        <v>11440.328449428482</v>
      </c>
      <c r="AM11" s="2">
        <f t="shared" si="12"/>
        <v>796.20862334464857</v>
      </c>
      <c r="AN11" s="2">
        <f t="shared" si="13"/>
        <v>7.4272495385318509</v>
      </c>
      <c r="AO11" s="2">
        <f t="shared" si="14"/>
        <v>2.5264209742515287</v>
      </c>
      <c r="AP11" s="2">
        <f t="shared" si="15"/>
        <v>2.134614020444408</v>
      </c>
      <c r="AQ11" s="2">
        <f t="shared" si="16"/>
        <v>1.3509608735148158</v>
      </c>
      <c r="AR11" s="2">
        <f t="shared" si="17"/>
        <v>24.090782507677361</v>
      </c>
      <c r="AS11" s="12">
        <f t="shared" si="18"/>
        <v>0.72521977573067475</v>
      </c>
      <c r="AT11" s="2">
        <f t="shared" si="28"/>
        <v>9.8351273680133931E-3</v>
      </c>
      <c r="AX11" s="96">
        <f t="shared" si="29"/>
        <v>1.5640938606950707</v>
      </c>
      <c r="AY11" s="2">
        <f t="shared" si="26"/>
        <v>4.9770877583662915E-2</v>
      </c>
      <c r="AZ11" s="2">
        <f t="shared" si="30"/>
        <v>0.10409386069507076</v>
      </c>
      <c r="BA11" s="2">
        <f t="shared" si="31"/>
        <v>1.7206050808092833E-2</v>
      </c>
      <c r="BB11" s="1">
        <v>2.1600000000000001E-12</v>
      </c>
      <c r="BC11" s="1">
        <v>1.1999999999999999E-13</v>
      </c>
      <c r="BD11" s="1">
        <v>4.2499999999999999E-12</v>
      </c>
      <c r="BE11" s="1">
        <v>4.39E-13</v>
      </c>
      <c r="BF11" s="1">
        <v>7.11E-13</v>
      </c>
      <c r="BG11" s="1">
        <v>3.4000000000000002E-13</v>
      </c>
      <c r="BH11" s="1">
        <v>1.2957236305573401E-5</v>
      </c>
      <c r="BI11" s="1">
        <v>4.1231094769510902E-7</v>
      </c>
      <c r="BJ11" s="1">
        <v>3.3704814344141398E-9</v>
      </c>
      <c r="BK11" s="1">
        <v>4.5107319485122499E-10</v>
      </c>
      <c r="BL11" s="1">
        <v>2.2294286620616099E-7</v>
      </c>
      <c r="BM11" s="1">
        <v>1.55160783513506E-8</v>
      </c>
      <c r="BN11" s="1">
        <v>1.1887507483289301E-10</v>
      </c>
      <c r="BO11" s="1">
        <v>4.0436029625161497E-11</v>
      </c>
      <c r="BP11" s="1">
        <v>2.8891596086482199E-11</v>
      </c>
      <c r="BQ11" s="1">
        <v>1.8284999307792999E-11</v>
      </c>
      <c r="BR11" s="1">
        <v>2.8886779288115102E-10</v>
      </c>
      <c r="BS11" s="85">
        <v>8.6959664304105206E-12</v>
      </c>
      <c r="BU11" s="23">
        <v>7.7099999999999998E-4</v>
      </c>
      <c r="BV11" s="23">
        <v>6.0000000000000002E-5</v>
      </c>
    </row>
    <row r="12" spans="1:78" x14ac:dyDescent="0.3">
      <c r="A12" s="26" t="s">
        <v>37</v>
      </c>
      <c r="B12" s="2">
        <v>1.66</v>
      </c>
      <c r="C12" s="2">
        <f t="shared" si="19"/>
        <v>156.29384036144577</v>
      </c>
      <c r="D12" s="2">
        <f t="shared" si="20"/>
        <v>2.8087518072289157</v>
      </c>
      <c r="E12" s="2">
        <f t="shared" si="25"/>
        <v>0.11175166297117518</v>
      </c>
      <c r="F12" s="14">
        <v>557.70557395144601</v>
      </c>
      <c r="G12" s="2">
        <v>10.3043658640589</v>
      </c>
      <c r="H12" s="19">
        <v>259.44777499999998</v>
      </c>
      <c r="I12" s="23">
        <v>1.6980000000000001E-3</v>
      </c>
      <c r="J12" s="2">
        <f t="shared" si="21"/>
        <v>4.1539999999999999</v>
      </c>
      <c r="K12" s="2">
        <f t="shared" si="0"/>
        <v>0.114</v>
      </c>
      <c r="L12" s="2">
        <f t="shared" si="22"/>
        <v>2.5024096385542167</v>
      </c>
      <c r="M12" s="2"/>
      <c r="N12" s="17">
        <v>1.1447000000000001E-2</v>
      </c>
      <c r="O12" s="25">
        <v>3.4299999999999999E-4</v>
      </c>
      <c r="P12" s="2">
        <f t="shared" si="1"/>
        <v>2.988489208633093</v>
      </c>
      <c r="Q12" s="2">
        <f t="shared" si="2"/>
        <v>8.2014388489208626E-2</v>
      </c>
      <c r="R12" s="2">
        <f t="shared" si="23"/>
        <v>256.45928579136688</v>
      </c>
      <c r="S12" s="2">
        <f t="shared" si="24"/>
        <v>8.3712388489208631E-2</v>
      </c>
      <c r="T12" s="14">
        <v>551.53149028127905</v>
      </c>
      <c r="U12" s="12">
        <v>10.280880782832501</v>
      </c>
      <c r="V12" s="2">
        <v>1.2358420000000001</v>
      </c>
      <c r="W12" s="2">
        <v>8.8944999999999996E-2</v>
      </c>
      <c r="X12" s="2">
        <f t="shared" si="27"/>
        <v>2.4181806482002495</v>
      </c>
      <c r="Y12" s="2">
        <f t="shared" si="32"/>
        <v>0.18626257849667549</v>
      </c>
      <c r="Z12" s="2">
        <f t="shared" si="33"/>
        <v>257.02959435179974</v>
      </c>
      <c r="AA12" s="2">
        <f t="shared" si="34"/>
        <v>0.1879605784966755</v>
      </c>
      <c r="AB12" s="14">
        <v>552.61949607436702</v>
      </c>
      <c r="AC12" s="12">
        <v>10.530638827246101</v>
      </c>
      <c r="AD12" s="2">
        <f t="shared" si="3"/>
        <v>0.90477108433734943</v>
      </c>
      <c r="AE12" s="2">
        <f t="shared" si="4"/>
        <v>1.9028915662650605E-2</v>
      </c>
      <c r="AF12" s="2">
        <f t="shared" si="5"/>
        <v>7.9332530120481923</v>
      </c>
      <c r="AG12" s="2">
        <f t="shared" si="6"/>
        <v>0.21460240963855423</v>
      </c>
      <c r="AH12" s="2">
        <f t="shared" si="7"/>
        <v>11.475903614457829</v>
      </c>
      <c r="AI12" s="2">
        <f t="shared" si="8"/>
        <v>0.42018072289156616</v>
      </c>
      <c r="AJ12" s="2">
        <f t="shared" si="9"/>
        <v>17.411487541943057</v>
      </c>
      <c r="AK12" s="2">
        <f t="shared" si="10"/>
        <v>7.7593622790067309</v>
      </c>
      <c r="AL12" s="2">
        <f t="shared" si="11"/>
        <v>47121.028441219292</v>
      </c>
      <c r="AM12" s="2">
        <f t="shared" si="12"/>
        <v>2800.8752954237489</v>
      </c>
      <c r="AN12" s="2">
        <f t="shared" si="13"/>
        <v>6.8470309277861325</v>
      </c>
      <c r="AO12" s="2">
        <f t="shared" si="14"/>
        <v>1.8164512146123168</v>
      </c>
      <c r="AP12" s="2">
        <f t="shared" si="15"/>
        <v>0</v>
      </c>
      <c r="AQ12" s="2">
        <f t="shared" si="16"/>
        <v>0</v>
      </c>
      <c r="AR12" s="2">
        <f t="shared" si="17"/>
        <v>38.450342505759671</v>
      </c>
      <c r="AS12" s="12">
        <f t="shared" si="18"/>
        <v>0.80744341408190845</v>
      </c>
      <c r="AT12" s="2">
        <f t="shared" si="28"/>
        <v>1.6760408614319435</v>
      </c>
      <c r="AX12" s="96">
        <f t="shared" si="29"/>
        <v>1.3681535010990944</v>
      </c>
      <c r="AY12" s="2">
        <f t="shared" si="26"/>
        <v>2.2959282401172027E-2</v>
      </c>
      <c r="AZ12" s="2">
        <f t="shared" si="30"/>
        <v>-0.29184649890090553</v>
      </c>
      <c r="BA12" s="2">
        <f t="shared" si="31"/>
        <v>9.4649970058931512E-2</v>
      </c>
      <c r="BB12" s="1">
        <v>5.0400000000000003E-12</v>
      </c>
      <c r="BC12" s="1">
        <v>1.06E-13</v>
      </c>
      <c r="BD12" s="1">
        <v>4.5099999999999998E-11</v>
      </c>
      <c r="BE12" s="1">
        <v>1.2200000000000001E-12</v>
      </c>
      <c r="BF12" s="1">
        <v>1.27E-10</v>
      </c>
      <c r="BG12" s="1">
        <v>4.6499999999999998E-12</v>
      </c>
      <c r="BH12" s="1">
        <v>1.10307387512216E-5</v>
      </c>
      <c r="BI12" s="1">
        <v>1.8510923363452701E-7</v>
      </c>
      <c r="BJ12" s="1">
        <v>4.5480832918372102E-10</v>
      </c>
      <c r="BK12" s="1">
        <v>2.0268357801968801E-10</v>
      </c>
      <c r="BL12" s="1">
        <v>1.0440590925310199E-6</v>
      </c>
      <c r="BM12" s="1">
        <v>6.2058902701594004E-8</v>
      </c>
      <c r="BN12" s="1">
        <v>1.2460065051660799E-10</v>
      </c>
      <c r="BO12" s="1">
        <v>3.3055349882223702E-11</v>
      </c>
      <c r="BP12">
        <v>0</v>
      </c>
      <c r="BQ12">
        <v>0</v>
      </c>
      <c r="BR12" s="1">
        <v>5.2420802036433197E-10</v>
      </c>
      <c r="BS12" s="85">
        <v>1.1008180579631799E-11</v>
      </c>
      <c r="BU12" s="23">
        <v>4.1539999999999997E-3</v>
      </c>
      <c r="BV12" s="23">
        <v>1.1400000000000001E-4</v>
      </c>
    </row>
    <row r="13" spans="1:78" x14ac:dyDescent="0.3">
      <c r="A13" s="26" t="s">
        <v>38</v>
      </c>
      <c r="B13" s="2">
        <v>1.05</v>
      </c>
      <c r="C13" s="2">
        <f t="shared" si="19"/>
        <v>52.51184380952381</v>
      </c>
      <c r="D13" s="2">
        <f t="shared" si="20"/>
        <v>0.56381714285714268</v>
      </c>
      <c r="E13" s="2">
        <f t="shared" si="25"/>
        <v>0.31666666666666665</v>
      </c>
      <c r="F13" s="14">
        <v>905.99456916346799</v>
      </c>
      <c r="G13" s="2">
        <v>126.94200390045199</v>
      </c>
      <c r="H13" s="19">
        <v>55.137436000000001</v>
      </c>
      <c r="I13" s="23">
        <v>4.9700000000000005E-4</v>
      </c>
      <c r="J13" s="2">
        <f t="shared" si="21"/>
        <v>4.0489999999999995</v>
      </c>
      <c r="K13" s="2">
        <f t="shared" si="0"/>
        <v>9.5000000000000001E-2</v>
      </c>
      <c r="L13" s="2">
        <f t="shared" si="22"/>
        <v>3.8561904761904757</v>
      </c>
      <c r="M13" s="2"/>
      <c r="N13" s="17">
        <v>5.1727000000000002E-2</v>
      </c>
      <c r="O13" s="25">
        <v>1.335E-3</v>
      </c>
      <c r="P13" s="2">
        <f t="shared" si="1"/>
        <v>2.9129496402877697</v>
      </c>
      <c r="Q13" s="2">
        <f t="shared" si="2"/>
        <v>6.83453237410072E-2</v>
      </c>
      <c r="R13" s="2">
        <f t="shared" si="23"/>
        <v>52.22448635971223</v>
      </c>
      <c r="S13" s="2">
        <f t="shared" si="24"/>
        <v>6.8842323741007197E-2</v>
      </c>
      <c r="T13" s="14">
        <v>860.08691075305398</v>
      </c>
      <c r="U13" s="12">
        <v>120.523558268225</v>
      </c>
      <c r="V13" s="2">
        <v>1.2358420000000001</v>
      </c>
      <c r="W13" s="2">
        <v>8.8944999999999996E-2</v>
      </c>
      <c r="X13" s="2">
        <f t="shared" si="27"/>
        <v>2.3570566789992324</v>
      </c>
      <c r="Y13" s="2">
        <f t="shared" si="32"/>
        <v>0.17842689812232732</v>
      </c>
      <c r="Z13" s="2">
        <f t="shared" si="33"/>
        <v>52.780379321000765</v>
      </c>
      <c r="AA13" s="2">
        <f t="shared" si="34"/>
        <v>0.17892389812232731</v>
      </c>
      <c r="AB13" s="14">
        <v>871.73271098405303</v>
      </c>
      <c r="AC13" s="12">
        <v>120.802471243816</v>
      </c>
      <c r="AD13" s="2">
        <f t="shared" si="3"/>
        <v>0.32354285714285708</v>
      </c>
      <c r="AE13" s="2">
        <f t="shared" si="4"/>
        <v>7.4074285714285704E-2</v>
      </c>
      <c r="AF13" s="2">
        <f t="shared" si="5"/>
        <v>1.0011428571428569</v>
      </c>
      <c r="AG13" s="2">
        <f t="shared" si="6"/>
        <v>0.12180571428571428</v>
      </c>
      <c r="AH13" s="2">
        <f t="shared" si="7"/>
        <v>0.24857142857142858</v>
      </c>
      <c r="AI13" s="2">
        <f t="shared" si="8"/>
        <v>8.528571428571427E-2</v>
      </c>
      <c r="AJ13" s="2">
        <f t="shared" si="9"/>
        <v>313.99531649515569</v>
      </c>
      <c r="AK13" s="2">
        <f t="shared" si="10"/>
        <v>30.304362415013106</v>
      </c>
      <c r="AL13" s="2">
        <f t="shared" si="11"/>
        <v>11923.720671983638</v>
      </c>
      <c r="AM13" s="2">
        <f t="shared" si="12"/>
        <v>782.76525986991692</v>
      </c>
      <c r="AN13" s="2">
        <f t="shared" si="13"/>
        <v>4.9106348874336598</v>
      </c>
      <c r="AO13" s="2">
        <f t="shared" si="14"/>
        <v>2.7674100382610236</v>
      </c>
      <c r="AP13" s="2">
        <f t="shared" si="15"/>
        <v>3.5201373734768602</v>
      </c>
      <c r="AQ13" s="2">
        <f t="shared" si="16"/>
        <v>2.0535211961914808</v>
      </c>
      <c r="AR13" s="2">
        <f t="shared" si="17"/>
        <v>23.928570194601715</v>
      </c>
      <c r="AS13" s="12">
        <f t="shared" si="18"/>
        <v>1.3322406911937072</v>
      </c>
      <c r="AT13" s="2">
        <f t="shared" si="28"/>
        <v>5.0619000245268518E-2</v>
      </c>
      <c r="AX13" s="96">
        <f t="shared" si="29"/>
        <v>1.115179575844701</v>
      </c>
      <c r="AY13" s="2">
        <f t="shared" si="26"/>
        <v>2.3415105103698649E-2</v>
      </c>
      <c r="AZ13" s="2">
        <f t="shared" si="30"/>
        <v>6.517957584470091E-2</v>
      </c>
      <c r="BA13" s="2">
        <f t="shared" si="31"/>
        <v>1.8094471901252802E-2</v>
      </c>
      <c r="BB13" s="1">
        <v>1.14E-12</v>
      </c>
      <c r="BC13" s="1">
        <v>2.61E-13</v>
      </c>
      <c r="BD13" s="1">
        <v>3.6E-12</v>
      </c>
      <c r="BE13" s="1">
        <v>4.38E-13</v>
      </c>
      <c r="BF13" s="1">
        <v>1.7400000000000001E-12</v>
      </c>
      <c r="BG13" s="1">
        <v>5.9699999999999998E-13</v>
      </c>
      <c r="BH13" s="1">
        <v>9.2354361790465307E-6</v>
      </c>
      <c r="BI13" s="1">
        <v>1.9391379962018801E-7</v>
      </c>
      <c r="BJ13" s="1">
        <v>5.1879635298176796E-9</v>
      </c>
      <c r="BK13" s="1">
        <v>5.0070150331650301E-10</v>
      </c>
      <c r="BL13" s="1">
        <v>1.6711034043757101E-7</v>
      </c>
      <c r="BM13" s="1">
        <v>1.0970415414621101E-8</v>
      </c>
      <c r="BN13" s="1">
        <v>5.6524519094555397E-11</v>
      </c>
      <c r="BO13" s="1">
        <v>3.1854643062640601E-11</v>
      </c>
      <c r="BP13" s="1">
        <v>3.4264802467328301E-11</v>
      </c>
      <c r="BQ13" s="1">
        <v>1.9988850060267499E-11</v>
      </c>
      <c r="BR13" s="1">
        <v>2.06348543892344E-10</v>
      </c>
      <c r="BS13" s="85">
        <v>1.14886064861481E-11</v>
      </c>
      <c r="BU13" s="23">
        <v>4.0489999999999996E-3</v>
      </c>
      <c r="BV13" s="23">
        <v>9.5000000000000005E-5</v>
      </c>
    </row>
    <row r="14" spans="1:78" x14ac:dyDescent="0.3">
      <c r="A14" s="26" t="s">
        <v>39</v>
      </c>
      <c r="B14" s="2">
        <v>1.56</v>
      </c>
      <c r="C14" s="2">
        <f t="shared" si="19"/>
        <v>172.28648846153848</v>
      </c>
      <c r="D14" s="2">
        <f t="shared" si="20"/>
        <v>3.2436871794871793</v>
      </c>
      <c r="E14" s="2">
        <f t="shared" si="25"/>
        <v>8.582230623818525E-2</v>
      </c>
      <c r="F14" s="14">
        <v>534.02587570498099</v>
      </c>
      <c r="G14" s="2">
        <v>10.3487023173127</v>
      </c>
      <c r="H14" s="19">
        <v>268.76692200000002</v>
      </c>
      <c r="I14" s="23">
        <v>1.6930000000000001E-3</v>
      </c>
      <c r="J14" s="2">
        <f t="shared" si="21"/>
        <v>7.4649999999999999</v>
      </c>
      <c r="K14" s="2">
        <f t="shared" si="0"/>
        <v>0.15100000000000002</v>
      </c>
      <c r="L14" s="2">
        <f t="shared" si="22"/>
        <v>4.7852564102564097</v>
      </c>
      <c r="M14" s="2"/>
      <c r="N14" s="17">
        <v>2.0097E-2</v>
      </c>
      <c r="O14" s="25">
        <v>4.2000000000000002E-4</v>
      </c>
      <c r="P14" s="2">
        <f t="shared" si="1"/>
        <v>5.3705035971223021</v>
      </c>
      <c r="Q14" s="2">
        <f t="shared" si="2"/>
        <v>0.10863309352517986</v>
      </c>
      <c r="R14" s="2">
        <f t="shared" si="23"/>
        <v>263.39641840287771</v>
      </c>
      <c r="S14" s="2">
        <f t="shared" si="24"/>
        <v>0.11032609352517986</v>
      </c>
      <c r="T14" s="14">
        <v>523.37729086052195</v>
      </c>
      <c r="U14" s="12">
        <v>9.9845100913970697</v>
      </c>
      <c r="V14" s="2">
        <v>1.2358420000000001</v>
      </c>
      <c r="W14" s="2">
        <v>8.8944999999999996E-2</v>
      </c>
      <c r="X14" s="2">
        <f t="shared" si="27"/>
        <v>4.3456231436723316</v>
      </c>
      <c r="Y14" s="2">
        <f t="shared" si="32"/>
        <v>0.32487743091988308</v>
      </c>
      <c r="Z14" s="2">
        <f t="shared" si="33"/>
        <v>264.42129885632767</v>
      </c>
      <c r="AA14" s="2">
        <f t="shared" si="34"/>
        <v>0.32657043091988308</v>
      </c>
      <c r="AB14" s="14">
        <v>525.55721021815202</v>
      </c>
      <c r="AC14" s="12">
        <v>10.4107534042433</v>
      </c>
      <c r="AD14" s="2">
        <f t="shared" si="3"/>
        <v>0.8672564102564102</v>
      </c>
      <c r="AE14" s="2">
        <f t="shared" si="4"/>
        <v>1.782269230769231E-2</v>
      </c>
      <c r="AF14" s="2">
        <f t="shared" si="5"/>
        <v>9.9017948717948716</v>
      </c>
      <c r="AG14" s="2">
        <f t="shared" si="6"/>
        <v>0.26392307692307693</v>
      </c>
      <c r="AH14" s="2">
        <f t="shared" si="7"/>
        <v>16.53846153846154</v>
      </c>
      <c r="AI14" s="2">
        <f t="shared" si="8"/>
        <v>0.625</v>
      </c>
      <c r="AJ14" s="2">
        <f t="shared" si="9"/>
        <v>102.87966812975193</v>
      </c>
      <c r="AK14" s="2">
        <f t="shared" si="10"/>
        <v>20.196743578165307</v>
      </c>
      <c r="AL14" s="1">
        <f t="shared" si="11"/>
        <v>410116.34687768854</v>
      </c>
      <c r="AM14" s="1">
        <f t="shared" si="12"/>
        <v>23437.587317235866</v>
      </c>
      <c r="AN14" s="2">
        <f t="shared" si="13"/>
        <v>8.8089595313741604</v>
      </c>
      <c r="AO14" s="2">
        <f t="shared" si="14"/>
        <v>2.1587468598012025</v>
      </c>
      <c r="AP14" s="2">
        <f t="shared" si="15"/>
        <v>0</v>
      </c>
      <c r="AQ14" s="2">
        <f t="shared" si="16"/>
        <v>0</v>
      </c>
      <c r="AR14" s="2">
        <f t="shared" si="17"/>
        <v>1235.4206475025564</v>
      </c>
      <c r="AS14" s="12">
        <f t="shared" si="18"/>
        <v>29.545992177395387</v>
      </c>
      <c r="AT14" s="2">
        <f t="shared" si="28"/>
        <v>1.8774591345956166</v>
      </c>
      <c r="AX14" s="96">
        <f t="shared" si="29"/>
        <v>1.595789773499197</v>
      </c>
      <c r="AY14" s="2">
        <f t="shared" si="26"/>
        <v>2.8590990095856458E-2</v>
      </c>
      <c r="AZ14" s="2">
        <f t="shared" si="30"/>
        <v>3.5789773499196986E-2</v>
      </c>
      <c r="BA14" s="2">
        <f t="shared" si="31"/>
        <v>0.83307514724267784</v>
      </c>
      <c r="BB14" s="1">
        <v>4.5399999999999996E-12</v>
      </c>
      <c r="BC14" s="1">
        <v>9.3300000000000004E-14</v>
      </c>
      <c r="BD14" s="1">
        <v>5.29E-11</v>
      </c>
      <c r="BE14" s="1">
        <v>1.4100000000000001E-12</v>
      </c>
      <c r="BF14" s="1">
        <v>1.72E-10</v>
      </c>
      <c r="BG14" s="1">
        <v>6.5000000000000002E-12</v>
      </c>
      <c r="BH14" s="1">
        <v>1.02506104930498E-5</v>
      </c>
      <c r="BI14" s="1">
        <v>1.8365520819238199E-7</v>
      </c>
      <c r="BJ14" s="1">
        <v>2.5254489737594498E-9</v>
      </c>
      <c r="BK14" s="1">
        <v>4.9578158901554502E-10</v>
      </c>
      <c r="BL14" s="1">
        <v>8.5395288458248005E-6</v>
      </c>
      <c r="BM14" s="1">
        <v>4.8802237339679595E-7</v>
      </c>
      <c r="BN14" s="1">
        <v>1.50646534410696E-10</v>
      </c>
      <c r="BO14" s="1">
        <v>3.6917837111268102E-11</v>
      </c>
      <c r="BP14">
        <v>0</v>
      </c>
      <c r="BQ14">
        <v>0</v>
      </c>
      <c r="BR14" s="1">
        <v>1.5828319728186499E-8</v>
      </c>
      <c r="BS14" s="85">
        <v>3.7854589189172798E-10</v>
      </c>
      <c r="BU14" s="23">
        <v>7.4650000000000003E-3</v>
      </c>
      <c r="BV14" s="23">
        <v>1.5100000000000001E-4</v>
      </c>
    </row>
    <row r="15" spans="1:78" x14ac:dyDescent="0.3">
      <c r="A15" s="29" t="s">
        <v>95</v>
      </c>
      <c r="K15" s="2"/>
      <c r="L15" s="2"/>
      <c r="M15" s="2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85"/>
    </row>
    <row r="16" spans="1:78" x14ac:dyDescent="0.3">
      <c r="A16" s="26" t="s">
        <v>8</v>
      </c>
      <c r="B16" s="2">
        <v>2.09</v>
      </c>
      <c r="D16" s="2">
        <f t="shared" si="20"/>
        <v>1.2038507177033493</v>
      </c>
      <c r="E16" s="2">
        <f t="shared" si="25"/>
        <v>0.43492063492063493</v>
      </c>
      <c r="K16" s="2"/>
      <c r="L16" s="2"/>
      <c r="M16" s="2"/>
      <c r="AD16" s="2">
        <f t="shared" ref="AD16:AE18" si="35">1000000*(BB16*298)/($B16/1000)</f>
        <v>0.78135885167464114</v>
      </c>
      <c r="AE16" s="2">
        <f t="shared" si="35"/>
        <v>3.3792344497607658E-2</v>
      </c>
      <c r="AF16" s="2">
        <f t="shared" ref="AF16:AG18" si="36">1000000*(BD16*292)/($B16/1000)</f>
        <v>1.7603827751196175</v>
      </c>
      <c r="AG16" s="2">
        <f t="shared" si="36"/>
        <v>4.4847846889952157E-2</v>
      </c>
      <c r="AH16" s="2">
        <f t="shared" ref="AH16:AI18" si="37">1000000*(BF16*150)/($B16/1000)</f>
        <v>8.1100478468899534E-2</v>
      </c>
      <c r="AI16" s="2">
        <f t="shared" si="37"/>
        <v>8.0382775119617229E-3</v>
      </c>
      <c r="BB16" s="1">
        <v>5.4800000000000001E-12</v>
      </c>
      <c r="BC16" s="1">
        <v>2.37E-13</v>
      </c>
      <c r="BD16" s="1">
        <v>1.26E-11</v>
      </c>
      <c r="BE16" s="1">
        <v>3.21E-13</v>
      </c>
      <c r="BF16" s="1">
        <v>1.13E-12</v>
      </c>
      <c r="BG16" s="1">
        <v>1.12E-13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85"/>
    </row>
    <row r="17" spans="1:75" x14ac:dyDescent="0.3">
      <c r="A17" s="26" t="s">
        <v>9</v>
      </c>
      <c r="B17" s="2">
        <v>2.98</v>
      </c>
      <c r="D17" s="2">
        <f t="shared" si="20"/>
        <v>1.3254241610738253</v>
      </c>
      <c r="E17" s="2">
        <f t="shared" si="25"/>
        <v>0.35919282511210765</v>
      </c>
      <c r="K17" s="2"/>
      <c r="L17" s="2"/>
      <c r="M17" s="2"/>
      <c r="AD17" s="2">
        <f t="shared" si="35"/>
        <v>0.80099999999999993</v>
      </c>
      <c r="AE17" s="2">
        <f t="shared" si="35"/>
        <v>1.3699999999999999E-2</v>
      </c>
      <c r="AF17" s="2">
        <f t="shared" si="36"/>
        <v>2.1851006711409395</v>
      </c>
      <c r="AG17" s="2">
        <f t="shared" si="36"/>
        <v>6.1535570469798663E-2</v>
      </c>
      <c r="AH17" s="2">
        <f t="shared" si="37"/>
        <v>2.0788590604026845E-2</v>
      </c>
      <c r="AI17" s="2">
        <f t="shared" si="37"/>
        <v>4.3338926174496641E-3</v>
      </c>
      <c r="BB17" s="1">
        <v>8.01E-12</v>
      </c>
      <c r="BC17" s="1">
        <v>1.37E-13</v>
      </c>
      <c r="BD17" s="1">
        <v>2.23E-11</v>
      </c>
      <c r="BE17" s="1">
        <v>6.2800000000000005E-13</v>
      </c>
      <c r="BF17" s="1">
        <v>4.1300000000000001E-13</v>
      </c>
      <c r="BG17" s="1">
        <v>8.6099999999999994E-14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85"/>
    </row>
    <row r="18" spans="1:75" x14ac:dyDescent="0.3">
      <c r="A18" s="26" t="s">
        <v>10</v>
      </c>
      <c r="B18" s="2">
        <v>1.77</v>
      </c>
      <c r="D18" s="2">
        <f t="shared" si="20"/>
        <v>1.2292858757062146</v>
      </c>
      <c r="E18" s="2">
        <f t="shared" si="25"/>
        <v>0.38888888888888884</v>
      </c>
      <c r="K18" s="2"/>
      <c r="L18" s="2"/>
      <c r="M18" s="2"/>
      <c r="AD18" s="2">
        <f t="shared" si="35"/>
        <v>0.76604519774011293</v>
      </c>
      <c r="AE18" s="2">
        <f t="shared" si="35"/>
        <v>2.6096045197740111E-2</v>
      </c>
      <c r="AF18" s="2">
        <f t="shared" si="36"/>
        <v>1.9301694915254239</v>
      </c>
      <c r="AG18" s="2">
        <f t="shared" si="36"/>
        <v>5.5595480225988696E-2</v>
      </c>
      <c r="AH18" s="2">
        <f t="shared" si="37"/>
        <v>0.10338983050847457</v>
      </c>
      <c r="AI18" s="2">
        <f t="shared" si="37"/>
        <v>1.1610169491525423E-2</v>
      </c>
      <c r="BB18" s="1">
        <v>4.5499999999999998E-12</v>
      </c>
      <c r="BC18" s="1">
        <v>1.55E-13</v>
      </c>
      <c r="BD18" s="1">
        <v>1.1700000000000001E-11</v>
      </c>
      <c r="BE18" s="1">
        <v>3.3699999999999998E-13</v>
      </c>
      <c r="BF18" s="1">
        <v>1.2200000000000001E-12</v>
      </c>
      <c r="BG18" s="1">
        <v>1.37E-13</v>
      </c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85"/>
    </row>
    <row r="19" spans="1:75" x14ac:dyDescent="0.3">
      <c r="A19" s="26" t="s">
        <v>23</v>
      </c>
      <c r="B19" s="2">
        <v>14.35</v>
      </c>
      <c r="C19" s="2">
        <f t="shared" si="19"/>
        <v>99.156943902439025</v>
      </c>
      <c r="H19" s="19">
        <v>1422.902145</v>
      </c>
      <c r="I19" s="23">
        <v>1.0654E-2</v>
      </c>
      <c r="J19" s="2">
        <f t="shared" si="21"/>
        <v>10.94</v>
      </c>
      <c r="K19" s="2">
        <f t="shared" si="0"/>
        <v>0.35399999999999998</v>
      </c>
      <c r="L19" s="2">
        <f t="shared" ref="L19:L22" si="38">J19/B19</f>
        <v>0.76236933797909401</v>
      </c>
      <c r="M19" s="2"/>
      <c r="N19" s="17">
        <v>6.0000000000000001E-3</v>
      </c>
      <c r="O19" s="25">
        <v>2.0799999999999999E-4</v>
      </c>
      <c r="P19" s="2">
        <f t="shared" ref="P19:Q22" si="39">(J19/1000000)/$F$105</f>
        <v>7.8705035971223021</v>
      </c>
      <c r="Q19" s="2">
        <f t="shared" si="39"/>
        <v>0.25467625899280572</v>
      </c>
      <c r="R19" s="2">
        <f>H19-P19</f>
        <v>1415.0316414028778</v>
      </c>
      <c r="S19" s="2">
        <f>I19+Q19</f>
        <v>0.26533025899280571</v>
      </c>
      <c r="BU19" s="23">
        <v>1.094E-2</v>
      </c>
      <c r="BV19" s="23">
        <v>3.5399999999999999E-4</v>
      </c>
    </row>
    <row r="20" spans="1:75" x14ac:dyDescent="0.3">
      <c r="A20" s="26" t="s">
        <v>24</v>
      </c>
      <c r="B20" s="2">
        <v>10.52</v>
      </c>
      <c r="C20" s="2">
        <f t="shared" si="19"/>
        <v>91.325338498098859</v>
      </c>
      <c r="H20" s="19">
        <v>960.74256100000002</v>
      </c>
      <c r="I20" s="23">
        <v>8.5749999999999993E-3</v>
      </c>
      <c r="J20" s="2">
        <f t="shared" si="21"/>
        <v>9.2259999999999991</v>
      </c>
      <c r="K20" s="2">
        <f t="shared" si="0"/>
        <v>0.41800000000000004</v>
      </c>
      <c r="L20" s="2">
        <f t="shared" si="38"/>
        <v>0.87699619771863113</v>
      </c>
      <c r="M20" s="2"/>
      <c r="N20" s="17">
        <v>6.3210000000000002E-3</v>
      </c>
      <c r="O20" s="25">
        <v>2.9500000000000001E-4</v>
      </c>
      <c r="P20" s="2">
        <f t="shared" si="39"/>
        <v>6.6374100719424458</v>
      </c>
      <c r="Q20" s="2">
        <f t="shared" si="39"/>
        <v>0.30071942446043171</v>
      </c>
      <c r="R20" s="2">
        <f>H20-P20</f>
        <v>954.10515092805758</v>
      </c>
      <c r="S20" s="2">
        <f>I20+Q20</f>
        <v>0.30929442446043171</v>
      </c>
      <c r="BU20" s="23">
        <v>9.2259999999999998E-3</v>
      </c>
      <c r="BV20" s="23">
        <v>4.1800000000000002E-4</v>
      </c>
    </row>
    <row r="21" spans="1:75" x14ac:dyDescent="0.3">
      <c r="A21" s="26" t="s">
        <v>25</v>
      </c>
      <c r="B21" s="2">
        <v>12.19</v>
      </c>
      <c r="C21" s="2">
        <f t="shared" si="19"/>
        <v>98.766726579163247</v>
      </c>
      <c r="H21" s="19">
        <v>1203.9663969999999</v>
      </c>
      <c r="I21" s="23">
        <v>1.1103999999999999E-2</v>
      </c>
      <c r="J21" s="2">
        <f t="shared" si="21"/>
        <v>8.0719999999999992</v>
      </c>
      <c r="K21" s="2">
        <f t="shared" si="0"/>
        <v>0.42700000000000005</v>
      </c>
      <c r="L21" s="2">
        <f t="shared" si="38"/>
        <v>0.66218211648892533</v>
      </c>
      <c r="M21" s="2"/>
      <c r="N21" s="17">
        <v>4.7260000000000002E-3</v>
      </c>
      <c r="O21" s="25">
        <v>2.5599999999999999E-4</v>
      </c>
      <c r="P21" s="2">
        <f t="shared" si="39"/>
        <v>5.8071942446043163</v>
      </c>
      <c r="Q21" s="2">
        <f t="shared" si="39"/>
        <v>0.3071942446043166</v>
      </c>
      <c r="R21" s="2">
        <f>H21-P21</f>
        <v>1198.1592027553957</v>
      </c>
      <c r="S21" s="2">
        <f>I21+Q21</f>
        <v>0.3182982446043166</v>
      </c>
      <c r="X21"/>
      <c r="Y21"/>
      <c r="Z21"/>
      <c r="BU21" s="23">
        <v>8.0719999999999993E-3</v>
      </c>
      <c r="BV21" s="23">
        <v>4.2700000000000002E-4</v>
      </c>
    </row>
    <row r="22" spans="1:75" ht="16.2" thickBot="1" x14ac:dyDescent="0.35">
      <c r="A22" s="26" t="s">
        <v>26</v>
      </c>
      <c r="B22" s="2">
        <v>9.6</v>
      </c>
      <c r="C22" s="2">
        <f t="shared" si="19"/>
        <v>90.182190416666671</v>
      </c>
      <c r="H22" s="19">
        <v>865.74902799999995</v>
      </c>
      <c r="I22" s="23">
        <v>8.5579999999999996E-3</v>
      </c>
      <c r="J22" s="2">
        <f t="shared" si="21"/>
        <v>10.218</v>
      </c>
      <c r="K22" s="2">
        <f t="shared" si="0"/>
        <v>0.41399999999999998</v>
      </c>
      <c r="L22" s="2">
        <f t="shared" si="38"/>
        <v>1.0643750000000001</v>
      </c>
      <c r="M22" s="2"/>
      <c r="N22" s="17">
        <v>8.2740000000000001E-3</v>
      </c>
      <c r="O22" s="25">
        <v>3.3100000000000002E-4</v>
      </c>
      <c r="P22" s="2">
        <f t="shared" si="39"/>
        <v>7.3510791366906467</v>
      </c>
      <c r="Q22" s="2">
        <f t="shared" si="39"/>
        <v>0.297841726618705</v>
      </c>
      <c r="R22" s="2">
        <f>H22-P22</f>
        <v>858.39794886330935</v>
      </c>
      <c r="S22" s="2">
        <f>I22+Q22</f>
        <v>0.30639972661870502</v>
      </c>
      <c r="X22" s="46"/>
      <c r="Y22" s="46"/>
      <c r="Z22" s="46"/>
      <c r="BU22" s="23">
        <v>1.0218E-2</v>
      </c>
      <c r="BV22" s="23">
        <v>4.1399999999999998E-4</v>
      </c>
    </row>
    <row r="23" spans="1:75" ht="36" customHeight="1" x14ac:dyDescent="0.7">
      <c r="A23" s="15" t="s">
        <v>129</v>
      </c>
      <c r="B23" s="8"/>
      <c r="C23" s="8"/>
      <c r="D23" s="8"/>
      <c r="E23" s="8"/>
      <c r="H23" s="20"/>
      <c r="I23" s="22"/>
      <c r="K23" s="2"/>
      <c r="L23" s="2"/>
      <c r="M23" s="2"/>
      <c r="N23" s="18"/>
      <c r="O23" s="82"/>
      <c r="P23" s="8"/>
      <c r="Q23" s="8"/>
      <c r="R23" s="8"/>
      <c r="S23" s="8"/>
      <c r="U23" s="12" t="s">
        <v>131</v>
      </c>
      <c r="V23" s="72"/>
      <c r="W23" s="8"/>
      <c r="X23" s="81" t="s">
        <v>132</v>
      </c>
      <c r="Y23" s="8"/>
      <c r="Z23" s="73" t="s">
        <v>133</v>
      </c>
      <c r="AA23" s="74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16"/>
      <c r="AT23" s="8"/>
      <c r="AU23" s="7"/>
      <c r="AV23" s="7"/>
      <c r="AW23" s="7"/>
      <c r="AX23" s="95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84"/>
      <c r="BU23" s="22"/>
      <c r="BV23" s="22"/>
      <c r="BW23" s="22"/>
    </row>
    <row r="24" spans="1:75" x14ac:dyDescent="0.3">
      <c r="A24" s="26" t="s">
        <v>11</v>
      </c>
      <c r="B24" s="2">
        <v>2.4900000000000002</v>
      </c>
      <c r="C24" s="2">
        <f>H24/B24</f>
        <v>20.59702530120482</v>
      </c>
      <c r="D24" s="2">
        <f>AD24+(0.24*AF24)</f>
        <v>0.30500542971887551</v>
      </c>
      <c r="E24" s="2">
        <f t="shared" si="25"/>
        <v>5.8472553699284004</v>
      </c>
      <c r="F24" s="14">
        <v>650.11988421714204</v>
      </c>
      <c r="G24" s="2">
        <v>26.7989103652158</v>
      </c>
      <c r="H24" s="19">
        <v>51.286593000000003</v>
      </c>
      <c r="I24" s="23">
        <v>4.7800000000000002E-4</v>
      </c>
      <c r="J24" s="2">
        <f t="shared" si="21"/>
        <v>13.978000000000002</v>
      </c>
      <c r="K24" s="2">
        <f t="shared" si="0"/>
        <v>0.19500000000000001</v>
      </c>
      <c r="L24" s="2">
        <f>J24/B24</f>
        <v>5.6136546184738956</v>
      </c>
      <c r="M24" s="2"/>
      <c r="N24" s="17">
        <v>0.19747799999999999</v>
      </c>
      <c r="O24" s="25">
        <v>2.8389999999999999E-3</v>
      </c>
      <c r="P24" s="2">
        <f t="shared" ref="P24:Q28" si="40">(J24/1000000)/$F$105</f>
        <v>10.056115107913671</v>
      </c>
      <c r="Q24" s="2">
        <f t="shared" si="40"/>
        <v>0.14028776978417268</v>
      </c>
      <c r="R24" s="2">
        <f>H24-P24</f>
        <v>41.230477892086334</v>
      </c>
      <c r="S24" s="2">
        <f>I24+Q24</f>
        <v>0.14076576978417268</v>
      </c>
      <c r="T24" s="14">
        <v>529.10223941355798</v>
      </c>
      <c r="U24" s="12">
        <v>22.117541811062701</v>
      </c>
      <c r="X24" s="77">
        <v>1506.8481290360701</v>
      </c>
      <c r="Y24">
        <v>147.01850439797801</v>
      </c>
      <c r="Z24" s="79">
        <v>1248.40953627202</v>
      </c>
      <c r="AA24" s="75">
        <v>124.051663417521</v>
      </c>
      <c r="AD24" s="2">
        <f t="shared" ref="AD24:AE28" si="41">1000000*(BB24*298)/($B24/1000)</f>
        <v>0.29321285140562248</v>
      </c>
      <c r="AE24" s="2">
        <f t="shared" si="41"/>
        <v>1.3044979919678713E-2</v>
      </c>
      <c r="AF24" s="2">
        <f t="shared" ref="AF24:AG28" si="42">1000000*(BD24*292)/($B24/1000)</f>
        <v>4.9135742971887553E-2</v>
      </c>
      <c r="AG24" s="2">
        <f t="shared" si="42"/>
        <v>1.0800481927710843E-2</v>
      </c>
      <c r="AH24" s="2">
        <f t="shared" ref="AH24:AI28" si="43">1000000*(BF24*150)/($B24/1000)</f>
        <v>1.6385542168674695E-2</v>
      </c>
      <c r="AI24" s="2">
        <f t="shared" si="43"/>
        <v>1.4277108433734941E-3</v>
      </c>
      <c r="BB24" s="1">
        <v>2.4499999999999999E-12</v>
      </c>
      <c r="BC24" s="1">
        <v>1.09E-13</v>
      </c>
      <c r="BD24" s="1">
        <v>4.1899999999999998E-13</v>
      </c>
      <c r="BE24" s="1">
        <v>9.2099999999999994E-14</v>
      </c>
      <c r="BF24" s="1">
        <v>2.72E-13</v>
      </c>
      <c r="BG24" s="1">
        <v>2.3699999999999999E-14</v>
      </c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85"/>
      <c r="BU24" s="23">
        <v>1.3978000000000001E-2</v>
      </c>
      <c r="BV24" s="23">
        <v>1.95E-4</v>
      </c>
    </row>
    <row r="25" spans="1:75" x14ac:dyDescent="0.3">
      <c r="A25" s="26" t="s">
        <v>12</v>
      </c>
      <c r="B25" s="2">
        <v>3</v>
      </c>
      <c r="C25" s="2">
        <f>H25/B25</f>
        <v>22.290349333333335</v>
      </c>
      <c r="D25" s="2">
        <f>AD25+(0.24*AF25)</f>
        <v>1.7799121066666668</v>
      </c>
      <c r="E25" s="2">
        <f t="shared" si="25"/>
        <v>226.58227848101265</v>
      </c>
      <c r="F25" s="14">
        <v>126.72287945217001</v>
      </c>
      <c r="G25" s="2">
        <v>1.4461981680604099</v>
      </c>
      <c r="H25" s="19">
        <v>66.871048000000002</v>
      </c>
      <c r="I25" s="23">
        <v>8.8900000000000003E-4</v>
      </c>
      <c r="J25" s="2">
        <f t="shared" si="21"/>
        <v>14.649000000000001</v>
      </c>
      <c r="K25" s="2">
        <f t="shared" si="0"/>
        <v>0.19799999999999998</v>
      </c>
      <c r="L25" s="2">
        <f t="shared" ref="L25:L64" si="44">J25/B25</f>
        <v>4.883</v>
      </c>
      <c r="M25" s="2"/>
      <c r="N25" s="17">
        <v>0.15862999999999999</v>
      </c>
      <c r="O25" s="25">
        <v>2.2109999999999999E-3</v>
      </c>
      <c r="P25" s="2">
        <f t="shared" si="40"/>
        <v>10.538848920863311</v>
      </c>
      <c r="Q25" s="2">
        <f t="shared" si="40"/>
        <v>0.14244604316546761</v>
      </c>
      <c r="R25" s="2">
        <f>H25-P25</f>
        <v>56.332199079136693</v>
      </c>
      <c r="S25" s="2">
        <f>I25+Q25</f>
        <v>0.14333504316546761</v>
      </c>
      <c r="T25" s="14">
        <v>106.91835705407701</v>
      </c>
      <c r="U25" s="12">
        <v>1.27973606653748</v>
      </c>
      <c r="X25" s="77">
        <v>1604.5980195290499</v>
      </c>
      <c r="Y25">
        <v>154.43311630637299</v>
      </c>
      <c r="Z25" s="79">
        <v>1387.62808083703</v>
      </c>
      <c r="AA25" s="75">
        <v>137.14045869774199</v>
      </c>
      <c r="AD25" s="2">
        <f t="shared" si="41"/>
        <v>1.7780666666666667</v>
      </c>
      <c r="AE25" s="2">
        <f t="shared" si="41"/>
        <v>2.0562E-2</v>
      </c>
      <c r="AF25" s="2">
        <f t="shared" si="42"/>
        <v>7.6893333333333336E-3</v>
      </c>
      <c r="AG25" s="2">
        <f t="shared" si="42"/>
        <v>5.2462666666666666E-3</v>
      </c>
      <c r="AH25" s="2">
        <f t="shared" si="43"/>
        <v>8.3499999999999998E-3</v>
      </c>
      <c r="AI25" s="2">
        <f t="shared" si="43"/>
        <v>2.3249999999999998E-3</v>
      </c>
      <c r="BB25" s="1">
        <v>1.7900000000000001E-11</v>
      </c>
      <c r="BC25" s="1">
        <v>2.07E-13</v>
      </c>
      <c r="BD25" s="1">
        <v>7.9000000000000004E-14</v>
      </c>
      <c r="BE25" s="1">
        <v>5.3900000000000003E-14</v>
      </c>
      <c r="BF25" s="1">
        <v>1.67E-13</v>
      </c>
      <c r="BG25" s="1">
        <v>4.6499999999999997E-14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85"/>
      <c r="BU25" s="23">
        <v>1.4649000000000001E-2</v>
      </c>
      <c r="BV25" s="23">
        <v>1.9799999999999999E-4</v>
      </c>
    </row>
    <row r="26" spans="1:75" x14ac:dyDescent="0.3">
      <c r="A26" s="26" t="s">
        <v>0</v>
      </c>
      <c r="B26" s="2">
        <v>1.45</v>
      </c>
      <c r="C26" s="2">
        <f>H26/B26</f>
        <v>29.543028275862067</v>
      </c>
      <c r="D26" s="2">
        <f>AD26+(0.24*AF26)</f>
        <v>0.64648187586206896</v>
      </c>
      <c r="E26" s="2">
        <f t="shared" si="25"/>
        <v>28.623853211009173</v>
      </c>
      <c r="F26" s="14">
        <v>447.21333419768501</v>
      </c>
      <c r="G26" s="2">
        <v>20.741813538197199</v>
      </c>
      <c r="H26" s="19">
        <v>42.837390999999997</v>
      </c>
      <c r="I26" s="23">
        <v>4.7399999999999997E-4</v>
      </c>
      <c r="J26" s="2">
        <f t="shared" si="21"/>
        <v>17.286999999999999</v>
      </c>
      <c r="K26" s="2">
        <f t="shared" si="0"/>
        <v>0.22500000000000001</v>
      </c>
      <c r="L26" s="2">
        <f t="shared" si="44"/>
        <v>11.922068965517241</v>
      </c>
      <c r="M26" s="2"/>
      <c r="N26" s="17">
        <v>0.29153000000000001</v>
      </c>
      <c r="O26" s="25">
        <v>3.9050000000000001E-3</v>
      </c>
      <c r="P26" s="2">
        <f t="shared" si="40"/>
        <v>12.436690647482013</v>
      </c>
      <c r="Q26" s="2">
        <f t="shared" si="40"/>
        <v>0.16187050359712232</v>
      </c>
      <c r="R26" s="2">
        <f>H26-P26</f>
        <v>30.400700352517983</v>
      </c>
      <c r="S26" s="2">
        <f>I26+Q26</f>
        <v>0.16234450359712232</v>
      </c>
      <c r="T26" s="14">
        <v>322.17074936636402</v>
      </c>
      <c r="U26" s="12">
        <v>14.8140987853222</v>
      </c>
      <c r="X26" s="77">
        <v>2014.1432210016601</v>
      </c>
      <c r="Y26">
        <v>178.48554143274399</v>
      </c>
      <c r="Z26" s="79">
        <v>1525.5754122528499</v>
      </c>
      <c r="AA26" s="75">
        <v>151.223473771448</v>
      </c>
      <c r="AD26" s="2">
        <f t="shared" si="41"/>
        <v>0.64121379310344828</v>
      </c>
      <c r="AE26" s="2">
        <f t="shared" si="41"/>
        <v>3.0827586206896549E-2</v>
      </c>
      <c r="AF26" s="2">
        <f t="shared" si="42"/>
        <v>2.1950344827586208E-2</v>
      </c>
      <c r="AG26" s="2">
        <f t="shared" si="42"/>
        <v>1.1579310344827586E-2</v>
      </c>
      <c r="AH26" s="2">
        <f t="shared" si="43"/>
        <v>2.3379310344827587E-2</v>
      </c>
      <c r="AI26" s="2">
        <f t="shared" si="43"/>
        <v>4.2206896551724143E-3</v>
      </c>
      <c r="BB26" s="1">
        <v>3.12E-12</v>
      </c>
      <c r="BC26" s="1">
        <v>1.4999999999999999E-13</v>
      </c>
      <c r="BD26" s="1">
        <v>1.09E-13</v>
      </c>
      <c r="BE26" s="1">
        <v>5.7499999999999995E-14</v>
      </c>
      <c r="BF26" s="1">
        <v>2.26E-13</v>
      </c>
      <c r="BG26" s="1">
        <v>4.08E-14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85"/>
      <c r="BU26" s="23">
        <v>1.7287E-2</v>
      </c>
      <c r="BV26" s="23">
        <v>2.2499999999999999E-4</v>
      </c>
    </row>
    <row r="27" spans="1:75" x14ac:dyDescent="0.3">
      <c r="A27" s="26" t="s">
        <v>13</v>
      </c>
      <c r="B27" s="2">
        <v>2.5299999999999998</v>
      </c>
      <c r="C27" s="2">
        <f>H27/B27</f>
        <v>22.831151778656128</v>
      </c>
      <c r="D27" s="2">
        <f>AD27+(0.24*AF27)</f>
        <v>0.12014229249011861</v>
      </c>
      <c r="F27" s="14">
        <v>1623.4498440842799</v>
      </c>
      <c r="G27" s="2">
        <v>153.23130229885999</v>
      </c>
      <c r="H27" s="19">
        <v>57.762813999999999</v>
      </c>
      <c r="I27" s="23">
        <v>6.7699999999999998E-4</v>
      </c>
      <c r="J27" s="2">
        <f t="shared" si="21"/>
        <v>20.889000000000003</v>
      </c>
      <c r="K27" s="2">
        <f t="shared" si="0"/>
        <v>0.247</v>
      </c>
      <c r="L27" s="2">
        <f t="shared" si="44"/>
        <v>8.2565217391304362</v>
      </c>
      <c r="M27" s="2"/>
      <c r="N27" s="17">
        <v>0.26193</v>
      </c>
      <c r="O27" s="25">
        <v>3.1960000000000001E-3</v>
      </c>
      <c r="P27" s="2">
        <f t="shared" si="40"/>
        <v>15.028057553956836</v>
      </c>
      <c r="Q27" s="2">
        <f t="shared" si="40"/>
        <v>0.17769784172661868</v>
      </c>
      <c r="R27" s="2">
        <f>H27-P27</f>
        <v>42.734756446043164</v>
      </c>
      <c r="S27" s="2">
        <f>I27+Q27</f>
        <v>0.17837484172661869</v>
      </c>
      <c r="T27" s="14">
        <v>1256.60565182961</v>
      </c>
      <c r="U27" s="12">
        <v>124.261832394518</v>
      </c>
      <c r="X27" s="77">
        <v>1637.2166884850001</v>
      </c>
      <c r="Y27">
        <v>151.838751104035</v>
      </c>
      <c r="Z27" s="79">
        <v>1266.6981993445099</v>
      </c>
      <c r="AA27" s="75">
        <v>125.92844677385099</v>
      </c>
      <c r="AD27" s="2">
        <f t="shared" si="41"/>
        <v>0.12014229249011861</v>
      </c>
      <c r="AE27" s="2">
        <f t="shared" si="41"/>
        <v>1.3663241106719371E-2</v>
      </c>
      <c r="AF27" s="2">
        <f t="shared" si="42"/>
        <v>0</v>
      </c>
      <c r="AG27" s="2">
        <f t="shared" si="42"/>
        <v>0</v>
      </c>
      <c r="AH27" s="2">
        <f t="shared" si="43"/>
        <v>0.90711462450592906</v>
      </c>
      <c r="AI27" s="2">
        <f t="shared" si="43"/>
        <v>3.5217391304347832E-2</v>
      </c>
      <c r="BB27" s="1">
        <v>1.0200000000000001E-12</v>
      </c>
      <c r="BC27" s="1">
        <v>1.1600000000000001E-13</v>
      </c>
      <c r="BD27">
        <v>0</v>
      </c>
      <c r="BE27">
        <v>0</v>
      </c>
      <c r="BF27" s="1">
        <v>1.5300000000000001E-11</v>
      </c>
      <c r="BG27" s="1">
        <v>5.9399999999999999E-13</v>
      </c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85"/>
      <c r="BU27" s="23">
        <v>2.0889000000000001E-2</v>
      </c>
      <c r="BV27" s="23">
        <v>2.4699999999999999E-4</v>
      </c>
    </row>
    <row r="28" spans="1:75" ht="16.2" thickBot="1" x14ac:dyDescent="0.35">
      <c r="A28" s="26" t="s">
        <v>14</v>
      </c>
      <c r="B28" s="2">
        <v>1.93</v>
      </c>
      <c r="C28" s="2">
        <f>H28/B28</f>
        <v>28.567412435233162</v>
      </c>
      <c r="D28" s="2">
        <f>AD28+(0.24*AF28)</f>
        <v>0.99884791709844578</v>
      </c>
      <c r="E28" s="2">
        <f t="shared" si="25"/>
        <v>79.629629629629633</v>
      </c>
      <c r="F28" s="14">
        <v>284.80176746771201</v>
      </c>
      <c r="G28" s="2">
        <v>5.6346093284704502</v>
      </c>
      <c r="H28" s="19">
        <v>55.135106</v>
      </c>
      <c r="I28" s="23">
        <v>6.5200000000000002E-4</v>
      </c>
      <c r="J28" s="2">
        <f t="shared" si="21"/>
        <v>16.968</v>
      </c>
      <c r="K28" s="2">
        <f t="shared" si="0"/>
        <v>0.21099999999999999</v>
      </c>
      <c r="L28" s="2">
        <f t="shared" si="44"/>
        <v>8.7917098445595858</v>
      </c>
      <c r="M28" s="2"/>
      <c r="N28" s="17">
        <v>0.22287899999999999</v>
      </c>
      <c r="O28" s="25">
        <v>2.8500000000000001E-3</v>
      </c>
      <c r="P28" s="2">
        <f t="shared" si="40"/>
        <v>12.207194244604317</v>
      </c>
      <c r="Q28" s="2">
        <f t="shared" si="40"/>
        <v>0.15179856115107912</v>
      </c>
      <c r="R28" s="2">
        <f>H28-P28</f>
        <v>42.927911755395684</v>
      </c>
      <c r="S28" s="2">
        <f>I28+Q28</f>
        <v>0.15245056115107913</v>
      </c>
      <c r="T28" s="14">
        <v>223.21356370317801</v>
      </c>
      <c r="U28" s="12">
        <v>4.6113425811836901</v>
      </c>
      <c r="X28" s="78">
        <v>1961.3914662264399</v>
      </c>
      <c r="Y28" s="46">
        <v>175.70437603136301</v>
      </c>
      <c r="Z28" s="80">
        <v>1603.35856120634</v>
      </c>
      <c r="AA28" s="76">
        <v>151.505481970434</v>
      </c>
      <c r="AD28" s="2">
        <f t="shared" si="41"/>
        <v>0.99590673575129551</v>
      </c>
      <c r="AE28" s="2">
        <f t="shared" si="41"/>
        <v>2.0226943005181346E-2</v>
      </c>
      <c r="AF28" s="2">
        <f t="shared" si="42"/>
        <v>1.2254922279792746E-2</v>
      </c>
      <c r="AG28" s="2">
        <f t="shared" si="42"/>
        <v>7.6404145077720205E-3</v>
      </c>
      <c r="AH28" s="2">
        <f t="shared" si="43"/>
        <v>2.1994818652849742E-2</v>
      </c>
      <c r="AI28" s="2">
        <f t="shared" si="43"/>
        <v>4.686528497409327E-3</v>
      </c>
      <c r="BB28" s="1">
        <v>6.4500000000000002E-12</v>
      </c>
      <c r="BC28" s="1">
        <v>1.31E-13</v>
      </c>
      <c r="BD28" s="1">
        <v>8.0999999999999996E-14</v>
      </c>
      <c r="BE28" s="1">
        <v>5.0499999999999999E-14</v>
      </c>
      <c r="BF28" s="1">
        <v>2.8300000000000001E-13</v>
      </c>
      <c r="BG28" s="1">
        <v>6.0300000000000006E-14</v>
      </c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85"/>
      <c r="BU28" s="23">
        <v>1.6968E-2</v>
      </c>
      <c r="BV28" s="23">
        <v>2.1100000000000001E-4</v>
      </c>
    </row>
    <row r="29" spans="1:75" ht="29.4" customHeight="1" x14ac:dyDescent="0.7">
      <c r="A29" s="15" t="s">
        <v>108</v>
      </c>
      <c r="B29" s="8"/>
      <c r="C29" s="8"/>
      <c r="D29" s="8"/>
      <c r="E29" s="8"/>
      <c r="H29" s="20"/>
      <c r="I29" s="22"/>
      <c r="K29" s="2"/>
      <c r="L29" s="2"/>
      <c r="M29" s="2"/>
      <c r="N29" s="18"/>
      <c r="O29" s="82"/>
      <c r="P29" s="8"/>
      <c r="Q29" s="8"/>
      <c r="R29" s="8"/>
      <c r="S29" s="8"/>
      <c r="V29" s="8"/>
      <c r="W29" s="8"/>
      <c r="X29" s="8"/>
      <c r="Y29" s="8"/>
      <c r="Z29" s="8"/>
      <c r="AA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16"/>
      <c r="AT29" s="8"/>
      <c r="AU29" s="7"/>
      <c r="AV29" s="7"/>
      <c r="AW29" s="7"/>
      <c r="AX29" s="95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84"/>
      <c r="BU29" s="22"/>
      <c r="BV29" s="22"/>
      <c r="BW29" s="22"/>
    </row>
    <row r="30" spans="1:75" x14ac:dyDescent="0.3">
      <c r="A30" s="26" t="s">
        <v>41</v>
      </c>
      <c r="B30" s="2">
        <v>1.4</v>
      </c>
      <c r="C30" s="2">
        <f>H30/B30</f>
        <v>54.862585000000003</v>
      </c>
      <c r="D30" s="2">
        <f>AD30+(0.24*AF30)</f>
        <v>3.2509234285714288</v>
      </c>
      <c r="E30" s="2">
        <f t="shared" si="25"/>
        <v>12.931034482758621</v>
      </c>
      <c r="F30" s="14">
        <v>170.02228008159901</v>
      </c>
      <c r="G30" s="2">
        <v>1.92817511316835</v>
      </c>
      <c r="H30" s="19">
        <v>76.807619000000003</v>
      </c>
      <c r="I30" s="23">
        <v>7.5299999999999998E-4</v>
      </c>
      <c r="J30" s="2">
        <f t="shared" si="21"/>
        <v>0.83799999999999997</v>
      </c>
      <c r="K30" s="2">
        <f t="shared" si="0"/>
        <v>3.6000000000000004E-2</v>
      </c>
      <c r="L30" s="2">
        <f t="shared" si="44"/>
        <v>0.59857142857142853</v>
      </c>
      <c r="M30" s="2"/>
      <c r="N30" s="17">
        <v>7.2820000000000003E-3</v>
      </c>
      <c r="O30" s="25">
        <v>5.31E-4</v>
      </c>
      <c r="P30" s="2">
        <f>(J30/1000000)/$F$105</f>
        <v>0.60287769784172662</v>
      </c>
      <c r="Q30" s="2">
        <f>(K30/1000000)/$F$105</f>
        <v>2.5899280575539571E-2</v>
      </c>
      <c r="R30" s="2">
        <f>H30-P30</f>
        <v>76.204741302158283</v>
      </c>
      <c r="S30" s="2">
        <f>I30+Q30</f>
        <v>2.6652280575539571E-2</v>
      </c>
      <c r="T30" s="14">
        <v>168.73299453566401</v>
      </c>
      <c r="U30" s="12">
        <v>1.9365507633877399</v>
      </c>
      <c r="V30" s="2">
        <v>0.65630500000000003</v>
      </c>
      <c r="W30" s="2">
        <v>4.0682000000000003E-2</v>
      </c>
      <c r="X30" s="2">
        <f>(J30/1000000)/(V30*$F$105)</f>
        <v>0.9185937907554057</v>
      </c>
      <c r="Y30" s="2">
        <f>X30*((((W30/V30)^2) + ((K30/J30)^2))^(0.5))</f>
        <v>6.9278228937949923E-2</v>
      </c>
      <c r="Z30" s="2">
        <f>H30-X30</f>
        <v>75.889025209244593</v>
      </c>
      <c r="AA30" s="2">
        <f>I30+Y30</f>
        <v>7.0031228937949927E-2</v>
      </c>
      <c r="AD30" s="2">
        <f>1000000*(BB30*298)/($B30/1000)</f>
        <v>3.1928571428571431</v>
      </c>
      <c r="AE30" s="2">
        <f>1000000*(BC30*298)/($B30/1000)</f>
        <v>3.3631428571428576E-2</v>
      </c>
      <c r="AF30" s="2">
        <f>1000000*(BD30*292)/($B30/1000)</f>
        <v>0.24194285714285713</v>
      </c>
      <c r="AG30" s="2">
        <f>1000000*(BE30*292)/($B30/1000)</f>
        <v>7.0288571428571436E-2</v>
      </c>
      <c r="AH30" s="2">
        <f>1000000*(BF30*150)/($B30/1000)</f>
        <v>0.21107142857142855</v>
      </c>
      <c r="AI30" s="2">
        <f>1000000*(BG30*150)/($B30/1000)</f>
        <v>3.7821428571428568E-2</v>
      </c>
      <c r="AJ30" s="2">
        <f>1000000*(BJ30*63.55)/($B30/1000)</f>
        <v>32.172008247904984</v>
      </c>
      <c r="AK30" s="2">
        <f>1000000*(BK30*63.55)/($B30/1000)</f>
        <v>10.034876219271249</v>
      </c>
      <c r="AL30" s="2">
        <f>1000000*(BL30*74.92)/($B30/1000)</f>
        <v>0</v>
      </c>
      <c r="AM30" s="2">
        <f>1000000*(BM30*74.92)/($B30/1000)</f>
        <v>0</v>
      </c>
      <c r="AN30" s="2">
        <f>1000000*(BN30*91.22)/($B30/1000)</f>
        <v>1.8241167498679256</v>
      </c>
      <c r="AO30" s="2">
        <f>1000000*(BO30*91.22)/($B30/1000)</f>
        <v>1.1314014893648388</v>
      </c>
      <c r="AP30" s="2">
        <f>1000000*(BP30*107.87)/($B30/1000)</f>
        <v>10.225126542942341</v>
      </c>
      <c r="AQ30" s="2">
        <f>1000000*(BQ30*107.87)/($B30/1000)</f>
        <v>1.7160059186465759</v>
      </c>
      <c r="AR30" s="2">
        <f>1000000*(BR30*121.76)/($B30/1000)</f>
        <v>35.806627980041895</v>
      </c>
      <c r="AS30" s="12">
        <f>1000000*(BS30*121.76)/($B30/1000)</f>
        <v>0.73585452867804713</v>
      </c>
      <c r="BB30" s="1">
        <v>1.5E-11</v>
      </c>
      <c r="BC30" s="1">
        <v>1.5800000000000001E-13</v>
      </c>
      <c r="BD30" s="1">
        <v>1.1599999999999999E-12</v>
      </c>
      <c r="BE30" s="1">
        <v>3.3699999999999998E-13</v>
      </c>
      <c r="BF30" s="1">
        <v>1.9699999999999999E-12</v>
      </c>
      <c r="BG30" s="1">
        <v>3.5300000000000001E-13</v>
      </c>
      <c r="BH30">
        <v>0</v>
      </c>
      <c r="BI30">
        <v>0</v>
      </c>
      <c r="BJ30" s="1">
        <v>7.0874605109468104E-10</v>
      </c>
      <c r="BK30" s="1">
        <v>2.2106729672666799E-10</v>
      </c>
      <c r="BL30">
        <v>0</v>
      </c>
      <c r="BM30">
        <v>0</v>
      </c>
      <c r="BN30" s="1">
        <v>2.79956528153376E-11</v>
      </c>
      <c r="BO30" s="1">
        <v>1.7364197381174899E-11</v>
      </c>
      <c r="BP30" s="1">
        <v>1.3270767739055601E-10</v>
      </c>
      <c r="BQ30" s="1">
        <v>2.2271329249144399E-11</v>
      </c>
      <c r="BR30" s="1">
        <v>4.1170564366013998E-10</v>
      </c>
      <c r="BS30" s="85">
        <v>8.4608766438014602E-12</v>
      </c>
      <c r="BU30" s="23">
        <v>8.3799999999999999E-4</v>
      </c>
      <c r="BV30" s="23">
        <v>3.6000000000000001E-5</v>
      </c>
    </row>
    <row r="31" spans="1:75" x14ac:dyDescent="0.3">
      <c r="A31" s="26" t="s">
        <v>42</v>
      </c>
      <c r="B31" s="2">
        <v>1.03</v>
      </c>
      <c r="C31" s="2">
        <f>H31/B31</f>
        <v>96.988350485436882</v>
      </c>
      <c r="D31" s="2">
        <f>AD31+(0.24*AF31)</f>
        <v>5.4009388737864086</v>
      </c>
      <c r="E31" s="2">
        <f t="shared" si="25"/>
        <v>25.946704067321178</v>
      </c>
      <c r="F31" s="14">
        <v>180.74151810790701</v>
      </c>
      <c r="G31" s="2">
        <v>2.7851889440616899</v>
      </c>
      <c r="H31" s="19">
        <v>99.898000999999994</v>
      </c>
      <c r="I31" s="23">
        <v>7.4100000000000001E-4</v>
      </c>
      <c r="J31" s="2">
        <f t="shared" si="21"/>
        <v>1.077</v>
      </c>
      <c r="K31" s="2">
        <f t="shared" si="0"/>
        <v>6.0000000000000005E-2</v>
      </c>
      <c r="L31" s="2">
        <f t="shared" si="44"/>
        <v>1.0456310679611649</v>
      </c>
      <c r="M31" s="2"/>
      <c r="N31" s="17">
        <v>7.4009999999999996E-3</v>
      </c>
      <c r="O31" s="25">
        <v>4.2400000000000001E-4</v>
      </c>
      <c r="P31" s="2">
        <f>(J31/1000000)/$F$105</f>
        <v>0.77482014388489207</v>
      </c>
      <c r="Q31" s="2">
        <f>(K31/1000000)/$F$105</f>
        <v>4.3165467625899283E-2</v>
      </c>
      <c r="R31" s="2">
        <f>H31-P31</f>
        <v>99.123180856115098</v>
      </c>
      <c r="S31" s="2">
        <f>I31+Q31</f>
        <v>4.3906467625899281E-2</v>
      </c>
      <c r="T31" s="14">
        <v>179.28749808113199</v>
      </c>
      <c r="U31" s="12">
        <v>2.8232068943762898</v>
      </c>
      <c r="V31" s="2">
        <v>0.65630500000000003</v>
      </c>
      <c r="W31" s="2">
        <v>4.0682000000000003E-2</v>
      </c>
      <c r="X31" s="2">
        <f>(J31/1000000)/(V31*$F$105)</f>
        <v>1.1805793706963867</v>
      </c>
      <c r="Y31" s="2">
        <f>X31*((((W31/V31)^2) + ((K31/J31)^2))^(0.5))</f>
        <v>9.8392313624479436E-2</v>
      </c>
      <c r="Z31" s="2">
        <f>H31-X31</f>
        <v>98.717421629303601</v>
      </c>
      <c r="AA31" s="2">
        <f>I31+Y31</f>
        <v>9.9133313624479441E-2</v>
      </c>
      <c r="AD31" s="2">
        <f>1000000*(BB31*298)/($B31/1000)</f>
        <v>5.3524271844660198</v>
      </c>
      <c r="AE31" s="2">
        <f>1000000*(BC31*298)/($B31/1000)</f>
        <v>8.4481553398058254E-2</v>
      </c>
      <c r="AF31" s="2">
        <f>1000000*(BD31*292)/($B31/1000)</f>
        <v>0.20213203883495146</v>
      </c>
      <c r="AG31" s="2">
        <f>1000000*(BE31*292)/($B31/1000)</f>
        <v>5.9533980582524265E-2</v>
      </c>
      <c r="AH31" s="2">
        <f>1000000*(BF31*150)/($B31/1000)</f>
        <v>0.34223300970873777</v>
      </c>
      <c r="AI31" s="2">
        <f>1000000*(BG31*150)/($B31/1000)</f>
        <v>8.5776699029126199E-2</v>
      </c>
      <c r="AJ31" s="2">
        <f>1000000*(BJ31*63.55)/($B31/1000)</f>
        <v>0</v>
      </c>
      <c r="AK31" s="2">
        <f>1000000*(BK31*63.55)/($B31/1000)</f>
        <v>0</v>
      </c>
      <c r="AL31" s="2">
        <f>1000000*(BL31*74.92)/($B31/1000)</f>
        <v>0</v>
      </c>
      <c r="AM31" s="2">
        <f>1000000*(BM31*74.92)/($B31/1000)</f>
        <v>0</v>
      </c>
      <c r="AN31" s="2">
        <f>1000000*(BN31*91.22)/($B31/1000)</f>
        <v>5.7980682946369884</v>
      </c>
      <c r="AO31" s="2">
        <f>1000000*(BO31*91.22)/($B31/1000)</f>
        <v>1.5621287849520225</v>
      </c>
      <c r="AP31" s="2">
        <f>1000000*(BP31*107.87)/($B31/1000)</f>
        <v>0</v>
      </c>
      <c r="AQ31" s="2">
        <f>1000000*(BQ31*107.87)/($B31/1000)</f>
        <v>0</v>
      </c>
      <c r="AR31" s="2">
        <f>1000000*(BR31*121.76)/($B31/1000)</f>
        <v>30.633464883643473</v>
      </c>
      <c r="AS31" s="12">
        <f>1000000*(BS31*121.76)/($B31/1000)</f>
        <v>0.70732450406360203</v>
      </c>
      <c r="BB31" s="1">
        <v>1.8500000000000001E-11</v>
      </c>
      <c r="BC31" s="1">
        <v>2.9200000000000002E-13</v>
      </c>
      <c r="BD31" s="1">
        <v>7.1299999999999999E-13</v>
      </c>
      <c r="BE31" s="1">
        <v>2.0999999999999999E-13</v>
      </c>
      <c r="BF31" s="1">
        <v>2.3499999999999999E-12</v>
      </c>
      <c r="BG31" s="1">
        <v>5.8900000000000001E-13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s="1">
        <v>6.5468212491516106E-11</v>
      </c>
      <c r="BO31" s="1">
        <v>1.7638595138133999E-11</v>
      </c>
      <c r="BP31">
        <v>0</v>
      </c>
      <c r="BQ31">
        <v>0</v>
      </c>
      <c r="BR31" s="1">
        <v>2.59136570549875E-10</v>
      </c>
      <c r="BS31" s="85">
        <v>5.9834448027719296E-12</v>
      </c>
      <c r="BU31" s="23">
        <v>1.077E-3</v>
      </c>
      <c r="BV31" s="23">
        <v>6.0000000000000002E-5</v>
      </c>
    </row>
    <row r="32" spans="1:75" ht="26.4" customHeight="1" x14ac:dyDescent="0.7">
      <c r="A32" s="15" t="s">
        <v>30</v>
      </c>
      <c r="B32" s="8"/>
      <c r="C32" s="8"/>
      <c r="D32" s="8"/>
      <c r="E32" s="8"/>
      <c r="H32" s="20"/>
      <c r="I32" s="22"/>
      <c r="K32" s="2"/>
      <c r="L32" s="2"/>
      <c r="M32" s="2"/>
      <c r="N32" s="18"/>
      <c r="O32" s="82"/>
      <c r="P32" s="8"/>
      <c r="Q32" s="8"/>
      <c r="R32" s="8"/>
      <c r="S32" s="8"/>
      <c r="V32" s="8"/>
      <c r="W32" s="8"/>
      <c r="X32" s="8"/>
      <c r="Y32" s="8"/>
      <c r="Z32" s="8"/>
      <c r="AA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16"/>
      <c r="AT32" s="8"/>
      <c r="AU32" s="7"/>
      <c r="AV32" s="7"/>
      <c r="AW32" s="7"/>
      <c r="AX32" s="95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84"/>
      <c r="BU32" s="22"/>
      <c r="BV32" s="22"/>
      <c r="BW32" s="22"/>
    </row>
    <row r="33" spans="1:78" x14ac:dyDescent="0.3">
      <c r="A33" s="26" t="s">
        <v>5</v>
      </c>
      <c r="B33" s="2">
        <v>0.81</v>
      </c>
      <c r="C33" s="2">
        <f t="shared" ref="C33:C45" si="45">H33/B33</f>
        <v>174.60748888888887</v>
      </c>
      <c r="D33" s="2">
        <f t="shared" ref="D33:D45" si="46">AD33+(0.24*AF33)</f>
        <v>56.83525925925926</v>
      </c>
      <c r="E33" s="2">
        <f t="shared" si="25"/>
        <v>5.2513966480446927E-2</v>
      </c>
      <c r="F33" s="14">
        <v>31.844800707311599</v>
      </c>
      <c r="G33" s="2">
        <v>0.51270075599926901</v>
      </c>
      <c r="H33" s="19">
        <v>141.43206599999999</v>
      </c>
      <c r="I33" s="23">
        <v>1.4959999999999999E-3</v>
      </c>
      <c r="J33" s="2">
        <f t="shared" si="21"/>
        <v>0.70399999999999996</v>
      </c>
      <c r="K33" s="2">
        <f t="shared" si="0"/>
        <v>3.7999999999999999E-2</v>
      </c>
      <c r="L33" s="2">
        <f t="shared" si="44"/>
        <v>0.86913580246913569</v>
      </c>
      <c r="M33" s="2"/>
      <c r="N33" s="17">
        <v>3.5400000000000002E-3</v>
      </c>
      <c r="O33" s="25">
        <v>2.52E-4</v>
      </c>
      <c r="P33" s="2">
        <f t="shared" ref="P33:P46" si="47">(J33/1000000)/$F$105</f>
        <v>0.5064748201438849</v>
      </c>
      <c r="Q33" s="2">
        <f t="shared" ref="Q33:Q46" si="48">(K33/1000000)/$F$105</f>
        <v>2.7338129496402873E-2</v>
      </c>
      <c r="R33" s="2">
        <f t="shared" ref="R33:R46" si="49">H33-P33</f>
        <v>140.9255911798561</v>
      </c>
      <c r="S33" s="2">
        <f t="shared" ref="S33:S46" si="50">I33+Q33</f>
        <v>2.8834129496402874E-2</v>
      </c>
      <c r="T33" s="14">
        <v>31.749468046359102</v>
      </c>
      <c r="U33" s="12">
        <v>0.51219405523565897</v>
      </c>
      <c r="AD33" s="2">
        <f t="shared" ref="AD33:AD45" si="51">1000000*(BB33*298)/($B33/1000)</f>
        <v>10.374814814814815</v>
      </c>
      <c r="AE33" s="2">
        <f t="shared" ref="AE33:AE45" si="52">1000000*(BC33*298)/($B33/1000)</f>
        <v>0.10448395061728394</v>
      </c>
      <c r="AF33" s="2">
        <f t="shared" ref="AF33:AF45" si="53">1000000*(BD33*292)/($B33/1000)</f>
        <v>193.58518518518517</v>
      </c>
      <c r="AG33" s="2">
        <f t="shared" ref="AG33:AG45" si="54">1000000*(BE33*292)/($B33/1000)</f>
        <v>3.7851851851851852</v>
      </c>
      <c r="AH33" s="2">
        <f t="shared" ref="AH33:AH45" si="55">1000000*(BF33*150)/($B33/1000)</f>
        <v>25</v>
      </c>
      <c r="AI33" s="2">
        <f t="shared" ref="AI33:AI45" si="56">1000000*(BG33*150)/($B33/1000)</f>
        <v>0.9092592592592591</v>
      </c>
      <c r="AJ33" s="2">
        <f t="shared" ref="AJ33:AJ45" si="57">1000000*(BJ33*63.55)/($B33/1000)</f>
        <v>0</v>
      </c>
      <c r="AK33" s="2">
        <f t="shared" ref="AK33:AK45" si="58">1000000*(BK33*63.55)/($B33/1000)</f>
        <v>0</v>
      </c>
      <c r="AL33" s="2">
        <f t="shared" ref="AL33:AL45" si="59">1000000*(BL33*74.92)/($B33/1000)</f>
        <v>0</v>
      </c>
      <c r="AM33" s="2">
        <f t="shared" ref="AM33:AM45" si="60">1000000*(BM33*74.92)/($B33/1000)</f>
        <v>0</v>
      </c>
      <c r="AN33" s="2">
        <f t="shared" ref="AN33:AN45" si="61">1000000*(BN33*91.22)/($B33/1000)</f>
        <v>0</v>
      </c>
      <c r="AO33" s="2">
        <f t="shared" ref="AO33:AO45" si="62">1000000*(BO33*91.22)/($B33/1000)</f>
        <v>0</v>
      </c>
      <c r="AP33" s="2">
        <f t="shared" ref="AP33:AP45" si="63">1000000*(BP33*107.87)/($B33/1000)</f>
        <v>0</v>
      </c>
      <c r="AQ33" s="2">
        <f t="shared" ref="AQ33:AQ45" si="64">1000000*(BQ33*107.87)/($B33/1000)</f>
        <v>0</v>
      </c>
      <c r="AR33" s="2">
        <f t="shared" ref="AR33:AR45" si="65">1000000*(BR33*121.76)/($B33/1000)</f>
        <v>0</v>
      </c>
      <c r="AS33" s="12">
        <f t="shared" ref="AS33:AS45" si="66">1000000*(BS33*121.76)/($B33/1000)</f>
        <v>0</v>
      </c>
      <c r="BB33" s="1">
        <v>2.82E-11</v>
      </c>
      <c r="BC33" s="1">
        <v>2.84E-13</v>
      </c>
      <c r="BD33" s="1">
        <v>5.3700000000000001E-10</v>
      </c>
      <c r="BE33" s="1">
        <v>1.0499999999999999E-11</v>
      </c>
      <c r="BF33" s="1">
        <v>1.35E-10</v>
      </c>
      <c r="BG33" s="1">
        <v>4.9099999999999999E-12</v>
      </c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85"/>
      <c r="BU33" s="23">
        <v>7.0399999999999998E-4</v>
      </c>
      <c r="BV33" s="23">
        <v>3.8000000000000002E-5</v>
      </c>
      <c r="BY33">
        <v>0</v>
      </c>
      <c r="BZ33">
        <v>32.1</v>
      </c>
    </row>
    <row r="34" spans="1:78" s="66" customFormat="1" x14ac:dyDescent="0.3">
      <c r="A34" s="64" t="s">
        <v>6</v>
      </c>
      <c r="B34" s="65">
        <v>0.82</v>
      </c>
      <c r="C34" s="65">
        <f t="shared" si="45"/>
        <v>221.01667804878051</v>
      </c>
      <c r="D34" s="65">
        <f t="shared" si="46"/>
        <v>60.313073170731705</v>
      </c>
      <c r="E34" s="65">
        <f t="shared" si="25"/>
        <v>5.1468048359240078E-2</v>
      </c>
      <c r="F34" s="14">
        <v>38.001131647450102</v>
      </c>
      <c r="G34" s="65">
        <v>0.63295131432045504</v>
      </c>
      <c r="H34" s="67">
        <v>181.233676</v>
      </c>
      <c r="I34" s="68">
        <v>1.6169999999999999E-3</v>
      </c>
      <c r="J34" s="65">
        <f t="shared" si="21"/>
        <v>7.86</v>
      </c>
      <c r="K34" s="65">
        <f t="shared" si="0"/>
        <v>0.14699999999999999</v>
      </c>
      <c r="L34" s="2">
        <f t="shared" si="44"/>
        <v>9.5853658536585371</v>
      </c>
      <c r="M34" s="65"/>
      <c r="N34" s="17">
        <v>3.1115E-2</v>
      </c>
      <c r="O34" s="69">
        <v>6.2E-4</v>
      </c>
      <c r="P34" s="65">
        <f t="shared" si="47"/>
        <v>5.6546762589928061</v>
      </c>
      <c r="Q34" s="65">
        <f t="shared" si="48"/>
        <v>0.10575539568345323</v>
      </c>
      <c r="R34" s="65">
        <f t="shared" si="49"/>
        <v>175.57899974100721</v>
      </c>
      <c r="S34" s="65">
        <f t="shared" si="50"/>
        <v>0.10737239568345322</v>
      </c>
      <c r="T34" s="14">
        <v>36.807998968208402</v>
      </c>
      <c r="U34" s="70">
        <v>0.58897771096037999</v>
      </c>
      <c r="V34" s="65"/>
      <c r="W34" s="65"/>
      <c r="X34" s="65"/>
      <c r="Y34" s="65"/>
      <c r="Z34" s="65"/>
      <c r="AA34" s="65"/>
      <c r="AB34" s="14"/>
      <c r="AC34" s="70"/>
      <c r="AD34" s="65">
        <f t="shared" si="51"/>
        <v>10.829756097560976</v>
      </c>
      <c r="AE34" s="65">
        <f t="shared" si="52"/>
        <v>0.12719512195121951</v>
      </c>
      <c r="AF34" s="65">
        <f t="shared" si="53"/>
        <v>206.18048780487806</v>
      </c>
      <c r="AG34" s="65">
        <f t="shared" si="54"/>
        <v>4.0951219512195127</v>
      </c>
      <c r="AH34" s="65">
        <f t="shared" si="55"/>
        <v>24.512195121951219</v>
      </c>
      <c r="AI34" s="65">
        <f t="shared" si="56"/>
        <v>0.74268292682926829</v>
      </c>
      <c r="AJ34" s="65">
        <f t="shared" si="57"/>
        <v>0</v>
      </c>
      <c r="AK34" s="65">
        <f t="shared" si="58"/>
        <v>0</v>
      </c>
      <c r="AL34" s="65">
        <f t="shared" si="59"/>
        <v>0</v>
      </c>
      <c r="AM34" s="65">
        <f t="shared" si="60"/>
        <v>0</v>
      </c>
      <c r="AN34" s="65">
        <f t="shared" si="61"/>
        <v>0</v>
      </c>
      <c r="AO34" s="65">
        <f t="shared" si="62"/>
        <v>0</v>
      </c>
      <c r="AP34" s="65">
        <f t="shared" si="63"/>
        <v>0</v>
      </c>
      <c r="AQ34" s="65">
        <f t="shared" si="64"/>
        <v>0</v>
      </c>
      <c r="AR34" s="65">
        <f t="shared" si="65"/>
        <v>0</v>
      </c>
      <c r="AS34" s="70">
        <f t="shared" si="66"/>
        <v>0</v>
      </c>
      <c r="AT34" s="65"/>
      <c r="AU34" s="65"/>
      <c r="AV34" s="65"/>
      <c r="AW34" s="65"/>
      <c r="AX34" s="96"/>
      <c r="AY34" s="65"/>
      <c r="AZ34" s="65"/>
      <c r="BA34" s="65"/>
      <c r="BB34" s="71">
        <v>2.9800000000000003E-11</v>
      </c>
      <c r="BC34" s="71">
        <v>3.5000000000000002E-13</v>
      </c>
      <c r="BD34" s="71">
        <v>5.7899999999999997E-10</v>
      </c>
      <c r="BE34" s="71">
        <v>1.1500000000000001E-11</v>
      </c>
      <c r="BF34" s="71">
        <v>1.34E-10</v>
      </c>
      <c r="BG34" s="71">
        <v>4.0600000000000001E-12</v>
      </c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86"/>
      <c r="BU34" s="68">
        <v>7.8600000000000007E-3</v>
      </c>
      <c r="BV34" s="68">
        <v>1.47E-4</v>
      </c>
      <c r="BW34" s="68"/>
      <c r="BY34" s="66">
        <v>20</v>
      </c>
      <c r="BZ34" s="66">
        <v>32.1</v>
      </c>
    </row>
    <row r="35" spans="1:78" s="66" customFormat="1" x14ac:dyDescent="0.3">
      <c r="A35" s="64" t="s">
        <v>7</v>
      </c>
      <c r="B35" s="65">
        <v>0.31</v>
      </c>
      <c r="C35" s="65">
        <f t="shared" si="45"/>
        <v>262.8959741935484</v>
      </c>
      <c r="D35" s="65">
        <f t="shared" si="46"/>
        <v>77.925548387096782</v>
      </c>
      <c r="E35" s="65">
        <f t="shared" si="25"/>
        <v>4.5328719723183392E-2</v>
      </c>
      <c r="F35" s="14">
        <v>35.007624999305897</v>
      </c>
      <c r="G35" s="65">
        <v>0.517057498317681</v>
      </c>
      <c r="H35" s="67">
        <v>81.497752000000006</v>
      </c>
      <c r="I35" s="68">
        <v>7.4299999999999995E-4</v>
      </c>
      <c r="J35" s="65">
        <f t="shared" si="21"/>
        <v>18.221999999999998</v>
      </c>
      <c r="K35" s="65">
        <f t="shared" si="0"/>
        <v>0.21000000000000002</v>
      </c>
      <c r="L35" s="2">
        <f t="shared" si="44"/>
        <v>58.780645161290316</v>
      </c>
      <c r="M35" s="65"/>
      <c r="N35" s="17">
        <v>0.161971</v>
      </c>
      <c r="O35" s="69">
        <v>1.9250000000000001E-3</v>
      </c>
      <c r="P35" s="65">
        <f t="shared" si="47"/>
        <v>13.109352517985611</v>
      </c>
      <c r="Q35" s="65">
        <f t="shared" si="48"/>
        <v>0.15107913669064749</v>
      </c>
      <c r="R35" s="65">
        <f t="shared" si="49"/>
        <v>68.388399482014393</v>
      </c>
      <c r="S35" s="65">
        <f t="shared" si="50"/>
        <v>0.15182213669064748</v>
      </c>
      <c r="T35" s="14">
        <v>29.3773351732831</v>
      </c>
      <c r="U35" s="70">
        <v>0.43675583906697402</v>
      </c>
      <c r="V35" s="65"/>
      <c r="W35" s="65"/>
      <c r="X35" s="65"/>
      <c r="Y35" s="65"/>
      <c r="Z35" s="65"/>
      <c r="AA35" s="65"/>
      <c r="AB35" s="14"/>
      <c r="AC35" s="70"/>
      <c r="AD35" s="65">
        <f t="shared" si="51"/>
        <v>12.592903225806451</v>
      </c>
      <c r="AE35" s="65">
        <f t="shared" si="52"/>
        <v>0.18841290322580648</v>
      </c>
      <c r="AF35" s="65">
        <f t="shared" si="53"/>
        <v>272.21935483870971</v>
      </c>
      <c r="AG35" s="65">
        <f t="shared" si="54"/>
        <v>4.7096774193548381</v>
      </c>
      <c r="AH35" s="65">
        <f t="shared" si="55"/>
        <v>31.499999999999996</v>
      </c>
      <c r="AI35" s="65">
        <f t="shared" si="56"/>
        <v>1.1225806451612903</v>
      </c>
      <c r="AJ35" s="65">
        <f t="shared" si="57"/>
        <v>0</v>
      </c>
      <c r="AK35" s="65">
        <f t="shared" si="58"/>
        <v>0</v>
      </c>
      <c r="AL35" s="65">
        <f t="shared" si="59"/>
        <v>0</v>
      </c>
      <c r="AM35" s="65">
        <f t="shared" si="60"/>
        <v>0</v>
      </c>
      <c r="AN35" s="65">
        <f t="shared" si="61"/>
        <v>0</v>
      </c>
      <c r="AO35" s="65">
        <f t="shared" si="62"/>
        <v>0</v>
      </c>
      <c r="AP35" s="65">
        <f t="shared" si="63"/>
        <v>0</v>
      </c>
      <c r="AQ35" s="65">
        <f t="shared" si="64"/>
        <v>0</v>
      </c>
      <c r="AR35" s="65">
        <f t="shared" si="65"/>
        <v>0</v>
      </c>
      <c r="AS35" s="70">
        <f t="shared" si="66"/>
        <v>0</v>
      </c>
      <c r="AT35" s="65"/>
      <c r="AU35" s="65"/>
      <c r="AV35" s="65"/>
      <c r="AW35" s="65"/>
      <c r="AX35" s="96"/>
      <c r="AY35" s="65"/>
      <c r="AZ35" s="65"/>
      <c r="BA35" s="65"/>
      <c r="BB35" s="71">
        <v>1.31E-11</v>
      </c>
      <c r="BC35" s="71">
        <v>1.96E-13</v>
      </c>
      <c r="BD35" s="71">
        <v>2.8899999999999998E-10</v>
      </c>
      <c r="BE35" s="71">
        <v>4.9999999999999997E-12</v>
      </c>
      <c r="BF35" s="71">
        <v>6.51E-11</v>
      </c>
      <c r="BG35" s="71">
        <v>2.3199999999999998E-12</v>
      </c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86"/>
      <c r="BU35" s="68">
        <v>1.8221999999999999E-2</v>
      </c>
      <c r="BV35" s="68">
        <v>2.1000000000000001E-4</v>
      </c>
      <c r="BW35" s="68"/>
    </row>
    <row r="36" spans="1:78" s="66" customFormat="1" ht="15" customHeight="1" x14ac:dyDescent="0.3">
      <c r="A36" s="64" t="s">
        <v>22</v>
      </c>
      <c r="B36" s="65">
        <v>0.3</v>
      </c>
      <c r="C36" s="65">
        <f t="shared" si="45"/>
        <v>232.02436333333335</v>
      </c>
      <c r="D36" s="65">
        <f t="shared" si="46"/>
        <v>67.978533333333345</v>
      </c>
      <c r="E36" s="65">
        <f t="shared" si="25"/>
        <v>5.3586497890295355E-2</v>
      </c>
      <c r="F36" s="14">
        <v>35.347401040040097</v>
      </c>
      <c r="G36" s="65">
        <v>0.69347606563018704</v>
      </c>
      <c r="H36" s="67">
        <v>69.607309000000001</v>
      </c>
      <c r="I36" s="68">
        <v>7.5000000000000002E-4</v>
      </c>
      <c r="J36" s="65">
        <f t="shared" si="21"/>
        <v>16.074000000000002</v>
      </c>
      <c r="K36" s="65">
        <f t="shared" si="0"/>
        <v>0.20599999999999999</v>
      </c>
      <c r="L36" s="2">
        <f t="shared" si="44"/>
        <v>53.580000000000005</v>
      </c>
      <c r="M36" s="65"/>
      <c r="N36" s="17">
        <v>0.16732</v>
      </c>
      <c r="O36" s="69">
        <v>2.1979999999999999E-3</v>
      </c>
      <c r="P36" s="65">
        <f t="shared" si="47"/>
        <v>11.564028776978418</v>
      </c>
      <c r="Q36" s="65">
        <f t="shared" si="48"/>
        <v>0.14820143884892084</v>
      </c>
      <c r="R36" s="65">
        <f t="shared" si="49"/>
        <v>58.043280223021583</v>
      </c>
      <c r="S36" s="65">
        <f t="shared" si="50"/>
        <v>0.14895143884892084</v>
      </c>
      <c r="T36" s="14">
        <v>29.503375259339801</v>
      </c>
      <c r="U36" s="70">
        <v>0.586940176032546</v>
      </c>
      <c r="V36" s="65"/>
      <c r="W36" s="65"/>
      <c r="X36" s="65"/>
      <c r="Y36" s="65"/>
      <c r="Z36" s="65"/>
      <c r="AA36" s="65"/>
      <c r="AB36" s="14"/>
      <c r="AC36" s="70"/>
      <c r="AD36" s="65">
        <f t="shared" si="51"/>
        <v>12.615333333333336</v>
      </c>
      <c r="AE36" s="65">
        <f t="shared" si="52"/>
        <v>0.21555333333333332</v>
      </c>
      <c r="AF36" s="65">
        <f t="shared" si="53"/>
        <v>230.68000000000004</v>
      </c>
      <c r="AG36" s="65">
        <f t="shared" si="54"/>
        <v>5.5285333333333346</v>
      </c>
      <c r="AH36" s="65">
        <f t="shared" si="55"/>
        <v>71.500000000000014</v>
      </c>
      <c r="AI36" s="65">
        <f t="shared" si="56"/>
        <v>1.9550000000000001</v>
      </c>
      <c r="AJ36" s="65">
        <f t="shared" si="57"/>
        <v>0</v>
      </c>
      <c r="AK36" s="65">
        <f t="shared" si="58"/>
        <v>0</v>
      </c>
      <c r="AL36" s="65">
        <f t="shared" si="59"/>
        <v>0</v>
      </c>
      <c r="AM36" s="65">
        <f t="shared" si="60"/>
        <v>0</v>
      </c>
      <c r="AN36" s="65">
        <f t="shared" si="61"/>
        <v>0</v>
      </c>
      <c r="AO36" s="65">
        <f t="shared" si="62"/>
        <v>0</v>
      </c>
      <c r="AP36" s="65">
        <f t="shared" si="63"/>
        <v>0</v>
      </c>
      <c r="AQ36" s="65">
        <f t="shared" si="64"/>
        <v>0</v>
      </c>
      <c r="AR36" s="65">
        <f t="shared" si="65"/>
        <v>0</v>
      </c>
      <c r="AS36" s="70">
        <f t="shared" si="66"/>
        <v>0</v>
      </c>
      <c r="AT36" s="65"/>
      <c r="AU36" s="65"/>
      <c r="AV36" s="65"/>
      <c r="AW36" s="65"/>
      <c r="AX36" s="96"/>
      <c r="AY36" s="65"/>
      <c r="AZ36" s="65"/>
      <c r="BA36" s="65"/>
      <c r="BB36" s="71">
        <v>1.27E-11</v>
      </c>
      <c r="BC36" s="71">
        <v>2.1700000000000001E-13</v>
      </c>
      <c r="BD36" s="71">
        <v>2.3700000000000001E-10</v>
      </c>
      <c r="BE36" s="71">
        <v>5.68E-12</v>
      </c>
      <c r="BF36" s="71">
        <v>1.43E-10</v>
      </c>
      <c r="BG36" s="71">
        <v>3.9100000000000001E-12</v>
      </c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86"/>
      <c r="BU36" s="68">
        <v>1.6074000000000001E-2</v>
      </c>
      <c r="BV36" s="68">
        <v>2.0599999999999999E-4</v>
      </c>
      <c r="BW36" s="68"/>
    </row>
    <row r="37" spans="1:78" ht="15" customHeight="1" x14ac:dyDescent="0.3">
      <c r="A37" s="26" t="s">
        <v>48</v>
      </c>
      <c r="B37" s="2">
        <v>0.53</v>
      </c>
      <c r="C37" s="2">
        <f t="shared" si="45"/>
        <v>182.48061320754715</v>
      </c>
      <c r="D37" s="2">
        <f t="shared" si="46"/>
        <v>59.818113207547171</v>
      </c>
      <c r="E37" s="2">
        <f t="shared" si="25"/>
        <v>4.8533333333333331E-2</v>
      </c>
      <c r="F37" s="14">
        <v>31.5523779753436</v>
      </c>
      <c r="G37" s="2">
        <v>0.93678743749382998</v>
      </c>
      <c r="H37" s="19">
        <v>96.714725000000001</v>
      </c>
      <c r="I37" s="23">
        <v>9.1200000000000005E-4</v>
      </c>
      <c r="J37" s="2">
        <f t="shared" si="21"/>
        <v>1.4690000000000001</v>
      </c>
      <c r="K37" s="2">
        <f t="shared" si="0"/>
        <v>4.5999999999999999E-2</v>
      </c>
      <c r="L37" s="2">
        <f t="shared" si="44"/>
        <v>2.7716981132075471</v>
      </c>
      <c r="M37" s="2"/>
      <c r="N37" s="17">
        <v>1.0527E-2</v>
      </c>
      <c r="O37" s="25">
        <v>4.66E-4</v>
      </c>
      <c r="P37" s="2">
        <f t="shared" si="47"/>
        <v>1.0568345323741006</v>
      </c>
      <c r="Q37" s="2">
        <f t="shared" si="48"/>
        <v>3.3093525179856115E-2</v>
      </c>
      <c r="R37" s="2">
        <f t="shared" si="49"/>
        <v>95.657890467625904</v>
      </c>
      <c r="S37" s="2">
        <f t="shared" si="50"/>
        <v>3.4005525179856118E-2</v>
      </c>
      <c r="T37" s="14">
        <v>31.2294248369641</v>
      </c>
      <c r="U37" s="12">
        <v>0.91820802143809599</v>
      </c>
      <c r="AD37" s="2">
        <f t="shared" si="51"/>
        <v>10.233207547169812</v>
      </c>
      <c r="AE37" s="2">
        <f t="shared" si="52"/>
        <v>0.20466415094339624</v>
      </c>
      <c r="AF37" s="2">
        <f t="shared" si="53"/>
        <v>206.60377358490567</v>
      </c>
      <c r="AG37" s="2">
        <f t="shared" si="54"/>
        <v>7.3275471698113215</v>
      </c>
      <c r="AH37" s="2">
        <f t="shared" si="55"/>
        <v>135.56603773584905</v>
      </c>
      <c r="AI37" s="2">
        <f t="shared" si="56"/>
        <v>5.5754716981132084</v>
      </c>
      <c r="AJ37" s="2">
        <f t="shared" si="57"/>
        <v>0</v>
      </c>
      <c r="AK37" s="2">
        <f t="shared" si="58"/>
        <v>0</v>
      </c>
      <c r="AL37" s="2">
        <f t="shared" si="59"/>
        <v>924.96978450491281</v>
      </c>
      <c r="AM37" s="2">
        <f t="shared" si="60"/>
        <v>72.802008010001813</v>
      </c>
      <c r="AN37" s="2">
        <f t="shared" si="61"/>
        <v>10.472151925578864</v>
      </c>
      <c r="AO37" s="2">
        <f t="shared" si="62"/>
        <v>7.1749190508576222</v>
      </c>
      <c r="AP37" s="2">
        <f t="shared" si="63"/>
        <v>118.07972303772755</v>
      </c>
      <c r="AQ37" s="2">
        <f t="shared" si="64"/>
        <v>10.692958391083208</v>
      </c>
      <c r="AR37" s="2">
        <f t="shared" si="65"/>
        <v>89.069173886560421</v>
      </c>
      <c r="AS37" s="12">
        <f t="shared" si="66"/>
        <v>4.679266989285316</v>
      </c>
      <c r="BB37" s="1">
        <v>1.8199999999999999E-11</v>
      </c>
      <c r="BC37" s="1">
        <v>3.6400000000000001E-13</v>
      </c>
      <c r="BD37" s="1">
        <v>3.75E-10</v>
      </c>
      <c r="BE37" s="1">
        <v>1.33E-11</v>
      </c>
      <c r="BF37" s="1">
        <v>4.79E-10</v>
      </c>
      <c r="BG37" s="1">
        <v>1.97E-11</v>
      </c>
      <c r="BH37" s="1">
        <v>8.1895796953718493E-9</v>
      </c>
      <c r="BI37" s="1">
        <v>5.7089369951628196E-9</v>
      </c>
      <c r="BJ37">
        <v>0</v>
      </c>
      <c r="BK37">
        <v>0</v>
      </c>
      <c r="BL37" s="1">
        <v>6.5434328054939104E-9</v>
      </c>
      <c r="BM37" s="1">
        <v>5.1501687460359001E-10</v>
      </c>
      <c r="BN37" s="1">
        <v>6.0844557340021904E-11</v>
      </c>
      <c r="BO37" s="1">
        <v>4.1687207815770002E-11</v>
      </c>
      <c r="BP37" s="1">
        <v>5.8016365263739302E-10</v>
      </c>
      <c r="BQ37" s="1">
        <v>5.25379433324752E-11</v>
      </c>
      <c r="BR37" s="1">
        <v>3.8770254730516602E-10</v>
      </c>
      <c r="BS37" s="85">
        <v>2.0368031408682799E-11</v>
      </c>
      <c r="BU37" s="23">
        <v>1.469E-3</v>
      </c>
      <c r="BV37" s="23">
        <v>4.6E-5</v>
      </c>
    </row>
    <row r="38" spans="1:78" ht="15" customHeight="1" x14ac:dyDescent="0.3">
      <c r="A38" s="26" t="s">
        <v>49</v>
      </c>
      <c r="B38" s="2">
        <v>0.57999999999999996</v>
      </c>
      <c r="C38" s="2">
        <f t="shared" si="45"/>
        <v>185.21732241379311</v>
      </c>
      <c r="D38" s="2">
        <f t="shared" si="46"/>
        <v>58.981793103448268</v>
      </c>
      <c r="E38" s="2">
        <f t="shared" si="25"/>
        <v>5.3266331658291449E-2</v>
      </c>
      <c r="F38" s="14">
        <v>32.4671459099971</v>
      </c>
      <c r="G38" s="2">
        <v>0.71303882794670803</v>
      </c>
      <c r="H38" s="19">
        <v>107.426047</v>
      </c>
      <c r="I38" s="23">
        <v>8.9999999999999998E-4</v>
      </c>
      <c r="J38" s="2">
        <f t="shared" si="21"/>
        <v>1.4630000000000001</v>
      </c>
      <c r="K38" s="2">
        <f t="shared" si="0"/>
        <v>5.6000000000000001E-2</v>
      </c>
      <c r="L38" s="2">
        <f t="shared" si="44"/>
        <v>2.5224137931034485</v>
      </c>
      <c r="M38" s="2"/>
      <c r="N38" s="17">
        <v>9.0089999999999996E-3</v>
      </c>
      <c r="O38" s="25">
        <v>4.3800000000000002E-4</v>
      </c>
      <c r="P38" s="2">
        <f t="shared" si="47"/>
        <v>1.0525179856115108</v>
      </c>
      <c r="Q38" s="2">
        <f t="shared" si="48"/>
        <v>4.0287769784172658E-2</v>
      </c>
      <c r="R38" s="2">
        <f t="shared" si="49"/>
        <v>106.37352901438848</v>
      </c>
      <c r="S38" s="2">
        <f t="shared" si="50"/>
        <v>4.1187769784172656E-2</v>
      </c>
      <c r="T38" s="14">
        <v>32.150753836987697</v>
      </c>
      <c r="U38" s="12">
        <v>0.69493845315597302</v>
      </c>
      <c r="AD38" s="2">
        <f t="shared" si="51"/>
        <v>10.892413793103447</v>
      </c>
      <c r="AE38" s="2">
        <f t="shared" si="52"/>
        <v>0.11611724137931036</v>
      </c>
      <c r="AF38" s="2">
        <f t="shared" si="53"/>
        <v>200.37241379310345</v>
      </c>
      <c r="AG38" s="2">
        <f t="shared" si="54"/>
        <v>5.3868965517241376</v>
      </c>
      <c r="AH38" s="2">
        <f t="shared" si="55"/>
        <v>126.98275862068964</v>
      </c>
      <c r="AI38" s="2">
        <f t="shared" si="56"/>
        <v>5.0172413793103443</v>
      </c>
      <c r="AJ38" s="2">
        <f t="shared" si="57"/>
        <v>0</v>
      </c>
      <c r="AK38" s="2">
        <f t="shared" si="58"/>
        <v>0</v>
      </c>
      <c r="AL38" s="2">
        <f t="shared" si="59"/>
        <v>910.07070992856859</v>
      </c>
      <c r="AM38" s="2">
        <f t="shared" si="60"/>
        <v>100.20164055346227</v>
      </c>
      <c r="AN38" s="2">
        <f t="shared" si="61"/>
        <v>0</v>
      </c>
      <c r="AO38" s="2">
        <f t="shared" si="62"/>
        <v>0</v>
      </c>
      <c r="AP38" s="2">
        <f t="shared" si="63"/>
        <v>0</v>
      </c>
      <c r="AQ38" s="2">
        <f t="shared" si="64"/>
        <v>0</v>
      </c>
      <c r="AR38" s="2">
        <f t="shared" si="65"/>
        <v>26.324459926727396</v>
      </c>
      <c r="AS38" s="12">
        <f t="shared" si="66"/>
        <v>2.8654630968746631</v>
      </c>
      <c r="BB38" s="1">
        <v>2.1199999999999999E-11</v>
      </c>
      <c r="BC38" s="1">
        <v>2.26E-13</v>
      </c>
      <c r="BD38" s="1">
        <v>3.9800000000000002E-10</v>
      </c>
      <c r="BE38" s="1">
        <v>1.0699999999999999E-11</v>
      </c>
      <c r="BF38" s="1">
        <v>4.9099999999999996E-10</v>
      </c>
      <c r="BG38" s="1">
        <v>1.9399999999999999E-11</v>
      </c>
      <c r="BH38">
        <v>0</v>
      </c>
      <c r="BI38">
        <v>0</v>
      </c>
      <c r="BJ38">
        <v>0</v>
      </c>
      <c r="BK38">
        <v>0</v>
      </c>
      <c r="BL38" s="1">
        <v>7.0453952450423102E-9</v>
      </c>
      <c r="BM38" s="1">
        <v>7.7572012174330103E-10</v>
      </c>
      <c r="BN38">
        <v>0</v>
      </c>
      <c r="BO38">
        <v>0</v>
      </c>
      <c r="BP38">
        <v>0</v>
      </c>
      <c r="BQ38">
        <v>0</v>
      </c>
      <c r="BR38" s="1">
        <v>1.25395751950574E-10</v>
      </c>
      <c r="BS38" s="85">
        <v>1.3649544975257101E-11</v>
      </c>
      <c r="BU38" s="23">
        <v>1.4630000000000001E-3</v>
      </c>
      <c r="BV38" s="23">
        <v>5.5999999999999999E-5</v>
      </c>
    </row>
    <row r="39" spans="1:78" ht="15" customHeight="1" x14ac:dyDescent="0.3">
      <c r="A39" s="26" t="s">
        <v>126</v>
      </c>
      <c r="B39" s="2">
        <v>0.79</v>
      </c>
      <c r="C39" s="2">
        <f t="shared" si="45"/>
        <v>208.42180632911391</v>
      </c>
      <c r="D39" s="2">
        <f t="shared" si="46"/>
        <v>65.493113924050618</v>
      </c>
      <c r="E39" s="2">
        <f t="shared" si="25"/>
        <v>4.8529411764705883E-2</v>
      </c>
      <c r="F39" s="14">
        <v>32.949640807500799</v>
      </c>
      <c r="G39" s="2">
        <v>0.71734785843113302</v>
      </c>
      <c r="H39" s="19">
        <v>164.65322699999999</v>
      </c>
      <c r="I39" s="23">
        <v>1.485E-3</v>
      </c>
      <c r="J39" s="2">
        <f t="shared" si="21"/>
        <v>1.5469999999999999</v>
      </c>
      <c r="K39" s="2">
        <f t="shared" si="0"/>
        <v>6.6000000000000003E-2</v>
      </c>
      <c r="L39" s="2">
        <f t="shared" si="44"/>
        <v>1.9582278481012656</v>
      </c>
      <c r="M39" s="2"/>
      <c r="N39" s="17">
        <v>6.1460000000000004E-3</v>
      </c>
      <c r="O39" s="25">
        <v>2.9999999999999997E-4</v>
      </c>
      <c r="P39" s="2">
        <f t="shared" si="47"/>
        <v>1.1129496402877697</v>
      </c>
      <c r="Q39" s="2">
        <f t="shared" si="48"/>
        <v>4.7482014388489216E-2</v>
      </c>
      <c r="R39" s="2">
        <f t="shared" si="49"/>
        <v>163.54027735971221</v>
      </c>
      <c r="S39" s="2">
        <f t="shared" si="50"/>
        <v>4.8967014388489216E-2</v>
      </c>
      <c r="T39" s="14">
        <v>32.717220313176497</v>
      </c>
      <c r="U39" s="12">
        <v>0.68730643997001195</v>
      </c>
      <c r="AD39" s="2">
        <f t="shared" si="51"/>
        <v>11.203291139240504</v>
      </c>
      <c r="AE39" s="2">
        <f t="shared" si="52"/>
        <v>9.2040506329113925E-2</v>
      </c>
      <c r="AF39" s="2">
        <f t="shared" si="53"/>
        <v>226.20759493670883</v>
      </c>
      <c r="AG39" s="2">
        <f t="shared" si="54"/>
        <v>5.9508860759493674</v>
      </c>
      <c r="AH39" s="2">
        <f t="shared" si="55"/>
        <v>120.18987341772153</v>
      </c>
      <c r="AI39" s="2">
        <f t="shared" si="56"/>
        <v>4.386075949367088</v>
      </c>
      <c r="AJ39" s="2">
        <f t="shared" si="57"/>
        <v>0</v>
      </c>
      <c r="AK39" s="2">
        <f t="shared" si="58"/>
        <v>0</v>
      </c>
      <c r="AL39" s="2">
        <f t="shared" si="59"/>
        <v>803.9199520417136</v>
      </c>
      <c r="AM39" s="2">
        <f t="shared" si="60"/>
        <v>55.207907358253983</v>
      </c>
      <c r="AN39" s="2">
        <f t="shared" si="61"/>
        <v>0</v>
      </c>
      <c r="AO39" s="2">
        <f t="shared" si="62"/>
        <v>0</v>
      </c>
      <c r="AP39" s="2">
        <f t="shared" si="63"/>
        <v>0</v>
      </c>
      <c r="AQ39" s="2">
        <f t="shared" si="64"/>
        <v>0</v>
      </c>
      <c r="AR39" s="2">
        <f t="shared" si="65"/>
        <v>49.443100381073187</v>
      </c>
      <c r="AS39" s="12">
        <f t="shared" si="66"/>
        <v>1.012855885441583</v>
      </c>
      <c r="BB39" s="1">
        <v>2.9699999999999998E-11</v>
      </c>
      <c r="BC39" s="1">
        <v>2.4400000000000002E-13</v>
      </c>
      <c r="BD39" s="1">
        <v>6.1199999999999995E-10</v>
      </c>
      <c r="BE39" s="1">
        <v>1.6100000000000001E-11</v>
      </c>
      <c r="BF39" s="1">
        <v>6.3299999999999999E-10</v>
      </c>
      <c r="BG39" s="1">
        <v>2.31E-11</v>
      </c>
      <c r="BH39" s="1">
        <v>4.71451146857301E-8</v>
      </c>
      <c r="BI39" s="1">
        <v>5.7794272710377802E-9</v>
      </c>
      <c r="BJ39">
        <v>0</v>
      </c>
      <c r="BK39">
        <v>0</v>
      </c>
      <c r="BL39" s="1">
        <v>8.4769989603971401E-9</v>
      </c>
      <c r="BM39" s="1">
        <v>5.8214424470128999E-10</v>
      </c>
      <c r="BN39">
        <v>0</v>
      </c>
      <c r="BO39">
        <v>0</v>
      </c>
      <c r="BP39">
        <v>0</v>
      </c>
      <c r="BQ39">
        <v>0</v>
      </c>
      <c r="BR39" s="1">
        <v>3.2079541147378299E-10</v>
      </c>
      <c r="BS39" s="85">
        <v>6.5715846706541603E-12</v>
      </c>
      <c r="BU39" s="23">
        <v>1.547E-3</v>
      </c>
      <c r="BV39" s="23">
        <v>6.6000000000000005E-5</v>
      </c>
    </row>
    <row r="40" spans="1:78" ht="15" customHeight="1" x14ac:dyDescent="0.3">
      <c r="A40" s="26" t="s">
        <v>50</v>
      </c>
      <c r="B40" s="2">
        <v>0.93</v>
      </c>
      <c r="C40" s="2">
        <f t="shared" si="45"/>
        <v>178.42045806451611</v>
      </c>
      <c r="D40" s="2">
        <f t="shared" si="46"/>
        <v>57.073419354838705</v>
      </c>
      <c r="E40" s="2">
        <f t="shared" si="25"/>
        <v>4.9361022364217251E-2</v>
      </c>
      <c r="F40" s="14">
        <v>32.348920111798698</v>
      </c>
      <c r="G40" s="2">
        <v>0.70944669937474403</v>
      </c>
      <c r="H40" s="19">
        <v>165.931026</v>
      </c>
      <c r="I40" s="23">
        <v>1.565E-3</v>
      </c>
      <c r="J40" s="2">
        <f t="shared" si="21"/>
        <v>0.80599999999999994</v>
      </c>
      <c r="K40" s="2">
        <f t="shared" si="0"/>
        <v>5.2999999999999999E-2</v>
      </c>
      <c r="L40" s="2">
        <f t="shared" si="44"/>
        <v>0.86666666666666659</v>
      </c>
      <c r="M40" s="2"/>
      <c r="N40" s="17">
        <v>2.8189999999999999E-3</v>
      </c>
      <c r="O40" s="25">
        <v>2.5399999999999999E-4</v>
      </c>
      <c r="P40" s="2">
        <f t="shared" si="47"/>
        <v>0.57985611510791368</v>
      </c>
      <c r="Q40" s="2">
        <f t="shared" si="48"/>
        <v>3.8129496402877695E-2</v>
      </c>
      <c r="R40" s="2">
        <f t="shared" si="49"/>
        <v>165.3511698848921</v>
      </c>
      <c r="S40" s="2">
        <f t="shared" si="50"/>
        <v>3.9694496402877692E-2</v>
      </c>
      <c r="T40" s="14">
        <v>32.211123406717597</v>
      </c>
      <c r="U40" s="12">
        <v>0.67845513946128999</v>
      </c>
      <c r="V40" s="2">
        <v>0.65630500000000003</v>
      </c>
      <c r="W40" s="2">
        <v>4.0682000000000003E-2</v>
      </c>
      <c r="X40" s="2">
        <f t="shared" ref="X40:X47" si="67">(J40/1000000)/(V40*$F$105)</f>
        <v>0.88351622356665516</v>
      </c>
      <c r="Y40" s="2">
        <f t="shared" ref="Y40:Y46" si="68">X40*((((W40/V40)^2) + ((K40/J40)^2))^(0.5))</f>
        <v>7.9841111184524943E-2</v>
      </c>
      <c r="Z40" s="2">
        <f t="shared" ref="Z40:Z46" si="69">H40-X40</f>
        <v>165.04750977643334</v>
      </c>
      <c r="AA40" s="2">
        <f t="shared" ref="AA40:AA46" si="70">I40+Y40</f>
        <v>8.140611118452494E-2</v>
      </c>
      <c r="AB40" s="14">
        <v>32.169731094403701</v>
      </c>
      <c r="AC40" s="12">
        <v>0.68399138250992797</v>
      </c>
      <c r="AD40" s="2">
        <f t="shared" si="51"/>
        <v>9.9012903225806443</v>
      </c>
      <c r="AE40" s="2">
        <f t="shared" si="52"/>
        <v>0.1067032258064516</v>
      </c>
      <c r="AF40" s="2">
        <f t="shared" si="53"/>
        <v>196.55053763440861</v>
      </c>
      <c r="AG40" s="2">
        <f t="shared" si="54"/>
        <v>5.1178494623655908</v>
      </c>
      <c r="AH40" s="2">
        <f t="shared" si="55"/>
        <v>133.06451612903226</v>
      </c>
      <c r="AI40" s="2">
        <f t="shared" si="56"/>
        <v>4.774193548387097</v>
      </c>
      <c r="AJ40" s="2">
        <f t="shared" si="57"/>
        <v>0</v>
      </c>
      <c r="AK40" s="2">
        <f t="shared" si="58"/>
        <v>0</v>
      </c>
      <c r="AL40" s="2">
        <f t="shared" si="59"/>
        <v>787.88099836394179</v>
      </c>
      <c r="AM40" s="2">
        <f t="shared" si="60"/>
        <v>50.755151960221781</v>
      </c>
      <c r="AN40" s="2">
        <f t="shared" si="61"/>
        <v>0</v>
      </c>
      <c r="AO40" s="2">
        <f t="shared" si="62"/>
        <v>0</v>
      </c>
      <c r="AP40" s="2">
        <f t="shared" si="63"/>
        <v>1.7880336680495745</v>
      </c>
      <c r="AQ40" s="2">
        <f t="shared" si="64"/>
        <v>1.4191035121146633</v>
      </c>
      <c r="AR40" s="2">
        <f t="shared" si="65"/>
        <v>28.711062540916217</v>
      </c>
      <c r="AS40" s="12">
        <f t="shared" si="66"/>
        <v>0.83128692257114023</v>
      </c>
      <c r="BB40" s="1">
        <v>3.0899999999999998E-11</v>
      </c>
      <c r="BC40" s="1">
        <v>3.3299999999999999E-13</v>
      </c>
      <c r="BD40" s="1">
        <v>6.2600000000000001E-10</v>
      </c>
      <c r="BE40" s="1">
        <v>1.6300000000000001E-11</v>
      </c>
      <c r="BF40" s="1">
        <v>8.2500000000000005E-10</v>
      </c>
      <c r="BG40" s="1">
        <v>2.96E-11</v>
      </c>
      <c r="BH40">
        <v>0</v>
      </c>
      <c r="BI40">
        <v>0</v>
      </c>
      <c r="BJ40">
        <v>0</v>
      </c>
      <c r="BK40">
        <v>0</v>
      </c>
      <c r="BL40" s="1">
        <v>9.7801565466960206E-9</v>
      </c>
      <c r="BM40" s="1">
        <v>6.3003592262421597E-10</v>
      </c>
      <c r="BN40">
        <v>0</v>
      </c>
      <c r="BO40">
        <v>0</v>
      </c>
      <c r="BP40" s="1">
        <v>1.54155122952267E-11</v>
      </c>
      <c r="BQ40" s="1">
        <v>1.2234785077098701E-11</v>
      </c>
      <c r="BR40" s="1">
        <v>2.19294416582228E-10</v>
      </c>
      <c r="BS40" s="85">
        <v>6.3493498520956004E-12</v>
      </c>
      <c r="BU40" s="23">
        <v>8.0599999999999997E-4</v>
      </c>
      <c r="BV40" s="23">
        <v>5.3000000000000001E-5</v>
      </c>
    </row>
    <row r="41" spans="1:78" ht="15" customHeight="1" x14ac:dyDescent="0.3">
      <c r="A41" s="26" t="s">
        <v>51</v>
      </c>
      <c r="B41" s="2">
        <v>1.51</v>
      </c>
      <c r="C41" s="2">
        <f t="shared" si="45"/>
        <v>189.84066622516556</v>
      </c>
      <c r="D41" s="2">
        <f t="shared" si="46"/>
        <v>60.325827814569536</v>
      </c>
      <c r="E41" s="2">
        <f t="shared" si="25"/>
        <v>5.3207547169811319E-2</v>
      </c>
      <c r="F41" s="14">
        <v>32.550016603984403</v>
      </c>
      <c r="G41" s="2">
        <v>0.57591351446219796</v>
      </c>
      <c r="H41" s="19">
        <v>286.65940599999999</v>
      </c>
      <c r="I41" s="23">
        <v>2.2239999999999998E-3</v>
      </c>
      <c r="J41" s="2">
        <f t="shared" si="21"/>
        <v>0.45700000000000002</v>
      </c>
      <c r="K41" s="2">
        <f t="shared" si="0"/>
        <v>3.3000000000000002E-2</v>
      </c>
      <c r="L41" s="2">
        <f t="shared" si="44"/>
        <v>0.30264900662251659</v>
      </c>
      <c r="M41" s="2"/>
      <c r="N41" s="17">
        <v>1.0679999999999999E-3</v>
      </c>
      <c r="O41" s="25">
        <v>1.05E-4</v>
      </c>
      <c r="P41" s="2">
        <f t="shared" si="47"/>
        <v>0.32877697841726622</v>
      </c>
      <c r="Q41" s="2">
        <f t="shared" si="48"/>
        <v>2.3741007194244608E-2</v>
      </c>
      <c r="R41" s="2">
        <f t="shared" si="49"/>
        <v>286.33062902158275</v>
      </c>
      <c r="S41" s="2">
        <f t="shared" si="50"/>
        <v>2.5965007194244608E-2</v>
      </c>
      <c r="T41" s="14">
        <v>32.509491687811298</v>
      </c>
      <c r="U41" s="12">
        <v>0.59661808886811596</v>
      </c>
      <c r="V41" s="2">
        <v>0.65630500000000003</v>
      </c>
      <c r="W41" s="2">
        <v>4.0682000000000003E-2</v>
      </c>
      <c r="X41" s="2">
        <f t="shared" si="67"/>
        <v>0.50095150641434427</v>
      </c>
      <c r="Y41" s="2">
        <f t="shared" si="68"/>
        <v>4.7673663666814567E-2</v>
      </c>
      <c r="Z41" s="2">
        <f t="shared" si="69"/>
        <v>286.15845449358562</v>
      </c>
      <c r="AA41" s="2">
        <f t="shared" si="70"/>
        <v>4.9897663666814564E-2</v>
      </c>
      <c r="AB41" s="14">
        <v>32.497876234206601</v>
      </c>
      <c r="AC41" s="12">
        <v>0.57543742896818895</v>
      </c>
      <c r="AD41" s="2">
        <f t="shared" si="51"/>
        <v>11.130596026490066</v>
      </c>
      <c r="AE41" s="2">
        <f t="shared" si="52"/>
        <v>0.12176556291390728</v>
      </c>
      <c r="AF41" s="2">
        <f t="shared" si="53"/>
        <v>204.98013245033113</v>
      </c>
      <c r="AG41" s="2">
        <f t="shared" si="54"/>
        <v>4.4863576158940397</v>
      </c>
      <c r="AH41" s="2">
        <f t="shared" si="55"/>
        <v>129.13907284768212</v>
      </c>
      <c r="AI41" s="2">
        <f t="shared" si="56"/>
        <v>4.7980132450331121</v>
      </c>
      <c r="AJ41" s="2">
        <f t="shared" si="57"/>
        <v>0</v>
      </c>
      <c r="AK41" s="2">
        <f t="shared" si="58"/>
        <v>0</v>
      </c>
      <c r="AL41" s="2">
        <f t="shared" si="59"/>
        <v>846.82882407249372</v>
      </c>
      <c r="AM41" s="2">
        <f t="shared" si="60"/>
        <v>57.620829696860206</v>
      </c>
      <c r="AN41" s="2">
        <f t="shared" si="61"/>
        <v>0</v>
      </c>
      <c r="AO41" s="2">
        <f t="shared" si="62"/>
        <v>0</v>
      </c>
      <c r="AP41" s="2">
        <f t="shared" si="63"/>
        <v>0</v>
      </c>
      <c r="AQ41" s="2">
        <f t="shared" si="64"/>
        <v>0</v>
      </c>
      <c r="AR41" s="2">
        <f t="shared" si="65"/>
        <v>17.664343793438949</v>
      </c>
      <c r="AS41" s="12">
        <f t="shared" si="66"/>
        <v>0.58392285989802339</v>
      </c>
      <c r="BB41" s="1">
        <v>5.64E-11</v>
      </c>
      <c r="BC41" s="1">
        <v>6.17E-13</v>
      </c>
      <c r="BD41" s="1">
        <v>1.0600000000000001E-9</v>
      </c>
      <c r="BE41" s="1">
        <v>2.3200000000000001E-11</v>
      </c>
      <c r="BF41" s="1">
        <v>1.3000000000000001E-9</v>
      </c>
      <c r="BG41" s="1">
        <v>4.8299999999999997E-11</v>
      </c>
      <c r="BH41">
        <v>0</v>
      </c>
      <c r="BI41">
        <v>0</v>
      </c>
      <c r="BJ41">
        <v>0</v>
      </c>
      <c r="BK41">
        <v>0</v>
      </c>
      <c r="BL41" s="1">
        <v>1.70676925300249E-8</v>
      </c>
      <c r="BM41" s="1">
        <v>1.1613381319041499E-9</v>
      </c>
      <c r="BN41">
        <v>0</v>
      </c>
      <c r="BO41">
        <v>0</v>
      </c>
      <c r="BP41">
        <v>0</v>
      </c>
      <c r="BQ41">
        <v>0</v>
      </c>
      <c r="BR41" s="1">
        <v>2.1906339625568999E-10</v>
      </c>
      <c r="BS41" s="85">
        <v>7.2414875036630698E-12</v>
      </c>
      <c r="BU41" s="23">
        <v>4.57E-4</v>
      </c>
      <c r="BV41" s="23">
        <v>3.3000000000000003E-5</v>
      </c>
    </row>
    <row r="42" spans="1:78" ht="15" customHeight="1" x14ac:dyDescent="0.3">
      <c r="A42" s="26" t="s">
        <v>52</v>
      </c>
      <c r="B42" s="2">
        <v>0.98</v>
      </c>
      <c r="C42" s="2">
        <f t="shared" si="45"/>
        <v>207.67212142857142</v>
      </c>
      <c r="D42" s="2">
        <f t="shared" si="46"/>
        <v>65.055428571428578</v>
      </c>
      <c r="E42" s="2">
        <f t="shared" si="25"/>
        <v>5.046728971962617E-2</v>
      </c>
      <c r="F42" s="14">
        <v>33.0329972915887</v>
      </c>
      <c r="G42" s="2">
        <v>0.74492586320214704</v>
      </c>
      <c r="H42" s="19">
        <v>203.51867899999999</v>
      </c>
      <c r="I42" s="23">
        <v>1.6900000000000001E-3</v>
      </c>
      <c r="J42" s="2">
        <f t="shared" si="21"/>
        <v>0.8899999999999999</v>
      </c>
      <c r="K42" s="2">
        <f t="shared" si="0"/>
        <v>5.3999999999999999E-2</v>
      </c>
      <c r="L42" s="2">
        <f t="shared" si="44"/>
        <v>0.90816326530612235</v>
      </c>
      <c r="M42" s="2"/>
      <c r="N42" s="17">
        <v>2.7539999999999999E-3</v>
      </c>
      <c r="O42" s="25">
        <v>1.9599999999999999E-4</v>
      </c>
      <c r="P42" s="2">
        <f t="shared" si="47"/>
        <v>0.64028776978417257</v>
      </c>
      <c r="Q42" s="2">
        <f t="shared" si="48"/>
        <v>3.884892086330935E-2</v>
      </c>
      <c r="R42" s="2">
        <f t="shared" si="49"/>
        <v>202.87839123021581</v>
      </c>
      <c r="S42" s="2">
        <f t="shared" si="50"/>
        <v>4.0538920863309347E-2</v>
      </c>
      <c r="T42" s="14">
        <v>32.931244147209199</v>
      </c>
      <c r="U42" s="12">
        <v>0.72225827132188702</v>
      </c>
      <c r="V42" s="2">
        <v>0.65630500000000003</v>
      </c>
      <c r="W42" s="2">
        <v>4.0682000000000003E-2</v>
      </c>
      <c r="X42" s="2">
        <f t="shared" si="67"/>
        <v>0.97559483743712538</v>
      </c>
      <c r="Y42" s="2">
        <f t="shared" si="68"/>
        <v>8.4622210601962428E-2</v>
      </c>
      <c r="Z42" s="2">
        <f t="shared" si="69"/>
        <v>202.54308416256288</v>
      </c>
      <c r="AA42" s="2">
        <f t="shared" si="70"/>
        <v>8.6312210601962425E-2</v>
      </c>
      <c r="AB42" s="14">
        <v>32.869452658631999</v>
      </c>
      <c r="AC42" s="12">
        <v>0.70629506791311503</v>
      </c>
      <c r="AD42" s="2">
        <f t="shared" si="51"/>
        <v>11.494285714285715</v>
      </c>
      <c r="AE42" s="2">
        <f t="shared" si="52"/>
        <v>0.14960816326530613</v>
      </c>
      <c r="AF42" s="2">
        <f t="shared" si="53"/>
        <v>223.17142857142861</v>
      </c>
      <c r="AG42" s="2">
        <f t="shared" si="54"/>
        <v>5.899591836734694</v>
      </c>
      <c r="AH42" s="2">
        <f t="shared" si="55"/>
        <v>123.67346938775511</v>
      </c>
      <c r="AI42" s="2">
        <f t="shared" si="56"/>
        <v>4.3928571428571432</v>
      </c>
      <c r="AJ42" s="2">
        <f t="shared" si="57"/>
        <v>0</v>
      </c>
      <c r="AK42" s="2">
        <f t="shared" si="58"/>
        <v>0</v>
      </c>
      <c r="AL42" s="2">
        <f t="shared" si="59"/>
        <v>820.23319825541</v>
      </c>
      <c r="AM42" s="2">
        <f t="shared" si="60"/>
        <v>71.818859139154569</v>
      </c>
      <c r="AN42" s="2">
        <f t="shared" si="61"/>
        <v>0</v>
      </c>
      <c r="AO42" s="2">
        <f t="shared" si="62"/>
        <v>0</v>
      </c>
      <c r="AP42" s="2">
        <f t="shared" si="63"/>
        <v>0</v>
      </c>
      <c r="AQ42" s="2">
        <f t="shared" si="64"/>
        <v>0</v>
      </c>
      <c r="AR42" s="2">
        <f t="shared" si="65"/>
        <v>23.651494753562243</v>
      </c>
      <c r="AS42" s="12">
        <f t="shared" si="66"/>
        <v>0.53843759460841145</v>
      </c>
      <c r="BB42" s="1">
        <v>3.7800000000000001E-11</v>
      </c>
      <c r="BC42" s="1">
        <v>4.9200000000000002E-13</v>
      </c>
      <c r="BD42" s="1">
        <v>7.49E-10</v>
      </c>
      <c r="BE42" s="1">
        <v>1.9799999999999999E-11</v>
      </c>
      <c r="BF42" s="1">
        <v>8.08E-10</v>
      </c>
      <c r="BG42" s="1">
        <v>2.8699999999999998E-11</v>
      </c>
      <c r="BH42">
        <v>0</v>
      </c>
      <c r="BI42">
        <v>0</v>
      </c>
      <c r="BJ42">
        <v>0</v>
      </c>
      <c r="BK42">
        <v>0</v>
      </c>
      <c r="BL42" s="1">
        <v>1.07291582259784E-8</v>
      </c>
      <c r="BM42" s="1">
        <v>9.3943515691899992E-10</v>
      </c>
      <c r="BN42">
        <v>0</v>
      </c>
      <c r="BO42">
        <v>0</v>
      </c>
      <c r="BP42">
        <v>0</v>
      </c>
      <c r="BQ42">
        <v>0</v>
      </c>
      <c r="BR42" s="1">
        <v>1.9036189929772499E-10</v>
      </c>
      <c r="BS42" s="85">
        <v>4.3336797200742703E-12</v>
      </c>
      <c r="BU42" s="23">
        <v>8.8999999999999995E-4</v>
      </c>
      <c r="BV42" s="23">
        <v>5.3999999999999998E-5</v>
      </c>
    </row>
    <row r="43" spans="1:78" ht="15" customHeight="1" x14ac:dyDescent="0.3">
      <c r="A43" s="26" t="s">
        <v>53</v>
      </c>
      <c r="B43" s="2">
        <v>0.81</v>
      </c>
      <c r="C43" s="2">
        <f t="shared" si="45"/>
        <v>210.70037407407406</v>
      </c>
      <c r="D43" s="2">
        <f t="shared" si="46"/>
        <v>68.355950617283938</v>
      </c>
      <c r="E43" s="2">
        <f t="shared" si="25"/>
        <v>4.8929663608562692E-2</v>
      </c>
      <c r="F43" s="14">
        <v>31.928782257728098</v>
      </c>
      <c r="G43" s="2">
        <v>0.80137711789311705</v>
      </c>
      <c r="H43" s="19">
        <v>170.667303</v>
      </c>
      <c r="I43" s="23">
        <v>1.4760000000000001E-3</v>
      </c>
      <c r="J43" s="2">
        <f t="shared" si="21"/>
        <v>0.53900000000000003</v>
      </c>
      <c r="K43" s="2">
        <f t="shared" si="0"/>
        <v>4.8000000000000001E-2</v>
      </c>
      <c r="L43" s="2">
        <f t="shared" si="44"/>
        <v>0.66543209876543208</v>
      </c>
      <c r="M43" s="2"/>
      <c r="N43" s="17">
        <v>1.6689999999999999E-3</v>
      </c>
      <c r="O43" s="25">
        <v>2.05E-4</v>
      </c>
      <c r="P43" s="2">
        <f t="shared" si="47"/>
        <v>0.38776978417266189</v>
      </c>
      <c r="Q43" s="2">
        <f t="shared" si="48"/>
        <v>3.4532374100719423E-2</v>
      </c>
      <c r="R43" s="2">
        <f t="shared" si="49"/>
        <v>170.27953321582734</v>
      </c>
      <c r="S43" s="2">
        <f t="shared" si="50"/>
        <v>3.6008374100719422E-2</v>
      </c>
      <c r="T43" s="14">
        <v>31.839968620252201</v>
      </c>
      <c r="U43" s="12">
        <v>0.77755685798164398</v>
      </c>
      <c r="V43" s="2">
        <v>0.65630500000000003</v>
      </c>
      <c r="W43" s="2">
        <v>4.0682000000000003E-2</v>
      </c>
      <c r="X43" s="2">
        <f t="shared" si="67"/>
        <v>0.5908377723355176</v>
      </c>
      <c r="Y43" s="2">
        <f t="shared" si="68"/>
        <v>6.410765894060344E-2</v>
      </c>
      <c r="Z43" s="2">
        <f t="shared" si="69"/>
        <v>170.0764652276645</v>
      </c>
      <c r="AA43" s="2">
        <f t="shared" si="70"/>
        <v>6.5583658940603445E-2</v>
      </c>
      <c r="AB43" s="14">
        <v>31.793146514374801</v>
      </c>
      <c r="AC43" s="12">
        <v>0.77741779945341205</v>
      </c>
      <c r="AD43" s="2">
        <f t="shared" si="51"/>
        <v>11.772839506172838</v>
      </c>
      <c r="AE43" s="2">
        <f t="shared" si="52"/>
        <v>0.14237777777777777</v>
      </c>
      <c r="AF43" s="2">
        <f t="shared" si="53"/>
        <v>235.76296296296294</v>
      </c>
      <c r="AG43" s="2">
        <f t="shared" si="54"/>
        <v>6.993580246913579</v>
      </c>
      <c r="AH43" s="2">
        <f t="shared" si="55"/>
        <v>125.74074074074072</v>
      </c>
      <c r="AI43" s="2">
        <f t="shared" si="56"/>
        <v>5.2037037037037033</v>
      </c>
      <c r="AJ43" s="2">
        <f t="shared" si="57"/>
        <v>0</v>
      </c>
      <c r="AK43" s="2">
        <f t="shared" si="58"/>
        <v>0</v>
      </c>
      <c r="AL43" s="2">
        <f t="shared" si="59"/>
        <v>810.8810003713287</v>
      </c>
      <c r="AM43" s="2">
        <f t="shared" si="60"/>
        <v>61.155016868623072</v>
      </c>
      <c r="AN43" s="2">
        <f t="shared" si="61"/>
        <v>8.9164910810856792</v>
      </c>
      <c r="AO43" s="2">
        <f t="shared" si="62"/>
        <v>4.0278639939881824</v>
      </c>
      <c r="AP43" s="2">
        <f t="shared" si="63"/>
        <v>0</v>
      </c>
      <c r="AQ43" s="2">
        <f t="shared" si="64"/>
        <v>0</v>
      </c>
      <c r="AR43" s="2">
        <f t="shared" si="65"/>
        <v>42.874398476489276</v>
      </c>
      <c r="AS43" s="12">
        <f t="shared" si="66"/>
        <v>2.2866098410183899</v>
      </c>
      <c r="BB43" s="1">
        <v>3.1999999999999999E-11</v>
      </c>
      <c r="BC43" s="1">
        <v>3.8700000000000002E-13</v>
      </c>
      <c r="BD43" s="1">
        <v>6.5400000000000002E-10</v>
      </c>
      <c r="BE43" s="1">
        <v>1.9399999999999999E-11</v>
      </c>
      <c r="BF43" s="1">
        <v>6.7900000000000003E-10</v>
      </c>
      <c r="BG43" s="1">
        <v>2.8099999999999999E-11</v>
      </c>
      <c r="BH43">
        <v>0</v>
      </c>
      <c r="BI43">
        <v>0</v>
      </c>
      <c r="BJ43">
        <v>0</v>
      </c>
      <c r="BK43">
        <v>0</v>
      </c>
      <c r="BL43" s="1">
        <v>8.7668661278800898E-9</v>
      </c>
      <c r="BM43" s="1">
        <v>6.6117944025073E-10</v>
      </c>
      <c r="BN43" s="1">
        <v>7.9175156497252801E-11</v>
      </c>
      <c r="BO43" s="1">
        <v>3.5765948642078798E-11</v>
      </c>
      <c r="BP43">
        <v>0</v>
      </c>
      <c r="BQ43">
        <v>0</v>
      </c>
      <c r="BR43" s="1">
        <v>2.8521897803840599E-10</v>
      </c>
      <c r="BS43" s="85">
        <v>1.5211514218338501E-11</v>
      </c>
      <c r="BU43" s="23">
        <v>5.3899999999999998E-4</v>
      </c>
      <c r="BV43" s="23">
        <v>4.8000000000000001E-5</v>
      </c>
    </row>
    <row r="44" spans="1:78" ht="15" customHeight="1" x14ac:dyDescent="0.3">
      <c r="A44" s="26" t="s">
        <v>99</v>
      </c>
      <c r="B44" s="2">
        <v>0.3</v>
      </c>
      <c r="C44" s="2">
        <f t="shared" si="45"/>
        <v>242.21389666666667</v>
      </c>
      <c r="D44" s="2">
        <f t="shared" si="46"/>
        <v>77.374853126411566</v>
      </c>
      <c r="E44" s="2">
        <f t="shared" si="25"/>
        <v>4.9246162387904982E-2</v>
      </c>
      <c r="F44" s="14">
        <v>32.413577264870597</v>
      </c>
      <c r="G44" s="2">
        <v>0.72982846871345497</v>
      </c>
      <c r="H44" s="19">
        <v>72.664169000000001</v>
      </c>
      <c r="I44" s="23">
        <v>2.611E-3</v>
      </c>
      <c r="J44" s="2">
        <f t="shared" si="21"/>
        <v>0.25999999999999995</v>
      </c>
      <c r="K44" s="2">
        <f t="shared" si="0"/>
        <v>3.7999999999999999E-2</v>
      </c>
      <c r="L44" s="2">
        <f t="shared" si="44"/>
        <v>0.86666666666666659</v>
      </c>
      <c r="M44" s="2"/>
      <c r="N44" s="17">
        <v>2.31E-3</v>
      </c>
      <c r="O44" s="25">
        <v>3.0200000000000002E-4</v>
      </c>
      <c r="P44" s="2">
        <f t="shared" si="47"/>
        <v>0.18705035971223016</v>
      </c>
      <c r="Q44" s="2">
        <f t="shared" si="48"/>
        <v>2.7338129496402873E-2</v>
      </c>
      <c r="R44" s="2">
        <f t="shared" si="49"/>
        <v>72.47711864028777</v>
      </c>
      <c r="S44" s="2">
        <f t="shared" si="50"/>
        <v>2.9949129496402872E-2</v>
      </c>
      <c r="T44" s="14">
        <v>32.312631839814003</v>
      </c>
      <c r="U44" s="12">
        <v>0.74115465120691604</v>
      </c>
      <c r="V44" s="2">
        <v>0.87469399999999997</v>
      </c>
      <c r="W44" s="2">
        <v>1.2834E-2</v>
      </c>
      <c r="X44" s="2">
        <f t="shared" si="67"/>
        <v>0.21384662489079631</v>
      </c>
      <c r="Y44" s="2">
        <f t="shared" si="68"/>
        <v>3.1411609467955542E-2</v>
      </c>
      <c r="Z44" s="2">
        <f t="shared" si="69"/>
        <v>72.450322375109209</v>
      </c>
      <c r="AA44" s="2">
        <f t="shared" si="70"/>
        <v>3.4022609467955545E-2</v>
      </c>
      <c r="AB44" s="14">
        <v>32.283950477923398</v>
      </c>
      <c r="AC44" s="12">
        <v>0.74320743858133298</v>
      </c>
      <c r="AD44" s="2">
        <f t="shared" si="51"/>
        <v>13.397425174299164</v>
      </c>
      <c r="AE44" s="2">
        <f t="shared" si="52"/>
        <v>0.17335149232532684</v>
      </c>
      <c r="AF44" s="2">
        <f t="shared" si="53"/>
        <v>266.57261646713505</v>
      </c>
      <c r="AG44" s="2">
        <f t="shared" si="54"/>
        <v>7.381306642292822</v>
      </c>
      <c r="AH44" s="2">
        <f t="shared" si="55"/>
        <v>142.947427112176</v>
      </c>
      <c r="AI44" s="2">
        <f t="shared" si="56"/>
        <v>10.02079780626695</v>
      </c>
      <c r="AJ44" s="2">
        <f t="shared" si="57"/>
        <v>0</v>
      </c>
      <c r="AK44" s="2">
        <f t="shared" si="58"/>
        <v>33.927166021889867</v>
      </c>
      <c r="AL44" s="2">
        <f t="shared" si="59"/>
        <v>665.13954373945933</v>
      </c>
      <c r="AM44" s="2">
        <f t="shared" si="60"/>
        <v>204.98263007064352</v>
      </c>
      <c r="AN44" s="2">
        <f t="shared" si="61"/>
        <v>5.0359975932275702</v>
      </c>
      <c r="AO44" s="2">
        <f t="shared" si="62"/>
        <v>2.7865612031116349</v>
      </c>
      <c r="AP44" s="2">
        <f t="shared" si="63"/>
        <v>0</v>
      </c>
      <c r="AQ44" s="2">
        <f t="shared" si="64"/>
        <v>13.05953808525944</v>
      </c>
      <c r="AR44" s="2">
        <f t="shared" si="65"/>
        <v>0</v>
      </c>
      <c r="AS44" s="12">
        <f t="shared" si="66"/>
        <v>3.7850932689047578</v>
      </c>
      <c r="BB44" s="1">
        <v>1.34873407794958E-11</v>
      </c>
      <c r="BC44" s="1">
        <v>1.7451492515972499E-13</v>
      </c>
      <c r="BD44" s="1">
        <v>2.7387597582239899E-10</v>
      </c>
      <c r="BE44" s="1">
        <v>7.5835342215337208E-12</v>
      </c>
      <c r="BF44" s="1">
        <v>2.8589485422435201E-10</v>
      </c>
      <c r="BG44" s="1">
        <v>2.0041595612533899E-11</v>
      </c>
      <c r="BH44">
        <v>0</v>
      </c>
      <c r="BI44" s="1">
        <v>1.20873613430067E-9</v>
      </c>
      <c r="BJ44">
        <v>0</v>
      </c>
      <c r="BK44" s="1">
        <v>1.60159713714665E-10</v>
      </c>
      <c r="BL44" s="1">
        <v>2.6633991340341402E-9</v>
      </c>
      <c r="BM44" s="1">
        <v>8.2080604673242199E-10</v>
      </c>
      <c r="BN44" s="1">
        <v>1.6562149506339301E-11</v>
      </c>
      <c r="BO44" s="1">
        <v>9.1643100299659107E-12</v>
      </c>
      <c r="BP44">
        <v>0</v>
      </c>
      <c r="BQ44" s="1">
        <v>3.6320213456733401E-11</v>
      </c>
      <c r="BR44">
        <v>0</v>
      </c>
      <c r="BS44" s="85">
        <v>9.3259525350807101E-12</v>
      </c>
      <c r="BU44" s="23">
        <v>2.5999999999999998E-4</v>
      </c>
      <c r="BV44" s="23">
        <v>3.8000000000000002E-5</v>
      </c>
    </row>
    <row r="45" spans="1:78" ht="15" customHeight="1" x14ac:dyDescent="0.3">
      <c r="A45" s="26" t="s">
        <v>100</v>
      </c>
      <c r="B45" s="2">
        <v>0.85</v>
      </c>
      <c r="C45" s="2">
        <f t="shared" si="45"/>
        <v>189.78885764705882</v>
      </c>
      <c r="D45" s="2">
        <f t="shared" si="46"/>
        <v>61.916185793865949</v>
      </c>
      <c r="E45" s="2">
        <f t="shared" si="25"/>
        <v>5.1221715234236867E-2</v>
      </c>
      <c r="F45" s="14">
        <v>31.682654105452301</v>
      </c>
      <c r="G45" s="2">
        <v>0.65007010400398801</v>
      </c>
      <c r="H45" s="19">
        <v>161.32052899999999</v>
      </c>
      <c r="I45" s="23">
        <v>5.5760000000000002E-3</v>
      </c>
      <c r="J45" s="2">
        <f t="shared" si="21"/>
        <v>0.41</v>
      </c>
      <c r="K45" s="2">
        <f t="shared" si="0"/>
        <v>4.3999999999999997E-2</v>
      </c>
      <c r="L45" s="2">
        <f t="shared" si="44"/>
        <v>0.4823529411764706</v>
      </c>
      <c r="M45" s="2"/>
      <c r="N45" s="17">
        <v>1.694E-3</v>
      </c>
      <c r="O45" s="25">
        <v>1.6200000000000001E-4</v>
      </c>
      <c r="P45" s="2">
        <f t="shared" si="47"/>
        <v>0.29496402877697842</v>
      </c>
      <c r="Q45" s="2">
        <f t="shared" si="48"/>
        <v>3.1654676258992806E-2</v>
      </c>
      <c r="R45" s="2">
        <f t="shared" si="49"/>
        <v>161.02556497122302</v>
      </c>
      <c r="S45" s="2">
        <f t="shared" si="50"/>
        <v>3.7230676258992804E-2</v>
      </c>
      <c r="T45" s="14">
        <v>31.636410432650798</v>
      </c>
      <c r="U45" s="12">
        <v>0.65272283603133696</v>
      </c>
      <c r="V45" s="2">
        <v>0.90215000000000001</v>
      </c>
      <c r="W45" s="2">
        <v>3.3177999999999999E-2</v>
      </c>
      <c r="X45" s="2">
        <f t="shared" si="67"/>
        <v>0.32695674641354366</v>
      </c>
      <c r="Y45" s="2">
        <f t="shared" si="68"/>
        <v>3.70911810958282E-2</v>
      </c>
      <c r="Z45" s="2">
        <f t="shared" si="69"/>
        <v>160.99357225358645</v>
      </c>
      <c r="AA45" s="2">
        <f t="shared" si="70"/>
        <v>4.2667181095828198E-2</v>
      </c>
      <c r="AB45" s="14">
        <v>31.629851613719399</v>
      </c>
      <c r="AC45" s="12">
        <v>0.64684175298171098</v>
      </c>
      <c r="AD45" s="2">
        <f t="shared" si="51"/>
        <v>11.073915880045634</v>
      </c>
      <c r="AE45" s="2">
        <f t="shared" si="52"/>
        <v>9.6530880964528609E-2</v>
      </c>
      <c r="AF45" s="2">
        <f t="shared" si="53"/>
        <v>211.84279130758466</v>
      </c>
      <c r="AG45" s="2">
        <f t="shared" si="54"/>
        <v>5.3145832404397906</v>
      </c>
      <c r="AH45" s="2">
        <f t="shared" si="55"/>
        <v>123.77442226883807</v>
      </c>
      <c r="AI45" s="2">
        <f t="shared" si="56"/>
        <v>8.2052895983742893</v>
      </c>
      <c r="AJ45" s="2">
        <f t="shared" si="57"/>
        <v>24.93758225831607</v>
      </c>
      <c r="AK45" s="2">
        <f t="shared" si="58"/>
        <v>8.9869583873786141</v>
      </c>
      <c r="AL45" s="2">
        <f t="shared" si="59"/>
        <v>799.92157902520478</v>
      </c>
      <c r="AM45" s="2">
        <f t="shared" si="60"/>
        <v>156.54127557364367</v>
      </c>
      <c r="AN45" s="2">
        <f t="shared" si="61"/>
        <v>2.7109625456973676</v>
      </c>
      <c r="AO45" s="2">
        <f t="shared" si="62"/>
        <v>1.7090275804465034</v>
      </c>
      <c r="AP45" s="2">
        <f t="shared" si="63"/>
        <v>0</v>
      </c>
      <c r="AQ45" s="2">
        <f t="shared" si="64"/>
        <v>4.8595544519851606</v>
      </c>
      <c r="AR45" s="2">
        <f t="shared" si="65"/>
        <v>0</v>
      </c>
      <c r="AS45" s="12">
        <f t="shared" si="66"/>
        <v>1.217942962801571</v>
      </c>
      <c r="BB45" s="1">
        <v>3.1586672812210701E-11</v>
      </c>
      <c r="BC45" s="1">
        <v>2.7533976114043398E-13</v>
      </c>
      <c r="BD45" s="1">
        <v>6.1666565962824301E-10</v>
      </c>
      <c r="BE45" s="1">
        <v>1.5470533405389799E-11</v>
      </c>
      <c r="BF45" s="1">
        <v>7.0138839285674896E-10</v>
      </c>
      <c r="BG45" s="1">
        <v>4.6496641057454299E-11</v>
      </c>
      <c r="BH45">
        <v>0</v>
      </c>
      <c r="BI45" s="1">
        <v>1.0523999513576501E-9</v>
      </c>
      <c r="BJ45" s="1">
        <v>3.33547520370868E-10</v>
      </c>
      <c r="BK45" s="1">
        <v>1.20203219972806E-10</v>
      </c>
      <c r="BL45" s="1">
        <v>9.0754583845625192E-9</v>
      </c>
      <c r="BM45" s="1">
        <v>1.7760288873144301E-9</v>
      </c>
      <c r="BN45" s="1">
        <v>2.5261106816956399E-11</v>
      </c>
      <c r="BO45" s="1">
        <v>1.5924944566756499E-11</v>
      </c>
      <c r="BP45">
        <v>0</v>
      </c>
      <c r="BQ45" s="1">
        <v>3.8292586300059203E-11</v>
      </c>
      <c r="BR45">
        <v>0</v>
      </c>
      <c r="BS45" s="85">
        <v>8.5023942048401396E-12</v>
      </c>
      <c r="BU45" s="23">
        <v>4.0999999999999999E-4</v>
      </c>
      <c r="BV45" s="23">
        <v>4.3999999999999999E-5</v>
      </c>
    </row>
    <row r="46" spans="1:78" ht="15" customHeight="1" x14ac:dyDescent="0.3">
      <c r="A46" s="26" t="s">
        <v>101</v>
      </c>
      <c r="E46" s="2">
        <f t="shared" si="25"/>
        <v>4.9944949186337545E-2</v>
      </c>
      <c r="F46" s="14">
        <v>31.990539794421</v>
      </c>
      <c r="G46" s="2">
        <v>0.39536697954650601</v>
      </c>
      <c r="H46" s="19">
        <v>177.58224899999999</v>
      </c>
      <c r="I46" s="23">
        <v>1.8569999999999999E-3</v>
      </c>
      <c r="J46" s="2">
        <f t="shared" si="21"/>
        <v>0.30099999999999999</v>
      </c>
      <c r="K46" s="2">
        <f t="shared" si="0"/>
        <v>1.9E-2</v>
      </c>
      <c r="L46" s="2" t="e">
        <f t="shared" si="44"/>
        <v>#DIV/0!</v>
      </c>
      <c r="M46" s="2"/>
      <c r="N46" s="17">
        <v>9.7599999999999998E-4</v>
      </c>
      <c r="O46" s="25">
        <v>1.3300000000000001E-4</v>
      </c>
      <c r="P46" s="2">
        <f t="shared" si="47"/>
        <v>0.21654676258992805</v>
      </c>
      <c r="Q46" s="2">
        <f t="shared" si="48"/>
        <v>1.3669064748201436E-2</v>
      </c>
      <c r="R46" s="2">
        <f t="shared" si="49"/>
        <v>177.36570223741006</v>
      </c>
      <c r="S46" s="2">
        <f t="shared" si="50"/>
        <v>1.5526064748201436E-2</v>
      </c>
      <c r="T46" s="14">
        <v>31.943098532658802</v>
      </c>
      <c r="U46" s="12">
        <v>0.38277978921116401</v>
      </c>
      <c r="V46" s="2">
        <v>0.67700099999999996</v>
      </c>
      <c r="W46" s="2">
        <v>1.6670000000000001E-2</v>
      </c>
      <c r="X46" s="2">
        <f t="shared" si="67"/>
        <v>0.31986180609766907</v>
      </c>
      <c r="Y46" s="2">
        <f t="shared" si="68"/>
        <v>2.1672402970996863E-2</v>
      </c>
      <c r="Z46" s="2">
        <f t="shared" si="69"/>
        <v>177.26238719390233</v>
      </c>
      <c r="AA46" s="2">
        <f t="shared" si="70"/>
        <v>2.3529402970996864E-2</v>
      </c>
      <c r="BB46" s="1">
        <v>3.37785332707423E-11</v>
      </c>
      <c r="BC46" s="1">
        <v>2.6720266110623301E-13</v>
      </c>
      <c r="BD46" s="1">
        <v>6.7631529956551495E-10</v>
      </c>
      <c r="BE46" s="1">
        <v>9.9890094322684103E-12</v>
      </c>
      <c r="BF46" s="1">
        <v>7.6127245424434898E-10</v>
      </c>
      <c r="BG46" s="1">
        <v>4.8345365375034099E-11</v>
      </c>
      <c r="BH46">
        <v>0</v>
      </c>
      <c r="BI46" s="1">
        <v>1.9669963676452299E-9</v>
      </c>
      <c r="BJ46">
        <v>0</v>
      </c>
      <c r="BK46" s="1">
        <v>9.2316482787144201E-11</v>
      </c>
      <c r="BL46" s="1">
        <v>1.02744775763773E-8</v>
      </c>
      <c r="BM46" s="1">
        <v>1.57055052141326E-9</v>
      </c>
      <c r="BN46" s="1">
        <v>4.0072536250473198E-11</v>
      </c>
      <c r="BO46" s="1">
        <v>9.6337808506661194E-12</v>
      </c>
      <c r="BP46">
        <v>0</v>
      </c>
      <c r="BQ46" s="1">
        <v>5.6160387454513303E-11</v>
      </c>
      <c r="BR46" s="1">
        <v>7.79629221520313E-11</v>
      </c>
      <c r="BS46" s="85">
        <v>1.4739424502343299E-11</v>
      </c>
      <c r="BU46" s="23">
        <v>3.01E-4</v>
      </c>
      <c r="BV46" s="23">
        <v>1.9000000000000001E-5</v>
      </c>
    </row>
    <row r="47" spans="1:78" ht="15" customHeight="1" x14ac:dyDescent="0.3">
      <c r="A47" s="26" t="s">
        <v>136</v>
      </c>
      <c r="C47" s="90">
        <f>AVERAGE(C37:C43,C45)</f>
        <v>194.06777742373004</v>
      </c>
      <c r="D47" s="92" t="s">
        <v>135</v>
      </c>
      <c r="E47" s="93">
        <f>2*_xlfn.STDEV.P(C37:C43,C45)</f>
        <v>24.097393511299611</v>
      </c>
      <c r="F47" s="91" t="s">
        <v>134</v>
      </c>
      <c r="J47" s="2">
        <f t="shared" si="21"/>
        <v>0</v>
      </c>
      <c r="K47" s="2">
        <f t="shared" si="0"/>
        <v>0</v>
      </c>
      <c r="L47" s="2" t="e">
        <f t="shared" si="44"/>
        <v>#DIV/0!</v>
      </c>
      <c r="M47" s="2"/>
      <c r="Q47" s="54">
        <f>T47+U47</f>
        <v>32.301160527008754</v>
      </c>
      <c r="R47" s="54">
        <f>T47-U47</f>
        <v>31.99511300383967</v>
      </c>
      <c r="S47" s="55">
        <v>0.1</v>
      </c>
      <c r="T47" s="14">
        <f>AVERAGE(T37:T46)</f>
        <v>32.148136765424212</v>
      </c>
      <c r="U47" s="12">
        <f>_xlfn.STDEV.P(T37:T46)/(COUNT(T37:T46)^0.5)</f>
        <v>0.15302376158454217</v>
      </c>
      <c r="V47" s="2">
        <v>32.1</v>
      </c>
      <c r="X47" s="2">
        <f t="shared" si="67"/>
        <v>0</v>
      </c>
      <c r="Y47" s="54">
        <f>AB47+AC47</f>
        <v>32.376904249078862</v>
      </c>
      <c r="Z47" s="54">
        <f>AB47-AC47</f>
        <v>32.037765282007769</v>
      </c>
      <c r="AA47" s="55">
        <v>0.1</v>
      </c>
      <c r="AB47" s="14">
        <f>AVERAGE(AB37:AB46)</f>
        <v>32.207334765543315</v>
      </c>
      <c r="AC47" s="12">
        <f>_xlfn.STDEV.P(AB37:AB46)/(COUNT(AB37:AB46)^0.5)</f>
        <v>0.16956948353554541</v>
      </c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85"/>
    </row>
    <row r="48" spans="1:78" ht="36.6" customHeight="1" thickBot="1" x14ac:dyDescent="0.75">
      <c r="A48" s="15" t="s">
        <v>107</v>
      </c>
      <c r="B48" s="8"/>
      <c r="C48" s="8"/>
      <c r="D48" s="8"/>
      <c r="E48" s="8"/>
      <c r="H48" s="20"/>
      <c r="I48" s="22"/>
      <c r="K48" s="2"/>
      <c r="L48" s="2"/>
      <c r="M48" s="2"/>
      <c r="N48" s="18"/>
      <c r="O48" s="82"/>
      <c r="Q48" s="44">
        <f>Q47</f>
        <v>32.301160527008754</v>
      </c>
      <c r="R48" s="44">
        <f>R47</f>
        <v>31.99511300383967</v>
      </c>
      <c r="S48" s="45">
        <v>11</v>
      </c>
      <c r="V48" s="8"/>
      <c r="W48" s="8"/>
      <c r="X48" s="8"/>
      <c r="Y48" s="44">
        <f>Y47</f>
        <v>32.376904249078862</v>
      </c>
      <c r="Z48" s="44">
        <f>Z47</f>
        <v>32.037765282007769</v>
      </c>
      <c r="AA48" s="45">
        <v>11</v>
      </c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16"/>
      <c r="AT48" s="8"/>
      <c r="AU48" s="7"/>
      <c r="AV48" s="7"/>
      <c r="AW48" s="7"/>
      <c r="AX48" s="95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84"/>
      <c r="BU48" s="22"/>
      <c r="BV48" s="22"/>
      <c r="BW48" s="22"/>
    </row>
    <row r="49" spans="1:75" s="66" customFormat="1" ht="15" customHeight="1" x14ac:dyDescent="0.3">
      <c r="A49" s="64" t="s">
        <v>43</v>
      </c>
      <c r="B49" s="65">
        <v>3.81</v>
      </c>
      <c r="C49" s="65">
        <f t="shared" ref="C49:C64" si="71">H49/B49</f>
        <v>9.1114545931758517</v>
      </c>
      <c r="D49" s="65">
        <f t="shared" ref="D49:D64" si="72">AD49+(0.24*AF49)</f>
        <v>8.0042729658792652E-2</v>
      </c>
      <c r="E49" s="65">
        <f t="shared" ref="E49:E64" si="73">BB49/BD49</f>
        <v>0.99041916167664679</v>
      </c>
      <c r="F49" s="14">
        <v>1063.1186634817</v>
      </c>
      <c r="G49" s="65">
        <v>55.511870474410202</v>
      </c>
      <c r="H49" s="67">
        <v>34.714641999999998</v>
      </c>
      <c r="I49" s="68">
        <v>3.6099999999999999E-4</v>
      </c>
      <c r="J49" s="65">
        <f t="shared" si="21"/>
        <v>6.6589999999999998</v>
      </c>
      <c r="K49" s="65">
        <f t="shared" si="0"/>
        <v>0.11799999999999999</v>
      </c>
      <c r="L49" s="2">
        <f t="shared" si="44"/>
        <v>1.747769028871391</v>
      </c>
      <c r="M49" s="65"/>
      <c r="N49" s="17">
        <v>0.13675799999999999</v>
      </c>
      <c r="O49" s="69">
        <v>2.6670000000000001E-3</v>
      </c>
      <c r="P49" s="65">
        <f t="shared" ref="P49:P64" si="74">(J49/1000000)/$F$105</f>
        <v>4.7906474820143883</v>
      </c>
      <c r="Q49" s="65">
        <f t="shared" ref="Q49:Q64" si="75">(K49/1000000)/$F$105</f>
        <v>8.4892086330935243E-2</v>
      </c>
      <c r="R49" s="65">
        <f t="shared" ref="R49:R64" si="76">H49-P49</f>
        <v>29.923994517985609</v>
      </c>
      <c r="S49" s="65">
        <f t="shared" ref="S49:S64" si="77">I49+Q49</f>
        <v>8.5253086330935243E-2</v>
      </c>
      <c r="T49" s="14">
        <v>928.31796962381702</v>
      </c>
      <c r="U49" s="70">
        <v>50.869137187349899</v>
      </c>
      <c r="V49" s="65">
        <v>1.2358420000000001</v>
      </c>
      <c r="W49" s="65">
        <v>8.8944999999999996E-2</v>
      </c>
      <c r="X49" s="65">
        <f t="shared" ref="X49:X64" si="78">(J49/1000000)/(V49*$F$105)</f>
        <v>3.8764239134245222</v>
      </c>
      <c r="Y49" s="65">
        <f t="shared" ref="Y49:Y64" si="79">X49*((((W49/V49)^2) + ((K49/J49)^2))^(0.5))</f>
        <v>0.28732282444946911</v>
      </c>
      <c r="Z49" s="65">
        <f t="shared" ref="Z49:Z64" si="80">H49-X49</f>
        <v>30.838218086575477</v>
      </c>
      <c r="AA49" s="65">
        <f t="shared" ref="AA49:AA64" si="81">I49+Y49</f>
        <v>0.28768382444946911</v>
      </c>
      <c r="AB49" s="14">
        <v>955.27413701458397</v>
      </c>
      <c r="AC49" s="70">
        <v>51.5603240381947</v>
      </c>
      <c r="AD49" s="65">
        <f t="shared" ref="AD49:AD64" si="82">1000000*(BB49*298)/($B49/1000)</f>
        <v>6.4683989501312336E-2</v>
      </c>
      <c r="AE49" s="65">
        <f t="shared" ref="AE49:AE64" si="83">1000000*(BC49*298)/($B49/1000)</f>
        <v>3.9342257217847773E-3</v>
      </c>
      <c r="AF49" s="65">
        <f t="shared" ref="AF49:AF64" si="84">1000000*(BD49*292)/($B49/1000)</f>
        <v>6.399475065616797E-2</v>
      </c>
      <c r="AG49" s="65">
        <f t="shared" ref="AG49:AG64" si="85">1000000*(BE49*292)/($B49/1000)</f>
        <v>1.065301837270341E-2</v>
      </c>
      <c r="AH49" s="65">
        <f t="shared" ref="AH49:AH64" si="86">1000000*(BF49*150)/($B49/1000)</f>
        <v>0.12834645669291336</v>
      </c>
      <c r="AI49" s="65">
        <f t="shared" ref="AI49:AI64" si="87">1000000*(BG49*150)/($B49/1000)</f>
        <v>2.2244094488188978E-2</v>
      </c>
      <c r="AJ49" s="65">
        <f t="shared" ref="AJ49:AJ64" si="88">1000000*(BJ49*63.55)/($B49/1000)</f>
        <v>42.498691109514454</v>
      </c>
      <c r="AK49" s="65">
        <f t="shared" ref="AK49:AK64" si="89">1000000*(BK49*63.55)/($B49/1000)</f>
        <v>7.4992605710989215</v>
      </c>
      <c r="AL49" s="71">
        <f t="shared" ref="AL49:AL64" si="90">1000000*(BL49*74.92)/($B49/1000)</f>
        <v>202426.65242738544</v>
      </c>
      <c r="AM49" s="71">
        <f t="shared" ref="AM49:AM64" si="91">1000000*(BM49*74.92)/($B49/1000)</f>
        <v>12489.882049342868</v>
      </c>
      <c r="AN49" s="65">
        <f t="shared" ref="AN49:AN64" si="92">1000000*(BN49*91.22)/($B49/1000)</f>
        <v>1.2211450545032201</v>
      </c>
      <c r="AO49" s="65">
        <f t="shared" ref="AO49:AO64" si="93">1000000*(BO49*91.22)/($B49/1000)</f>
        <v>0.74633768304375014</v>
      </c>
      <c r="AP49" s="65">
        <f t="shared" ref="AP49:AP64" si="94">1000000*(BP49*107.87)/($B49/1000)</f>
        <v>0.72612025143213854</v>
      </c>
      <c r="AQ49" s="65">
        <f t="shared" ref="AQ49:AQ64" si="95">1000000*(BQ49*107.87)/($B49/1000)</f>
        <v>0.40836558933058975</v>
      </c>
      <c r="AR49" s="65">
        <f t="shared" ref="AR49:AR64" si="96">1000000*(BR49*121.76)/($B49/1000)</f>
        <v>138.00350338514906</v>
      </c>
      <c r="AS49" s="70">
        <f t="shared" ref="AS49:AS64" si="97">1000000*(BS49*121.76)/($B49/1000)</f>
        <v>3.1756945909290852</v>
      </c>
      <c r="AT49" s="65"/>
      <c r="AU49" s="65"/>
      <c r="AV49" s="65"/>
      <c r="AW49" s="65"/>
      <c r="AX49" s="96">
        <v>1.4044579781539199</v>
      </c>
      <c r="AY49" s="65">
        <v>3.32945587901846E-2</v>
      </c>
      <c r="AZ49" s="65">
        <f t="shared" ref="AZ49:AZ64" si="98">AX49-B49</f>
        <v>-2.4055420218460801</v>
      </c>
      <c r="BA49" s="65">
        <f t="shared" ref="BA49:BA78" si="99">BL49/BH49</f>
        <v>0.87937772643831325</v>
      </c>
      <c r="BB49" s="71">
        <v>8.2700000000000001E-13</v>
      </c>
      <c r="BC49" s="71">
        <v>5.0299999999999998E-14</v>
      </c>
      <c r="BD49" s="71">
        <v>8.3499999999999998E-13</v>
      </c>
      <c r="BE49" s="71">
        <v>1.3899999999999999E-13</v>
      </c>
      <c r="BF49" s="71">
        <v>3.2599999999999998E-12</v>
      </c>
      <c r="BG49" s="71">
        <v>5.6500000000000002E-13</v>
      </c>
      <c r="BH49" s="71">
        <v>1.1706294316913E-5</v>
      </c>
      <c r="BI49" s="71">
        <v>2.7751339692055301E-7</v>
      </c>
      <c r="BJ49" s="71">
        <v>2.5479152341030699E-9</v>
      </c>
      <c r="BK49" s="71">
        <v>4.4960161724448298E-10</v>
      </c>
      <c r="BL49" s="71">
        <v>1.0294254481424701E-5</v>
      </c>
      <c r="BM49" s="71">
        <v>6.3516351585686496E-7</v>
      </c>
      <c r="BN49" s="71">
        <v>5.1003756387385097E-11</v>
      </c>
      <c r="BO49" s="71">
        <v>3.11724026792007E-11</v>
      </c>
      <c r="BP49" s="71">
        <v>2.5646779994034001E-11</v>
      </c>
      <c r="BQ49" s="71">
        <v>1.4423592243900501E-11</v>
      </c>
      <c r="BR49" s="71">
        <v>4.3182765103270197E-9</v>
      </c>
      <c r="BS49" s="86">
        <v>9.9370863924439994E-11</v>
      </c>
      <c r="BU49" s="68">
        <v>6.659E-3</v>
      </c>
      <c r="BV49" s="68">
        <v>1.18E-4</v>
      </c>
      <c r="BW49" s="68"/>
    </row>
    <row r="50" spans="1:75" s="66" customFormat="1" ht="15" customHeight="1" x14ac:dyDescent="0.3">
      <c r="A50" s="64" t="s">
        <v>44</v>
      </c>
      <c r="B50" s="65">
        <v>1.1499999999999999</v>
      </c>
      <c r="C50" s="65">
        <f t="shared" si="71"/>
        <v>41.49110869565218</v>
      </c>
      <c r="D50" s="65">
        <f t="shared" si="72"/>
        <v>0.33302608695652169</v>
      </c>
      <c r="E50" s="65">
        <f t="shared" si="73"/>
        <v>1.05</v>
      </c>
      <c r="F50" s="14">
        <v>1153.6382550318101</v>
      </c>
      <c r="G50" s="65">
        <v>57.932644357579498</v>
      </c>
      <c r="H50" s="67">
        <v>47.714775000000003</v>
      </c>
      <c r="I50" s="68">
        <v>4.9100000000000001E-4</v>
      </c>
      <c r="J50" s="65">
        <f t="shared" si="21"/>
        <v>9.2650000000000006</v>
      </c>
      <c r="K50" s="65">
        <f t="shared" si="0"/>
        <v>0.156</v>
      </c>
      <c r="L50" s="2">
        <f t="shared" si="44"/>
        <v>8.0565217391304351</v>
      </c>
      <c r="M50" s="65"/>
      <c r="N50" s="17">
        <v>0.139902</v>
      </c>
      <c r="O50" s="69">
        <v>2.4260000000000002E-3</v>
      </c>
      <c r="P50" s="65">
        <f t="shared" si="74"/>
        <v>6.6654676258992804</v>
      </c>
      <c r="Q50" s="65">
        <f t="shared" si="75"/>
        <v>0.11223021582733812</v>
      </c>
      <c r="R50" s="65">
        <f t="shared" si="76"/>
        <v>41.049307374100721</v>
      </c>
      <c r="S50" s="65">
        <f t="shared" si="77"/>
        <v>0.11272121582733813</v>
      </c>
      <c r="T50" s="14">
        <v>1008.0253331441</v>
      </c>
      <c r="U50" s="70">
        <v>51.702274306024002</v>
      </c>
      <c r="V50" s="65">
        <v>1.2358420000000001</v>
      </c>
      <c r="W50" s="65">
        <v>8.8944999999999996E-2</v>
      </c>
      <c r="X50" s="65">
        <f t="shared" si="78"/>
        <v>5.3934626156897725</v>
      </c>
      <c r="Y50" s="65">
        <f t="shared" si="79"/>
        <v>0.39865509512932823</v>
      </c>
      <c r="Z50" s="65">
        <f t="shared" si="80"/>
        <v>42.321312384310232</v>
      </c>
      <c r="AA50" s="65">
        <f t="shared" si="81"/>
        <v>0.39914609512932825</v>
      </c>
      <c r="AB50" s="14">
        <v>1034.7951927362701</v>
      </c>
      <c r="AC50" s="70">
        <v>55.554127491071498</v>
      </c>
      <c r="AD50" s="65">
        <f t="shared" si="82"/>
        <v>0.27208695652173909</v>
      </c>
      <c r="AE50" s="65">
        <f t="shared" si="83"/>
        <v>1.6351130434782611E-2</v>
      </c>
      <c r="AF50" s="65">
        <f t="shared" si="84"/>
        <v>0.25391304347826088</v>
      </c>
      <c r="AG50" s="65">
        <f t="shared" si="85"/>
        <v>3.96104347826087E-2</v>
      </c>
      <c r="AH50" s="65">
        <f t="shared" si="86"/>
        <v>0.31956521739130433</v>
      </c>
      <c r="AI50" s="65">
        <f t="shared" si="87"/>
        <v>6.5347826086956523E-2</v>
      </c>
      <c r="AJ50" s="65">
        <f t="shared" si="88"/>
        <v>196.52327416206222</v>
      </c>
      <c r="AK50" s="65">
        <f t="shared" si="89"/>
        <v>14.556866776584739</v>
      </c>
      <c r="AL50" s="71">
        <f t="shared" si="90"/>
        <v>1045127.9649590834</v>
      </c>
      <c r="AM50" s="71">
        <f t="shared" si="91"/>
        <v>63721.0345382347</v>
      </c>
      <c r="AN50" s="65">
        <f t="shared" si="92"/>
        <v>3.5814895614363982</v>
      </c>
      <c r="AO50" s="65">
        <f t="shared" si="93"/>
        <v>2.4297710616216013</v>
      </c>
      <c r="AP50" s="65">
        <f t="shared" si="94"/>
        <v>3.1470046822913473</v>
      </c>
      <c r="AQ50" s="65">
        <f t="shared" si="95"/>
        <v>1.2639485750958361</v>
      </c>
      <c r="AR50" s="65">
        <f t="shared" si="96"/>
        <v>733.74395533954862</v>
      </c>
      <c r="AS50" s="70">
        <f t="shared" si="97"/>
        <v>21.571073123512654</v>
      </c>
      <c r="AT50" s="65"/>
      <c r="AU50" s="65"/>
      <c r="AV50" s="65"/>
      <c r="AW50" s="65"/>
      <c r="AX50" s="96">
        <v>2.1291891235846401</v>
      </c>
      <c r="AY50" s="65">
        <v>6.8423889648216593E-2</v>
      </c>
      <c r="AZ50" s="65">
        <f t="shared" si="98"/>
        <v>0.97918912358464016</v>
      </c>
      <c r="BA50" s="65">
        <f t="shared" si="99"/>
        <v>0.90395042187700014</v>
      </c>
      <c r="BB50" s="71">
        <v>1.05E-12</v>
      </c>
      <c r="BC50" s="71">
        <v>6.3100000000000004E-14</v>
      </c>
      <c r="BD50" s="71">
        <v>9.9999999999999998E-13</v>
      </c>
      <c r="BE50" s="71">
        <v>1.5599999999999999E-13</v>
      </c>
      <c r="BF50" s="71">
        <v>2.4499999999999999E-12</v>
      </c>
      <c r="BG50" s="71">
        <v>5.0099999999999999E-13</v>
      </c>
      <c r="BH50" s="71">
        <v>1.7746999144690898E-5</v>
      </c>
      <c r="BI50" s="71">
        <v>5.7031979809240102E-7</v>
      </c>
      <c r="BJ50" s="71">
        <v>3.55628269530089E-9</v>
      </c>
      <c r="BK50" s="71">
        <v>2.6342087793977102E-10</v>
      </c>
      <c r="BL50" s="71">
        <v>1.6042407363894099E-5</v>
      </c>
      <c r="BM50" s="71">
        <v>9.7809916869954498E-7</v>
      </c>
      <c r="BN50" s="71">
        <v>4.51514250784023E-11</v>
      </c>
      <c r="BO50" s="71">
        <v>3.0631843026363099E-11</v>
      </c>
      <c r="BP50" s="71">
        <v>3.3550156527626301E-11</v>
      </c>
      <c r="BQ50" s="71">
        <v>1.3474931504220001E-11</v>
      </c>
      <c r="BR50" s="71">
        <v>6.9300718515151199E-9</v>
      </c>
      <c r="BS50" s="86">
        <v>2.0373467552594901E-10</v>
      </c>
      <c r="BU50" s="68">
        <v>9.2650000000000007E-3</v>
      </c>
      <c r="BV50" s="68">
        <v>1.56E-4</v>
      </c>
      <c r="BW50" s="68"/>
    </row>
    <row r="51" spans="1:75" s="66" customFormat="1" ht="15" customHeight="1" x14ac:dyDescent="0.3">
      <c r="A51" s="64" t="s">
        <v>45</v>
      </c>
      <c r="B51" s="65">
        <v>1.81</v>
      </c>
      <c r="C51" s="65">
        <f t="shared" si="71"/>
        <v>17.48133314917127</v>
      </c>
      <c r="D51" s="65">
        <f t="shared" si="72"/>
        <v>0.16650886187845304</v>
      </c>
      <c r="E51" s="65">
        <f t="shared" si="73"/>
        <v>0.78846153846153844</v>
      </c>
      <c r="F51" s="14">
        <v>990.55601714269005</v>
      </c>
      <c r="G51" s="65">
        <v>42.051344281198702</v>
      </c>
      <c r="H51" s="67">
        <v>31.641213</v>
      </c>
      <c r="I51" s="68">
        <v>3.9899999999999999E-4</v>
      </c>
      <c r="J51" s="65">
        <f t="shared" si="21"/>
        <v>10.824</v>
      </c>
      <c r="K51" s="65">
        <f t="shared" si="0"/>
        <v>0.17499999999999999</v>
      </c>
      <c r="L51" s="2">
        <f t="shared" si="44"/>
        <v>5.9801104972375692</v>
      </c>
      <c r="M51" s="65"/>
      <c r="N51" s="17">
        <v>0.24576000000000001</v>
      </c>
      <c r="O51" s="69">
        <v>3.8289999999999999E-3</v>
      </c>
      <c r="P51" s="65">
        <f t="shared" si="74"/>
        <v>7.7870503597122305</v>
      </c>
      <c r="Q51" s="65">
        <f t="shared" si="75"/>
        <v>0.12589928057553956</v>
      </c>
      <c r="R51" s="65">
        <f t="shared" si="76"/>
        <v>23.854162640287768</v>
      </c>
      <c r="S51" s="65">
        <f t="shared" si="77"/>
        <v>0.12629828057553957</v>
      </c>
      <c r="T51" s="14">
        <v>763.31503965133095</v>
      </c>
      <c r="U51" s="70">
        <v>34.771375924718903</v>
      </c>
      <c r="V51" s="65">
        <v>1.2358420000000001</v>
      </c>
      <c r="W51" s="65">
        <v>8.8944999999999996E-2</v>
      </c>
      <c r="X51" s="65">
        <f t="shared" si="78"/>
        <v>6.3010080250648786</v>
      </c>
      <c r="Y51" s="65">
        <f t="shared" si="79"/>
        <v>0.46479264677828241</v>
      </c>
      <c r="Z51" s="65">
        <f t="shared" si="80"/>
        <v>25.340204974935123</v>
      </c>
      <c r="AA51" s="65">
        <f t="shared" si="81"/>
        <v>0.4651916467782824</v>
      </c>
      <c r="AB51" s="14">
        <v>807.69479395047199</v>
      </c>
      <c r="AC51" s="70">
        <v>37.878471501686001</v>
      </c>
      <c r="AD51" s="65">
        <f t="shared" si="82"/>
        <v>0.12825524861878454</v>
      </c>
      <c r="AE51" s="65">
        <f t="shared" si="83"/>
        <v>5.6801104972375692E-3</v>
      </c>
      <c r="AF51" s="65">
        <f t="shared" si="84"/>
        <v>0.15939005524861879</v>
      </c>
      <c r="AG51" s="65">
        <f t="shared" si="85"/>
        <v>2.3876243093922653E-2</v>
      </c>
      <c r="AH51" s="65">
        <f t="shared" si="86"/>
        <v>0.17320441988950275</v>
      </c>
      <c r="AI51" s="65">
        <f t="shared" si="87"/>
        <v>4.6906077348066302E-2</v>
      </c>
      <c r="AJ51" s="65">
        <f t="shared" si="88"/>
        <v>15.930912211743049</v>
      </c>
      <c r="AK51" s="65">
        <f t="shared" si="89"/>
        <v>8.91216693297525</v>
      </c>
      <c r="AL51" s="71">
        <f t="shared" si="90"/>
        <v>433911.06155545288</v>
      </c>
      <c r="AM51" s="71">
        <f t="shared" si="91"/>
        <v>27229.996216390857</v>
      </c>
      <c r="AN51" s="65">
        <f t="shared" si="92"/>
        <v>0</v>
      </c>
      <c r="AO51" s="65">
        <f t="shared" si="93"/>
        <v>0</v>
      </c>
      <c r="AP51" s="65">
        <f t="shared" si="94"/>
        <v>2.8058338962879685</v>
      </c>
      <c r="AQ51" s="65">
        <f t="shared" si="95"/>
        <v>0.86034525365403447</v>
      </c>
      <c r="AR51" s="65">
        <f t="shared" si="96"/>
        <v>345.22490241401584</v>
      </c>
      <c r="AS51" s="70">
        <f t="shared" si="97"/>
        <v>9.9204106556742211</v>
      </c>
      <c r="AT51" s="65"/>
      <c r="AU51" s="65"/>
      <c r="AV51" s="65"/>
      <c r="AW51" s="65"/>
      <c r="AX51" s="96">
        <v>1.3951721099347201</v>
      </c>
      <c r="AY51" s="65">
        <v>3.5091807797799801E-2</v>
      </c>
      <c r="AZ51" s="65">
        <f t="shared" si="98"/>
        <v>-0.41482789006527998</v>
      </c>
      <c r="BA51" s="65">
        <f t="shared" si="99"/>
        <v>0.90145292545558275</v>
      </c>
      <c r="BB51" s="71">
        <v>7.7900000000000001E-13</v>
      </c>
      <c r="BC51" s="71">
        <v>3.4499999999999998E-14</v>
      </c>
      <c r="BD51" s="71">
        <v>9.8800000000000003E-13</v>
      </c>
      <c r="BE51" s="71">
        <v>1.48E-13</v>
      </c>
      <c r="BF51" s="71">
        <v>2.0900000000000002E-12</v>
      </c>
      <c r="BG51" s="71">
        <v>5.6600000000000001E-13</v>
      </c>
      <c r="BH51" s="71">
        <v>1.16288956990456E-5</v>
      </c>
      <c r="BI51" s="71">
        <v>2.9249364280272499E-7</v>
      </c>
      <c r="BJ51" s="71">
        <v>4.5373644536986498E-10</v>
      </c>
      <c r="BK51" s="71">
        <v>2.5383197716263099E-10</v>
      </c>
      <c r="BL51" s="71">
        <v>1.04829020477225E-5</v>
      </c>
      <c r="BM51" s="71">
        <v>6.5785228445898895E-7</v>
      </c>
      <c r="BN51" s="66">
        <v>0</v>
      </c>
      <c r="BO51" s="66">
        <v>0</v>
      </c>
      <c r="BP51" s="71">
        <v>4.7080368520267201E-11</v>
      </c>
      <c r="BQ51" s="71">
        <v>1.44361259767665E-11</v>
      </c>
      <c r="BR51" s="71">
        <v>5.1318747812858797E-9</v>
      </c>
      <c r="BS51" s="86">
        <v>1.4746996786112301E-10</v>
      </c>
      <c r="BU51" s="68">
        <v>1.0824E-2</v>
      </c>
      <c r="BV51" s="68">
        <v>1.75E-4</v>
      </c>
      <c r="BW51" s="68"/>
    </row>
    <row r="52" spans="1:75" s="66" customFormat="1" ht="15" customHeight="1" x14ac:dyDescent="0.3">
      <c r="A52" s="64" t="s">
        <v>46</v>
      </c>
      <c r="B52" s="65">
        <v>1.82</v>
      </c>
      <c r="C52" s="65">
        <f t="shared" si="71"/>
        <v>28.699334615384611</v>
      </c>
      <c r="D52" s="65">
        <f t="shared" si="72"/>
        <v>0.36585626373626379</v>
      </c>
      <c r="E52" s="65">
        <f t="shared" si="73"/>
        <v>0.76681614349775784</v>
      </c>
      <c r="F52" s="14">
        <v>757.27602864317703</v>
      </c>
      <c r="G52" s="65">
        <v>81.8818206751112</v>
      </c>
      <c r="H52" s="67">
        <v>52.232788999999997</v>
      </c>
      <c r="I52" s="68">
        <v>4.9299999999999995E-4</v>
      </c>
      <c r="J52" s="65">
        <f t="shared" si="21"/>
        <v>11.995000000000001</v>
      </c>
      <c r="K52" s="65">
        <f t="shared" si="0"/>
        <v>0.18000000000000002</v>
      </c>
      <c r="L52" s="2">
        <f t="shared" si="44"/>
        <v>6.5906593406593412</v>
      </c>
      <c r="M52" s="65"/>
      <c r="N52" s="17">
        <v>0.16407099999999999</v>
      </c>
      <c r="O52" s="69">
        <v>2.5999999999999999E-3</v>
      </c>
      <c r="P52" s="65">
        <f t="shared" si="74"/>
        <v>8.6294964028776988</v>
      </c>
      <c r="Q52" s="65">
        <f t="shared" si="75"/>
        <v>0.12949640287769787</v>
      </c>
      <c r="R52" s="65">
        <f t="shared" si="76"/>
        <v>43.603292597122298</v>
      </c>
      <c r="S52" s="65">
        <f t="shared" si="77"/>
        <v>0.12998940287769786</v>
      </c>
      <c r="T52" s="14">
        <v>638.09223624778895</v>
      </c>
      <c r="U52" s="70">
        <v>69.536280739225802</v>
      </c>
      <c r="V52" s="65">
        <v>1.2358420000000001</v>
      </c>
      <c r="W52" s="65">
        <v>8.8944999999999996E-2</v>
      </c>
      <c r="X52" s="65">
        <f t="shared" si="78"/>
        <v>6.9826858149162252</v>
      </c>
      <c r="Y52" s="65">
        <f t="shared" si="79"/>
        <v>0.51335980240292001</v>
      </c>
      <c r="Z52" s="65">
        <f t="shared" si="80"/>
        <v>45.250103185083773</v>
      </c>
      <c r="AA52" s="65">
        <f t="shared" si="81"/>
        <v>0.51385280240291997</v>
      </c>
      <c r="AB52" s="14">
        <v>661.26963858674401</v>
      </c>
      <c r="AC52" s="70">
        <v>71.021170111997293</v>
      </c>
      <c r="AD52" s="65">
        <f t="shared" si="82"/>
        <v>0.27998901098901102</v>
      </c>
      <c r="AE52" s="65">
        <f t="shared" si="83"/>
        <v>4.0606593406593408E-2</v>
      </c>
      <c r="AF52" s="65">
        <f t="shared" si="84"/>
        <v>0.35778021978021973</v>
      </c>
      <c r="AG52" s="65">
        <f t="shared" si="85"/>
        <v>3.0964835164835169E-2</v>
      </c>
      <c r="AH52" s="65">
        <f t="shared" si="86"/>
        <v>0.64697802197802201</v>
      </c>
      <c r="AI52" s="65">
        <f t="shared" si="87"/>
        <v>4.9038461538461538E-2</v>
      </c>
      <c r="AJ52" s="65">
        <f t="shared" si="88"/>
        <v>38.759237118597312</v>
      </c>
      <c r="AK52" s="65">
        <f t="shared" si="89"/>
        <v>16.893562715937652</v>
      </c>
      <c r="AL52" s="71">
        <f t="shared" si="90"/>
        <v>616561.59360950592</v>
      </c>
      <c r="AM52" s="71">
        <f t="shared" si="91"/>
        <v>36135.055985706473</v>
      </c>
      <c r="AN52" s="65">
        <f t="shared" si="92"/>
        <v>7.1474143029717334</v>
      </c>
      <c r="AO52" s="65">
        <f t="shared" si="93"/>
        <v>3.711955105790651</v>
      </c>
      <c r="AP52" s="65">
        <f t="shared" si="94"/>
        <v>1.6728674867127653</v>
      </c>
      <c r="AQ52" s="65">
        <f t="shared" si="95"/>
        <v>0.79180357355957998</v>
      </c>
      <c r="AR52" s="65">
        <f t="shared" si="96"/>
        <v>333.73743169256687</v>
      </c>
      <c r="AS52" s="70">
        <f t="shared" si="97"/>
        <v>7.8270102701734139</v>
      </c>
      <c r="AT52" s="65"/>
      <c r="AU52" s="65"/>
      <c r="AV52" s="65"/>
      <c r="AW52" s="65"/>
      <c r="AX52" s="96">
        <v>1.9834408400183601</v>
      </c>
      <c r="AY52" s="65">
        <v>4.0739557106420202E-2</v>
      </c>
      <c r="AZ52" s="65">
        <f t="shared" si="98"/>
        <v>0.16344084001836001</v>
      </c>
      <c r="BA52" s="65">
        <f t="shared" si="99"/>
        <v>0.90598320550148792</v>
      </c>
      <c r="BB52" s="71">
        <v>1.71E-12</v>
      </c>
      <c r="BC52" s="71">
        <v>2.48E-13</v>
      </c>
      <c r="BD52" s="71">
        <v>2.23E-12</v>
      </c>
      <c r="BE52" s="71">
        <v>1.9300000000000001E-13</v>
      </c>
      <c r="BF52" s="71">
        <v>7.8500000000000007E-12</v>
      </c>
      <c r="BG52" s="71">
        <v>5.9499999999999999E-13</v>
      </c>
      <c r="BH52" s="71">
        <v>1.6532172976766401E-5</v>
      </c>
      <c r="BI52" s="71">
        <v>3.3956818448588498E-7</v>
      </c>
      <c r="BJ52" s="71">
        <v>1.1100206381722601E-9</v>
      </c>
      <c r="BK52" s="71">
        <v>4.8381249634943397E-10</v>
      </c>
      <c r="BL52" s="71">
        <v>1.4977871067395899E-5</v>
      </c>
      <c r="BM52" s="71">
        <v>8.7781369319254901E-7</v>
      </c>
      <c r="BN52" s="71">
        <v>1.42603530271964E-10</v>
      </c>
      <c r="BO52" s="71">
        <v>7.4060055827000494E-11</v>
      </c>
      <c r="BP52" s="71">
        <v>2.82248894578403E-11</v>
      </c>
      <c r="BQ52" s="71">
        <v>1.33594373215763E-11</v>
      </c>
      <c r="BR52" s="71">
        <v>4.9885194290446099E-9</v>
      </c>
      <c r="BS52" s="86">
        <v>1.1699374746809799E-10</v>
      </c>
      <c r="BU52" s="68">
        <v>1.1995E-2</v>
      </c>
      <c r="BV52" s="68">
        <v>1.8000000000000001E-4</v>
      </c>
      <c r="BW52" s="68"/>
    </row>
    <row r="53" spans="1:75" ht="15" customHeight="1" x14ac:dyDescent="0.3">
      <c r="A53" s="26" t="s">
        <v>102</v>
      </c>
      <c r="B53" s="2">
        <v>3.54</v>
      </c>
      <c r="C53" s="2">
        <f t="shared" si="71"/>
        <v>14.979118644067796</v>
      </c>
      <c r="D53" s="2">
        <f t="shared" si="72"/>
        <v>0.60310440677966104</v>
      </c>
      <c r="E53" s="2">
        <f t="shared" si="73"/>
        <v>0.7710674157303371</v>
      </c>
      <c r="F53" s="14">
        <v>249.81621159484601</v>
      </c>
      <c r="G53" s="2">
        <v>3.6092637871828099</v>
      </c>
      <c r="H53" s="19">
        <v>53.02608</v>
      </c>
      <c r="I53" s="23">
        <v>5.7600000000000001E-4</v>
      </c>
      <c r="J53" s="2">
        <f t="shared" si="21"/>
        <v>5.0730000000000004</v>
      </c>
      <c r="K53" s="2">
        <f t="shared" si="0"/>
        <v>0.13400000000000001</v>
      </c>
      <c r="L53" s="2">
        <f t="shared" si="44"/>
        <v>1.4330508474576271</v>
      </c>
      <c r="M53" s="2"/>
      <c r="N53" s="17">
        <v>6.9821999999999995E-2</v>
      </c>
      <c r="O53" s="25">
        <v>1.722E-3</v>
      </c>
      <c r="P53" s="2">
        <f t="shared" si="74"/>
        <v>3.6496402877697842</v>
      </c>
      <c r="Q53" s="2">
        <f t="shared" si="75"/>
        <v>9.6402877697841727E-2</v>
      </c>
      <c r="R53" s="2">
        <f t="shared" si="76"/>
        <v>49.376439712230216</v>
      </c>
      <c r="S53" s="2">
        <f t="shared" si="77"/>
        <v>9.697887769784172E-2</v>
      </c>
      <c r="T53" s="14">
        <v>233.08191585828601</v>
      </c>
      <c r="U53" s="12">
        <v>3.4220322487508801</v>
      </c>
      <c r="V53" s="2">
        <v>0.58468299999999995</v>
      </c>
      <c r="W53" s="2">
        <v>1.2674E-2</v>
      </c>
      <c r="X53" s="2">
        <f t="shared" si="78"/>
        <v>6.2420838091235504</v>
      </c>
      <c r="Y53" s="2">
        <f t="shared" si="79"/>
        <v>0.21329277864189231</v>
      </c>
      <c r="Z53" s="2">
        <f t="shared" si="80"/>
        <v>46.783996190876451</v>
      </c>
      <c r="AA53" s="2">
        <f t="shared" si="81"/>
        <v>0.2138687786418923</v>
      </c>
      <c r="AB53" s="14">
        <v>220.951137934657</v>
      </c>
      <c r="AC53" s="12">
        <v>3.4477388014280002</v>
      </c>
      <c r="AD53" s="2">
        <f t="shared" si="82"/>
        <v>0.46215254237288139</v>
      </c>
      <c r="AE53" s="2">
        <f t="shared" si="83"/>
        <v>6.3219774011299438E-3</v>
      </c>
      <c r="AF53" s="2">
        <f t="shared" si="84"/>
        <v>0.58729943502824866</v>
      </c>
      <c r="AG53" s="2">
        <f t="shared" si="85"/>
        <v>2.6725423728813553E-2</v>
      </c>
      <c r="AH53" s="2">
        <f t="shared" si="86"/>
        <v>0.58898305084745761</v>
      </c>
      <c r="AI53" s="2">
        <f t="shared" si="87"/>
        <v>6.9491525423728814E-2</v>
      </c>
      <c r="AJ53" s="2">
        <f t="shared" si="88"/>
        <v>43.084745762711862</v>
      </c>
      <c r="AK53" s="2">
        <f t="shared" si="89"/>
        <v>8.2758615819209034</v>
      </c>
      <c r="AL53" s="2">
        <f t="shared" si="90"/>
        <v>552.37627118644059</v>
      </c>
      <c r="AM53" s="2">
        <f t="shared" si="91"/>
        <v>44.655706214689268</v>
      </c>
      <c r="AN53" s="2">
        <f t="shared" si="92"/>
        <v>56.948079096045198</v>
      </c>
      <c r="AO53" s="2">
        <f t="shared" si="93"/>
        <v>3.4271920903954802</v>
      </c>
      <c r="AP53" s="2">
        <f t="shared" si="94"/>
        <v>9.2634124293785298</v>
      </c>
      <c r="AQ53" s="2">
        <f t="shared" si="95"/>
        <v>1.9227675141242937</v>
      </c>
      <c r="AR53" s="2">
        <f t="shared" si="96"/>
        <v>70.166779661016946</v>
      </c>
      <c r="AS53" s="12">
        <f t="shared" si="97"/>
        <v>4.4026214689265535</v>
      </c>
      <c r="AU53">
        <v>178846</v>
      </c>
      <c r="AV53">
        <v>1.4</v>
      </c>
      <c r="AW53" s="2">
        <f>AU53/B53</f>
        <v>50521.468926553673</v>
      </c>
      <c r="AX53" s="96">
        <f t="shared" ref="AX53:AY55" si="100" xml:space="preserve"> (119974.6 + (42856.8 *$BA53))*BH53</f>
        <v>2.3526207224799998</v>
      </c>
      <c r="AY53" s="2">
        <f t="shared" si="100"/>
        <v>9.8666032340742865E-2</v>
      </c>
      <c r="AZ53" s="2">
        <f t="shared" si="98"/>
        <v>-1.1873792775200003</v>
      </c>
      <c r="BA53" s="2">
        <f t="shared" si="99"/>
        <v>1.3316326530612246E-3</v>
      </c>
      <c r="BB53" s="1">
        <v>5.4900000000000002E-12</v>
      </c>
      <c r="BC53" s="1">
        <v>7.5100000000000003E-14</v>
      </c>
      <c r="BD53" s="1">
        <v>7.1200000000000004E-12</v>
      </c>
      <c r="BE53" s="1">
        <v>3.2399999999999998E-13</v>
      </c>
      <c r="BF53" s="1">
        <v>1.39E-11</v>
      </c>
      <c r="BG53" s="1">
        <v>1.6400000000000001E-12</v>
      </c>
      <c r="BH53" s="1">
        <v>1.9599999999999999E-5</v>
      </c>
      <c r="BI53" s="1">
        <v>8.2200000000000003E-7</v>
      </c>
      <c r="BJ53" s="1">
        <v>2.4E-9</v>
      </c>
      <c r="BK53" s="1">
        <v>4.6100000000000001E-10</v>
      </c>
      <c r="BL53" s="1">
        <v>2.6099999999999999E-8</v>
      </c>
      <c r="BM53" s="1">
        <v>2.11E-9</v>
      </c>
      <c r="BN53" s="1">
        <v>2.21E-9</v>
      </c>
      <c r="BO53" s="1">
        <v>1.3300000000000001E-10</v>
      </c>
      <c r="BP53" s="1">
        <v>3.0399999999999998E-10</v>
      </c>
      <c r="BQ53" s="1">
        <v>6.3099999999999994E-11</v>
      </c>
      <c r="BR53" s="1">
        <v>2.04E-9</v>
      </c>
      <c r="BS53" s="85">
        <v>1.28E-10</v>
      </c>
      <c r="BU53" s="23">
        <v>5.0730000000000003E-3</v>
      </c>
      <c r="BV53" s="23">
        <v>1.34E-4</v>
      </c>
    </row>
    <row r="54" spans="1:75" ht="15" customHeight="1" x14ac:dyDescent="0.3">
      <c r="A54" s="26" t="s">
        <v>103</v>
      </c>
      <c r="B54" s="2">
        <v>1.67</v>
      </c>
      <c r="C54" s="2">
        <f t="shared" si="71"/>
        <v>9.0554467065868263</v>
      </c>
      <c r="D54" s="2">
        <f t="shared" si="72"/>
        <v>0.3188416766467066</v>
      </c>
      <c r="E54" s="2">
        <f t="shared" si="73"/>
        <v>0.6280193236714976</v>
      </c>
      <c r="F54" s="14">
        <v>285.14275470835099</v>
      </c>
      <c r="G54" s="2">
        <v>14.067052451819601</v>
      </c>
      <c r="H54" s="19">
        <v>15.122596</v>
      </c>
      <c r="I54" s="23">
        <v>1.92E-4</v>
      </c>
      <c r="J54" s="2">
        <f t="shared" si="21"/>
        <v>2.113</v>
      </c>
      <c r="K54" s="2">
        <f t="shared" si="0"/>
        <v>6.8999999999999992E-2</v>
      </c>
      <c r="L54" s="2">
        <f t="shared" si="44"/>
        <v>1.2652694610778443</v>
      </c>
      <c r="M54" s="2"/>
      <c r="N54" s="17">
        <v>9.8056000000000004E-2</v>
      </c>
      <c r="O54" s="25">
        <v>3.5530000000000002E-3</v>
      </c>
      <c r="P54" s="2">
        <f t="shared" si="74"/>
        <v>1.5201438848920863</v>
      </c>
      <c r="Q54" s="2">
        <f t="shared" si="75"/>
        <v>4.9640287769784165E-2</v>
      </c>
      <c r="R54" s="2">
        <f t="shared" si="76"/>
        <v>13.602452115107914</v>
      </c>
      <c r="S54" s="2">
        <f t="shared" si="77"/>
        <v>4.9832287769784163E-2</v>
      </c>
      <c r="T54" s="14">
        <v>257.43727051374498</v>
      </c>
      <c r="U54" s="12">
        <v>12.638572594921699</v>
      </c>
      <c r="V54" s="2">
        <v>0.58468299999999995</v>
      </c>
      <c r="W54" s="2">
        <v>1.2674E-2</v>
      </c>
      <c r="X54" s="2">
        <f t="shared" si="78"/>
        <v>2.5999454146812653</v>
      </c>
      <c r="Y54" s="2">
        <f t="shared" si="79"/>
        <v>0.10190419747511871</v>
      </c>
      <c r="Z54" s="2">
        <f t="shared" si="80"/>
        <v>12.522650585318734</v>
      </c>
      <c r="AA54" s="2">
        <f t="shared" si="81"/>
        <v>0.10209619747511871</v>
      </c>
      <c r="AB54" s="14">
        <v>237.491864080239</v>
      </c>
      <c r="AC54" s="12">
        <v>11.6721850774228</v>
      </c>
      <c r="AD54" s="2">
        <f t="shared" si="82"/>
        <v>0.23197604790419163</v>
      </c>
      <c r="AE54" s="2">
        <f t="shared" si="83"/>
        <v>1.4221916167664673E-2</v>
      </c>
      <c r="AF54" s="2">
        <f t="shared" si="84"/>
        <v>0.36194011976047902</v>
      </c>
      <c r="AG54" s="2">
        <f t="shared" si="85"/>
        <v>3.1647904191616769E-2</v>
      </c>
      <c r="AH54" s="2">
        <f t="shared" si="86"/>
        <v>0.37455089820359289</v>
      </c>
      <c r="AI54" s="2">
        <f t="shared" si="87"/>
        <v>5.8383233532934134E-2</v>
      </c>
      <c r="AJ54" s="2">
        <f t="shared" si="88"/>
        <v>33.144940119760477</v>
      </c>
      <c r="AK54" s="2">
        <f t="shared" si="89"/>
        <v>8.8665568862275475</v>
      </c>
      <c r="AL54" s="2">
        <f t="shared" si="90"/>
        <v>164.64455089820359</v>
      </c>
      <c r="AM54" s="2">
        <f t="shared" si="91"/>
        <v>37.863760479041922</v>
      </c>
      <c r="AN54" s="2">
        <f t="shared" si="92"/>
        <v>40.366215568862287</v>
      </c>
      <c r="AO54" s="2">
        <f t="shared" si="93"/>
        <v>3.1681197604790419</v>
      </c>
      <c r="AP54" s="2">
        <f t="shared" si="94"/>
        <v>8.7846227544910178</v>
      </c>
      <c r="AQ54" s="2">
        <f t="shared" si="95"/>
        <v>2.0540514970059887</v>
      </c>
      <c r="AR54" s="2">
        <f t="shared" si="96"/>
        <v>12.540550898203595</v>
      </c>
      <c r="AS54" s="12">
        <f t="shared" si="97"/>
        <v>3.6965461077844313</v>
      </c>
      <c r="AU54">
        <v>80126</v>
      </c>
      <c r="AV54">
        <v>1.3</v>
      </c>
      <c r="AW54" s="2">
        <f t="shared" ref="AW54:AW64" si="101">AU54/B54</f>
        <v>47979.640718562878</v>
      </c>
      <c r="AX54" s="96">
        <f t="shared" si="100"/>
        <v>0.92276195845599995</v>
      </c>
      <c r="AY54" s="2">
        <f t="shared" si="100"/>
        <v>3.2998639606684012E-2</v>
      </c>
      <c r="AZ54" s="2">
        <f t="shared" si="98"/>
        <v>-0.74723804154399998</v>
      </c>
      <c r="BA54" s="2">
        <f t="shared" si="99"/>
        <v>4.7724317295188559E-4</v>
      </c>
      <c r="BB54" s="1">
        <v>1.2999999999999999E-12</v>
      </c>
      <c r="BC54" s="1">
        <v>7.9700000000000004E-14</v>
      </c>
      <c r="BD54" s="1">
        <v>2.0699999999999999E-12</v>
      </c>
      <c r="BE54" s="1">
        <v>1.8100000000000001E-13</v>
      </c>
      <c r="BF54" s="1">
        <v>4.1700000000000002E-12</v>
      </c>
      <c r="BG54" s="1">
        <v>6.4999999999999996E-13</v>
      </c>
      <c r="BH54" s="1">
        <v>7.6899999999999992E-6</v>
      </c>
      <c r="BI54" s="1">
        <v>2.7500000000000001E-7</v>
      </c>
      <c r="BJ54" s="1">
        <v>8.7099999999999999E-10</v>
      </c>
      <c r="BK54" s="1">
        <v>2.3300000000000002E-10</v>
      </c>
      <c r="BL54" s="1">
        <v>3.6699999999999999E-9</v>
      </c>
      <c r="BM54" s="1">
        <v>8.4399999999999998E-10</v>
      </c>
      <c r="BN54" s="1">
        <v>7.3900000000000003E-10</v>
      </c>
      <c r="BO54" s="1">
        <v>5.8E-11</v>
      </c>
      <c r="BP54" s="1">
        <v>1.36E-10</v>
      </c>
      <c r="BQ54" s="1">
        <v>3.1800000000000003E-11</v>
      </c>
      <c r="BR54" s="1">
        <v>1.72E-10</v>
      </c>
      <c r="BS54" s="85">
        <v>5.0699999999999997E-11</v>
      </c>
      <c r="BU54" s="23">
        <v>2.1129999999999999E-3</v>
      </c>
      <c r="BV54" s="23">
        <v>6.8999999999999997E-5</v>
      </c>
    </row>
    <row r="55" spans="1:75" ht="15" customHeight="1" x14ac:dyDescent="0.3">
      <c r="A55" s="26" t="s">
        <v>104</v>
      </c>
      <c r="B55" s="2">
        <v>1.32</v>
      </c>
      <c r="C55" s="2">
        <f t="shared" si="71"/>
        <v>22.945115909090909</v>
      </c>
      <c r="D55" s="2">
        <f t="shared" si="72"/>
        <v>0.92033393939393915</v>
      </c>
      <c r="E55" s="2">
        <f t="shared" si="73"/>
        <v>1.0153374233128833</v>
      </c>
      <c r="F55" s="14">
        <v>250.679756751974</v>
      </c>
      <c r="G55" s="2">
        <v>5.43443022851352</v>
      </c>
      <c r="H55" s="19">
        <v>30.287552999999999</v>
      </c>
      <c r="I55" s="23">
        <v>3.7399999999999998E-4</v>
      </c>
      <c r="J55" s="2">
        <f t="shared" si="21"/>
        <v>2.621</v>
      </c>
      <c r="K55" s="2">
        <f t="shared" si="0"/>
        <v>7.5999999999999998E-2</v>
      </c>
      <c r="L55" s="2">
        <f t="shared" si="44"/>
        <v>1.9856060606060606</v>
      </c>
      <c r="M55" s="2"/>
      <c r="N55" s="17">
        <v>6.1163000000000002E-2</v>
      </c>
      <c r="O55" s="25">
        <v>2.1090000000000002E-3</v>
      </c>
      <c r="P55" s="2">
        <f t="shared" si="74"/>
        <v>1.8856115107913669</v>
      </c>
      <c r="Q55" s="2">
        <f t="shared" si="75"/>
        <v>5.4676258992805746E-2</v>
      </c>
      <c r="R55" s="2">
        <f t="shared" si="76"/>
        <v>28.401941489208632</v>
      </c>
      <c r="S55" s="2">
        <f t="shared" si="77"/>
        <v>5.5050258992805745E-2</v>
      </c>
      <c r="T55" s="14">
        <v>235.19937673622701</v>
      </c>
      <c r="U55" s="12">
        <v>5.30252827895956</v>
      </c>
      <c r="V55" s="2">
        <v>0.58468299999999995</v>
      </c>
      <c r="W55" s="2">
        <v>1.2674E-2</v>
      </c>
      <c r="X55" s="2">
        <f t="shared" si="78"/>
        <v>3.2250151121058197</v>
      </c>
      <c r="Y55" s="2">
        <f t="shared" si="79"/>
        <v>0.11675625163020967</v>
      </c>
      <c r="Z55" s="2">
        <f t="shared" si="80"/>
        <v>27.06253788789418</v>
      </c>
      <c r="AA55" s="2">
        <f t="shared" si="81"/>
        <v>0.11713025163020967</v>
      </c>
      <c r="AB55" s="14">
        <v>224.310758856017</v>
      </c>
      <c r="AC55" s="12">
        <v>5.1592576899567399</v>
      </c>
      <c r="AD55" s="2">
        <f t="shared" si="82"/>
        <v>0.74725757575757557</v>
      </c>
      <c r="AE55" s="2">
        <f t="shared" si="83"/>
        <v>1.7631666666666667E-2</v>
      </c>
      <c r="AF55" s="2">
        <f t="shared" si="84"/>
        <v>0.7211515151515151</v>
      </c>
      <c r="AG55" s="2">
        <f t="shared" si="85"/>
        <v>4.6675757575757572E-2</v>
      </c>
      <c r="AH55" s="2">
        <f t="shared" si="86"/>
        <v>0.77499999999999991</v>
      </c>
      <c r="AI55" s="2">
        <f t="shared" si="87"/>
        <v>0.12386363636363637</v>
      </c>
      <c r="AJ55" s="2">
        <f t="shared" si="88"/>
        <v>95.806439393939399</v>
      </c>
      <c r="AK55" s="2">
        <f t="shared" si="89"/>
        <v>27.827196969696967</v>
      </c>
      <c r="AL55" s="2">
        <f t="shared" si="90"/>
        <v>3445.1848484848483</v>
      </c>
      <c r="AM55" s="2">
        <f t="shared" si="91"/>
        <v>214.54363636363635</v>
      </c>
      <c r="AN55" s="2">
        <f t="shared" si="92"/>
        <v>72.561363636363637</v>
      </c>
      <c r="AO55" s="2">
        <f t="shared" si="93"/>
        <v>3.2825378787878785</v>
      </c>
      <c r="AP55" s="2">
        <f t="shared" si="94"/>
        <v>7.9104666666666681</v>
      </c>
      <c r="AQ55" s="2">
        <f t="shared" si="95"/>
        <v>4.0451249999999996</v>
      </c>
      <c r="AR55" s="2">
        <f t="shared" si="96"/>
        <v>61.525696969696973</v>
      </c>
      <c r="AS55" s="12">
        <f t="shared" si="97"/>
        <v>5.6544606060606064</v>
      </c>
      <c r="AU55">
        <v>79057</v>
      </c>
      <c r="AV55">
        <v>1.4</v>
      </c>
      <c r="AW55" s="2">
        <f t="shared" si="101"/>
        <v>59891.666666666664</v>
      </c>
      <c r="AX55" s="96">
        <f t="shared" si="100"/>
        <v>1.17835248776</v>
      </c>
      <c r="AY55" s="2">
        <f t="shared" si="100"/>
        <v>3.054097264194286E-2</v>
      </c>
      <c r="AZ55" s="2">
        <f t="shared" si="98"/>
        <v>-0.14164751224000005</v>
      </c>
      <c r="BA55" s="2">
        <f t="shared" si="99"/>
        <v>6.1938775510204077E-3</v>
      </c>
      <c r="BB55" s="1">
        <v>3.3099999999999998E-12</v>
      </c>
      <c r="BC55" s="1">
        <v>7.8100000000000003E-14</v>
      </c>
      <c r="BD55" s="1">
        <v>3.2599999999999998E-12</v>
      </c>
      <c r="BE55" s="1">
        <v>2.1100000000000001E-13</v>
      </c>
      <c r="BF55" s="1">
        <v>6.8199999999999996E-12</v>
      </c>
      <c r="BG55" s="1">
        <v>1.09E-12</v>
      </c>
      <c r="BH55" s="1">
        <v>9.7999999999999993E-6</v>
      </c>
      <c r="BI55" s="1">
        <v>2.5400000000000002E-7</v>
      </c>
      <c r="BJ55" s="1">
        <v>1.99E-9</v>
      </c>
      <c r="BK55" s="1">
        <v>5.7799999999999997E-10</v>
      </c>
      <c r="BL55" s="1">
        <v>6.0699999999999994E-8</v>
      </c>
      <c r="BM55" s="1">
        <v>3.7799999999999998E-9</v>
      </c>
      <c r="BN55" s="1">
        <v>1.0500000000000001E-9</v>
      </c>
      <c r="BO55" s="1">
        <v>4.7499999999999998E-11</v>
      </c>
      <c r="BP55" s="1">
        <v>9.6800000000000004E-11</v>
      </c>
      <c r="BQ55" s="1">
        <v>4.9499999999999997E-11</v>
      </c>
      <c r="BR55" s="1">
        <v>6.6699999999999997E-10</v>
      </c>
      <c r="BS55" s="85">
        <v>6.1299999999999998E-11</v>
      </c>
      <c r="BU55" s="23">
        <v>2.6210000000000001E-3</v>
      </c>
      <c r="BV55" s="23">
        <v>7.6000000000000004E-5</v>
      </c>
    </row>
    <row r="56" spans="1:75" s="66" customFormat="1" ht="15" customHeight="1" x14ac:dyDescent="0.3">
      <c r="A56" s="64" t="s">
        <v>105</v>
      </c>
      <c r="B56" s="65">
        <v>1.85</v>
      </c>
      <c r="C56" s="65">
        <f t="shared" si="71"/>
        <v>68.395347567567555</v>
      </c>
      <c r="D56" s="65">
        <f t="shared" si="72"/>
        <v>1.0515679999999998</v>
      </c>
      <c r="E56" s="65">
        <f t="shared" si="73"/>
        <v>1.0678642714570858</v>
      </c>
      <c r="F56" s="14">
        <v>632.29684170640701</v>
      </c>
      <c r="G56" s="65">
        <v>10.344280273786501</v>
      </c>
      <c r="H56" s="67">
        <v>126.53139299999999</v>
      </c>
      <c r="I56" s="68">
        <v>1.0640000000000001E-3</v>
      </c>
      <c r="J56" s="65">
        <f t="shared" si="21"/>
        <v>2.8220000000000001</v>
      </c>
      <c r="K56" s="65">
        <f t="shared" si="0"/>
        <v>8.7999999999999995E-2</v>
      </c>
      <c r="L56" s="2">
        <f t="shared" si="44"/>
        <v>1.5254054054054054</v>
      </c>
      <c r="M56" s="65"/>
      <c r="N56" s="17">
        <v>1.6421000000000002E-2</v>
      </c>
      <c r="O56" s="69">
        <v>4.9600000000000002E-4</v>
      </c>
      <c r="P56" s="65">
        <f t="shared" si="74"/>
        <v>2.0302158273381297</v>
      </c>
      <c r="Q56" s="65">
        <f t="shared" si="75"/>
        <v>6.3309352517985612E-2</v>
      </c>
      <c r="R56" s="65">
        <f t="shared" si="76"/>
        <v>124.50117717266187</v>
      </c>
      <c r="S56" s="65">
        <f t="shared" si="77"/>
        <v>6.4373352517985608E-2</v>
      </c>
      <c r="T56" s="14">
        <v>622.85430276101795</v>
      </c>
      <c r="U56" s="70">
        <v>10.227694570639001</v>
      </c>
      <c r="V56" s="65">
        <v>0.58468299999999995</v>
      </c>
      <c r="W56" s="65">
        <v>1.2674E-2</v>
      </c>
      <c r="X56" s="65">
        <f t="shared" si="78"/>
        <v>3.4723359963230158</v>
      </c>
      <c r="Y56" s="65">
        <f t="shared" si="79"/>
        <v>0.13187078844507824</v>
      </c>
      <c r="Z56" s="65">
        <f t="shared" si="80"/>
        <v>123.05905700367698</v>
      </c>
      <c r="AA56" s="65">
        <f t="shared" si="81"/>
        <v>0.13293478844507825</v>
      </c>
      <c r="AB56" s="14">
        <v>616.01056906450003</v>
      </c>
      <c r="AC56" s="70">
        <v>9.5773455165931107</v>
      </c>
      <c r="AD56" s="65">
        <f t="shared" si="82"/>
        <v>0.86178378378378373</v>
      </c>
      <c r="AE56" s="65">
        <f t="shared" si="83"/>
        <v>1.5640972972972973E-2</v>
      </c>
      <c r="AF56" s="65">
        <f t="shared" si="84"/>
        <v>0.7907675675675675</v>
      </c>
      <c r="AG56" s="65">
        <f t="shared" si="85"/>
        <v>3.6776216216216219E-2</v>
      </c>
      <c r="AH56" s="65">
        <f t="shared" si="86"/>
        <v>0.48891891891891892</v>
      </c>
      <c r="AI56" s="65">
        <f t="shared" si="87"/>
        <v>7.1189189189189192E-2</v>
      </c>
      <c r="AJ56" s="65">
        <f t="shared" si="88"/>
        <v>30.297891891891886</v>
      </c>
      <c r="AK56" s="65">
        <f t="shared" si="89"/>
        <v>10.786324324324323</v>
      </c>
      <c r="AL56" s="65">
        <f t="shared" si="90"/>
        <v>3814.845405405405</v>
      </c>
      <c r="AM56" s="65">
        <f t="shared" si="91"/>
        <v>170.89859459459458</v>
      </c>
      <c r="AN56" s="65">
        <f t="shared" si="92"/>
        <v>77.413729729729724</v>
      </c>
      <c r="AO56" s="65">
        <f t="shared" si="93"/>
        <v>5.1773513513513514</v>
      </c>
      <c r="AP56" s="65">
        <f t="shared" si="94"/>
        <v>7.4051297297297305</v>
      </c>
      <c r="AQ56" s="65">
        <f t="shared" si="95"/>
        <v>2.8979129729729731</v>
      </c>
      <c r="AR56" s="65">
        <f t="shared" si="96"/>
        <v>82.92843243243243</v>
      </c>
      <c r="AS56" s="70">
        <f t="shared" si="97"/>
        <v>4.5347372972972986</v>
      </c>
      <c r="AT56" s="65"/>
      <c r="AU56" s="66">
        <v>173035</v>
      </c>
      <c r="AV56" s="66">
        <v>3.7</v>
      </c>
      <c r="AW56" s="65">
        <f t="shared" si="101"/>
        <v>93532.432432432426</v>
      </c>
      <c r="AX56" s="96">
        <f t="shared" ref="AX56:AX64" si="102" xml:space="preserve"> (119974.6 + (42856.8 *$BA56))*BH56</f>
        <v>1.2757678705600002</v>
      </c>
      <c r="AY56" s="65">
        <f t="shared" ref="AY56:AY64" si="103" xml:space="preserve"> (119974.6 + (42856.8 *$BA56))*BI56</f>
        <v>3.2255263142460383E-2</v>
      </c>
      <c r="AZ56" s="65">
        <f t="shared" si="98"/>
        <v>-0.57423212943999991</v>
      </c>
      <c r="BA56" s="65">
        <f t="shared" si="99"/>
        <v>8.8867924528301875E-3</v>
      </c>
      <c r="BB56" s="71">
        <v>5.3499999999999996E-12</v>
      </c>
      <c r="BC56" s="71">
        <v>9.7099999999999998E-14</v>
      </c>
      <c r="BD56" s="71">
        <v>5.0099999999999999E-12</v>
      </c>
      <c r="BE56" s="71">
        <v>2.3300000000000002E-13</v>
      </c>
      <c r="BF56" s="71">
        <v>6.03E-12</v>
      </c>
      <c r="BG56" s="71">
        <v>8.7799999999999999E-13</v>
      </c>
      <c r="BH56" s="71">
        <v>1.06E-5</v>
      </c>
      <c r="BI56" s="71">
        <v>2.6800000000000002E-7</v>
      </c>
      <c r="BJ56" s="71">
        <v>8.8199999999999995E-10</v>
      </c>
      <c r="BK56" s="71">
        <v>3.14E-10</v>
      </c>
      <c r="BL56" s="71">
        <v>9.4199999999999996E-8</v>
      </c>
      <c r="BM56" s="71">
        <v>4.2199999999999999E-9</v>
      </c>
      <c r="BN56" s="71">
        <v>1.57E-9</v>
      </c>
      <c r="BO56" s="71">
        <v>1.05E-10</v>
      </c>
      <c r="BP56" s="71">
        <v>1.27E-10</v>
      </c>
      <c r="BQ56" s="71">
        <v>4.97E-11</v>
      </c>
      <c r="BR56" s="71">
        <v>1.26E-9</v>
      </c>
      <c r="BS56" s="86">
        <v>6.8900000000000002E-11</v>
      </c>
      <c r="BU56" s="68">
        <v>2.8219999999999999E-3</v>
      </c>
      <c r="BV56" s="68">
        <v>8.7999999999999998E-5</v>
      </c>
      <c r="BW56" s="68"/>
    </row>
    <row r="57" spans="1:75" ht="15" customHeight="1" x14ac:dyDescent="0.3">
      <c r="A57" s="26" t="s">
        <v>66</v>
      </c>
      <c r="B57" s="2">
        <v>2.15</v>
      </c>
      <c r="C57" s="2">
        <f t="shared" si="71"/>
        <v>15.205739069767441</v>
      </c>
      <c r="D57" s="2">
        <f t="shared" si="72"/>
        <v>0.77637716587060202</v>
      </c>
      <c r="E57" s="2">
        <f t="shared" si="73"/>
        <v>1.0695786568354206</v>
      </c>
      <c r="F57" s="14">
        <v>197.82265885069401</v>
      </c>
      <c r="G57" s="2">
        <v>6.32052257074709</v>
      </c>
      <c r="H57" s="19">
        <v>32.692338999999997</v>
      </c>
      <c r="I57" s="23">
        <v>8.4000000000000003E-4</v>
      </c>
      <c r="J57" s="2">
        <f t="shared" si="21"/>
        <v>1.5489999999999999</v>
      </c>
      <c r="K57" s="2">
        <f t="shared" si="0"/>
        <v>4.8000000000000001E-2</v>
      </c>
      <c r="L57" s="2">
        <f t="shared" si="44"/>
        <v>0.72046511627906973</v>
      </c>
      <c r="M57" s="2"/>
      <c r="N57" s="17">
        <v>3.3141999999999998E-2</v>
      </c>
      <c r="O57" s="25">
        <v>1.34E-3</v>
      </c>
      <c r="P57" s="2">
        <f t="shared" si="74"/>
        <v>1.1143884892086331</v>
      </c>
      <c r="Q57" s="2">
        <f t="shared" si="75"/>
        <v>3.4532374100719423E-2</v>
      </c>
      <c r="R57" s="2">
        <f t="shared" si="76"/>
        <v>31.577950510791364</v>
      </c>
      <c r="S57" s="2">
        <f t="shared" si="77"/>
        <v>3.5372374100719424E-2</v>
      </c>
      <c r="T57" s="14">
        <v>191.11034011094401</v>
      </c>
      <c r="U57" s="12">
        <v>6.0712250541278303</v>
      </c>
      <c r="V57" s="2">
        <v>0.87469399999999997</v>
      </c>
      <c r="W57" s="2">
        <v>1.2834E-2</v>
      </c>
      <c r="X57" s="2">
        <f t="shared" si="78"/>
        <v>1.2740323921378598</v>
      </c>
      <c r="Y57" s="2">
        <f t="shared" si="79"/>
        <v>4.3681360781958611E-2</v>
      </c>
      <c r="Z57" s="2">
        <f t="shared" si="80"/>
        <v>31.418306607862139</v>
      </c>
      <c r="AA57" s="2">
        <f t="shared" si="81"/>
        <v>4.4521360781958612E-2</v>
      </c>
      <c r="AB57" s="14">
        <v>190.09555543358599</v>
      </c>
      <c r="AC57" s="12">
        <v>6.0722011277469896</v>
      </c>
      <c r="AD57" s="2">
        <f t="shared" si="82"/>
        <v>0.63644277500533275</v>
      </c>
      <c r="AE57" s="2">
        <f t="shared" si="83"/>
        <v>2.1874036331356435E-2</v>
      </c>
      <c r="AF57" s="2">
        <f t="shared" si="84"/>
        <v>0.58305996193862197</v>
      </c>
      <c r="AG57" s="2">
        <f t="shared" si="85"/>
        <v>4.9884471722302773E-2</v>
      </c>
      <c r="AH57" s="2">
        <f t="shared" si="86"/>
        <v>0.49782692073689228</v>
      </c>
      <c r="AI57" s="2">
        <f t="shared" si="87"/>
        <v>2.8356175687718369E-2</v>
      </c>
      <c r="AJ57" s="2">
        <f t="shared" si="88"/>
        <v>29.500980998760685</v>
      </c>
      <c r="AK57" s="2">
        <f t="shared" si="89"/>
        <v>5.7141667843025532</v>
      </c>
      <c r="AL57" s="2">
        <f t="shared" si="90"/>
        <v>3594.3095088457985</v>
      </c>
      <c r="AM57" s="2">
        <f t="shared" si="91"/>
        <v>91.80634390182685</v>
      </c>
      <c r="AN57" s="2">
        <f t="shared" si="92"/>
        <v>89.475799668548134</v>
      </c>
      <c r="AO57" s="2">
        <f t="shared" si="93"/>
        <v>7.1744040388349495</v>
      </c>
      <c r="AP57" s="2">
        <f t="shared" si="94"/>
        <v>4.7631443376059464</v>
      </c>
      <c r="AQ57" s="2">
        <f t="shared" si="95"/>
        <v>1.6409547050247486</v>
      </c>
      <c r="AR57" s="2">
        <f t="shared" si="96"/>
        <v>186.79844382591796</v>
      </c>
      <c r="AS57" s="12">
        <f t="shared" si="97"/>
        <v>5.2185154224721666</v>
      </c>
      <c r="AU57">
        <v>331280</v>
      </c>
      <c r="AV57">
        <v>1.9</v>
      </c>
      <c r="AW57" s="2">
        <f t="shared" si="101"/>
        <v>154083.72093023255</v>
      </c>
      <c r="AX57" s="96">
        <f t="shared" si="102"/>
        <v>1.8104799550158195</v>
      </c>
      <c r="AY57" s="2">
        <f t="shared" si="103"/>
        <v>3.3376181977757803E-2</v>
      </c>
      <c r="AZ57" s="2">
        <f t="shared" si="98"/>
        <v>-0.33952004498418042</v>
      </c>
      <c r="BA57" s="2">
        <f t="shared" si="99"/>
        <v>6.8519382692639715E-3</v>
      </c>
      <c r="BB57" s="1">
        <v>4.59178512168277E-12</v>
      </c>
      <c r="BC57" s="1">
        <v>1.5781603393428301E-13</v>
      </c>
      <c r="BD57" s="1">
        <v>4.2930784868768398E-12</v>
      </c>
      <c r="BE57" s="1">
        <v>3.67300048640243E-13</v>
      </c>
      <c r="BF57" s="1">
        <v>7.1355191972287897E-12</v>
      </c>
      <c r="BG57" s="1">
        <v>4.0643851819063E-13</v>
      </c>
      <c r="BH57" s="1">
        <v>1.5053681438619401E-5</v>
      </c>
      <c r="BI57" s="1">
        <v>2.7751448434355398E-7</v>
      </c>
      <c r="BJ57" s="1">
        <v>9.9806623363234405E-10</v>
      </c>
      <c r="BK57" s="1">
        <v>1.93319568627073E-10</v>
      </c>
      <c r="BL57" s="1">
        <v>1.0314689594258499E-7</v>
      </c>
      <c r="BM57" s="1">
        <v>2.6345920900817901E-9</v>
      </c>
      <c r="BN57" s="1">
        <v>2.10889025748058E-9</v>
      </c>
      <c r="BO57" s="1">
        <v>1.6909634601507499E-10</v>
      </c>
      <c r="BP57" s="1">
        <v>9.4936129840111105E-11</v>
      </c>
      <c r="BQ57" s="1">
        <v>3.2706522812674603E-11</v>
      </c>
      <c r="BR57" s="1">
        <v>3.2984285005397801E-9</v>
      </c>
      <c r="BS57" s="85">
        <v>9.2146913258173094E-11</v>
      </c>
      <c r="BU57" s="23">
        <v>1.549E-3</v>
      </c>
      <c r="BV57" s="23">
        <v>4.8000000000000001E-5</v>
      </c>
    </row>
    <row r="58" spans="1:75" ht="15" customHeight="1" x14ac:dyDescent="0.3">
      <c r="A58" s="26" t="s">
        <v>67</v>
      </c>
      <c r="B58" s="2">
        <v>9.43</v>
      </c>
      <c r="C58" s="2">
        <f t="shared" si="71"/>
        <v>13.362202863202546</v>
      </c>
      <c r="D58" s="2">
        <f t="shared" si="72"/>
        <v>0.42502530684542195</v>
      </c>
      <c r="E58" s="2">
        <f t="shared" si="73"/>
        <v>0.82225424563780547</v>
      </c>
      <c r="F58" s="14">
        <v>313.77958481674199</v>
      </c>
      <c r="G58" s="2">
        <v>5.1120985350409498</v>
      </c>
      <c r="H58" s="19">
        <v>126.005573</v>
      </c>
      <c r="I58" s="23">
        <v>3.5239999999999998E-3</v>
      </c>
      <c r="J58" s="2">
        <f t="shared" si="21"/>
        <v>4.21</v>
      </c>
      <c r="K58" s="2">
        <f t="shared" si="0"/>
        <v>0.10299999999999999</v>
      </c>
      <c r="L58" s="2">
        <f t="shared" si="44"/>
        <v>0.44644750795334043</v>
      </c>
      <c r="M58" s="2"/>
      <c r="N58" s="17">
        <v>2.4060999999999999E-2</v>
      </c>
      <c r="O58" s="25">
        <v>6.4599999999999998E-4</v>
      </c>
      <c r="P58" s="2">
        <f t="shared" si="74"/>
        <v>3.0287769784172665</v>
      </c>
      <c r="Q58" s="2">
        <f t="shared" si="75"/>
        <v>7.4100719424460421E-2</v>
      </c>
      <c r="R58" s="2">
        <f t="shared" si="76"/>
        <v>122.97679602158273</v>
      </c>
      <c r="S58" s="2">
        <f t="shared" si="77"/>
        <v>7.762471942446042E-2</v>
      </c>
      <c r="T58" s="14">
        <v>306.44949314807099</v>
      </c>
      <c r="U58" s="12">
        <v>5.0378770876587602</v>
      </c>
      <c r="V58" s="2">
        <v>0.87469399999999997</v>
      </c>
      <c r="W58" s="2">
        <v>1.2834E-2</v>
      </c>
      <c r="X58" s="2">
        <f t="shared" si="78"/>
        <v>3.4626703491932798</v>
      </c>
      <c r="Y58" s="2">
        <f t="shared" si="79"/>
        <v>9.8783106096554565E-2</v>
      </c>
      <c r="Z58" s="2">
        <f t="shared" si="80"/>
        <v>122.54290265080672</v>
      </c>
      <c r="AA58" s="2">
        <f t="shared" si="81"/>
        <v>0.10230710609655456</v>
      </c>
      <c r="AB58" s="14">
        <v>305.43468254618102</v>
      </c>
      <c r="AC58" s="12">
        <v>5.0807605978666901</v>
      </c>
      <c r="AD58" s="2">
        <f t="shared" si="82"/>
        <v>0.33050083396572472</v>
      </c>
      <c r="AE58" s="2">
        <f t="shared" si="83"/>
        <v>6.6245740769689679E-3</v>
      </c>
      <c r="AF58" s="2">
        <f t="shared" si="84"/>
        <v>0.39385197033207187</v>
      </c>
      <c r="AG58" s="2">
        <f t="shared" si="85"/>
        <v>1.1405148117416199E-2</v>
      </c>
      <c r="AH58" s="2">
        <f t="shared" si="86"/>
        <v>0.37486660567113633</v>
      </c>
      <c r="AI58" s="2">
        <f t="shared" si="87"/>
        <v>2.1732594205403289E-2</v>
      </c>
      <c r="AJ58" s="2">
        <f t="shared" si="88"/>
        <v>21.712832347048867</v>
      </c>
      <c r="AK58" s="2">
        <f t="shared" si="89"/>
        <v>3.1650651308251088</v>
      </c>
      <c r="AL58" s="2">
        <f t="shared" si="90"/>
        <v>499.31156589346108</v>
      </c>
      <c r="AM58" s="2">
        <f t="shared" si="91"/>
        <v>18.48176536507647</v>
      </c>
      <c r="AN58" s="2">
        <f t="shared" si="92"/>
        <v>65.543808649428982</v>
      </c>
      <c r="AO58" s="2">
        <f t="shared" si="93"/>
        <v>2.3502707745929152</v>
      </c>
      <c r="AP58" s="2">
        <f t="shared" si="94"/>
        <v>2.3007480343426843</v>
      </c>
      <c r="AQ58" s="2">
        <f t="shared" si="95"/>
        <v>1.1104285201931599</v>
      </c>
      <c r="AR58" s="2">
        <f t="shared" si="96"/>
        <v>6.3572890857274871</v>
      </c>
      <c r="AS58" s="12">
        <f t="shared" si="97"/>
        <v>0.18526515585275241</v>
      </c>
      <c r="AU58">
        <v>395176</v>
      </c>
      <c r="AV58">
        <v>1.4</v>
      </c>
      <c r="AW58" s="2">
        <f t="shared" si="101"/>
        <v>41906.256627783667</v>
      </c>
      <c r="AX58" s="96">
        <f t="shared" si="102"/>
        <v>8.0126664487911921</v>
      </c>
      <c r="AY58" s="2">
        <f t="shared" si="103"/>
        <v>0.13611553237244389</v>
      </c>
      <c r="AZ58" s="2">
        <f t="shared" si="98"/>
        <v>-1.4173335512088077</v>
      </c>
      <c r="BA58" s="2">
        <f t="shared" si="99"/>
        <v>9.4133413473269022E-4</v>
      </c>
      <c r="BB58" s="1">
        <v>1.0458465987573099E-11</v>
      </c>
      <c r="BC58" s="1">
        <v>2.0962997834166899E-13</v>
      </c>
      <c r="BD58" s="1">
        <v>1.27192605487378E-11</v>
      </c>
      <c r="BE58" s="1">
        <v>3.6832379023025598E-13</v>
      </c>
      <c r="BF58" s="1">
        <v>2.3566613943192101E-11</v>
      </c>
      <c r="BG58" s="1">
        <v>1.3662557557130201E-12</v>
      </c>
      <c r="BH58" s="1">
        <v>6.6763906871025497E-5</v>
      </c>
      <c r="BI58" s="1">
        <v>1.13415487654361E-6</v>
      </c>
      <c r="BJ58" s="1">
        <v>3.2219041547233799E-9</v>
      </c>
      <c r="BK58" s="1">
        <v>4.6965482586437098E-10</v>
      </c>
      <c r="BL58" s="1">
        <v>6.2847144505810701E-8</v>
      </c>
      <c r="BM58" s="1">
        <v>2.3262553042267899E-9</v>
      </c>
      <c r="BN58" s="1">
        <v>6.7756864236364303E-9</v>
      </c>
      <c r="BO58" s="1">
        <v>2.42962655167849E-10</v>
      </c>
      <c r="BP58" s="1">
        <v>2.0113149127516E-10</v>
      </c>
      <c r="BQ58" s="1">
        <v>9.7073708588314596E-11</v>
      </c>
      <c r="BR58" s="1">
        <v>4.92355749658428E-10</v>
      </c>
      <c r="BS58" s="85">
        <v>1.43483115940494E-11</v>
      </c>
      <c r="BU58" s="23">
        <v>4.2100000000000002E-3</v>
      </c>
      <c r="BV58" s="23">
        <v>1.03E-4</v>
      </c>
    </row>
    <row r="59" spans="1:75" ht="15" customHeight="1" x14ac:dyDescent="0.3">
      <c r="A59" s="26" t="s">
        <v>68</v>
      </c>
      <c r="B59" s="2">
        <v>2.38</v>
      </c>
      <c r="C59" s="2">
        <f t="shared" si="71"/>
        <v>14.827183613445378</v>
      </c>
      <c r="D59" s="2">
        <f t="shared" si="72"/>
        <v>0.58767903486760009</v>
      </c>
      <c r="E59" s="2">
        <f t="shared" si="73"/>
        <v>1.0079726887206089</v>
      </c>
      <c r="F59" s="14">
        <v>252.96309325271</v>
      </c>
      <c r="G59" s="2">
        <v>4.9638585284394399</v>
      </c>
      <c r="H59" s="19">
        <v>35.288696999999999</v>
      </c>
      <c r="I59" s="23">
        <v>6.3699999999999998E-4</v>
      </c>
      <c r="J59" s="2">
        <f t="shared" si="21"/>
        <v>5.0169999999999995</v>
      </c>
      <c r="K59" s="2">
        <f t="shared" si="0"/>
        <v>0.11699999999999999</v>
      </c>
      <c r="L59" s="2">
        <f t="shared" si="44"/>
        <v>2.107983193277311</v>
      </c>
      <c r="M59" s="2"/>
      <c r="N59" s="17">
        <v>9.9179000000000003E-2</v>
      </c>
      <c r="O59" s="25">
        <v>2.2729999999999998E-3</v>
      </c>
      <c r="P59" s="2">
        <f t="shared" si="74"/>
        <v>3.6093525179856112</v>
      </c>
      <c r="Q59" s="2">
        <f t="shared" si="75"/>
        <v>8.4172661870503582E-2</v>
      </c>
      <c r="R59" s="2">
        <f t="shared" si="76"/>
        <v>31.679344482014386</v>
      </c>
      <c r="S59" s="2">
        <f t="shared" si="77"/>
        <v>8.480966187050358E-2</v>
      </c>
      <c r="T59" s="14">
        <v>227.51757170891099</v>
      </c>
      <c r="U59" s="12">
        <v>4.5185983501295501</v>
      </c>
      <c r="V59" s="2">
        <v>0.90215000000000001</v>
      </c>
      <c r="W59" s="2">
        <v>3.3177999999999999E-2</v>
      </c>
      <c r="X59" s="2">
        <f t="shared" si="78"/>
        <v>4.0008341384310935</v>
      </c>
      <c r="Y59" s="2">
        <f t="shared" si="79"/>
        <v>0.17422578520788853</v>
      </c>
      <c r="Z59" s="2">
        <f t="shared" si="80"/>
        <v>31.287862861568904</v>
      </c>
      <c r="AA59" s="2">
        <f t="shared" si="81"/>
        <v>0.17486278520788853</v>
      </c>
      <c r="AB59" s="14">
        <v>224.77920305876401</v>
      </c>
      <c r="AC59" s="12">
        <v>4.5032223889420004</v>
      </c>
      <c r="AD59" s="2">
        <f t="shared" si="82"/>
        <v>0.47650642006321481</v>
      </c>
      <c r="AE59" s="2">
        <f t="shared" si="83"/>
        <v>7.1449991547791651E-3</v>
      </c>
      <c r="AF59" s="2">
        <f t="shared" si="84"/>
        <v>0.46321922835160539</v>
      </c>
      <c r="AG59" s="2">
        <f t="shared" si="85"/>
        <v>4.0717618411743553E-2</v>
      </c>
      <c r="AH59" s="2">
        <f t="shared" si="86"/>
        <v>0.97145102699590979</v>
      </c>
      <c r="AI59" s="2">
        <f t="shared" si="87"/>
        <v>5.2643905747194589E-2</v>
      </c>
      <c r="AJ59" s="2">
        <f t="shared" si="88"/>
        <v>30.596479707860507</v>
      </c>
      <c r="AK59" s="2">
        <f t="shared" si="89"/>
        <v>5.7762918992028061</v>
      </c>
      <c r="AL59" s="2">
        <f t="shared" si="90"/>
        <v>13394.393367100865</v>
      </c>
      <c r="AM59" s="2">
        <f t="shared" si="91"/>
        <v>344.58697714359784</v>
      </c>
      <c r="AN59" s="2">
        <f t="shared" si="92"/>
        <v>64.391295571018034</v>
      </c>
      <c r="AO59" s="2">
        <f t="shared" si="93"/>
        <v>2.9924066244161609</v>
      </c>
      <c r="AP59" s="2">
        <f t="shared" si="94"/>
        <v>4.1643983428781217</v>
      </c>
      <c r="AQ59" s="2">
        <f t="shared" si="95"/>
        <v>1.5342139970682831</v>
      </c>
      <c r="AR59" s="2">
        <f t="shared" si="96"/>
        <v>144.67510394803668</v>
      </c>
      <c r="AS59" s="12">
        <f t="shared" si="97"/>
        <v>5.0553026734168238</v>
      </c>
      <c r="AU59">
        <v>214556</v>
      </c>
      <c r="AV59">
        <v>2</v>
      </c>
      <c r="AW59" s="2">
        <f t="shared" si="101"/>
        <v>90149.579831932773</v>
      </c>
      <c r="AX59" s="96">
        <f t="shared" si="102"/>
        <v>1.8937063509864172</v>
      </c>
      <c r="AY59" s="2">
        <f t="shared" si="103"/>
        <v>3.4272192661690029E-2</v>
      </c>
      <c r="AZ59" s="2">
        <f t="shared" si="98"/>
        <v>-0.48629364901358274</v>
      </c>
      <c r="BA59" s="2">
        <f t="shared" si="99"/>
        <v>2.7219570701803263E-2</v>
      </c>
      <c r="BB59" s="1">
        <v>3.8056553011760104E-12</v>
      </c>
      <c r="BC59" s="1">
        <v>5.7064087209310106E-14</v>
      </c>
      <c r="BD59" s="1">
        <v>3.7755539845096604E-12</v>
      </c>
      <c r="BE59" s="1">
        <v>3.3187647883544402E-13</v>
      </c>
      <c r="BF59" s="1">
        <v>1.54136896283351E-11</v>
      </c>
      <c r="BG59" s="1">
        <v>8.3528330452215404E-13</v>
      </c>
      <c r="BH59" s="1">
        <v>1.56322310751232E-5</v>
      </c>
      <c r="BI59" s="1">
        <v>2.8291125224331199E-7</v>
      </c>
      <c r="BJ59" s="1">
        <v>1.1458634414588199E-9</v>
      </c>
      <c r="BK59" s="1">
        <v>2.1632690354213499E-10</v>
      </c>
      <c r="BL59" s="1">
        <v>4.2550261897624201E-7</v>
      </c>
      <c r="BM59" s="1">
        <v>1.0946569749089199E-8</v>
      </c>
      <c r="BN59" s="1">
        <v>1.6800184549333799E-9</v>
      </c>
      <c r="BO59" s="1">
        <v>7.8074191691629702E-11</v>
      </c>
      <c r="BP59" s="1">
        <v>9.1881598739685999E-11</v>
      </c>
      <c r="BQ59" s="1">
        <v>3.3850276379183401E-11</v>
      </c>
      <c r="BR59" s="1">
        <v>2.8279134970132E-9</v>
      </c>
      <c r="BS59" s="85">
        <v>9.8814227683410298E-11</v>
      </c>
      <c r="BU59" s="23">
        <v>5.0169999999999998E-3</v>
      </c>
      <c r="BV59" s="23">
        <v>1.17E-4</v>
      </c>
    </row>
    <row r="60" spans="1:75" ht="15" customHeight="1" x14ac:dyDescent="0.3">
      <c r="A60" s="26" t="s">
        <v>69</v>
      </c>
      <c r="B60" s="2">
        <v>2.3199999999999998</v>
      </c>
      <c r="C60" s="2">
        <f t="shared" si="71"/>
        <v>21.605612499999999</v>
      </c>
      <c r="D60" s="2">
        <f t="shared" si="72"/>
        <v>0.73922806048912781</v>
      </c>
      <c r="E60" s="2">
        <f t="shared" si="73"/>
        <v>1.1621589996868626</v>
      </c>
      <c r="F60" s="14">
        <v>291.87204827730199</v>
      </c>
      <c r="G60" s="2">
        <v>5.4521811171039802</v>
      </c>
      <c r="H60" s="19">
        <v>50.125020999999997</v>
      </c>
      <c r="I60" s="23">
        <v>6.4199999999999999E-4</v>
      </c>
      <c r="J60" s="2">
        <f t="shared" si="21"/>
        <v>1.7450000000000001</v>
      </c>
      <c r="K60" s="2">
        <f t="shared" si="0"/>
        <v>7.1000000000000008E-2</v>
      </c>
      <c r="L60" s="2">
        <f t="shared" si="44"/>
        <v>0.75215517241379315</v>
      </c>
      <c r="M60" s="2"/>
      <c r="N60" s="17">
        <v>2.5156999999999999E-2</v>
      </c>
      <c r="O60" s="25">
        <v>9.2199999999999997E-4</v>
      </c>
      <c r="P60" s="2">
        <f t="shared" si="74"/>
        <v>1.2553956834532374</v>
      </c>
      <c r="Q60" s="2">
        <f t="shared" si="75"/>
        <v>5.1079136690647488E-2</v>
      </c>
      <c r="R60" s="2">
        <f t="shared" si="76"/>
        <v>48.86962531654676</v>
      </c>
      <c r="S60" s="2">
        <f t="shared" si="77"/>
        <v>5.1721136690647485E-2</v>
      </c>
      <c r="T60" s="14">
        <v>284.98791532617503</v>
      </c>
      <c r="U60" s="12">
        <v>5.5094529745231799</v>
      </c>
      <c r="V60" s="2">
        <v>0.90215000000000001</v>
      </c>
      <c r="W60" s="2">
        <v>3.3177999999999999E-2</v>
      </c>
      <c r="X60" s="2">
        <f t="shared" si="78"/>
        <v>1.3915598109552041</v>
      </c>
      <c r="Y60" s="2">
        <f t="shared" si="79"/>
        <v>7.6320487575341461E-2</v>
      </c>
      <c r="Z60" s="2">
        <f t="shared" si="80"/>
        <v>48.733461189044796</v>
      </c>
      <c r="AA60" s="2">
        <f t="shared" si="81"/>
        <v>7.6962487575341465E-2</v>
      </c>
      <c r="AB60" s="14">
        <v>284.33504408352002</v>
      </c>
      <c r="AC60" s="12">
        <v>5.6344235970597198</v>
      </c>
      <c r="AD60" s="2">
        <f t="shared" si="82"/>
        <v>0.61481720137970908</v>
      </c>
      <c r="AE60" s="2">
        <f t="shared" si="83"/>
        <v>1.0548329011970907E-2</v>
      </c>
      <c r="AF60" s="2">
        <f t="shared" si="84"/>
        <v>0.51837857962257794</v>
      </c>
      <c r="AG60" s="2">
        <f t="shared" si="85"/>
        <v>4.3884472190038347E-2</v>
      </c>
      <c r="AH60" s="2">
        <f t="shared" si="86"/>
        <v>0.78217989392143972</v>
      </c>
      <c r="AI60" s="2">
        <f t="shared" si="87"/>
        <v>5.2677150037804654E-2</v>
      </c>
      <c r="AJ60" s="2">
        <f t="shared" si="88"/>
        <v>11.481365063036856</v>
      </c>
      <c r="AK60" s="2">
        <f t="shared" si="89"/>
        <v>2.4875616809988474</v>
      </c>
      <c r="AL60" s="1">
        <f t="shared" si="90"/>
        <v>101443.33078785482</v>
      </c>
      <c r="AM60" s="1">
        <f t="shared" si="91"/>
        <v>2285.0897868135626</v>
      </c>
      <c r="AN60" s="2">
        <f t="shared" si="92"/>
        <v>61.546988057341217</v>
      </c>
      <c r="AO60" s="2">
        <f t="shared" si="93"/>
        <v>2.8384168442982065</v>
      </c>
      <c r="AP60" s="2">
        <f t="shared" si="94"/>
        <v>2.8456608158006484</v>
      </c>
      <c r="AQ60" s="2">
        <f t="shared" si="95"/>
        <v>1.1773409475187271</v>
      </c>
      <c r="AR60" s="2">
        <f t="shared" si="96"/>
        <v>166.23442144807879</v>
      </c>
      <c r="AS60" s="12">
        <f t="shared" si="97"/>
        <v>5.8856030961264834</v>
      </c>
      <c r="AU60">
        <v>279883</v>
      </c>
      <c r="AV60">
        <v>1.1000000000000001</v>
      </c>
      <c r="AW60" s="2">
        <f t="shared" si="101"/>
        <v>120639.22413793104</v>
      </c>
      <c r="AX60" s="96">
        <f t="shared" si="102"/>
        <v>1.7907053083879929</v>
      </c>
      <c r="AY60" s="2">
        <f t="shared" si="103"/>
        <v>3.539848595063011E-2</v>
      </c>
      <c r="AZ60" s="2">
        <f t="shared" si="98"/>
        <v>-0.52929469161200693</v>
      </c>
      <c r="BA60" s="2">
        <f t="shared" si="99"/>
        <v>0.22757380098715024</v>
      </c>
      <c r="BB60" s="1">
        <v>4.7864963328890103E-12</v>
      </c>
      <c r="BC60" s="1">
        <v>8.2121219153599002E-14</v>
      </c>
      <c r="BD60" s="1">
        <v>4.1186243312478803E-12</v>
      </c>
      <c r="BE60" s="1">
        <v>3.4867114890715398E-13</v>
      </c>
      <c r="BF60" s="1">
        <v>1.2097715692651601E-11</v>
      </c>
      <c r="BG60" s="1">
        <v>8.1473992058471202E-13</v>
      </c>
      <c r="BH60" s="1">
        <v>1.3803570996624399E-5</v>
      </c>
      <c r="BI60" s="1">
        <v>2.7286763025927399E-7</v>
      </c>
      <c r="BJ60" s="1">
        <v>4.1914660812345402E-10</v>
      </c>
      <c r="BK60" s="1">
        <v>9.0812637292168798E-11</v>
      </c>
      <c r="BL60" s="1">
        <v>3.1413311188978002E-6</v>
      </c>
      <c r="BM60" s="1">
        <v>7.0760922389314794E-8</v>
      </c>
      <c r="BN60" s="1">
        <v>1.5653257212566501E-9</v>
      </c>
      <c r="BO60" s="1">
        <v>7.2189509743168601E-11</v>
      </c>
      <c r="BP60" s="1">
        <v>6.1202680009803501E-11</v>
      </c>
      <c r="BQ60" s="1">
        <v>2.5321507353698401E-11</v>
      </c>
      <c r="BR60" s="1">
        <v>3.1674101327163502E-9</v>
      </c>
      <c r="BS60" s="85">
        <v>1.12143554394E-10</v>
      </c>
      <c r="BU60" s="23">
        <v>1.745E-3</v>
      </c>
      <c r="BV60" s="23">
        <v>7.1000000000000005E-5</v>
      </c>
    </row>
    <row r="61" spans="1:75" ht="15" customHeight="1" x14ac:dyDescent="0.3">
      <c r="A61" s="26" t="s">
        <v>70</v>
      </c>
      <c r="B61" s="2">
        <v>6.17</v>
      </c>
      <c r="C61" s="2">
        <f t="shared" si="71"/>
        <v>21.646662236628853</v>
      </c>
      <c r="D61" s="2">
        <f t="shared" si="72"/>
        <v>0.79863557449765521</v>
      </c>
      <c r="E61" s="2">
        <f t="shared" si="73"/>
        <v>0.85843061504191553</v>
      </c>
      <c r="F61" s="14">
        <v>271.91026398172801</v>
      </c>
      <c r="G61" s="2">
        <v>3.6030642126757702</v>
      </c>
      <c r="H61" s="19">
        <v>133.55990600000001</v>
      </c>
      <c r="I61" s="23">
        <v>1.0839999999999999E-3</v>
      </c>
      <c r="J61" s="2">
        <f t="shared" si="21"/>
        <v>5.0070000000000006</v>
      </c>
      <c r="K61" s="2">
        <f t="shared" si="0"/>
        <v>0.11299999999999999</v>
      </c>
      <c r="L61" s="2">
        <f t="shared" si="44"/>
        <v>0.81150729335494343</v>
      </c>
      <c r="M61" s="2"/>
      <c r="N61" s="17">
        <v>2.6298999999999999E-2</v>
      </c>
      <c r="O61" s="25">
        <v>6.3199999999999997E-4</v>
      </c>
      <c r="P61" s="2">
        <f t="shared" si="74"/>
        <v>3.6021582733812951</v>
      </c>
      <c r="Q61" s="2">
        <f t="shared" si="75"/>
        <v>8.1294964028776978E-2</v>
      </c>
      <c r="R61" s="2">
        <f t="shared" si="76"/>
        <v>129.95774772661872</v>
      </c>
      <c r="S61" s="2">
        <f t="shared" si="77"/>
        <v>8.237896402877698E-2</v>
      </c>
      <c r="T61" s="14">
        <v>264.66449637425899</v>
      </c>
      <c r="U61" s="12">
        <v>3.6034574475944399</v>
      </c>
      <c r="V61" s="2">
        <v>0.67700099999999996</v>
      </c>
      <c r="W61" s="2">
        <v>1.6670000000000001E-2</v>
      </c>
      <c r="X61" s="2">
        <f t="shared" si="78"/>
        <v>5.3207576848206948</v>
      </c>
      <c r="Y61" s="2">
        <f t="shared" si="79"/>
        <v>0.17771966800547673</v>
      </c>
      <c r="Z61" s="2">
        <f t="shared" si="80"/>
        <v>128.23914831517931</v>
      </c>
      <c r="AA61" s="2">
        <f t="shared" si="81"/>
        <v>0.17880366800547673</v>
      </c>
      <c r="AB61" s="14">
        <v>261.244284889082</v>
      </c>
      <c r="AC61" s="12">
        <v>3.5721664533695301</v>
      </c>
      <c r="AD61" s="2">
        <f t="shared" si="82"/>
        <v>0.62689669922417712</v>
      </c>
      <c r="AE61" s="2">
        <f t="shared" si="83"/>
        <v>7.414807406876338E-3</v>
      </c>
      <c r="AF61" s="2">
        <f t="shared" si="84"/>
        <v>0.71557864697282514</v>
      </c>
      <c r="AG61" s="2">
        <f t="shared" si="85"/>
        <v>3.4375467576266486E-2</v>
      </c>
      <c r="AH61" s="2">
        <f t="shared" si="86"/>
        <v>0.78479076077300092</v>
      </c>
      <c r="AI61" s="2">
        <f t="shared" si="87"/>
        <v>5.096046122805533E-2</v>
      </c>
      <c r="AJ61" s="2">
        <f t="shared" si="88"/>
        <v>60.992354596011452</v>
      </c>
      <c r="AK61" s="2">
        <f t="shared" si="89"/>
        <v>6.3402632238244276</v>
      </c>
      <c r="AL61" s="1">
        <f t="shared" si="90"/>
        <v>297125.64003100217</v>
      </c>
      <c r="AM61" s="1">
        <f t="shared" si="91"/>
        <v>8329.2512401643216</v>
      </c>
      <c r="AN61" s="2">
        <f t="shared" si="92"/>
        <v>96.432280629357564</v>
      </c>
      <c r="AO61" s="2">
        <f t="shared" si="93"/>
        <v>3.8238664265462234</v>
      </c>
      <c r="AP61" s="2">
        <f t="shared" si="94"/>
        <v>72.303878858161738</v>
      </c>
      <c r="AQ61" s="2">
        <f t="shared" si="95"/>
        <v>26.219128903294855</v>
      </c>
      <c r="AR61" s="2">
        <f t="shared" si="96"/>
        <v>222.09063830795694</v>
      </c>
      <c r="AS61" s="12">
        <f t="shared" si="97"/>
        <v>12.533121838795415</v>
      </c>
      <c r="AU61">
        <v>626429</v>
      </c>
      <c r="AV61">
        <v>3.4</v>
      </c>
      <c r="AW61" s="2">
        <f t="shared" si="101"/>
        <v>101528.20097244733</v>
      </c>
      <c r="AX61" s="96">
        <f t="shared" si="102"/>
        <v>7.3478368238885086</v>
      </c>
      <c r="AY61" s="2">
        <f t="shared" si="103"/>
        <v>0.16703928187147446</v>
      </c>
      <c r="AZ61" s="2">
        <f t="shared" si="98"/>
        <v>1.1778368238885086</v>
      </c>
      <c r="BA61" s="2">
        <f t="shared" si="99"/>
        <v>0.46605280712609859</v>
      </c>
      <c r="BB61" s="1">
        <v>1.29797068262187E-11</v>
      </c>
      <c r="BC61" s="1">
        <v>1.5352134798801009E-13</v>
      </c>
      <c r="BD61" s="1">
        <v>1.5120274835007982E-11</v>
      </c>
      <c r="BE61" s="1">
        <v>7.2635833885467203E-13</v>
      </c>
      <c r="BF61" s="1">
        <v>3.2281059959796103E-11</v>
      </c>
      <c r="BG61" s="1">
        <v>2.0961736385140092E-12</v>
      </c>
      <c r="BH61" s="1">
        <v>5.2504000745115603E-5</v>
      </c>
      <c r="BI61" s="1">
        <v>1.1935799324408819E-6</v>
      </c>
      <c r="BJ61" s="1">
        <v>5.92168100483699E-9</v>
      </c>
      <c r="BK61" s="1">
        <v>6.1556922251765097E-10</v>
      </c>
      <c r="BL61" s="1">
        <v>2.44696369326119E-5</v>
      </c>
      <c r="BM61" s="1">
        <v>6.8595141686884502E-7</v>
      </c>
      <c r="BN61" s="1">
        <v>6.5225517592977005E-9</v>
      </c>
      <c r="BO61" s="1">
        <v>2.58641261256196E-10</v>
      </c>
      <c r="BP61" s="1">
        <v>4.1356719435881883E-9</v>
      </c>
      <c r="BQ61" s="1">
        <v>1.4996943110533907E-9</v>
      </c>
      <c r="BR61" s="1">
        <v>1.1254100183640722E-8</v>
      </c>
      <c r="BS61" s="85">
        <v>6.3509659777733008E-10</v>
      </c>
      <c r="BU61" s="23">
        <v>5.0070000000000002E-3</v>
      </c>
      <c r="BV61" s="23">
        <v>1.13E-4</v>
      </c>
    </row>
    <row r="62" spans="1:75" ht="15" customHeight="1" x14ac:dyDescent="0.3">
      <c r="A62" s="26" t="s">
        <v>71</v>
      </c>
      <c r="B62" s="2">
        <v>4.03</v>
      </c>
      <c r="C62" s="2">
        <f t="shared" si="71"/>
        <v>19.593398014888336</v>
      </c>
      <c r="D62" s="2">
        <f t="shared" si="72"/>
        <v>0.69946818372963382</v>
      </c>
      <c r="E62" s="2">
        <f t="shared" si="73"/>
        <v>1.1973235474964659</v>
      </c>
      <c r="F62" s="14">
        <v>280.63820159550698</v>
      </c>
      <c r="G62" s="2">
        <v>9.2034569167021001</v>
      </c>
      <c r="H62" s="19">
        <v>78.961393999999999</v>
      </c>
      <c r="I62" s="23">
        <v>6.4300000000000002E-4</v>
      </c>
      <c r="J62" s="2">
        <f t="shared" si="21"/>
        <v>1.9390000000000001</v>
      </c>
      <c r="K62" s="2">
        <f t="shared" si="0"/>
        <v>7.2000000000000008E-2</v>
      </c>
      <c r="L62" s="2">
        <f t="shared" si="44"/>
        <v>0.48114143920595531</v>
      </c>
      <c r="M62" s="2"/>
      <c r="N62" s="17">
        <v>1.6881E-2</v>
      </c>
      <c r="O62" s="25">
        <v>6.8499999999999995E-4</v>
      </c>
      <c r="P62" s="2">
        <f t="shared" si="74"/>
        <v>1.3949640287769784</v>
      </c>
      <c r="Q62" s="2">
        <f t="shared" si="75"/>
        <v>5.1798561151079142E-2</v>
      </c>
      <c r="R62" s="2">
        <f t="shared" si="76"/>
        <v>77.566429971223016</v>
      </c>
      <c r="S62" s="2">
        <f t="shared" si="77"/>
        <v>5.244156115107914E-2</v>
      </c>
      <c r="T62" s="14">
        <v>275.56553718107301</v>
      </c>
      <c r="U62" s="12">
        <v>9.0723730423670403</v>
      </c>
      <c r="V62" s="2">
        <v>0.67700099999999996</v>
      </c>
      <c r="W62" s="2">
        <v>1.6670000000000001E-2</v>
      </c>
      <c r="X62" s="2">
        <f t="shared" si="78"/>
        <v>2.0605051230012634</v>
      </c>
      <c r="Y62" s="2">
        <f t="shared" si="79"/>
        <v>9.1805451665404852E-2</v>
      </c>
      <c r="Z62" s="2">
        <f t="shared" si="80"/>
        <v>76.900888876998735</v>
      </c>
      <c r="AA62" s="2">
        <f t="shared" si="81"/>
        <v>9.2448451665404857E-2</v>
      </c>
      <c r="AB62" s="14">
        <v>273.34650642787699</v>
      </c>
      <c r="AC62" s="12">
        <v>8.9628445139269495</v>
      </c>
      <c r="AD62" s="2">
        <f t="shared" si="82"/>
        <v>0.58463859987705014</v>
      </c>
      <c r="AE62" s="2">
        <f t="shared" si="83"/>
        <v>2.2746558712403796E-2</v>
      </c>
      <c r="AF62" s="2">
        <f t="shared" si="84"/>
        <v>0.47845659938576524</v>
      </c>
      <c r="AG62" s="2">
        <f t="shared" si="85"/>
        <v>2.5225521048372432E-2</v>
      </c>
      <c r="AH62" s="2">
        <f t="shared" si="86"/>
        <v>0.64986264727524179</v>
      </c>
      <c r="AI62" s="2">
        <f t="shared" si="87"/>
        <v>4.4517679067184852E-2</v>
      </c>
      <c r="AJ62" s="2">
        <f t="shared" si="88"/>
        <v>22.999103635184699</v>
      </c>
      <c r="AK62" s="2">
        <f t="shared" si="89"/>
        <v>4.1936387110022704</v>
      </c>
      <c r="AL62" s="1">
        <f t="shared" si="90"/>
        <v>33613.364444218598</v>
      </c>
      <c r="AM62" s="1">
        <f t="shared" si="91"/>
        <v>1092.6271213541941</v>
      </c>
      <c r="AN62" s="2">
        <f t="shared" si="92"/>
        <v>64.975801638534051</v>
      </c>
      <c r="AO62" s="2">
        <f t="shared" si="93"/>
        <v>6.5262349463541653</v>
      </c>
      <c r="AP62" s="2">
        <f t="shared" si="94"/>
        <v>7.6476006514261989</v>
      </c>
      <c r="AQ62" s="2">
        <f t="shared" si="95"/>
        <v>3.0885801956156818</v>
      </c>
      <c r="AR62" s="2">
        <f t="shared" si="96"/>
        <v>183.40976202071928</v>
      </c>
      <c r="AS62" s="12">
        <f t="shared" si="97"/>
        <v>11.946378286635799</v>
      </c>
      <c r="AU62">
        <v>446037</v>
      </c>
      <c r="AV62">
        <v>0.8</v>
      </c>
      <c r="AW62" s="2">
        <f t="shared" si="101"/>
        <v>110679.15632754342</v>
      </c>
      <c r="AX62" s="96">
        <f t="shared" si="102"/>
        <v>3.304442062768393</v>
      </c>
      <c r="AY62" s="2">
        <f t="shared" si="103"/>
        <v>8.4023029680138903E-2</v>
      </c>
      <c r="AZ62" s="2">
        <f t="shared" si="98"/>
        <v>-0.72555793723160722</v>
      </c>
      <c r="BA62" s="2">
        <f t="shared" si="99"/>
        <v>6.7222691737668858E-2</v>
      </c>
      <c r="BB62" s="1">
        <v>7.9063542198138003E-12</v>
      </c>
      <c r="BC62" s="1">
        <v>3.0761285775499098E-13</v>
      </c>
      <c r="BD62" s="1">
        <v>6.6033564915227201E-12</v>
      </c>
      <c r="BE62" s="1">
        <v>3.4814674597582501E-13</v>
      </c>
      <c r="BF62" s="1">
        <v>1.7459643123461499E-11</v>
      </c>
      <c r="BG62" s="1">
        <v>1.1960416442716999E-12</v>
      </c>
      <c r="BH62" s="1">
        <v>2.6896970282744E-5</v>
      </c>
      <c r="BI62" s="1">
        <v>6.8391725121652198E-7</v>
      </c>
      <c r="BJ62" s="1">
        <v>1.4584797427190299E-9</v>
      </c>
      <c r="BK62" s="1">
        <v>2.6593806460014402E-10</v>
      </c>
      <c r="BL62" s="1">
        <v>1.8080867419941401E-6</v>
      </c>
      <c r="BM62" s="1">
        <v>5.8773188722068899E-8</v>
      </c>
      <c r="BN62" s="1">
        <v>2.8705599715335698E-9</v>
      </c>
      <c r="BO62" s="1">
        <v>2.8832193415706302E-10</v>
      </c>
      <c r="BP62" s="1">
        <v>2.8571271553951598E-10</v>
      </c>
      <c r="BQ62" s="1">
        <v>1.1538869183583201E-10</v>
      </c>
      <c r="BR62" s="1">
        <v>6.0704775044636899E-9</v>
      </c>
      <c r="BS62" s="85">
        <v>3.9540000406654299E-10</v>
      </c>
      <c r="BU62" s="23">
        <v>1.939E-3</v>
      </c>
      <c r="BV62" s="23">
        <v>7.2000000000000002E-5</v>
      </c>
    </row>
    <row r="63" spans="1:75" ht="15" customHeight="1" x14ac:dyDescent="0.3">
      <c r="A63" s="26" t="s">
        <v>72</v>
      </c>
      <c r="B63" s="2">
        <v>2.5299999999999998</v>
      </c>
      <c r="C63" s="2">
        <f t="shared" si="71"/>
        <v>12.551722134387353</v>
      </c>
      <c r="D63" s="2">
        <f t="shared" si="72"/>
        <v>0.39689157179318357</v>
      </c>
      <c r="E63" s="2">
        <f t="shared" si="73"/>
        <v>0.813904644582224</v>
      </c>
      <c r="F63" s="14">
        <v>317.19819664713202</v>
      </c>
      <c r="G63" s="2">
        <v>12.9752257281186</v>
      </c>
      <c r="H63" s="19">
        <v>31.755856999999999</v>
      </c>
      <c r="I63" s="23">
        <v>4.0200000000000001E-4</v>
      </c>
      <c r="J63" s="2">
        <f t="shared" si="21"/>
        <v>1.883</v>
      </c>
      <c r="K63" s="2">
        <f t="shared" si="0"/>
        <v>6.9999999999999993E-2</v>
      </c>
      <c r="L63" s="2">
        <f t="shared" si="44"/>
        <v>0.74426877470355735</v>
      </c>
      <c r="M63" s="2"/>
      <c r="N63" s="17">
        <v>4.0486000000000001E-2</v>
      </c>
      <c r="O63" s="25">
        <v>1.6249999999999999E-3</v>
      </c>
      <c r="P63" s="2">
        <f t="shared" si="74"/>
        <v>1.3546762589928056</v>
      </c>
      <c r="Q63" s="2">
        <f t="shared" si="75"/>
        <v>5.035971223021582E-2</v>
      </c>
      <c r="R63" s="2">
        <f t="shared" si="76"/>
        <v>30.401180741007192</v>
      </c>
      <c r="S63" s="2">
        <f t="shared" si="77"/>
        <v>5.0761712230215819E-2</v>
      </c>
      <c r="T63" s="14">
        <v>303.644044197239</v>
      </c>
      <c r="U63" s="12">
        <v>12.2512367959797</v>
      </c>
      <c r="V63" s="2">
        <v>0.67700099999999996</v>
      </c>
      <c r="W63" s="2">
        <v>1.6670000000000001E-2</v>
      </c>
      <c r="X63" s="2">
        <f t="shared" si="78"/>
        <v>2.0009959497737904</v>
      </c>
      <c r="Y63" s="2">
        <f t="shared" si="79"/>
        <v>8.9224382279574938E-2</v>
      </c>
      <c r="Z63" s="2">
        <f t="shared" si="80"/>
        <v>29.754861050226207</v>
      </c>
      <c r="AA63" s="2">
        <f t="shared" si="81"/>
        <v>8.9626382279574937E-2</v>
      </c>
      <c r="AB63" s="14">
        <v>297.40625361455199</v>
      </c>
      <c r="AC63" s="12">
        <v>12.524347985204299</v>
      </c>
      <c r="AD63" s="2">
        <f t="shared" si="82"/>
        <v>0.30792144040457053</v>
      </c>
      <c r="AE63" s="2">
        <f t="shared" si="83"/>
        <v>1.3403101205810215E-2</v>
      </c>
      <c r="AF63" s="2">
        <f t="shared" si="84"/>
        <v>0.37070888078588782</v>
      </c>
      <c r="AG63" s="2">
        <f t="shared" si="85"/>
        <v>4.2041091200437274E-2</v>
      </c>
      <c r="AH63" s="2">
        <f t="shared" si="86"/>
        <v>0.39574543361520126</v>
      </c>
      <c r="AI63" s="2">
        <f t="shared" si="87"/>
        <v>3.239151610901491E-2</v>
      </c>
      <c r="AJ63" s="2">
        <f t="shared" si="88"/>
        <v>30.708908048806691</v>
      </c>
      <c r="AK63" s="2">
        <f t="shared" si="89"/>
        <v>4.0374851731064112</v>
      </c>
      <c r="AL63" s="2">
        <f t="shared" si="90"/>
        <v>1615.7642182197972</v>
      </c>
      <c r="AM63" s="2">
        <f t="shared" si="91"/>
        <v>61.649831964928651</v>
      </c>
      <c r="AN63" s="2">
        <f t="shared" si="92"/>
        <v>63.980118020232965</v>
      </c>
      <c r="AO63" s="2">
        <f t="shared" si="93"/>
        <v>3.0756105945588388</v>
      </c>
      <c r="AP63" s="2">
        <f t="shared" si="94"/>
        <v>4.6033039320536684</v>
      </c>
      <c r="AQ63" s="2">
        <f t="shared" si="95"/>
        <v>1.9665068650028708</v>
      </c>
      <c r="AR63" s="2">
        <f t="shared" si="96"/>
        <v>96.597127156796191</v>
      </c>
      <c r="AS63" s="12">
        <f t="shared" si="97"/>
        <v>6.9876197112849461</v>
      </c>
      <c r="AU63">
        <v>223646</v>
      </c>
      <c r="AV63">
        <v>0.9</v>
      </c>
      <c r="AW63" s="2">
        <f t="shared" si="101"/>
        <v>88397.628458498031</v>
      </c>
      <c r="AX63" s="96">
        <f t="shared" si="102"/>
        <v>1.9081497212710186</v>
      </c>
      <c r="AY63" s="2">
        <f t="shared" si="103"/>
        <v>5.2324219010423119E-2</v>
      </c>
      <c r="AZ63" s="2">
        <f t="shared" si="98"/>
        <v>-0.62185027872898124</v>
      </c>
      <c r="BA63" s="2">
        <f t="shared" si="99"/>
        <v>3.4348687665457169E-3</v>
      </c>
      <c r="BB63" s="1">
        <v>2.6142323631663198E-12</v>
      </c>
      <c r="BC63" s="1">
        <v>1.1379142970033501E-13</v>
      </c>
      <c r="BD63" s="1">
        <v>3.2119639328366302E-12</v>
      </c>
      <c r="BE63" s="1">
        <v>3.6426013951063801E-13</v>
      </c>
      <c r="BF63" s="1">
        <v>6.6749063136430604E-12</v>
      </c>
      <c r="BG63" s="1">
        <v>5.4633690503871799E-13</v>
      </c>
      <c r="BH63" s="1">
        <v>1.58851232864531E-5</v>
      </c>
      <c r="BI63" s="1">
        <v>4.3559300435518102E-7</v>
      </c>
      <c r="BJ63" s="1">
        <v>1.22255762963778E-9</v>
      </c>
      <c r="BK63" s="1">
        <v>1.60737017906518E-10</v>
      </c>
      <c r="BL63" s="1">
        <v>5.45633138293658E-8</v>
      </c>
      <c r="BM63" s="1">
        <v>2.0818749982817601E-9</v>
      </c>
      <c r="BN63" s="1">
        <v>1.77449790167934E-9</v>
      </c>
      <c r="BO63" s="1">
        <v>8.53025082682949E-11</v>
      </c>
      <c r="BP63" s="1">
        <v>1.07966616743263E-10</v>
      </c>
      <c r="BQ63" s="1">
        <v>4.6122762292178199E-11</v>
      </c>
      <c r="BR63" s="1">
        <v>2.0071512130970298E-9</v>
      </c>
      <c r="BS63" s="85">
        <v>1.4519282087344701E-10</v>
      </c>
      <c r="BU63" s="23">
        <v>1.8829999999999999E-3</v>
      </c>
      <c r="BV63" s="23">
        <v>6.9999999999999994E-5</v>
      </c>
    </row>
    <row r="64" spans="1:75" ht="15" customHeight="1" x14ac:dyDescent="0.3">
      <c r="A64" s="26" t="s">
        <v>73</v>
      </c>
      <c r="B64" s="2">
        <v>1.57</v>
      </c>
      <c r="C64" s="2">
        <f t="shared" si="71"/>
        <v>15.223701910828025</v>
      </c>
      <c r="D64" s="2">
        <f t="shared" si="72"/>
        <v>0.56692185983732912</v>
      </c>
      <c r="E64" s="2">
        <f t="shared" si="73"/>
        <v>1.1187943619455296</v>
      </c>
      <c r="F64" s="14">
        <v>268.94452491919202</v>
      </c>
      <c r="G64" s="2">
        <v>9.1664400507862904</v>
      </c>
      <c r="H64" s="19">
        <v>23.901212000000001</v>
      </c>
      <c r="I64" s="23">
        <v>3.5100000000000002E-4</v>
      </c>
      <c r="J64" s="2">
        <f t="shared" si="21"/>
        <v>0.90399999999999991</v>
      </c>
      <c r="K64" s="2">
        <f t="shared" si="0"/>
        <v>5.6000000000000001E-2</v>
      </c>
      <c r="L64" s="2">
        <f t="shared" si="44"/>
        <v>0.57579617834394892</v>
      </c>
      <c r="M64" s="2"/>
      <c r="N64" s="17">
        <v>2.5111999999999999E-2</v>
      </c>
      <c r="O64" s="25">
        <v>1.4159999999999999E-3</v>
      </c>
      <c r="P64" s="2">
        <f t="shared" si="74"/>
        <v>0.65035971223021583</v>
      </c>
      <c r="Q64" s="2">
        <f t="shared" si="75"/>
        <v>4.0287769784172658E-2</v>
      </c>
      <c r="R64" s="2">
        <f t="shared" si="76"/>
        <v>23.250852287769785</v>
      </c>
      <c r="S64" s="2">
        <f t="shared" si="77"/>
        <v>4.0638769784172656E-2</v>
      </c>
      <c r="T64" s="14">
        <v>261.76091000398497</v>
      </c>
      <c r="U64" s="12">
        <v>8.8736692709547906</v>
      </c>
      <c r="V64" s="2">
        <v>0.67700099999999996</v>
      </c>
      <c r="W64" s="2">
        <v>1.6670000000000001E-2</v>
      </c>
      <c r="X64" s="2">
        <f t="shared" si="78"/>
        <v>0.96064808210064057</v>
      </c>
      <c r="Y64" s="2">
        <f t="shared" si="79"/>
        <v>6.403802712959808E-2</v>
      </c>
      <c r="Z64" s="2">
        <f t="shared" si="80"/>
        <v>22.940563917899361</v>
      </c>
      <c r="AA64" s="2">
        <f t="shared" si="81"/>
        <v>6.4389027129598084E-2</v>
      </c>
      <c r="AB64" s="14">
        <v>258.33052600628002</v>
      </c>
      <c r="AC64" s="12">
        <v>8.8852033581475904</v>
      </c>
      <c r="AD64" s="2">
        <f t="shared" si="82"/>
        <v>0.46845399760289969</v>
      </c>
      <c r="AE64" s="2">
        <f t="shared" si="83"/>
        <v>1.1975575933213982E-2</v>
      </c>
      <c r="AF64" s="2">
        <f t="shared" si="84"/>
        <v>0.41028275931012254</v>
      </c>
      <c r="AG64" s="2">
        <f t="shared" si="85"/>
        <v>6.8086315459317509E-2</v>
      </c>
      <c r="AH64" s="2">
        <f t="shared" si="86"/>
        <v>0.63215465554386785</v>
      </c>
      <c r="AI64" s="2">
        <f t="shared" si="87"/>
        <v>4.8860819002759112E-2</v>
      </c>
      <c r="AJ64" s="2">
        <f t="shared" si="88"/>
        <v>11.998661252854356</v>
      </c>
      <c r="AK64" s="2">
        <f t="shared" si="89"/>
        <v>5.2935729857422231</v>
      </c>
      <c r="AL64" s="2">
        <f t="shared" si="90"/>
        <v>1498.7866913746138</v>
      </c>
      <c r="AM64" s="2">
        <f t="shared" si="91"/>
        <v>70.726582241626588</v>
      </c>
      <c r="AN64" s="2">
        <f t="shared" si="92"/>
        <v>64.384733044898596</v>
      </c>
      <c r="AO64" s="2">
        <f t="shared" si="93"/>
        <v>6.0068644983395352</v>
      </c>
      <c r="AP64" s="2">
        <f t="shared" si="94"/>
        <v>7.2730408352369915</v>
      </c>
      <c r="AQ64" s="2">
        <f t="shared" si="95"/>
        <v>3.0775619440616699</v>
      </c>
      <c r="AR64" s="2">
        <f t="shared" si="96"/>
        <v>45.680193002350002</v>
      </c>
      <c r="AS64" s="12">
        <f t="shared" si="97"/>
        <v>3.4038074490648067</v>
      </c>
      <c r="AU64">
        <v>154186</v>
      </c>
      <c r="AV64">
        <v>1</v>
      </c>
      <c r="AW64" s="2">
        <f t="shared" si="101"/>
        <v>98207.643312101907</v>
      </c>
      <c r="AX64" s="96">
        <f t="shared" si="102"/>
        <v>1.1486678621103166</v>
      </c>
      <c r="AY64" s="2">
        <f t="shared" si="103"/>
        <v>3.1150282922964141E-2</v>
      </c>
      <c r="AZ64" s="2">
        <f t="shared" si="98"/>
        <v>-0.42133213788968349</v>
      </c>
      <c r="BA64" s="2">
        <f t="shared" si="99"/>
        <v>3.2843223261425406E-3</v>
      </c>
      <c r="BB64" s="1">
        <v>2.4680294504582298E-12</v>
      </c>
      <c r="BC64" s="1">
        <v>6.3092799379684402E-14</v>
      </c>
      <c r="BD64" s="1">
        <v>2.2059723702633299E-12</v>
      </c>
      <c r="BE64" s="1">
        <v>3.6608053175044002E-13</v>
      </c>
      <c r="BF64" s="1">
        <v>6.61655206135915E-12</v>
      </c>
      <c r="BG64" s="1">
        <v>5.1140990556221203E-13</v>
      </c>
      <c r="BH64" s="1">
        <v>9.5630392708560794E-6</v>
      </c>
      <c r="BI64" s="1">
        <v>2.5933639193430702E-7</v>
      </c>
      <c r="BJ64" s="1">
        <v>2.9642640703353802E-10</v>
      </c>
      <c r="BK64" s="1">
        <v>1.3077749154390699E-10</v>
      </c>
      <c r="BL64" s="1">
        <v>3.1408103383050502E-8</v>
      </c>
      <c r="BM64" s="1">
        <v>1.48212405391556E-9</v>
      </c>
      <c r="BN64" s="1">
        <v>1.10813451962827E-9</v>
      </c>
      <c r="BO64" s="1">
        <v>1.03384973277714E-10</v>
      </c>
      <c r="BP64" s="1">
        <v>1.05855883112284E-10</v>
      </c>
      <c r="BQ64" s="1">
        <v>4.4792548921635499E-11</v>
      </c>
      <c r="BR64" s="1">
        <v>5.8901037297708197E-10</v>
      </c>
      <c r="BS64" s="85">
        <v>4.3889435734492001E-11</v>
      </c>
      <c r="BU64" s="23">
        <v>9.0399999999999996E-4</v>
      </c>
      <c r="BV64" s="23">
        <v>5.5999999999999999E-5</v>
      </c>
    </row>
    <row r="65" spans="1:75" s="56" customFormat="1" ht="15" customHeight="1" x14ac:dyDescent="0.3">
      <c r="A65" s="53"/>
      <c r="B65" s="54"/>
      <c r="C65" s="54"/>
      <c r="D65" s="54"/>
      <c r="E65" s="54"/>
      <c r="F65" s="55">
        <f>AVERAGE(F53:F55,F57:F64)</f>
        <v>270.9788450360162</v>
      </c>
      <c r="G65" s="54">
        <f>2*_xlfn.STDEV.P(F53:F55,F57:F64)/(COUNT(F53:F55,F57:F64)^0.5)</f>
        <v>19.27606160314425</v>
      </c>
      <c r="H65" s="57"/>
      <c r="I65" s="58"/>
      <c r="J65" s="54">
        <f t="shared" si="21"/>
        <v>0</v>
      </c>
      <c r="K65" s="54">
        <f t="shared" si="0"/>
        <v>0</v>
      </c>
      <c r="L65" s="54"/>
      <c r="M65" s="54"/>
      <c r="N65" s="59"/>
      <c r="O65" s="60"/>
      <c r="P65" s="54"/>
      <c r="Q65" s="54"/>
      <c r="R65" s="54"/>
      <c r="S65" s="54"/>
      <c r="T65" s="55">
        <f>AVERAGE(T53:T55,T57:T64)</f>
        <v>258.31080646899227</v>
      </c>
      <c r="U65" s="61">
        <f>2*_xlfn.STDEV.P(T53:T55,T57:T64)/(COUNT(T53:T55,T57:T64)^0.5)</f>
        <v>19.97488192406848</v>
      </c>
      <c r="V65" s="54"/>
      <c r="W65" s="54"/>
      <c r="X65" s="54">
        <f>AB65+AC65</f>
        <v>273.29489115084885</v>
      </c>
      <c r="Y65" s="54"/>
      <c r="Z65" s="54">
        <f>AB65-AC65</f>
        <v>231.74616647292478</v>
      </c>
      <c r="AA65" s="55">
        <v>0.1</v>
      </c>
      <c r="AB65" s="55">
        <f>AVERAGE(AB53:AB55,AB57:AB64)</f>
        <v>252.52052881188683</v>
      </c>
      <c r="AC65" s="61">
        <f>2*_xlfn.STDEV.P(AB53:AB55,AB57:AB64)/(COUNT(AB53:AB55,AB57:AB64)^0.5)</f>
        <v>20.774362338962042</v>
      </c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61"/>
      <c r="AT65" s="54"/>
      <c r="AX65" s="97"/>
      <c r="AY65" s="54"/>
      <c r="AZ65" s="54"/>
      <c r="BA65" s="54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87"/>
      <c r="BU65" s="58"/>
      <c r="BV65" s="58"/>
      <c r="BW65" s="58"/>
    </row>
    <row r="66" spans="1:75" s="46" customFormat="1" ht="15" customHeight="1" thickBot="1" x14ac:dyDescent="0.35">
      <c r="A66" s="63"/>
      <c r="B66" s="44"/>
      <c r="C66" s="44"/>
      <c r="D66" s="44"/>
      <c r="E66" s="44"/>
      <c r="F66" s="45"/>
      <c r="G66" s="44"/>
      <c r="H66" s="47"/>
      <c r="I66" s="48"/>
      <c r="J66" s="44"/>
      <c r="K66" s="44"/>
      <c r="L66" s="44"/>
      <c r="M66" s="44"/>
      <c r="N66" s="49"/>
      <c r="O66" s="50"/>
      <c r="P66" s="44"/>
      <c r="Q66" s="44"/>
      <c r="R66" s="44"/>
      <c r="S66" s="44"/>
      <c r="T66" s="45"/>
      <c r="U66" s="51"/>
      <c r="V66" s="44"/>
      <c r="W66" s="44"/>
      <c r="X66" s="44">
        <f>X65</f>
        <v>273.29489115084885</v>
      </c>
      <c r="Y66" s="44"/>
      <c r="Z66" s="44">
        <f>Z65</f>
        <v>231.74616647292478</v>
      </c>
      <c r="AA66" s="45">
        <v>1.1000000000000001</v>
      </c>
      <c r="AB66" s="45">
        <f>AB65</f>
        <v>252.52052881188683</v>
      </c>
      <c r="AC66" s="51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X66" s="98"/>
      <c r="AY66" s="44"/>
      <c r="AZ66" s="44"/>
      <c r="BA66" s="44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88"/>
      <c r="BU66" s="48"/>
      <c r="BV66" s="48"/>
      <c r="BW66" s="48"/>
    </row>
    <row r="67" spans="1:75" ht="30" customHeight="1" x14ac:dyDescent="0.7">
      <c r="A67" s="15" t="s">
        <v>137</v>
      </c>
      <c r="B67" s="8"/>
      <c r="C67" s="8"/>
      <c r="D67" s="8"/>
      <c r="E67" s="8"/>
      <c r="H67" s="20"/>
      <c r="I67" s="22"/>
      <c r="K67" s="2"/>
      <c r="L67" s="2"/>
      <c r="M67" s="2"/>
      <c r="N67" s="18"/>
      <c r="O67" s="82"/>
      <c r="P67" s="8"/>
      <c r="Q67" s="8"/>
      <c r="R67" s="8"/>
      <c r="S67" s="8"/>
      <c r="V67" s="8"/>
      <c r="W67" s="8"/>
      <c r="X67" s="8"/>
      <c r="Y67" s="8"/>
      <c r="Z67" s="8"/>
      <c r="AA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16"/>
      <c r="AT67" s="8"/>
      <c r="AU67" s="7"/>
      <c r="AV67" s="7"/>
      <c r="AW67" s="7"/>
      <c r="AX67" s="95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84"/>
      <c r="BU67" s="22"/>
      <c r="BV67" s="22"/>
      <c r="BW67" s="22"/>
    </row>
    <row r="68" spans="1:75" ht="15" customHeight="1" x14ac:dyDescent="0.3">
      <c r="A68" s="26" t="s">
        <v>96</v>
      </c>
      <c r="B68" s="2">
        <v>1.03</v>
      </c>
      <c r="C68" s="2">
        <f t="shared" ref="C68:C75" si="104">H68/B68</f>
        <v>219.5304359223301</v>
      </c>
      <c r="D68" s="2">
        <f t="shared" ref="D68:D75" si="105">AD68+(0.24*AF68)</f>
        <v>2.7481403796315749</v>
      </c>
      <c r="E68" s="2">
        <f t="shared" ref="E68:E75" si="106">BB68/BD68</f>
        <v>2.3528531254563472</v>
      </c>
      <c r="F68" s="14">
        <v>765.121323508665</v>
      </c>
      <c r="G68" s="2">
        <v>81.305826784950895</v>
      </c>
      <c r="H68" s="19">
        <v>226.11634900000001</v>
      </c>
      <c r="I68" s="23">
        <v>2.666E-3</v>
      </c>
      <c r="J68" s="2">
        <f t="shared" si="21"/>
        <v>7.8919999999999995</v>
      </c>
      <c r="K68" s="2">
        <f t="shared" ref="K68:K97" si="107">BV68*1000</f>
        <v>0.35</v>
      </c>
      <c r="L68" s="2">
        <f t="shared" ref="L68:L78" si="108">J68/B68</f>
        <v>7.662135922330096</v>
      </c>
      <c r="M68" s="2"/>
      <c r="N68" s="17">
        <v>2.3276000000000002E-2</v>
      </c>
      <c r="O68" s="25">
        <v>1.119E-3</v>
      </c>
      <c r="P68" s="2">
        <f t="shared" ref="P68:Q75" si="109">(J68/1000000)/$F$105</f>
        <v>5.6776978417266184</v>
      </c>
      <c r="Q68" s="2">
        <f t="shared" si="109"/>
        <v>0.25179856115107913</v>
      </c>
      <c r="R68" s="2">
        <f t="shared" ref="R68:R75" si="110">H68-P68</f>
        <v>220.43865115827339</v>
      </c>
      <c r="S68" s="2">
        <f t="shared" ref="S68:S75" si="111">I68+Q68</f>
        <v>0.25446456115107913</v>
      </c>
      <c r="T68" s="14">
        <v>747.30568327849699</v>
      </c>
      <c r="U68" s="12">
        <v>79.011307580136503</v>
      </c>
      <c r="V68" s="2">
        <v>1.2358420000000001</v>
      </c>
      <c r="W68" s="2">
        <v>8.8944999999999996E-2</v>
      </c>
      <c r="X68" s="2">
        <f t="shared" ref="X68:X75" si="112">(J68/1000000)/(V68*$F$105)</f>
        <v>4.5941939517564689</v>
      </c>
      <c r="Y68" s="2">
        <f t="shared" ref="Y68:Y75" si="113">X68*((((W68/V68)^2) + ((K68/J68)^2))^(0.5))</f>
        <v>0.38838354301603989</v>
      </c>
      <c r="Z68" s="2">
        <f t="shared" ref="Z68:Z75" si="114">H68-X68</f>
        <v>221.52215504824355</v>
      </c>
      <c r="AA68" s="2">
        <f t="shared" ref="AA68:AA75" si="115">I68+Y68</f>
        <v>0.39104954301603989</v>
      </c>
      <c r="AB68" s="14">
        <v>751.37660231191501</v>
      </c>
      <c r="AC68" s="12">
        <v>81.227997061540194</v>
      </c>
      <c r="AD68" s="2">
        <f t="shared" ref="AD68:AE75" si="116">1000000*(BB68*298)/($B68/1000)</f>
        <v>2.498422889358308</v>
      </c>
      <c r="AE68" s="2">
        <f t="shared" si="116"/>
        <v>0.30906250721846817</v>
      </c>
      <c r="AF68" s="2">
        <f t="shared" ref="AF68:AG75" si="117">1000000*(BD68*292)/($B68/1000)</f>
        <v>1.0404895428052789</v>
      </c>
      <c r="AG68" s="2">
        <f t="shared" si="117"/>
        <v>8.5007404286468802E-2</v>
      </c>
      <c r="AH68" s="2">
        <f t="shared" ref="AH68:AI75" si="118">1000000*(BF68*150)/($B68/1000)</f>
        <v>0.29291677638081992</v>
      </c>
      <c r="AI68" s="2">
        <f t="shared" si="118"/>
        <v>6.6102224229247136E-2</v>
      </c>
      <c r="AJ68" s="2">
        <f t="shared" ref="AJ68:AK75" si="119">1000000*(BJ68*63.55)/($B68/1000)</f>
        <v>173.62676052968135</v>
      </c>
      <c r="AK68" s="2">
        <f t="shared" si="119"/>
        <v>26.230057772070332</v>
      </c>
      <c r="AL68" s="2">
        <f t="shared" ref="AL68:AM75" si="120">1000000*(BL68*74.92)/($B68/1000)</f>
        <v>3328.6363997836247</v>
      </c>
      <c r="AM68" s="2">
        <f t="shared" si="120"/>
        <v>233.02143984236213</v>
      </c>
      <c r="AN68" s="2">
        <f t="shared" ref="AN68:AO75" si="121">1000000*(BN68*91.22)/($B68/1000)</f>
        <v>10.857960833094497</v>
      </c>
      <c r="AO68" s="2">
        <f t="shared" si="121"/>
        <v>5.6741603467824815</v>
      </c>
      <c r="AP68" s="2">
        <f t="shared" ref="AP68:AQ75" si="122">1000000*(BP68*107.87)/($B68/1000)</f>
        <v>0</v>
      </c>
      <c r="AQ68" s="2">
        <f t="shared" si="122"/>
        <v>0</v>
      </c>
      <c r="AR68" s="2">
        <f t="shared" ref="AR68:AS75" si="123">1000000*(BR68*121.76)/($B68/1000)</f>
        <v>152.59642021846838</v>
      </c>
      <c r="AS68" s="12">
        <f t="shared" si="123"/>
        <v>3.8439939898753019</v>
      </c>
      <c r="AX68" s="96">
        <f t="shared" ref="AX68:AX75" si="124" xml:space="preserve"> (119974.6 + (42856.8 *$BA68))*BH68</f>
        <v>1.6034060938892678</v>
      </c>
      <c r="AY68" s="2">
        <f t="shared" ref="AY68:AY75" si="125" xml:space="preserve"> (119974.6 + (42856.8 *$BA68))*BI68</f>
        <v>4.5102505634572521E-2</v>
      </c>
      <c r="AZ68" s="2">
        <f t="shared" ref="AZ68:AZ75" si="126">AX68-B68</f>
        <v>0.57340609388926778</v>
      </c>
      <c r="BA68" s="2">
        <f t="shared" si="99"/>
        <v>3.4283340342484868E-3</v>
      </c>
      <c r="BB68" s="1">
        <v>8.6354885101981792E-12</v>
      </c>
      <c r="BC68" s="1">
        <v>1.06823618266786E-12</v>
      </c>
      <c r="BD68" s="1">
        <v>3.6702199626350599E-12</v>
      </c>
      <c r="BE68" s="1">
        <v>2.9985488498309202E-13</v>
      </c>
      <c r="BF68" s="1">
        <v>2.0113618644816302E-12</v>
      </c>
      <c r="BG68" s="1">
        <v>4.5390193970749698E-13</v>
      </c>
      <c r="BH68" s="1">
        <v>1.33481993465036E-5</v>
      </c>
      <c r="BI68" s="1">
        <v>3.7547396042181497E-7</v>
      </c>
      <c r="BJ68" s="1">
        <v>2.8140922635023099E-9</v>
      </c>
      <c r="BK68" s="1">
        <v>4.25129181828992E-10</v>
      </c>
      <c r="BL68" s="1">
        <v>4.5762086115551703E-8</v>
      </c>
      <c r="BM68" s="1">
        <v>3.2035782573095702E-9</v>
      </c>
      <c r="BN68" s="1">
        <v>1.22601399452832E-10</v>
      </c>
      <c r="BO68" s="1">
        <v>6.4069120337491306E-11</v>
      </c>
      <c r="BP68">
        <v>0</v>
      </c>
      <c r="BQ68">
        <v>0</v>
      </c>
      <c r="BR68" s="1">
        <v>1.2908534233329701E-9</v>
      </c>
      <c r="BS68" s="85">
        <v>3.2517360459687598E-11</v>
      </c>
      <c r="BU68" s="23">
        <v>7.8919999999999997E-3</v>
      </c>
      <c r="BV68" s="23">
        <v>3.5E-4</v>
      </c>
    </row>
    <row r="69" spans="1:75" ht="15" customHeight="1" x14ac:dyDescent="0.3">
      <c r="A69" s="26" t="s">
        <v>97</v>
      </c>
      <c r="B69" s="2">
        <v>0.95</v>
      </c>
      <c r="C69" s="2">
        <f t="shared" si="104"/>
        <v>47.824854736842106</v>
      </c>
      <c r="D69" s="2">
        <f t="shared" si="105"/>
        <v>0.60476160000000001</v>
      </c>
      <c r="E69" s="2">
        <f t="shared" si="106"/>
        <v>3.3088235294117645</v>
      </c>
      <c r="F69" s="14">
        <v>754.20014378174801</v>
      </c>
      <c r="G69" s="2">
        <v>21.555518825512902</v>
      </c>
      <c r="H69" s="19">
        <v>45.433611999999997</v>
      </c>
      <c r="I69" s="23">
        <v>5.6099999999999998E-4</v>
      </c>
      <c r="J69" s="2">
        <f t="shared" ref="J69:J97" si="127">BU69*1000</f>
        <v>2.653</v>
      </c>
      <c r="K69" s="2">
        <f t="shared" si="107"/>
        <v>0.1</v>
      </c>
      <c r="L69" s="2">
        <f t="shared" si="108"/>
        <v>2.7926315789473688</v>
      </c>
      <c r="M69" s="2"/>
      <c r="N69" s="17">
        <v>4.0825E-2</v>
      </c>
      <c r="O69" s="25">
        <v>1.433E-3</v>
      </c>
      <c r="P69" s="2">
        <f t="shared" si="109"/>
        <v>1.9086330935251796</v>
      </c>
      <c r="Q69" s="2">
        <f t="shared" si="109"/>
        <v>7.1942446043165478E-2</v>
      </c>
      <c r="R69" s="2">
        <f t="shared" si="110"/>
        <v>43.524978906474814</v>
      </c>
      <c r="S69" s="2">
        <f t="shared" si="111"/>
        <v>7.2503446043165484E-2</v>
      </c>
      <c r="T69" s="14">
        <v>724.89309582541898</v>
      </c>
      <c r="U69" s="12">
        <v>19.934398319680099</v>
      </c>
      <c r="V69" s="2">
        <v>0.58468299999999995</v>
      </c>
      <c r="W69" s="2">
        <v>1.2674E-2</v>
      </c>
      <c r="X69" s="2">
        <f t="shared" si="112"/>
        <v>3.2643895812349251</v>
      </c>
      <c r="Y69" s="2">
        <f t="shared" si="113"/>
        <v>0.14194109096202717</v>
      </c>
      <c r="Z69" s="2">
        <f t="shared" si="114"/>
        <v>42.169222418765074</v>
      </c>
      <c r="AA69" s="2">
        <f t="shared" si="115"/>
        <v>0.14250209096202718</v>
      </c>
      <c r="AB69" s="14">
        <v>704.23544042792798</v>
      </c>
      <c r="AC69" s="12">
        <v>20.227135920294799</v>
      </c>
      <c r="AD69" s="2">
        <f t="shared" si="116"/>
        <v>0.56463157894736848</v>
      </c>
      <c r="AE69" s="2">
        <f t="shared" si="116"/>
        <v>1.5496000000000001E-2</v>
      </c>
      <c r="AF69" s="2">
        <f t="shared" si="117"/>
        <v>0.16720842105263159</v>
      </c>
      <c r="AG69" s="2">
        <f t="shared" si="117"/>
        <v>4.5183157894736842E-2</v>
      </c>
      <c r="AH69" s="2">
        <f t="shared" si="118"/>
        <v>5.2736842105263158E-2</v>
      </c>
      <c r="AI69" s="2">
        <f t="shared" si="118"/>
        <v>5.0052631578947362E-2</v>
      </c>
      <c r="AJ69" s="2">
        <f t="shared" si="119"/>
        <v>105.69368421052631</v>
      </c>
      <c r="AK69" s="2">
        <f t="shared" si="119"/>
        <v>27.359947368421054</v>
      </c>
      <c r="AL69" s="2">
        <f t="shared" si="120"/>
        <v>391.94989473684205</v>
      </c>
      <c r="AM69" s="2">
        <f t="shared" si="120"/>
        <v>59.383957894736845</v>
      </c>
      <c r="AN69" s="2">
        <f t="shared" si="121"/>
        <v>0</v>
      </c>
      <c r="AO69" s="2">
        <f t="shared" si="121"/>
        <v>0</v>
      </c>
      <c r="AP69" s="2">
        <f t="shared" si="122"/>
        <v>0</v>
      </c>
      <c r="AQ69" s="2">
        <f t="shared" si="122"/>
        <v>0</v>
      </c>
      <c r="AR69" s="2">
        <f t="shared" si="123"/>
        <v>0</v>
      </c>
      <c r="AS69" s="12">
        <f t="shared" si="123"/>
        <v>0</v>
      </c>
      <c r="AX69" s="96">
        <f t="shared" si="124"/>
        <v>0.94561284629600018</v>
      </c>
      <c r="AY69" s="2">
        <f t="shared" si="125"/>
        <v>2.2800309745715737E-2</v>
      </c>
      <c r="AZ69" s="2">
        <f t="shared" si="126"/>
        <v>-4.3871537039997799E-3</v>
      </c>
      <c r="BA69" s="2">
        <f t="shared" si="99"/>
        <v>6.3071065989847705E-4</v>
      </c>
      <c r="BB69" s="1">
        <v>1.8E-12</v>
      </c>
      <c r="BC69" s="1">
        <v>4.9400000000000003E-14</v>
      </c>
      <c r="BD69" s="1">
        <v>5.44E-13</v>
      </c>
      <c r="BE69" s="1">
        <v>1.47E-13</v>
      </c>
      <c r="BF69" s="1">
        <v>3.3399999999999999E-13</v>
      </c>
      <c r="BG69" s="1">
        <v>3.1700000000000001E-13</v>
      </c>
      <c r="BH69" s="1">
        <v>7.8800000000000008E-6</v>
      </c>
      <c r="BI69" s="1">
        <v>1.9000000000000001E-7</v>
      </c>
      <c r="BJ69" s="1">
        <v>1.5799999999999999E-9</v>
      </c>
      <c r="BK69" s="1">
        <v>4.0899999999999998E-10</v>
      </c>
      <c r="BL69" s="1">
        <v>4.97E-9</v>
      </c>
      <c r="BM69" s="1">
        <v>7.5299999999999998E-10</v>
      </c>
      <c r="BN69">
        <v>0</v>
      </c>
      <c r="BO69">
        <v>0</v>
      </c>
      <c r="BP69">
        <v>0</v>
      </c>
      <c r="BQ69">
        <v>0</v>
      </c>
      <c r="BR69">
        <v>0</v>
      </c>
      <c r="BS69" s="3">
        <v>0</v>
      </c>
      <c r="BU69" s="23">
        <v>2.653E-3</v>
      </c>
      <c r="BV69" s="23">
        <v>1E-4</v>
      </c>
    </row>
    <row r="70" spans="1:75" ht="15" customHeight="1" x14ac:dyDescent="0.3">
      <c r="A70" s="26" t="s">
        <v>98</v>
      </c>
      <c r="B70" s="2">
        <v>0.53</v>
      </c>
      <c r="C70" s="2">
        <f t="shared" si="104"/>
        <v>133.61789245283018</v>
      </c>
      <c r="D70" s="2">
        <f t="shared" si="105"/>
        <v>2.6297720754716978</v>
      </c>
      <c r="E70" s="2">
        <f t="shared" si="106"/>
        <v>0.86792452830188682</v>
      </c>
      <c r="F70" s="14">
        <v>502.45782059737098</v>
      </c>
      <c r="G70" s="2">
        <v>56.324903184248299</v>
      </c>
      <c r="H70" s="19">
        <v>70.817482999999996</v>
      </c>
      <c r="I70" s="23">
        <v>6.8099999999999996E-4</v>
      </c>
      <c r="J70" s="2">
        <f t="shared" si="127"/>
        <v>2.5170000000000003</v>
      </c>
      <c r="K70" s="2">
        <f t="shared" si="107"/>
        <v>7.3999999999999996E-2</v>
      </c>
      <c r="L70" s="2">
        <f t="shared" si="108"/>
        <v>4.7490566037735853</v>
      </c>
      <c r="M70" s="2"/>
      <c r="N70" s="17">
        <v>2.5023E-2</v>
      </c>
      <c r="O70" s="25">
        <v>8.2700000000000004E-4</v>
      </c>
      <c r="P70" s="2">
        <f t="shared" si="109"/>
        <v>1.810791366906475</v>
      </c>
      <c r="Q70" s="2">
        <f t="shared" si="109"/>
        <v>5.3237410071942444E-2</v>
      </c>
      <c r="R70" s="2">
        <f t="shared" si="110"/>
        <v>69.006691633093524</v>
      </c>
      <c r="S70" s="2">
        <f t="shared" si="111"/>
        <v>5.3918410071942445E-2</v>
      </c>
      <c r="T70" s="14">
        <v>490.27681772846103</v>
      </c>
      <c r="U70" s="12">
        <v>52.828385377966299</v>
      </c>
      <c r="V70" s="2">
        <v>0.58468299999999995</v>
      </c>
      <c r="W70" s="2">
        <v>1.2674E-2</v>
      </c>
      <c r="X70" s="2">
        <f t="shared" si="112"/>
        <v>3.0970480874362263</v>
      </c>
      <c r="Y70" s="2">
        <f t="shared" si="113"/>
        <v>0.11312682576552562</v>
      </c>
      <c r="Z70" s="2">
        <f t="shared" si="114"/>
        <v>67.720434912563775</v>
      </c>
      <c r="AA70" s="2">
        <f t="shared" si="115"/>
        <v>0.11380782576552562</v>
      </c>
      <c r="AB70" s="14">
        <v>481.07134007463497</v>
      </c>
      <c r="AC70" s="12">
        <v>52.604814308497801</v>
      </c>
      <c r="AD70" s="2">
        <f t="shared" si="116"/>
        <v>2.069132075471698</v>
      </c>
      <c r="AE70" s="2">
        <f t="shared" si="116"/>
        <v>0.27719622641509434</v>
      </c>
      <c r="AF70" s="2">
        <f t="shared" si="117"/>
        <v>2.3359999999999999</v>
      </c>
      <c r="AG70" s="2">
        <f t="shared" si="117"/>
        <v>0.40990188679245282</v>
      </c>
      <c r="AH70" s="2">
        <f t="shared" si="118"/>
        <v>0.76981132075471714</v>
      </c>
      <c r="AI70" s="2">
        <f t="shared" si="118"/>
        <v>0.45</v>
      </c>
      <c r="AJ70" s="2">
        <f t="shared" si="119"/>
        <v>484.41886792452834</v>
      </c>
      <c r="AK70" s="2">
        <f t="shared" si="119"/>
        <v>455.64150943396226</v>
      </c>
      <c r="AL70" s="1">
        <f t="shared" si="120"/>
        <v>22900.075471698114</v>
      </c>
      <c r="AM70" s="1">
        <f t="shared" si="120"/>
        <v>4862.7320754716975</v>
      </c>
      <c r="AN70" s="2">
        <f t="shared" si="121"/>
        <v>130.28969811320755</v>
      </c>
      <c r="AO70" s="2">
        <f t="shared" si="121"/>
        <v>59.206943396226414</v>
      </c>
      <c r="AP70" s="2">
        <f t="shared" si="122"/>
        <v>0</v>
      </c>
      <c r="AQ70" s="2">
        <f t="shared" si="122"/>
        <v>0</v>
      </c>
      <c r="AR70" s="2">
        <f t="shared" si="123"/>
        <v>680.01811320754723</v>
      </c>
      <c r="AS70" s="12">
        <f t="shared" si="123"/>
        <v>100.62430188679245</v>
      </c>
      <c r="AX70" s="96">
        <f t="shared" si="124"/>
        <v>0.50003840759999996</v>
      </c>
      <c r="AY70" s="2">
        <f t="shared" si="125"/>
        <v>4.8057219221897804E-2</v>
      </c>
      <c r="AZ70" s="2">
        <f t="shared" si="126"/>
        <v>-2.996159240000007E-2</v>
      </c>
      <c r="BA70" s="2">
        <f t="shared" si="99"/>
        <v>3.9416058394160583E-2</v>
      </c>
      <c r="BB70" s="1">
        <v>3.6799999999999997E-12</v>
      </c>
      <c r="BC70" s="1">
        <v>4.9300000000000002E-13</v>
      </c>
      <c r="BD70" s="1">
        <v>4.2399999999999997E-12</v>
      </c>
      <c r="BE70" s="1">
        <v>7.4399999999999996E-13</v>
      </c>
      <c r="BF70" s="1">
        <v>2.7200000000000001E-12</v>
      </c>
      <c r="BG70" s="1">
        <v>1.5900000000000001E-12</v>
      </c>
      <c r="BH70" s="1">
        <v>4.1099999999999996E-6</v>
      </c>
      <c r="BI70" s="1">
        <v>3.9499999999999998E-7</v>
      </c>
      <c r="BJ70" s="1">
        <v>4.0400000000000001E-9</v>
      </c>
      <c r="BK70" s="1">
        <v>3.8000000000000001E-9</v>
      </c>
      <c r="BL70" s="1">
        <v>1.6199999999999999E-7</v>
      </c>
      <c r="BM70" s="1">
        <v>3.4399999999999997E-8</v>
      </c>
      <c r="BN70" s="1">
        <v>7.5699999999999997E-10</v>
      </c>
      <c r="BO70" s="1">
        <v>3.44E-10</v>
      </c>
      <c r="BP70">
        <v>0</v>
      </c>
      <c r="BQ70">
        <v>0</v>
      </c>
      <c r="BR70" s="1">
        <v>2.9600000000000001E-9</v>
      </c>
      <c r="BS70" s="85">
        <v>4.3799999999999999E-10</v>
      </c>
      <c r="BU70" s="23">
        <v>2.5170000000000001E-3</v>
      </c>
      <c r="BV70" s="23">
        <v>7.3999999999999996E-5</v>
      </c>
    </row>
    <row r="71" spans="1:75" ht="15" customHeight="1" x14ac:dyDescent="0.3">
      <c r="A71" s="26" t="s">
        <v>77</v>
      </c>
      <c r="B71" s="2">
        <v>1.22</v>
      </c>
      <c r="C71" s="2">
        <f t="shared" si="104"/>
        <v>197.69758524590165</v>
      </c>
      <c r="D71" s="2">
        <f t="shared" si="105"/>
        <v>3.326044556662858</v>
      </c>
      <c r="E71" s="2">
        <f t="shared" si="106"/>
        <v>3.7999993627733653</v>
      </c>
      <c r="F71" s="14">
        <v>578.55805136564595</v>
      </c>
      <c r="G71" s="2">
        <v>19.405587282710599</v>
      </c>
      <c r="H71" s="19">
        <v>241.19105400000001</v>
      </c>
      <c r="I71" s="23">
        <v>4.9309999999999996E-3</v>
      </c>
      <c r="J71" s="2">
        <f t="shared" si="127"/>
        <v>3.9940000000000002</v>
      </c>
      <c r="K71" s="2">
        <f t="shared" si="107"/>
        <v>9.6000000000000002E-2</v>
      </c>
      <c r="L71" s="2">
        <f t="shared" si="108"/>
        <v>3.2737704918032788</v>
      </c>
      <c r="M71" s="2"/>
      <c r="N71" s="17">
        <v>1.1904E-2</v>
      </c>
      <c r="O71" s="25">
        <v>3.1399999999999999E-4</v>
      </c>
      <c r="P71" s="2">
        <f t="shared" si="109"/>
        <v>2.8733812949640289</v>
      </c>
      <c r="Q71" s="2">
        <f t="shared" si="109"/>
        <v>6.9064748201438847E-2</v>
      </c>
      <c r="R71" s="2">
        <f t="shared" si="110"/>
        <v>238.31767270503599</v>
      </c>
      <c r="S71" s="2">
        <f t="shared" si="111"/>
        <v>7.3995748201438852E-2</v>
      </c>
      <c r="T71" s="14">
        <v>571.54421222365602</v>
      </c>
      <c r="U71" s="12">
        <v>19.169818219925901</v>
      </c>
      <c r="V71" s="2">
        <v>0.87469399999999997</v>
      </c>
      <c r="W71" s="2">
        <v>1.2834E-2</v>
      </c>
      <c r="X71" s="2">
        <f t="shared" si="112"/>
        <v>3.2850131531301563</v>
      </c>
      <c r="Y71" s="2">
        <f t="shared" si="113"/>
        <v>9.2507738061547787E-2</v>
      </c>
      <c r="Z71" s="2">
        <f t="shared" si="114"/>
        <v>237.90604084686984</v>
      </c>
      <c r="AA71" s="2">
        <f t="shared" si="115"/>
        <v>9.7438738061547792E-2</v>
      </c>
      <c r="AB71" s="14">
        <v>570.38952628013703</v>
      </c>
      <c r="AC71" s="12">
        <v>18.918015363963502</v>
      </c>
      <c r="AD71" s="2">
        <f t="shared" si="116"/>
        <v>3.1322041274332841</v>
      </c>
      <c r="AE71" s="2">
        <f t="shared" si="116"/>
        <v>0.11654383287371102</v>
      </c>
      <c r="AF71" s="2">
        <f t="shared" si="117"/>
        <v>0.80766845512322394</v>
      </c>
      <c r="AG71" s="2">
        <f t="shared" si="117"/>
        <v>7.4540863450446873E-2</v>
      </c>
      <c r="AH71" s="2">
        <f t="shared" si="118"/>
        <v>0.25463914962593609</v>
      </c>
      <c r="AI71" s="2">
        <f t="shared" si="118"/>
        <v>1.3107571885148977E-2</v>
      </c>
      <c r="AJ71" s="2">
        <f t="shared" si="119"/>
        <v>95.869840071951756</v>
      </c>
      <c r="AK71" s="2">
        <f t="shared" si="119"/>
        <v>10.251480615836105</v>
      </c>
      <c r="AL71" s="2">
        <f t="shared" si="120"/>
        <v>582.37788747944728</v>
      </c>
      <c r="AM71" s="2">
        <f t="shared" si="120"/>
        <v>13.148226198883215</v>
      </c>
      <c r="AN71" s="2">
        <f t="shared" si="121"/>
        <v>12.174212880786547</v>
      </c>
      <c r="AO71" s="2">
        <f t="shared" si="121"/>
        <v>2.1482034847417086</v>
      </c>
      <c r="AP71" s="2">
        <f t="shared" si="122"/>
        <v>2.4295946909542896</v>
      </c>
      <c r="AQ71" s="2">
        <f t="shared" si="122"/>
        <v>0.96662933009724394</v>
      </c>
      <c r="AR71" s="2">
        <f t="shared" si="123"/>
        <v>10.065314452873306</v>
      </c>
      <c r="AS71" s="12">
        <f t="shared" si="123"/>
        <v>0.41894948875977972</v>
      </c>
      <c r="AX71" s="96">
        <f t="shared" si="124"/>
        <v>1.3992935975690519</v>
      </c>
      <c r="AY71" s="2">
        <f t="shared" si="125"/>
        <v>2.3772236047476334E-2</v>
      </c>
      <c r="AZ71" s="2">
        <f t="shared" si="126"/>
        <v>0.17929359756905194</v>
      </c>
      <c r="BA71" s="2">
        <f t="shared" si="99"/>
        <v>8.1334268174606042E-4</v>
      </c>
      <c r="BB71" s="1">
        <v>1.28231175686866E-11</v>
      </c>
      <c r="BC71" s="1">
        <v>4.7712575874472299E-13</v>
      </c>
      <c r="BD71" s="1">
        <v>3.3745051892134699E-12</v>
      </c>
      <c r="BE71" s="1">
        <v>3.1143785414227802E-13</v>
      </c>
      <c r="BF71" s="1">
        <v>2.0710650836242799E-12</v>
      </c>
      <c r="BG71" s="1">
        <v>1.06608251332545E-13</v>
      </c>
      <c r="BH71" s="1">
        <v>1.16598610598109E-5</v>
      </c>
      <c r="BI71" s="1">
        <v>1.98086355769897E-7</v>
      </c>
      <c r="BJ71" s="1">
        <v>1.84045955763621E-9</v>
      </c>
      <c r="BK71" s="1">
        <v>1.9680261764469E-10</v>
      </c>
      <c r="BL71" s="1">
        <v>9.4834626631730604E-9</v>
      </c>
      <c r="BM71" s="1">
        <v>2.1410619277412599E-10</v>
      </c>
      <c r="BN71" s="1">
        <v>1.6282108873667601E-10</v>
      </c>
      <c r="BO71" s="1">
        <v>2.8730632003780801E-11</v>
      </c>
      <c r="BP71" s="1">
        <v>2.7478497478114701E-11</v>
      </c>
      <c r="BQ71" s="1">
        <v>1.09324908011369E-11</v>
      </c>
      <c r="BR71" s="1">
        <v>1.0085154100283699E-10</v>
      </c>
      <c r="BS71" s="85">
        <v>4.1977527618834697E-12</v>
      </c>
      <c r="BU71" s="23">
        <v>3.9940000000000002E-3</v>
      </c>
      <c r="BV71" s="23">
        <v>9.6000000000000002E-5</v>
      </c>
    </row>
    <row r="72" spans="1:75" ht="15" customHeight="1" x14ac:dyDescent="0.3">
      <c r="A72" s="26" t="s">
        <v>78</v>
      </c>
      <c r="B72" s="2">
        <v>0.53</v>
      </c>
      <c r="C72" s="2">
        <f t="shared" si="104"/>
        <v>1973.7060811320755</v>
      </c>
      <c r="D72" s="2">
        <f t="shared" si="105"/>
        <v>1.5206748979173039</v>
      </c>
      <c r="E72" s="2">
        <f t="shared" si="106"/>
        <v>5.614497341273724</v>
      </c>
      <c r="F72" s="14">
        <v>5118.7815400629097</v>
      </c>
      <c r="G72" s="2">
        <v>58.555299647633802</v>
      </c>
      <c r="H72" s="19">
        <v>1046.0642230000001</v>
      </c>
      <c r="I72" s="23">
        <v>5.53E-4</v>
      </c>
      <c r="J72" s="2">
        <f t="shared" si="127"/>
        <v>6.681</v>
      </c>
      <c r="K72" s="2">
        <f t="shared" si="107"/>
        <v>0.128</v>
      </c>
      <c r="L72" s="2">
        <f t="shared" si="108"/>
        <v>12.60566037735849</v>
      </c>
      <c r="M72" s="2"/>
      <c r="N72" s="17">
        <v>4.6670000000000001E-3</v>
      </c>
      <c r="O72" s="25">
        <v>9.1000000000000003E-5</v>
      </c>
      <c r="P72" s="2">
        <f t="shared" si="109"/>
        <v>4.8064748201438849</v>
      </c>
      <c r="Q72" s="2">
        <f t="shared" si="109"/>
        <v>9.2086330935251801E-2</v>
      </c>
      <c r="R72" s="2">
        <f t="shared" si="110"/>
        <v>1041.2577481798562</v>
      </c>
      <c r="S72" s="2">
        <f t="shared" si="111"/>
        <v>9.2639330935251799E-2</v>
      </c>
      <c r="T72" s="14">
        <v>5109.7514838041598</v>
      </c>
      <c r="U72" s="12">
        <v>58.254552680196497</v>
      </c>
      <c r="V72" s="2">
        <v>0.87469399999999997</v>
      </c>
      <c r="W72" s="2">
        <v>1.2834E-2</v>
      </c>
      <c r="X72" s="2">
        <f t="shared" si="112"/>
        <v>5.4950357726746555</v>
      </c>
      <c r="Y72" s="2">
        <f t="shared" si="113"/>
        <v>0.13260512527845184</v>
      </c>
      <c r="Z72" s="2">
        <f t="shared" si="114"/>
        <v>1040.5691872273255</v>
      </c>
      <c r="AA72" s="2">
        <f t="shared" si="115"/>
        <v>0.13315812527845183</v>
      </c>
      <c r="AB72" s="14">
        <v>5109.9280334530504</v>
      </c>
      <c r="AC72" s="12">
        <v>57.856967850126402</v>
      </c>
      <c r="AD72" s="2">
        <f t="shared" si="116"/>
        <v>1.4595408432198924</v>
      </c>
      <c r="AE72" s="2">
        <f t="shared" si="116"/>
        <v>4.8842307346739125E-2</v>
      </c>
      <c r="AF72" s="2">
        <f t="shared" si="117"/>
        <v>0.25472522790588142</v>
      </c>
      <c r="AG72" s="2">
        <f t="shared" si="117"/>
        <v>0.17812776874592182</v>
      </c>
      <c r="AH72" s="2">
        <f t="shared" si="118"/>
        <v>0.1632693440118835</v>
      </c>
      <c r="AI72" s="2">
        <f t="shared" si="118"/>
        <v>1.3530439476852256E-2</v>
      </c>
      <c r="AJ72" s="2">
        <f t="shared" si="119"/>
        <v>102.76117781167697</v>
      </c>
      <c r="AK72" s="2">
        <f t="shared" si="119"/>
        <v>11.045764123323908</v>
      </c>
      <c r="AL72" s="2">
        <f t="shared" si="120"/>
        <v>1499.3056922533701</v>
      </c>
      <c r="AM72" s="2">
        <f t="shared" si="120"/>
        <v>44.510874666826886</v>
      </c>
      <c r="AN72" s="2">
        <f t="shared" si="121"/>
        <v>7.8921857744617725</v>
      </c>
      <c r="AO72" s="2">
        <f t="shared" si="121"/>
        <v>4.045953901544415</v>
      </c>
      <c r="AP72" s="2">
        <f t="shared" si="122"/>
        <v>3.2973949813477477</v>
      </c>
      <c r="AQ72" s="2">
        <f t="shared" si="122"/>
        <v>1.3663238250371015</v>
      </c>
      <c r="AR72" s="2">
        <f t="shared" si="123"/>
        <v>10.476339866928772</v>
      </c>
      <c r="AS72" s="12">
        <f t="shared" si="123"/>
        <v>0.71568928746458405</v>
      </c>
      <c r="AX72" s="96">
        <f t="shared" si="124"/>
        <v>0.66621924480117256</v>
      </c>
      <c r="AY72" s="2">
        <f t="shared" si="125"/>
        <v>9.1358693811896558E-3</v>
      </c>
      <c r="AZ72" s="2">
        <f t="shared" si="126"/>
        <v>0.13621924480117253</v>
      </c>
      <c r="BA72" s="2">
        <f t="shared" si="99"/>
        <v>1.9113351414890951E-3</v>
      </c>
      <c r="BB72" s="1">
        <v>2.59582767418303E-12</v>
      </c>
      <c r="BC72" s="1">
        <v>8.6867190918697099E-14</v>
      </c>
      <c r="BD72" s="1">
        <v>4.6234373558259298E-13</v>
      </c>
      <c r="BE72" s="1">
        <v>3.2331410080595398E-13</v>
      </c>
      <c r="BF72" s="1">
        <v>5.7688501550865504E-13</v>
      </c>
      <c r="BG72" s="1">
        <v>4.7807552818211301E-14</v>
      </c>
      <c r="BH72" s="1">
        <v>5.5492136513487597E-6</v>
      </c>
      <c r="BI72" s="1">
        <v>7.6096407425406696E-8</v>
      </c>
      <c r="BJ72" s="1">
        <v>8.5701690385820297E-10</v>
      </c>
      <c r="BK72" s="1">
        <v>9.2120456103252102E-11</v>
      </c>
      <c r="BL72" s="1">
        <v>1.0606407059453899E-8</v>
      </c>
      <c r="BM72" s="1">
        <v>3.14879385656944E-10</v>
      </c>
      <c r="BN72" s="1">
        <v>4.5854620263809902E-11</v>
      </c>
      <c r="BO72" s="1">
        <v>2.3507515542847399E-11</v>
      </c>
      <c r="BP72" s="1">
        <v>1.6201161955263799E-11</v>
      </c>
      <c r="BQ72" s="1">
        <v>6.7131883495843497E-12</v>
      </c>
      <c r="BR72" s="1">
        <v>4.5601676490409401E-11</v>
      </c>
      <c r="BS72" s="85">
        <v>3.1152703872883501E-12</v>
      </c>
      <c r="BU72" s="23">
        <v>6.6810000000000003E-3</v>
      </c>
      <c r="BV72" s="23">
        <v>1.2799999999999999E-4</v>
      </c>
    </row>
    <row r="73" spans="1:75" ht="15" customHeight="1" x14ac:dyDescent="0.3">
      <c r="A73" s="26" t="s">
        <v>79</v>
      </c>
      <c r="B73" s="2">
        <v>0.75</v>
      </c>
      <c r="C73" s="2">
        <f t="shared" si="104"/>
        <v>311.552616</v>
      </c>
      <c r="D73" s="2">
        <f t="shared" si="105"/>
        <v>2.2470698172800385</v>
      </c>
      <c r="E73" s="2">
        <f t="shared" si="106"/>
        <v>5.0061722640179509</v>
      </c>
      <c r="F73" s="14">
        <v>1253.6213794000601</v>
      </c>
      <c r="G73" s="2">
        <v>39.104845199204597</v>
      </c>
      <c r="H73" s="19">
        <v>233.66446199999999</v>
      </c>
      <c r="I73" s="23">
        <v>1.449E-3</v>
      </c>
      <c r="J73" s="2">
        <f t="shared" si="127"/>
        <v>2.8890000000000002</v>
      </c>
      <c r="K73" s="2">
        <f t="shared" si="107"/>
        <v>7.5999999999999998E-2</v>
      </c>
      <c r="L73" s="2">
        <f t="shared" si="108"/>
        <v>3.8520000000000003</v>
      </c>
      <c r="M73" s="2"/>
      <c r="N73" s="17">
        <v>9.0320000000000001E-3</v>
      </c>
      <c r="O73" s="25">
        <v>2.5999999999999998E-4</v>
      </c>
      <c r="P73" s="2">
        <f t="shared" si="109"/>
        <v>2.0784172661870506</v>
      </c>
      <c r="Q73" s="2">
        <f t="shared" si="109"/>
        <v>5.4676258992805746E-2</v>
      </c>
      <c r="R73" s="2">
        <f t="shared" si="110"/>
        <v>231.58604473381294</v>
      </c>
      <c r="S73" s="2">
        <f t="shared" si="111"/>
        <v>5.6125258992805745E-2</v>
      </c>
      <c r="T73" s="14">
        <v>1244.0976420792899</v>
      </c>
      <c r="U73" s="12">
        <v>39.209329135952103</v>
      </c>
      <c r="V73" s="2">
        <v>0.67700099999999996</v>
      </c>
      <c r="W73" s="2">
        <v>1.6670000000000001E-2</v>
      </c>
      <c r="X73" s="2">
        <f t="shared" si="112"/>
        <v>3.0700357402530432</v>
      </c>
      <c r="Y73" s="2">
        <f t="shared" si="113"/>
        <v>0.11062137716610461</v>
      </c>
      <c r="Z73" s="2">
        <f t="shared" si="114"/>
        <v>230.59442625974694</v>
      </c>
      <c r="AA73" s="2">
        <f t="shared" si="115"/>
        <v>0.11207037716610461</v>
      </c>
      <c r="AB73" s="14">
        <v>1239.6068680723599</v>
      </c>
      <c r="AC73" s="12">
        <v>39.345304980680297</v>
      </c>
      <c r="AD73" s="2">
        <f t="shared" si="116"/>
        <v>2.146248571714553</v>
      </c>
      <c r="AE73" s="2">
        <f t="shared" si="116"/>
        <v>7.4799979367180108E-2</v>
      </c>
      <c r="AF73" s="2">
        <f t="shared" si="117"/>
        <v>0.42008852318952383</v>
      </c>
      <c r="AG73" s="2">
        <f t="shared" si="117"/>
        <v>0.12870631694037801</v>
      </c>
      <c r="AH73" s="2">
        <f t="shared" si="118"/>
        <v>0.14498489572807821</v>
      </c>
      <c r="AI73" s="2">
        <f t="shared" si="118"/>
        <v>1.6677710364384739E-2</v>
      </c>
      <c r="AJ73" s="2">
        <f t="shared" si="119"/>
        <v>64.340122758263774</v>
      </c>
      <c r="AK73" s="2">
        <f t="shared" si="119"/>
        <v>12.077811947384683</v>
      </c>
      <c r="AL73" s="2">
        <f t="shared" si="120"/>
        <v>996.12779376069761</v>
      </c>
      <c r="AM73" s="2">
        <f t="shared" si="120"/>
        <v>55.989256336032163</v>
      </c>
      <c r="AN73" s="2">
        <f t="shared" si="121"/>
        <v>0</v>
      </c>
      <c r="AO73" s="2">
        <f t="shared" si="121"/>
        <v>3.7480106671486078</v>
      </c>
      <c r="AP73" s="2">
        <f t="shared" si="122"/>
        <v>3.0910097940917929</v>
      </c>
      <c r="AQ73" s="2">
        <f t="shared" si="122"/>
        <v>1.3912334134201356</v>
      </c>
      <c r="AR73" s="2">
        <f t="shared" si="123"/>
        <v>3.542087656198067</v>
      </c>
      <c r="AS73" s="12">
        <f t="shared" si="123"/>
        <v>0.31706091623042892</v>
      </c>
      <c r="AX73" s="96">
        <f t="shared" si="124"/>
        <v>0.72689500476014335</v>
      </c>
      <c r="AY73" s="2">
        <f t="shared" si="125"/>
        <v>1.7020022445213424E-2</v>
      </c>
      <c r="AZ73" s="2">
        <f t="shared" si="126"/>
        <v>-2.3104995239856652E-2</v>
      </c>
      <c r="BA73" s="2">
        <f t="shared" si="99"/>
        <v>1.6468406910496516E-3</v>
      </c>
      <c r="BB73" s="1">
        <v>5.4016323113621303E-12</v>
      </c>
      <c r="BC73" s="1">
        <v>1.8825498162880899E-13</v>
      </c>
      <c r="BD73" s="1">
        <v>1.07899449449364E-12</v>
      </c>
      <c r="BE73" s="1">
        <v>3.3058129351124498E-13</v>
      </c>
      <c r="BF73" s="1">
        <v>7.2492447864039104E-13</v>
      </c>
      <c r="BG73" s="1">
        <v>8.3388551821923695E-14</v>
      </c>
      <c r="BH73" s="1">
        <v>6.0551786828921997E-6</v>
      </c>
      <c r="BI73" s="1">
        <v>1.41780142135672E-7</v>
      </c>
      <c r="BJ73" s="1">
        <v>7.5932481618722004E-10</v>
      </c>
      <c r="BK73" s="1">
        <v>1.4253908671185701E-10</v>
      </c>
      <c r="BL73" s="1">
        <v>9.9719146465633094E-9</v>
      </c>
      <c r="BM73" s="1">
        <v>5.6049041980811695E-10</v>
      </c>
      <c r="BN73">
        <v>0</v>
      </c>
      <c r="BO73" s="1">
        <v>3.0815698315736198E-11</v>
      </c>
      <c r="BP73" s="1">
        <v>2.1491214847212799E-11</v>
      </c>
      <c r="BQ73" s="1">
        <v>9.6729865584972799E-12</v>
      </c>
      <c r="BR73" s="1">
        <v>2.1818049787685201E-11</v>
      </c>
      <c r="BS73" s="85">
        <v>1.95298691830504E-12</v>
      </c>
      <c r="BU73" s="23">
        <v>2.8890000000000001E-3</v>
      </c>
      <c r="BV73" s="23">
        <v>7.6000000000000004E-5</v>
      </c>
    </row>
    <row r="74" spans="1:75" ht="15" customHeight="1" x14ac:dyDescent="0.3">
      <c r="A74" s="26" t="s">
        <v>80</v>
      </c>
      <c r="B74" s="2">
        <v>1.1100000000000001</v>
      </c>
      <c r="C74" s="2">
        <f t="shared" si="104"/>
        <v>651.54193423423419</v>
      </c>
      <c r="D74" s="2">
        <f t="shared" si="105"/>
        <v>0.53020679552584637</v>
      </c>
      <c r="E74" s="2">
        <f t="shared" si="106"/>
        <v>3.9462378116685644</v>
      </c>
      <c r="F74" s="14">
        <v>5051.7872118846099</v>
      </c>
      <c r="G74" s="2">
        <v>426.13109275986301</v>
      </c>
      <c r="H74" s="19">
        <v>723.211547</v>
      </c>
      <c r="I74" s="23">
        <v>2.5279999999999999E-3</v>
      </c>
      <c r="J74" s="2">
        <f t="shared" si="127"/>
        <v>3.5430000000000001</v>
      </c>
      <c r="K74" s="2">
        <f t="shared" si="107"/>
        <v>0.10500000000000001</v>
      </c>
      <c r="L74" s="2">
        <f t="shared" si="108"/>
        <v>3.1918918918918919</v>
      </c>
      <c r="M74" s="2"/>
      <c r="N74" s="17">
        <v>3.4680000000000002E-3</v>
      </c>
      <c r="O74" s="25">
        <v>9.8999999999999994E-5</v>
      </c>
      <c r="P74" s="2">
        <f t="shared" si="109"/>
        <v>2.5489208633093527</v>
      </c>
      <c r="Q74" s="2">
        <f t="shared" si="109"/>
        <v>7.5539568345323743E-2</v>
      </c>
      <c r="R74" s="2">
        <f t="shared" si="110"/>
        <v>720.66262613669062</v>
      </c>
      <c r="S74" s="2">
        <f t="shared" si="111"/>
        <v>7.8067568345323746E-2</v>
      </c>
      <c r="T74" s="14">
        <v>5050.8046529486601</v>
      </c>
      <c r="U74" s="12">
        <v>429.571879056321</v>
      </c>
      <c r="V74" s="2">
        <v>0.67700099999999996</v>
      </c>
      <c r="W74" s="2">
        <v>1.6670000000000001E-2</v>
      </c>
      <c r="X74" s="2">
        <f t="shared" si="112"/>
        <v>3.765017870445321</v>
      </c>
      <c r="Y74" s="2">
        <f t="shared" si="113"/>
        <v>0.14506773962301833</v>
      </c>
      <c r="Z74" s="2">
        <f t="shared" si="114"/>
        <v>719.44652912955462</v>
      </c>
      <c r="AA74" s="2">
        <f t="shared" si="115"/>
        <v>0.14759573962301833</v>
      </c>
      <c r="AB74" s="14">
        <v>5044.42139963311</v>
      </c>
      <c r="AC74" s="12">
        <v>426.00629778491901</v>
      </c>
      <c r="AD74" s="2">
        <f t="shared" si="116"/>
        <v>0.50038726356926133</v>
      </c>
      <c r="AE74" s="2">
        <f t="shared" si="116"/>
        <v>0.12622017332863786</v>
      </c>
      <c r="AF74" s="2">
        <f t="shared" si="117"/>
        <v>0.12424804981910437</v>
      </c>
      <c r="AG74" s="2">
        <f t="shared" si="117"/>
        <v>9.0042465708924241E-2</v>
      </c>
      <c r="AH74" s="2">
        <f t="shared" si="118"/>
        <v>9.3200518737195814E-2</v>
      </c>
      <c r="AI74" s="2">
        <f t="shared" si="118"/>
        <v>1.7350603482767023E-2</v>
      </c>
      <c r="AJ74" s="2">
        <f t="shared" si="119"/>
        <v>979.31100453140743</v>
      </c>
      <c r="AK74" s="2">
        <f t="shared" si="119"/>
        <v>62.601441180829092</v>
      </c>
      <c r="AL74" s="2">
        <f t="shared" si="120"/>
        <v>1028.863954626825</v>
      </c>
      <c r="AM74" s="2">
        <f t="shared" si="120"/>
        <v>34.427637678128413</v>
      </c>
      <c r="AN74" s="2">
        <f t="shared" si="121"/>
        <v>0</v>
      </c>
      <c r="AO74" s="2">
        <f t="shared" si="121"/>
        <v>4.8123870916835783</v>
      </c>
      <c r="AP74" s="2">
        <f t="shared" si="122"/>
        <v>7.6265444803978335</v>
      </c>
      <c r="AQ74" s="2">
        <f t="shared" si="122"/>
        <v>3.3439518425530501</v>
      </c>
      <c r="AR74" s="2">
        <f t="shared" si="123"/>
        <v>4.602552617926472</v>
      </c>
      <c r="AS74" s="12">
        <f t="shared" si="123"/>
        <v>0.28581673517706052</v>
      </c>
      <c r="AX74" s="96">
        <f t="shared" si="124"/>
        <v>1.1187518659661801</v>
      </c>
      <c r="AY74" s="2">
        <f t="shared" si="125"/>
        <v>2.6910475507725126E-2</v>
      </c>
      <c r="AZ74" s="2">
        <f t="shared" si="126"/>
        <v>8.7518659661800502E-3</v>
      </c>
      <c r="BA74" s="2">
        <f t="shared" si="99"/>
        <v>1.6356575284708307E-3</v>
      </c>
      <c r="BB74" s="1">
        <v>1.86385859920094E-12</v>
      </c>
      <c r="BC74" s="1">
        <v>4.7014896776774502E-13</v>
      </c>
      <c r="BD74" s="1">
        <v>4.7231279212056802E-13</v>
      </c>
      <c r="BE74" s="1">
        <v>3.4228471553734902E-13</v>
      </c>
      <c r="BF74" s="1">
        <v>6.8968383865524905E-13</v>
      </c>
      <c r="BG74" s="1">
        <v>1.2839446577247599E-13</v>
      </c>
      <c r="BH74" s="1">
        <v>9.3194607912081906E-6</v>
      </c>
      <c r="BI74" s="1">
        <v>2.2417046084693999E-7</v>
      </c>
      <c r="BJ74" s="1">
        <v>1.7105196145237801E-8</v>
      </c>
      <c r="BK74" s="1">
        <v>1.09343193879969E-9</v>
      </c>
      <c r="BL74" s="1">
        <v>1.52434462044284E-8</v>
      </c>
      <c r="BM74" s="1">
        <v>5.1007311562630197E-10</v>
      </c>
      <c r="BN74">
        <v>0</v>
      </c>
      <c r="BO74" s="1">
        <v>5.8558974695996196E-11</v>
      </c>
      <c r="BP74" s="1">
        <v>7.84783941155242E-11</v>
      </c>
      <c r="BQ74" s="1">
        <v>3.4409813156891498E-11</v>
      </c>
      <c r="BR74" s="1">
        <v>4.1958224424263998E-11</v>
      </c>
      <c r="BS74" s="85">
        <v>2.6055894878986301E-12</v>
      </c>
      <c r="BU74" s="23">
        <v>3.5430000000000001E-3</v>
      </c>
      <c r="BV74" s="23">
        <v>1.05E-4</v>
      </c>
    </row>
    <row r="75" spans="1:75" ht="15" customHeight="1" x14ac:dyDescent="0.3">
      <c r="A75" s="26" t="s">
        <v>80</v>
      </c>
      <c r="B75" s="2">
        <v>0.6</v>
      </c>
      <c r="C75" s="2">
        <f t="shared" si="104"/>
        <v>1469.2285183333333</v>
      </c>
      <c r="D75" s="2">
        <f t="shared" si="105"/>
        <v>30.3184499980763</v>
      </c>
      <c r="E75" s="2">
        <f t="shared" si="106"/>
        <v>5.2216686619327417</v>
      </c>
      <c r="F75" s="14">
        <v>474.73577108002797</v>
      </c>
      <c r="G75" s="2">
        <v>6.0087613819295402</v>
      </c>
      <c r="H75" s="19">
        <v>881.53711099999998</v>
      </c>
      <c r="I75" s="23">
        <v>3.6280000000000001E-3</v>
      </c>
      <c r="J75" s="2">
        <f t="shared" si="127"/>
        <v>2.0709999999999997</v>
      </c>
      <c r="K75" s="2">
        <f t="shared" si="107"/>
        <v>8.5000000000000006E-2</v>
      </c>
      <c r="L75" s="2">
        <f t="shared" si="108"/>
        <v>3.4516666666666662</v>
      </c>
      <c r="M75" s="2"/>
      <c r="N75" s="17">
        <v>1.5820000000000001E-3</v>
      </c>
      <c r="O75" s="25">
        <v>7.1000000000000005E-5</v>
      </c>
      <c r="P75" s="2">
        <f t="shared" si="109"/>
        <v>1.4899280575539566</v>
      </c>
      <c r="Q75" s="2">
        <f t="shared" si="109"/>
        <v>6.1151079136690649E-2</v>
      </c>
      <c r="R75" s="2">
        <f t="shared" si="110"/>
        <v>880.04718294244606</v>
      </c>
      <c r="S75" s="2">
        <f t="shared" si="111"/>
        <v>6.4779079136690648E-2</v>
      </c>
      <c r="T75" s="14">
        <v>474.14199034533999</v>
      </c>
      <c r="U75" s="12">
        <v>5.9825156866678002</v>
      </c>
      <c r="V75" s="2">
        <v>0.67700099999999996</v>
      </c>
      <c r="W75" s="2">
        <v>1.6670000000000001E-2</v>
      </c>
      <c r="X75" s="2">
        <f t="shared" si="112"/>
        <v>2.2007767456088789</v>
      </c>
      <c r="Y75" s="2">
        <f t="shared" si="113"/>
        <v>0.10533499512592948</v>
      </c>
      <c r="Z75" s="2">
        <f t="shared" si="114"/>
        <v>879.33633425439109</v>
      </c>
      <c r="AA75" s="2">
        <f t="shared" si="115"/>
        <v>0.10896299512592948</v>
      </c>
      <c r="AB75" s="14">
        <v>473.57443824898297</v>
      </c>
      <c r="AC75" s="12">
        <v>6.1182451739521602</v>
      </c>
      <c r="AD75" s="2">
        <f t="shared" si="116"/>
        <v>29.011846289712746</v>
      </c>
      <c r="AE75" s="2">
        <f t="shared" si="116"/>
        <v>0.40388208627541949</v>
      </c>
      <c r="AF75" s="2">
        <f t="shared" si="117"/>
        <v>5.4441821181814758</v>
      </c>
      <c r="AG75" s="2">
        <f t="shared" si="117"/>
        <v>0.33481142404891984</v>
      </c>
      <c r="AH75" s="2">
        <f t="shared" si="118"/>
        <v>2.0054281221374533</v>
      </c>
      <c r="AI75" s="2">
        <f t="shared" si="118"/>
        <v>0.1702824610227045</v>
      </c>
      <c r="AJ75" s="2">
        <f t="shared" si="119"/>
        <v>138.47521087618574</v>
      </c>
      <c r="AK75" s="2">
        <f t="shared" si="119"/>
        <v>15.534870022247862</v>
      </c>
      <c r="AL75" s="2">
        <f t="shared" si="120"/>
        <v>728.93214535967957</v>
      </c>
      <c r="AM75" s="2">
        <f t="shared" si="120"/>
        <v>53.844806400494377</v>
      </c>
      <c r="AN75" s="2">
        <f t="shared" si="121"/>
        <v>202.96964234420864</v>
      </c>
      <c r="AO75" s="2">
        <f t="shared" si="121"/>
        <v>10.187266074079586</v>
      </c>
      <c r="AP75" s="2">
        <f t="shared" si="122"/>
        <v>11.798626068202008</v>
      </c>
      <c r="AQ75" s="2">
        <f t="shared" si="122"/>
        <v>4.7664013278608639</v>
      </c>
      <c r="AR75" s="2">
        <f t="shared" si="123"/>
        <v>10.593300776606025</v>
      </c>
      <c r="AS75" s="12">
        <f t="shared" si="123"/>
        <v>0.76017643667404344</v>
      </c>
      <c r="AX75" s="96">
        <f t="shared" si="124"/>
        <v>0.57474512405871503</v>
      </c>
      <c r="AY75" s="2">
        <f t="shared" si="125"/>
        <v>1.4904933915945266E-2</v>
      </c>
      <c r="AZ75" s="2">
        <f t="shared" si="126"/>
        <v>-2.5254875941284949E-2</v>
      </c>
      <c r="BA75" s="2">
        <f t="shared" si="99"/>
        <v>1.2191122282323376E-3</v>
      </c>
      <c r="BB75" s="1">
        <v>5.8413113334992098E-11</v>
      </c>
      <c r="BC75" s="1">
        <v>8.1318540860822696E-13</v>
      </c>
      <c r="BD75" s="1">
        <v>1.1186675585304401E-11</v>
      </c>
      <c r="BE75" s="1">
        <v>6.8796867955257499E-13</v>
      </c>
      <c r="BF75" s="1">
        <v>8.0217124885498105E-12</v>
      </c>
      <c r="BG75" s="1">
        <v>6.8112984409081796E-13</v>
      </c>
      <c r="BH75" s="1">
        <v>4.7884713897938099E-6</v>
      </c>
      <c r="BI75" s="1">
        <v>1.24180000204717E-7</v>
      </c>
      <c r="BJ75" s="1">
        <v>1.3073977423400701E-9</v>
      </c>
      <c r="BK75" s="1">
        <v>1.46670684710444E-10</v>
      </c>
      <c r="BL75" s="1">
        <v>5.8376840258383299E-9</v>
      </c>
      <c r="BM75" s="1">
        <v>4.31218417515972E-10</v>
      </c>
      <c r="BN75" s="1">
        <v>1.3350338237944E-9</v>
      </c>
      <c r="BO75" s="1">
        <v>6.7006792857353104E-11</v>
      </c>
      <c r="BP75" s="1">
        <v>6.5626917965339803E-11</v>
      </c>
      <c r="BQ75" s="1">
        <v>2.65119198731484E-11</v>
      </c>
      <c r="BR75" s="1">
        <v>5.2200890817703799E-11</v>
      </c>
      <c r="BS75" s="85">
        <v>3.7459417050297798E-12</v>
      </c>
      <c r="BU75" s="23">
        <v>2.0709999999999999E-3</v>
      </c>
      <c r="BV75" s="23">
        <v>8.5000000000000006E-5</v>
      </c>
    </row>
    <row r="76" spans="1:75" ht="30.6" customHeight="1" x14ac:dyDescent="0.7">
      <c r="A76" s="15" t="s">
        <v>47</v>
      </c>
      <c r="B76" s="8"/>
      <c r="C76" s="8"/>
      <c r="D76" s="8"/>
      <c r="E76" s="8"/>
      <c r="H76" s="20"/>
      <c r="I76" s="22"/>
      <c r="K76" s="2"/>
      <c r="L76" s="2"/>
      <c r="M76" s="2"/>
      <c r="N76" s="18"/>
      <c r="O76" s="82"/>
      <c r="P76" s="8"/>
      <c r="Q76" s="8"/>
      <c r="R76" s="8"/>
      <c r="S76" s="8"/>
      <c r="V76" s="8"/>
      <c r="W76" s="8"/>
      <c r="X76" s="8"/>
      <c r="Y76" s="8"/>
      <c r="Z76" s="8"/>
      <c r="AA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16"/>
      <c r="AT76" s="8"/>
      <c r="AU76" s="7"/>
      <c r="AV76" s="7"/>
      <c r="AW76" s="7"/>
      <c r="AX76" s="95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84"/>
      <c r="BU76" s="22"/>
      <c r="BV76" s="22"/>
      <c r="BW76" s="22"/>
    </row>
    <row r="77" spans="1:75" ht="15" customHeight="1" x14ac:dyDescent="0.3">
      <c r="A77" s="26" t="s">
        <v>54</v>
      </c>
      <c r="B77" s="2">
        <v>3.38</v>
      </c>
      <c r="C77" s="2">
        <f>H77/B77</f>
        <v>2.8595357988165682</v>
      </c>
      <c r="D77" s="2">
        <f>AD77+(0.24*AF77)</f>
        <v>0.15869851534842414</v>
      </c>
      <c r="E77" s="2">
        <f>BB77/BD77</f>
        <v>0.14779977827885635</v>
      </c>
      <c r="F77" s="14">
        <v>184.88712584411999</v>
      </c>
      <c r="G77" s="2">
        <v>7.8597199957361603</v>
      </c>
      <c r="H77" s="19">
        <v>9.6652310000000003</v>
      </c>
      <c r="I77" s="23">
        <v>1.6799999999999999E-4</v>
      </c>
      <c r="J77" s="2">
        <f t="shared" si="127"/>
        <v>0.52800000000000002</v>
      </c>
      <c r="K77" s="2">
        <f t="shared" si="107"/>
        <v>3.6000000000000004E-2</v>
      </c>
      <c r="L77" s="2">
        <f t="shared" si="108"/>
        <v>0.15621301775147931</v>
      </c>
      <c r="M77" s="2"/>
      <c r="N77" s="17">
        <v>3.4095E-2</v>
      </c>
      <c r="O77" s="25">
        <v>3.5790000000000001E-3</v>
      </c>
      <c r="P77" s="2">
        <f>(J77/1000000)/$F$105</f>
        <v>0.37985611510791373</v>
      </c>
      <c r="Q77" s="2">
        <f>(K77/1000000)/$F$105</f>
        <v>2.5899280575539571E-2</v>
      </c>
      <c r="R77" s="2">
        <f>H77-P77</f>
        <v>9.2853748848920858</v>
      </c>
      <c r="S77" s="2">
        <f>I77+Q77</f>
        <v>2.6067280575539573E-2</v>
      </c>
      <c r="T77" s="14">
        <v>177.10007211437099</v>
      </c>
      <c r="U77" s="12">
        <v>7.5283529663481596</v>
      </c>
      <c r="AD77" s="2">
        <f>1000000*(BB77*298)/($B77/1000)</f>
        <v>6.1246976549329285E-2</v>
      </c>
      <c r="AE77" s="2">
        <f>1000000*(BC77*298)/($B77/1000)</f>
        <v>3.2012445190618189E-3</v>
      </c>
      <c r="AF77" s="2">
        <f>1000000*(BD77*292)/($B77/1000)</f>
        <v>0.40604807832956191</v>
      </c>
      <c r="AG77" s="2">
        <f>1000000*(BE77*292)/($B77/1000)</f>
        <v>2.5048064366859763E-2</v>
      </c>
      <c r="AH77" s="2">
        <f>1000000*(BF77*150)/($B77/1000)</f>
        <v>0.31116336398228694</v>
      </c>
      <c r="AI77" s="2">
        <f>1000000*(BG77*150)/($B77/1000)</f>
        <v>3.4570114860546036E-2</v>
      </c>
      <c r="AJ77" s="2">
        <f>1000000*(BJ77*63.55)/($B77/1000)</f>
        <v>15.724108436481036</v>
      </c>
      <c r="AK77" s="2">
        <f>1000000*(BK77*63.55)/($B77/1000)</f>
        <v>4.6579380577529346</v>
      </c>
      <c r="AL77" s="2">
        <f>1000000*(BL77*74.92)/($B77/1000)</f>
        <v>3.858843452702855</v>
      </c>
      <c r="AM77" s="2">
        <f>1000000*(BM77*74.92)/($B77/1000)</f>
        <v>1.2224072868882978</v>
      </c>
      <c r="AN77" s="2">
        <f>1000000*(BN77*91.22)/($B77/1000)</f>
        <v>1.6308972075626578</v>
      </c>
      <c r="AO77" s="2">
        <f>1000000*(BO77*91.22)/($B77/1000)</f>
        <v>0.65227171309773824</v>
      </c>
      <c r="AP77" s="2">
        <f>1000000*(BP77*107.87)/($B77/1000)</f>
        <v>1.097690779998618</v>
      </c>
      <c r="AQ77" s="2">
        <f>1000000*(BQ77*107.87)/($B77/1000)</f>
        <v>0.48158007138004971</v>
      </c>
      <c r="AR77" s="2">
        <f>1000000*(BR77*121.76)/($B77/1000)</f>
        <v>18.577740207794104</v>
      </c>
      <c r="AS77" s="12">
        <f>1000000*(BS77*121.76)/($B77/1000)</f>
        <v>0.77992301167042233</v>
      </c>
      <c r="AX77" s="96">
        <f xml:space="preserve"> (119974.6 + (42856.8 *$BA77))*BH77</f>
        <v>3.049208941049502</v>
      </c>
      <c r="AY77" s="2">
        <f xml:space="preserve"> (119974.6 + (42856.8 *$BA77))*BI77</f>
        <v>4.5319693120293589E-2</v>
      </c>
      <c r="AZ77" s="2">
        <f>AX77-B77</f>
        <v>-0.33079105895049787</v>
      </c>
      <c r="BA77" s="2">
        <f t="shared" si="99"/>
        <v>6.849821914344344E-6</v>
      </c>
      <c r="BB77" s="1">
        <v>6.9468047227091598E-13</v>
      </c>
      <c r="BC77" s="1">
        <v>3.6309417699425999E-14</v>
      </c>
      <c r="BD77" s="1">
        <v>4.7001455642257502E-12</v>
      </c>
      <c r="BE77" s="1">
        <v>2.8993992315063699E-13</v>
      </c>
      <c r="BF77" s="1">
        <v>7.0115478017341998E-12</v>
      </c>
      <c r="BG77" s="1">
        <v>7.7897992152430403E-13</v>
      </c>
      <c r="BH77" s="1">
        <v>2.5415391925209598E-5</v>
      </c>
      <c r="BI77" s="1">
        <v>3.7774314087707101E-7</v>
      </c>
      <c r="BJ77" s="1">
        <v>8.3630977994187095E-10</v>
      </c>
      <c r="BK77" s="1">
        <v>2.4773927042021899E-10</v>
      </c>
      <c r="BL77" s="1">
        <v>1.74090908570951E-10</v>
      </c>
      <c r="BM77" s="1">
        <v>5.5148646952515302E-11</v>
      </c>
      <c r="BN77" s="1">
        <v>6.0430087278686503E-11</v>
      </c>
      <c r="BO77" s="1">
        <v>2.4168804979942499E-11</v>
      </c>
      <c r="BP77" s="1">
        <v>3.4395057350471199E-11</v>
      </c>
      <c r="BQ77" s="1">
        <v>1.5089836296139499E-11</v>
      </c>
      <c r="BR77" s="1">
        <v>5.1570927974986903E-10</v>
      </c>
      <c r="BS77" s="85">
        <v>2.1650293852217701E-11</v>
      </c>
      <c r="BU77" s="23">
        <v>5.2800000000000004E-4</v>
      </c>
      <c r="BV77" s="23">
        <v>3.6000000000000001E-5</v>
      </c>
    </row>
    <row r="78" spans="1:75" ht="15" customHeight="1" x14ac:dyDescent="0.3">
      <c r="A78" s="27" t="s">
        <v>106</v>
      </c>
      <c r="B78" s="2">
        <v>3.9</v>
      </c>
      <c r="C78" s="2">
        <f>H78/B78</f>
        <v>0.83221820512820521</v>
      </c>
      <c r="D78" s="2">
        <f>AD78+(0.24*AF78)</f>
        <v>5.8950183543888042E-2</v>
      </c>
      <c r="E78" s="2">
        <f>BB78/BD78</f>
        <v>5.1195360389225959E-2</v>
      </c>
      <c r="F78" s="14">
        <v>144.020549805679</v>
      </c>
      <c r="G78" s="2">
        <v>9.9154788301670091</v>
      </c>
      <c r="H78" s="19">
        <v>3.2456510000000001</v>
      </c>
      <c r="I78" s="23">
        <v>9.8999999999999994E-5</v>
      </c>
      <c r="J78" s="2">
        <f t="shared" si="127"/>
        <v>2.9060000000000001</v>
      </c>
      <c r="K78" s="2">
        <f t="shared" si="107"/>
        <v>8.6999999999999994E-2</v>
      </c>
      <c r="L78" s="2">
        <f t="shared" si="108"/>
        <v>0.74512820512820521</v>
      </c>
      <c r="M78" s="2"/>
      <c r="N78" s="17">
        <v>0.60962300000000003</v>
      </c>
      <c r="O78" s="25">
        <v>2.0041E-2</v>
      </c>
      <c r="P78" s="2">
        <f>(J78/1000000)/$F$105</f>
        <v>2.0906474820143885</v>
      </c>
      <c r="Q78" s="2">
        <f>(K78/1000000)/$F$105</f>
        <v>6.2589928057553951E-2</v>
      </c>
      <c r="R78" s="2">
        <f>H78-P78</f>
        <v>1.1550035179856115</v>
      </c>
      <c r="S78" s="2">
        <f>I78+Q78</f>
        <v>6.2688928057553953E-2</v>
      </c>
      <c r="T78" s="14">
        <v>52.239981132344397</v>
      </c>
      <c r="U78" s="12">
        <v>4.6951205495473101</v>
      </c>
      <c r="AD78" s="2">
        <f>1000000*(BB78*298)/($B78/1000)</f>
        <v>1.0538981491360283E-2</v>
      </c>
      <c r="AE78" s="2">
        <f>1000000*(BC78*298)/($B78/1000)</f>
        <v>2.3985979479877895E-3</v>
      </c>
      <c r="AF78" s="2">
        <f>1000000*(BD78*292)/($B78/1000)</f>
        <v>0.20171334188553233</v>
      </c>
      <c r="AG78" s="2">
        <f>1000000*(BE78*292)/($B78/1000)</f>
        <v>1.3790130127219764E-2</v>
      </c>
      <c r="AH78" s="2">
        <f>1000000*(BF78*150)/($B78/1000)</f>
        <v>2.3089146017546195E-2</v>
      </c>
      <c r="AI78" s="2">
        <f>1000000*(BG78*150)/($B78/1000)</f>
        <v>1.1406396353410383E-2</v>
      </c>
      <c r="AJ78" s="2">
        <f>1000000*(BJ78*63.55)/($B78/1000)</f>
        <v>56.975602501974414</v>
      </c>
      <c r="AK78" s="2">
        <f>1000000*(BK78*63.55)/($B78/1000)</f>
        <v>6.5109781400456939</v>
      </c>
      <c r="AL78" s="2">
        <f>1000000*(BL78*74.92)/($B78/1000)</f>
        <v>62.103120980400092</v>
      </c>
      <c r="AM78" s="2">
        <f>1000000*(BM78*74.92)/($B78/1000)</f>
        <v>8.5989793053010342</v>
      </c>
      <c r="AN78" s="2">
        <f>1000000*(BN78*91.22)/($B78/1000)</f>
        <v>1.5769419080146843</v>
      </c>
      <c r="AO78" s="2">
        <f>1000000*(BO78*91.22)/($B78/1000)</f>
        <v>0.65370021844006887</v>
      </c>
      <c r="AP78" s="2">
        <f>1000000*(BP78*107.87)/($B78/1000)</f>
        <v>0</v>
      </c>
      <c r="AQ78" s="2">
        <f>1000000*(BQ78*107.87)/($B78/1000)</f>
        <v>0</v>
      </c>
      <c r="AR78" s="2">
        <f>1000000*(BR78*121.76)/($B78/1000)</f>
        <v>11.485160459427743</v>
      </c>
      <c r="AS78" s="12">
        <f>1000000*(BS78*121.76)/($B78/1000)</f>
        <v>0.87946924741298571</v>
      </c>
      <c r="AX78" s="96">
        <f xml:space="preserve"> (119974.6 + (42856.8 *$BA78))*BH78</f>
        <v>3.6654081947742223</v>
      </c>
      <c r="AY78" s="2">
        <f xml:space="preserve"> (119974.6 + (42856.8 *$BA78))*BI78</f>
        <v>0.11580299171268015</v>
      </c>
      <c r="AZ78" s="2">
        <f>AX78-B78</f>
        <v>-0.23459180522577761</v>
      </c>
      <c r="BA78" s="2">
        <f t="shared" si="99"/>
        <v>1.0581899796110406E-4</v>
      </c>
      <c r="BB78" s="1">
        <v>1.3792626783995001E-13</v>
      </c>
      <c r="BC78" s="1">
        <v>3.1391046970310002E-14</v>
      </c>
      <c r="BD78" s="1">
        <v>2.69411655258074E-12</v>
      </c>
      <c r="BE78" s="1">
        <v>1.8418324484985301E-13</v>
      </c>
      <c r="BF78" s="1">
        <v>6.0031779645620099E-13</v>
      </c>
      <c r="BG78" s="1">
        <v>2.9656630518866998E-13</v>
      </c>
      <c r="BH78" s="1">
        <v>3.0550380220946298E-5</v>
      </c>
      <c r="BI78" s="1">
        <v>9.651927533171761E-7</v>
      </c>
      <c r="BJ78" s="1">
        <v>3.49653579477105E-9</v>
      </c>
      <c r="BK78" s="1">
        <v>3.9957222259918497E-10</v>
      </c>
      <c r="BL78" s="1">
        <v>3.23281062231127E-9</v>
      </c>
      <c r="BM78" s="1">
        <v>4.4762438989153803E-10</v>
      </c>
      <c r="BN78" s="1">
        <v>6.7420230664955801E-11</v>
      </c>
      <c r="BO78" s="1">
        <v>2.7948156675249599E-11</v>
      </c>
      <c r="BP78">
        <v>0</v>
      </c>
      <c r="BQ78">
        <v>0</v>
      </c>
      <c r="BR78" s="1">
        <v>3.6787225518863498E-10</v>
      </c>
      <c r="BS78" s="85">
        <v>2.8169596459515801E-11</v>
      </c>
      <c r="BU78" s="23">
        <v>2.9060000000000002E-3</v>
      </c>
      <c r="BV78" s="23">
        <v>8.7000000000000001E-5</v>
      </c>
    </row>
    <row r="79" spans="1:75" ht="15" customHeight="1" x14ac:dyDescent="0.3">
      <c r="A79" s="27"/>
      <c r="J79" s="2">
        <f t="shared" si="127"/>
        <v>0</v>
      </c>
      <c r="K79" s="2">
        <f t="shared" si="107"/>
        <v>0</v>
      </c>
      <c r="L79" s="2"/>
      <c r="M79" s="2"/>
      <c r="AX79" s="99"/>
      <c r="AY79"/>
      <c r="AZ79"/>
      <c r="BA79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R79" s="1"/>
      <c r="BS79" s="85"/>
    </row>
    <row r="80" spans="1:75" ht="30" customHeight="1" x14ac:dyDescent="0.7">
      <c r="A80" s="15" t="s">
        <v>115</v>
      </c>
      <c r="B80" s="8"/>
      <c r="C80" s="8"/>
      <c r="D80" s="8"/>
      <c r="E80" s="8"/>
      <c r="H80" s="20"/>
      <c r="I80" s="22"/>
      <c r="K80" s="2"/>
      <c r="L80" s="2"/>
      <c r="M80" s="2"/>
      <c r="N80" s="18"/>
      <c r="O80" s="82"/>
      <c r="P80" s="8"/>
      <c r="Q80" s="8"/>
      <c r="R80" s="8"/>
      <c r="S80" s="8"/>
      <c r="V80" s="8"/>
      <c r="W80" s="8"/>
      <c r="X80" s="8"/>
      <c r="Y80" s="8"/>
      <c r="Z80" s="8"/>
      <c r="AA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16"/>
      <c r="AT80" s="8"/>
      <c r="AU80" s="7"/>
      <c r="AV80" s="7"/>
      <c r="AW80" s="7"/>
      <c r="AX80" s="95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84"/>
      <c r="BU80" s="22"/>
      <c r="BV80" s="22"/>
      <c r="BW80" s="22"/>
    </row>
    <row r="81" spans="1:79" ht="15" customHeight="1" x14ac:dyDescent="0.3">
      <c r="A81" s="27" t="s">
        <v>111</v>
      </c>
      <c r="B81" s="2">
        <v>4.3600000000000003</v>
      </c>
      <c r="C81" s="2">
        <f>H81/B81</f>
        <v>0.3547256880733945</v>
      </c>
      <c r="D81" s="2">
        <f>AD81+(0.24*AF81)</f>
        <v>9.6515289448727264E-3</v>
      </c>
      <c r="E81" s="2" t="e">
        <f>BB81/BD81</f>
        <v>#DIV/0!</v>
      </c>
      <c r="F81" s="14">
        <v>327.10506823864699</v>
      </c>
      <c r="G81" s="2">
        <v>78.423092018348498</v>
      </c>
      <c r="H81" s="19">
        <v>1.5466040000000001</v>
      </c>
      <c r="I81" s="23">
        <v>8.0000000000000007E-5</v>
      </c>
      <c r="J81" s="2">
        <f t="shared" si="127"/>
        <v>0.77899999999999991</v>
      </c>
      <c r="K81" s="2">
        <f t="shared" si="107"/>
        <v>3.6000000000000004E-2</v>
      </c>
      <c r="L81" s="2">
        <f t="shared" ref="L81:L84" si="128">J81/B81</f>
        <v>0.17866972477064216</v>
      </c>
      <c r="M81" s="2"/>
      <c r="N81" s="17">
        <v>0.33266299999999999</v>
      </c>
      <c r="O81" s="25">
        <v>1.9165000000000001E-2</v>
      </c>
      <c r="P81" s="2">
        <f t="shared" ref="P81:Q84" si="129">(J81/1000000)/$F$105</f>
        <v>0.56043165467625888</v>
      </c>
      <c r="Q81" s="2">
        <f t="shared" si="129"/>
        <v>2.5899280575539571E-2</v>
      </c>
      <c r="R81" s="2">
        <f>H81-P81</f>
        <v>0.98617234532374121</v>
      </c>
      <c r="S81" s="2">
        <f>I81+Q81</f>
        <v>2.5979280575539571E-2</v>
      </c>
      <c r="T81" s="14">
        <v>217.97449514392801</v>
      </c>
      <c r="U81" s="12">
        <v>52.362470041115799</v>
      </c>
      <c r="V81" s="2">
        <v>0.87469399999999997</v>
      </c>
      <c r="W81" s="2">
        <v>1.2834E-2</v>
      </c>
      <c r="X81" s="2">
        <f>(J81/1000000)/(V81*$F$105)</f>
        <v>0.64071738765357822</v>
      </c>
      <c r="Y81" s="2">
        <f>X81*((((W81/V81)^2) + ((K81/J81)^2))^(0.5))</f>
        <v>3.1066099733871182E-2</v>
      </c>
      <c r="Z81" s="2">
        <f>H81-X81</f>
        <v>0.90588661234642187</v>
      </c>
      <c r="AA81" s="2">
        <f>I81+Y81</f>
        <v>3.1146099733871183E-2</v>
      </c>
      <c r="AB81" s="14">
        <v>201.30259537051799</v>
      </c>
      <c r="AC81" s="12">
        <v>48.390888023095101</v>
      </c>
      <c r="AD81" s="2">
        <f t="shared" ref="AD81:AE84" si="130">1000000*(BB81*298)/($B81/1000)</f>
        <v>9.6515289448727264E-3</v>
      </c>
      <c r="AE81" s="2">
        <f t="shared" si="130"/>
        <v>1.1195631780287756E-3</v>
      </c>
      <c r="AF81" s="2">
        <f t="shared" ref="AF81:AG84" si="131">1000000*(BD81*292)/($B81/1000)</f>
        <v>0</v>
      </c>
      <c r="AG81" s="2">
        <f t="shared" si="131"/>
        <v>1.948074606331289E-2</v>
      </c>
      <c r="AH81" s="2">
        <f t="shared" ref="AH81:AI84" si="132">1000000*(BF81*150)/($B81/1000)</f>
        <v>7.4505803937101487E-3</v>
      </c>
      <c r="AI81" s="2">
        <f t="shared" si="132"/>
        <v>2.1170412369820321E-3</v>
      </c>
      <c r="AJ81" s="2">
        <f t="shared" ref="AJ81:AK84" si="133">1000000*(BJ81*63.55)/($B81/1000)</f>
        <v>8.9721191272105898</v>
      </c>
      <c r="AK81" s="2">
        <f t="shared" si="133"/>
        <v>2.4896856774335445</v>
      </c>
      <c r="AL81" s="2">
        <f t="shared" ref="AL81:AM84" si="134">1000000*(BL81*74.92)/($B81/1000)</f>
        <v>29.575451089024067</v>
      </c>
      <c r="AM81" s="2">
        <f t="shared" si="134"/>
        <v>2.1017040803451486</v>
      </c>
      <c r="AN81" s="2">
        <f t="shared" ref="AN81:AO84" si="135">1000000*(BN81*91.22)/($B81/1000)</f>
        <v>0</v>
      </c>
      <c r="AO81" s="2">
        <f t="shared" si="135"/>
        <v>0.48339226572371158</v>
      </c>
      <c r="AP81" s="2">
        <f t="shared" ref="AP81:AQ84" si="136">1000000*(BP81*107.87)/($B81/1000)</f>
        <v>21.24722632320556</v>
      </c>
      <c r="AQ81" s="2">
        <f t="shared" si="136"/>
        <v>6.8875932041860599</v>
      </c>
      <c r="AR81" s="2">
        <f t="shared" ref="AR81:AS84" si="137">1000000*(BR81*121.76)/($B81/1000)</f>
        <v>7.6453198073647375</v>
      </c>
      <c r="AS81" s="12">
        <f t="shared" si="137"/>
        <v>1.0979028042554304</v>
      </c>
      <c r="AX81" s="96">
        <f xml:space="preserve"> (119974.6 + (42856.8 *$BA81))*BH81</f>
        <v>5.0167655268715761</v>
      </c>
      <c r="AY81" s="2">
        <f xml:space="preserve"> (119974.6 + (42856.8 *$BA81))*BI81</f>
        <v>0.16939078027107923</v>
      </c>
      <c r="AZ81" s="2">
        <f>AX81-B81</f>
        <v>0.65676552687157574</v>
      </c>
      <c r="BA81" s="2">
        <f>BL81/BH81</f>
        <v>4.116157561099422E-5</v>
      </c>
      <c r="BB81" s="1">
        <v>1.41210289260554E-13</v>
      </c>
      <c r="BC81" s="1">
        <v>1.6380186094649201E-14</v>
      </c>
      <c r="BD81">
        <v>0</v>
      </c>
      <c r="BE81" s="1">
        <v>2.9087689327412401E-13</v>
      </c>
      <c r="BF81" s="1">
        <v>2.1656353677717499E-13</v>
      </c>
      <c r="BG81" s="1">
        <v>6.1535331954944396E-14</v>
      </c>
      <c r="BH81" s="1">
        <v>4.1814615457408802E-5</v>
      </c>
      <c r="BI81" s="1">
        <v>1.41186792588302E-6</v>
      </c>
      <c r="BJ81" s="1">
        <v>6.1555372768903498E-10</v>
      </c>
      <c r="BK81" s="1">
        <v>1.7081085056821801E-10</v>
      </c>
      <c r="BL81" s="1">
        <v>1.7211554557947799E-9</v>
      </c>
      <c r="BM81" s="1">
        <v>1.2230952736658901E-10</v>
      </c>
      <c r="BN81">
        <v>0</v>
      </c>
      <c r="BO81" s="1">
        <v>2.3104475757020201E-11</v>
      </c>
      <c r="BP81" s="1">
        <v>8.5879212727520395E-10</v>
      </c>
      <c r="BQ81" s="1">
        <v>2.7838978743164199E-10</v>
      </c>
      <c r="BR81" s="1">
        <v>2.7376473686030102E-10</v>
      </c>
      <c r="BS81" s="85">
        <v>3.9313865198371197E-11</v>
      </c>
      <c r="BU81" s="23">
        <v>7.7899999999999996E-4</v>
      </c>
      <c r="BV81" s="23">
        <v>3.6000000000000001E-5</v>
      </c>
    </row>
    <row r="82" spans="1:79" s="9" customFormat="1" ht="15" customHeight="1" x14ac:dyDescent="0.3">
      <c r="A82" s="28" t="s">
        <v>112</v>
      </c>
      <c r="B82" s="10">
        <v>3.84</v>
      </c>
      <c r="C82" s="10">
        <f>H82/B82</f>
        <v>0.69620078125000007</v>
      </c>
      <c r="D82" s="10">
        <f>AD82+(0.24*AF82)</f>
        <v>5.8873957955475509E-2</v>
      </c>
      <c r="E82" s="10" t="e">
        <f>BB82/BD82</f>
        <v>#DIV/0!</v>
      </c>
      <c r="F82" s="14">
        <v>118.74916631274</v>
      </c>
      <c r="G82" s="2">
        <v>6.2988528035204601</v>
      </c>
      <c r="H82" s="21">
        <v>2.6734110000000002</v>
      </c>
      <c r="I82" s="24">
        <v>1.37E-4</v>
      </c>
      <c r="J82" s="2">
        <f t="shared" si="127"/>
        <v>0.63</v>
      </c>
      <c r="K82" s="2">
        <f t="shared" si="107"/>
        <v>3.7999999999999999E-2</v>
      </c>
      <c r="L82" s="2">
        <f t="shared" si="128"/>
        <v>0.1640625</v>
      </c>
      <c r="M82" s="2"/>
      <c r="N82" s="17">
        <v>0.16037199999999999</v>
      </c>
      <c r="O82" s="83">
        <v>1.0887000000000001E-2</v>
      </c>
      <c r="P82" s="2">
        <f t="shared" si="129"/>
        <v>0.45323741007194246</v>
      </c>
      <c r="Q82" s="2">
        <f t="shared" si="129"/>
        <v>2.7338129496402873E-2</v>
      </c>
      <c r="R82" s="10">
        <f>H82-P82</f>
        <v>2.2201735899280579</v>
      </c>
      <c r="S82" s="10">
        <f>I82+Q82</f>
        <v>2.7475129496402875E-2</v>
      </c>
      <c r="T82" s="14">
        <v>97.729872058776806</v>
      </c>
      <c r="U82" s="12">
        <v>5.4601706948051696</v>
      </c>
      <c r="V82" s="10">
        <v>0.87469399999999997</v>
      </c>
      <c r="W82" s="10">
        <v>1.2834E-2</v>
      </c>
      <c r="X82" s="2">
        <f>(J82/1000000)/(V82*$F$105)</f>
        <v>0.51816682185077578</v>
      </c>
      <c r="Y82" s="2">
        <f>X82*((((W82/V82)^2) + ((K82/J82)^2))^(0.5))</f>
        <v>3.2165933372995753E-2</v>
      </c>
      <c r="Z82" s="2">
        <f>H82-X82</f>
        <v>2.1552441781492244</v>
      </c>
      <c r="AA82" s="2">
        <f>I82+Y82</f>
        <v>3.2302933372995751E-2</v>
      </c>
      <c r="AB82" s="14">
        <v>95.138623421132905</v>
      </c>
      <c r="AC82" s="12">
        <v>5.2679503356446604</v>
      </c>
      <c r="AD82" s="10">
        <f t="shared" si="130"/>
        <v>5.8873957955475509E-2</v>
      </c>
      <c r="AE82" s="10">
        <f t="shared" si="130"/>
        <v>1.5083994328906006E-3</v>
      </c>
      <c r="AF82" s="10">
        <f t="shared" si="131"/>
        <v>0</v>
      </c>
      <c r="AG82" s="10">
        <f t="shared" si="131"/>
        <v>2.2051796176954738E-2</v>
      </c>
      <c r="AH82" s="10">
        <f t="shared" si="132"/>
        <v>5.0400643769683201E-2</v>
      </c>
      <c r="AI82" s="10">
        <f t="shared" si="132"/>
        <v>4.7015636820123829E-3</v>
      </c>
      <c r="AJ82" s="10">
        <f t="shared" si="133"/>
        <v>0</v>
      </c>
      <c r="AK82" s="10">
        <f t="shared" si="133"/>
        <v>1.1350841093471129</v>
      </c>
      <c r="AL82" s="10">
        <f t="shared" si="134"/>
        <v>81.879447122465621</v>
      </c>
      <c r="AM82" s="10">
        <f t="shared" si="134"/>
        <v>3.1826683798752748</v>
      </c>
      <c r="AN82" s="10">
        <f t="shared" si="135"/>
        <v>0</v>
      </c>
      <c r="AO82" s="10">
        <f t="shared" si="135"/>
        <v>0.52832259871729381</v>
      </c>
      <c r="AP82" s="10">
        <f t="shared" si="136"/>
        <v>0.70890367109336705</v>
      </c>
      <c r="AQ82" s="10">
        <f t="shared" si="136"/>
        <v>0.28798643508222965</v>
      </c>
      <c r="AR82" s="10">
        <f t="shared" si="137"/>
        <v>15.54857949416477</v>
      </c>
      <c r="AS82" s="13">
        <f t="shared" si="137"/>
        <v>0.44440550531999795</v>
      </c>
      <c r="AT82" s="10"/>
      <c r="AU82" s="10"/>
      <c r="AV82" s="10"/>
      <c r="AW82" s="10"/>
      <c r="AX82" s="96">
        <f>77177.54*BH82</f>
        <v>4.4083221038460634</v>
      </c>
      <c r="AY82" s="10">
        <f>77177.54*BI82</f>
        <v>6.45418151772649E-2</v>
      </c>
      <c r="AZ82" s="2">
        <f>AX82-B82</f>
        <v>0.56832210384606352</v>
      </c>
      <c r="BA82" s="10"/>
      <c r="BB82" s="11">
        <v>7.5864429043297297E-13</v>
      </c>
      <c r="BC82" s="11">
        <v>1.9437093363422501E-14</v>
      </c>
      <c r="BD82" s="9">
        <v>0</v>
      </c>
      <c r="BE82" s="11">
        <v>2.8999622369693898E-13</v>
      </c>
      <c r="BF82" s="11">
        <v>1.2902564805038899E-12</v>
      </c>
      <c r="BG82" s="11">
        <v>1.20360030259517E-13</v>
      </c>
      <c r="BH82" s="11">
        <v>5.7119235775668202E-5</v>
      </c>
      <c r="BI82" s="11">
        <v>8.3627717568174499E-7</v>
      </c>
      <c r="BJ82" s="9">
        <v>0</v>
      </c>
      <c r="BK82" s="11">
        <v>6.85873010211316E-11</v>
      </c>
      <c r="BL82" s="11">
        <v>4.19670417712584E-9</v>
      </c>
      <c r="BM82" s="11">
        <v>1.6312662278058001E-10</v>
      </c>
      <c r="BN82" s="9">
        <v>0</v>
      </c>
      <c r="BO82" s="11">
        <v>2.2240284795816801E-11</v>
      </c>
      <c r="BP82" s="11">
        <v>2.5235840335575501E-11</v>
      </c>
      <c r="BQ82" s="11">
        <v>1.0251857891126E-11</v>
      </c>
      <c r="BR82" s="11">
        <v>4.9036255960572196E-10</v>
      </c>
      <c r="BS82" s="89">
        <v>1.40154167249408E-11</v>
      </c>
      <c r="BU82" s="24">
        <v>6.3000000000000003E-4</v>
      </c>
      <c r="BV82" s="24">
        <v>3.8000000000000002E-5</v>
      </c>
      <c r="BW82" s="24"/>
    </row>
    <row r="83" spans="1:79" ht="15" customHeight="1" x14ac:dyDescent="0.3">
      <c r="A83" s="27" t="s">
        <v>113</v>
      </c>
      <c r="B83" s="2">
        <v>3.41</v>
      </c>
      <c r="C83" s="2">
        <f>H83/B83</f>
        <v>81.07298826979472</v>
      </c>
      <c r="D83" s="2">
        <f>AD83+(0.24*AF83)</f>
        <v>0.80430477311651394</v>
      </c>
      <c r="E83" s="2">
        <f>BB83/BD83</f>
        <v>0.87611372482178385</v>
      </c>
      <c r="F83" s="14">
        <v>955.969536634517</v>
      </c>
      <c r="G83" s="2">
        <v>50.989457859919703</v>
      </c>
      <c r="H83" s="19">
        <v>276.45889</v>
      </c>
      <c r="I83" s="23">
        <v>3.9719999999999998E-3</v>
      </c>
      <c r="J83" s="2">
        <f t="shared" si="127"/>
        <v>0.73899999999999999</v>
      </c>
      <c r="K83" s="2">
        <f t="shared" si="107"/>
        <v>4.9000000000000002E-2</v>
      </c>
      <c r="L83" s="2">
        <f t="shared" si="128"/>
        <v>0.21671554252199413</v>
      </c>
      <c r="M83" s="2"/>
      <c r="N83" s="17">
        <v>1.941E-3</v>
      </c>
      <c r="O83" s="25">
        <v>1.47E-4</v>
      </c>
      <c r="P83" s="2">
        <f t="shared" si="129"/>
        <v>0.53165467625899288</v>
      </c>
      <c r="Q83" s="2">
        <f t="shared" si="129"/>
        <v>3.5251798561151078E-2</v>
      </c>
      <c r="R83" s="2">
        <f>H83-P83</f>
        <v>275.927235323741</v>
      </c>
      <c r="S83" s="2">
        <f>I83+Q83</f>
        <v>3.9223798561151074E-2</v>
      </c>
      <c r="T83" s="14">
        <v>953.22208085832096</v>
      </c>
      <c r="U83" s="12">
        <v>52.956611821907501</v>
      </c>
      <c r="V83" s="2">
        <v>0.90215000000000001</v>
      </c>
      <c r="W83" s="2">
        <v>3.3177999999999999E-2</v>
      </c>
      <c r="X83" s="2">
        <f>(J83/1000000)/(V83*$F$105)</f>
        <v>0.58931959902343611</v>
      </c>
      <c r="Y83" s="2">
        <f>X83*((((W83/V83)^2) + ((K83/J83)^2))^(0.5))</f>
        <v>4.4683403941724084E-2</v>
      </c>
      <c r="Z83" s="2">
        <f>H83-X83</f>
        <v>275.86957040097656</v>
      </c>
      <c r="AA83" s="2">
        <f>I83+Y83</f>
        <v>4.8655403941724087E-2</v>
      </c>
      <c r="AB83" s="14">
        <v>952.31589866523097</v>
      </c>
      <c r="AC83" s="12">
        <v>50.548374331661897</v>
      </c>
      <c r="AD83" s="2">
        <f t="shared" si="130"/>
        <v>0.63409896078546835</v>
      </c>
      <c r="AE83" s="2">
        <f t="shared" si="130"/>
        <v>4.5576101027476765E-2</v>
      </c>
      <c r="AF83" s="2">
        <f t="shared" si="131"/>
        <v>0.70919088471268998</v>
      </c>
      <c r="AG83" s="2">
        <f t="shared" si="131"/>
        <v>3.1606304410981008E-2</v>
      </c>
      <c r="AH83" s="2">
        <f t="shared" si="132"/>
        <v>0.34488309570109577</v>
      </c>
      <c r="AI83" s="2">
        <f t="shared" si="132"/>
        <v>2.198446076596438E-2</v>
      </c>
      <c r="AJ83" s="2">
        <f t="shared" si="133"/>
        <v>209.62163989886432</v>
      </c>
      <c r="AK83" s="2">
        <f t="shared" si="133"/>
        <v>15.429657166229163</v>
      </c>
      <c r="AL83" s="2">
        <f t="shared" si="134"/>
        <v>1118.0406096104141</v>
      </c>
      <c r="AM83" s="2">
        <f t="shared" si="134"/>
        <v>38.651811034393504</v>
      </c>
      <c r="AN83" s="2">
        <f t="shared" si="135"/>
        <v>7.7555076783521484</v>
      </c>
      <c r="AO83" s="2">
        <f t="shared" si="135"/>
        <v>0.88194759731067607</v>
      </c>
      <c r="AP83" s="2">
        <f t="shared" si="136"/>
        <v>5.7075093833526962</v>
      </c>
      <c r="AQ83" s="2">
        <f t="shared" si="136"/>
        <v>2.1230679226476581</v>
      </c>
      <c r="AR83" s="2">
        <f t="shared" si="137"/>
        <v>19.752073270017352</v>
      </c>
      <c r="AS83" s="12">
        <f t="shared" si="137"/>
        <v>0.77049575033505446</v>
      </c>
      <c r="AX83" s="96">
        <f xml:space="preserve"> (119974.6 + (42856.8 *$BA83))*BH83</f>
        <v>3.8319796739815217</v>
      </c>
      <c r="AY83" s="2">
        <f xml:space="preserve"> (119974.6 + (42856.8 *$BA83))*BI83</f>
        <v>8.1540241429842841E-2</v>
      </c>
      <c r="AZ83" s="2">
        <f>AX83-B83</f>
        <v>0.42197967398152159</v>
      </c>
      <c r="BA83" s="2">
        <f>BL83/BH83</f>
        <v>1.5941439762736523E-3</v>
      </c>
      <c r="BB83" s="1">
        <v>7.2559646183840499E-12</v>
      </c>
      <c r="BC83" s="1">
        <v>5.2152518289830797E-13</v>
      </c>
      <c r="BD83" s="1">
        <v>8.2819894413365505E-12</v>
      </c>
      <c r="BE83" s="1">
        <v>3.6910102068988101E-13</v>
      </c>
      <c r="BF83" s="1">
        <v>7.84034237560491E-12</v>
      </c>
      <c r="BG83" s="1">
        <v>4.9978007474625695E-13</v>
      </c>
      <c r="BH83" s="1">
        <v>3.1921746629192698E-5</v>
      </c>
      <c r="BI83" s="1">
        <v>6.7925906410201797E-7</v>
      </c>
      <c r="BJ83" s="1">
        <v>1.1247990433597599E-8</v>
      </c>
      <c r="BK83" s="1">
        <v>8.2793282355376003E-10</v>
      </c>
      <c r="BL83" s="1">
        <v>5.0887860101061301E-8</v>
      </c>
      <c r="BM83" s="1">
        <v>1.75924553693649E-9</v>
      </c>
      <c r="BN83" s="1">
        <v>2.8991757490880098E-10</v>
      </c>
      <c r="BO83" s="1">
        <v>3.2969100052942397E-11</v>
      </c>
      <c r="BP83" s="1">
        <v>1.80426504099682E-10</v>
      </c>
      <c r="BQ83" s="1">
        <v>6.71146900549598E-11</v>
      </c>
      <c r="BR83" s="1">
        <v>5.5317485094250299E-10</v>
      </c>
      <c r="BS83" s="85">
        <v>2.1578437160336199E-11</v>
      </c>
      <c r="BU83" s="23">
        <v>7.3899999999999997E-4</v>
      </c>
      <c r="BV83" s="23">
        <v>4.8999999999999998E-5</v>
      </c>
    </row>
    <row r="84" spans="1:79" s="9" customFormat="1" ht="15" customHeight="1" x14ac:dyDescent="0.3">
      <c r="A84" s="28" t="s">
        <v>114</v>
      </c>
      <c r="B84" s="10">
        <v>4.07</v>
      </c>
      <c r="C84" s="10">
        <f>H84/B84</f>
        <v>0.88366142506142498</v>
      </c>
      <c r="D84" s="10">
        <f>AD84+(0.24*AF84)</f>
        <v>5.453623036424602E-2</v>
      </c>
      <c r="E84" s="10" t="e">
        <f>BB84/BD84</f>
        <v>#DIV/0!</v>
      </c>
      <c r="F84" s="14">
        <v>160.67418495796201</v>
      </c>
      <c r="G84" s="2">
        <v>8.8498519294355606</v>
      </c>
      <c r="H84" s="21">
        <v>3.5965020000000001</v>
      </c>
      <c r="I84" s="24">
        <v>1.05E-4</v>
      </c>
      <c r="J84" s="2">
        <f t="shared" si="127"/>
        <v>0.7380000000000001</v>
      </c>
      <c r="K84" s="2">
        <f t="shared" si="107"/>
        <v>3.4999999999999996E-2</v>
      </c>
      <c r="L84" s="2">
        <f t="shared" si="128"/>
        <v>0.18132678132678134</v>
      </c>
      <c r="M84" s="2"/>
      <c r="N84" s="17">
        <v>0.13652600000000001</v>
      </c>
      <c r="O84" s="83">
        <v>8.4139999999999996E-3</v>
      </c>
      <c r="P84" s="2">
        <f t="shared" si="129"/>
        <v>0.53093525179856116</v>
      </c>
      <c r="Q84" s="2">
        <f t="shared" si="129"/>
        <v>2.517985611510791E-2</v>
      </c>
      <c r="R84" s="10">
        <f>H84-P84</f>
        <v>3.065566748201439</v>
      </c>
      <c r="S84" s="10">
        <f>I84+Q84</f>
        <v>2.5284856115107911E-2</v>
      </c>
      <c r="T84" s="14">
        <v>137.07657453951501</v>
      </c>
      <c r="U84" s="12">
        <v>7.6699293934654698</v>
      </c>
      <c r="V84" s="10">
        <v>0.90215000000000001</v>
      </c>
      <c r="W84" s="10">
        <v>3.3177999999999999E-2</v>
      </c>
      <c r="X84" s="2">
        <f>(J84/1000000)/(V84*$F$105)</f>
        <v>0.58852214354437871</v>
      </c>
      <c r="Y84" s="2">
        <f>X84*((((W84/V84)^2) + ((K84/J84)^2))^(0.5))</f>
        <v>3.5319631320161055E-2</v>
      </c>
      <c r="Z84" s="2">
        <f>H84-X84</f>
        <v>3.0079798564556213</v>
      </c>
      <c r="AA84" s="2">
        <f>I84+Y84</f>
        <v>3.5424631320161055E-2</v>
      </c>
      <c r="AB84" s="14">
        <v>134.60970497652301</v>
      </c>
      <c r="AC84" s="12">
        <v>7.6421238127014304</v>
      </c>
      <c r="AD84" s="10">
        <f t="shared" si="130"/>
        <v>5.453623036424602E-2</v>
      </c>
      <c r="AE84" s="10">
        <f t="shared" si="130"/>
        <v>1.6009734223807967E-3</v>
      </c>
      <c r="AF84" s="10">
        <f t="shared" si="131"/>
        <v>0</v>
      </c>
      <c r="AG84" s="10">
        <f t="shared" si="131"/>
        <v>2.0334588348410596E-2</v>
      </c>
      <c r="AH84" s="10">
        <f t="shared" si="132"/>
        <v>2.2753118356370266E-2</v>
      </c>
      <c r="AI84" s="10">
        <f t="shared" si="132"/>
        <v>3.3614234934983105E-3</v>
      </c>
      <c r="AJ84" s="10">
        <f t="shared" si="133"/>
        <v>0</v>
      </c>
      <c r="AK84" s="10">
        <f t="shared" si="133"/>
        <v>1.980054098613633</v>
      </c>
      <c r="AL84" s="10">
        <f t="shared" si="134"/>
        <v>85.577061619594687</v>
      </c>
      <c r="AM84" s="10">
        <f t="shared" si="134"/>
        <v>8.6734485390979756</v>
      </c>
      <c r="AN84" s="10">
        <f t="shared" si="135"/>
        <v>0</v>
      </c>
      <c r="AO84" s="10">
        <f t="shared" si="135"/>
        <v>0.53985574498417221</v>
      </c>
      <c r="AP84" s="10">
        <f t="shared" si="136"/>
        <v>0.74316066595633523</v>
      </c>
      <c r="AQ84" s="10">
        <f t="shared" si="136"/>
        <v>0.33442863053021959</v>
      </c>
      <c r="AR84" s="10">
        <f t="shared" si="137"/>
        <v>4.2154519414956981</v>
      </c>
      <c r="AS84" s="13">
        <f t="shared" si="137"/>
        <v>0.18642932831418602</v>
      </c>
      <c r="AT84" s="10"/>
      <c r="AU84" s="10"/>
      <c r="AV84" s="10"/>
      <c r="AW84" s="10"/>
      <c r="AX84" s="96">
        <f>77177.54*BH84</f>
        <v>4.4076186772469654</v>
      </c>
      <c r="AY84" s="10">
        <f>77177.54*BI84</f>
        <v>8.1298498546417283E-2</v>
      </c>
      <c r="AZ84" s="2">
        <f>AX84-B84</f>
        <v>0.33761867724696515</v>
      </c>
      <c r="BA84" s="10"/>
      <c r="BB84" s="11">
        <v>7.4484046168617903E-13</v>
      </c>
      <c r="BC84" s="11">
        <v>2.1865643721777999E-14</v>
      </c>
      <c r="BD84" s="9">
        <v>0</v>
      </c>
      <c r="BE84" s="11">
        <v>2.8343073485627099E-13</v>
      </c>
      <c r="BF84" s="11">
        <v>6.1736794473617998E-13</v>
      </c>
      <c r="BG84" s="11">
        <v>9.1206624123587505E-14</v>
      </c>
      <c r="BH84" s="11">
        <v>5.7110121380481499E-5</v>
      </c>
      <c r="BI84" s="11">
        <v>1.0533958266409799E-6</v>
      </c>
      <c r="BJ84" s="9">
        <v>0</v>
      </c>
      <c r="BK84" s="11">
        <v>1.26810703089811E-10</v>
      </c>
      <c r="BL84" s="11">
        <v>4.6489407473538502E-9</v>
      </c>
      <c r="BM84" s="11">
        <v>4.71181734571927E-10</v>
      </c>
      <c r="BN84" s="9">
        <v>0</v>
      </c>
      <c r="BO84" s="11">
        <v>2.4086964285086399E-11</v>
      </c>
      <c r="BP84" s="11">
        <v>2.80398990492471E-11</v>
      </c>
      <c r="BQ84" s="11">
        <v>1.26181934389357E-11</v>
      </c>
      <c r="BR84" s="11">
        <v>1.4090743595505499E-10</v>
      </c>
      <c r="BS84" s="89">
        <v>6.2316636517636103E-12</v>
      </c>
      <c r="BU84" s="24">
        <v>7.3800000000000005E-4</v>
      </c>
      <c r="BV84" s="24">
        <v>3.4999999999999997E-5</v>
      </c>
      <c r="BW84" s="24"/>
    </row>
    <row r="85" spans="1:79" ht="15" customHeight="1" x14ac:dyDescent="0.3">
      <c r="A85" s="27"/>
      <c r="J85" s="2">
        <f t="shared" si="127"/>
        <v>0</v>
      </c>
      <c r="K85" s="2">
        <f t="shared" si="107"/>
        <v>0</v>
      </c>
      <c r="L85" s="2"/>
      <c r="M85" s="2"/>
      <c r="AX85" s="99"/>
      <c r="AY85"/>
      <c r="AZ85"/>
      <c r="BA85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R85" s="1"/>
      <c r="BS85" s="85"/>
    </row>
    <row r="86" spans="1:79" ht="30" customHeight="1" x14ac:dyDescent="0.7">
      <c r="A86" s="15" t="s">
        <v>109</v>
      </c>
      <c r="B86" s="8"/>
      <c r="C86" s="8"/>
      <c r="D86" s="8"/>
      <c r="E86" s="8"/>
      <c r="H86" s="20"/>
      <c r="I86" s="22"/>
      <c r="K86" s="2"/>
      <c r="L86" s="2"/>
      <c r="M86" s="2"/>
      <c r="N86" s="18"/>
      <c r="O86" s="82"/>
      <c r="P86" s="8"/>
      <c r="Q86" s="8"/>
      <c r="R86" s="8"/>
      <c r="S86" s="8"/>
      <c r="V86" s="8"/>
      <c r="W86" s="8"/>
      <c r="X86" s="8"/>
      <c r="Y86" s="8"/>
      <c r="Z86" s="8"/>
      <c r="AA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16"/>
      <c r="AT86" s="8"/>
      <c r="AU86" s="7"/>
      <c r="AV86" s="7"/>
      <c r="AW86" s="7"/>
      <c r="AX86" s="95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84"/>
      <c r="BU86" s="22"/>
      <c r="BV86" s="22"/>
      <c r="BW86" s="22"/>
    </row>
    <row r="87" spans="1:79" ht="15" customHeight="1" x14ac:dyDescent="0.3">
      <c r="A87" s="27" t="s">
        <v>110</v>
      </c>
      <c r="B87" s="2">
        <v>2.52</v>
      </c>
      <c r="C87" s="2">
        <f>H87/B87</f>
        <v>13.471271428571427</v>
      </c>
      <c r="D87" s="2">
        <f>AD87+(0.24*AF87)</f>
        <v>1.2711979353078839</v>
      </c>
      <c r="E87" s="2">
        <f>BB87/BD87</f>
        <v>0.72673062924348641</v>
      </c>
      <c r="F87" s="14">
        <v>107.83916717821</v>
      </c>
      <c r="G87" s="2">
        <v>1.34649326637722</v>
      </c>
      <c r="H87" s="19">
        <v>33.947603999999998</v>
      </c>
      <c r="I87" s="23">
        <v>4.64E-4</v>
      </c>
      <c r="J87" s="2">
        <f t="shared" si="127"/>
        <v>0.78700000000000003</v>
      </c>
      <c r="K87" s="2">
        <f t="shared" si="107"/>
        <v>2.7E-2</v>
      </c>
      <c r="L87" s="2">
        <f t="shared" ref="L87" si="138">J87/B87</f>
        <v>0.3123015873015873</v>
      </c>
      <c r="M87" s="2"/>
      <c r="N87" s="17">
        <v>1.627E-2</v>
      </c>
      <c r="O87" s="25">
        <v>9.0600000000000001E-4</v>
      </c>
      <c r="P87" s="2">
        <f>(J87/1000000)/$F$105</f>
        <v>0.56618705035971229</v>
      </c>
      <c r="Q87" s="2">
        <f>(K87/1000000)/$F$105</f>
        <v>1.9424460431654675E-2</v>
      </c>
      <c r="R87" s="2">
        <f>H87-P87</f>
        <v>33.381416949640283</v>
      </c>
      <c r="S87" s="2">
        <f>I87+Q87</f>
        <v>1.9888460431654674E-2</v>
      </c>
      <c r="T87" s="14">
        <v>106.189415127007</v>
      </c>
      <c r="U87" s="12">
        <v>1.32495143705989</v>
      </c>
      <c r="V87" s="2">
        <v>0.90215000000000001</v>
      </c>
      <c r="W87" s="2">
        <v>3.3177999999999999E-2</v>
      </c>
      <c r="X87" s="2">
        <f>(J87/1000000)/(V87*$F$105)</f>
        <v>0.62759746201819244</v>
      </c>
      <c r="Y87" s="2">
        <f>X87*((((W87/V87)^2) + ((K87/J87)^2))^(0.5))</f>
        <v>3.1564607748356351E-2</v>
      </c>
      <c r="Z87" s="2">
        <f>H87-X87</f>
        <v>33.320006537981804</v>
      </c>
      <c r="AA87" s="2">
        <f>I87+Y87</f>
        <v>3.202860774835635E-2</v>
      </c>
      <c r="AB87" s="14">
        <v>105.983931657794</v>
      </c>
      <c r="AC87" s="12">
        <v>1.3174616939321799</v>
      </c>
      <c r="AD87" s="2">
        <f>1000000*(BB87*298)/($B87/1000)</f>
        <v>0.9604116833067905</v>
      </c>
      <c r="AE87" s="2">
        <f>1000000*(BC87*298)/($B87/1000)</f>
        <v>1.1673085154376624E-2</v>
      </c>
      <c r="AF87" s="2">
        <f>1000000*(BD87*292)/($B87/1000)</f>
        <v>1.2949427166712233</v>
      </c>
      <c r="AG87" s="2">
        <f>1000000*(BE87*292)/($B87/1000)</f>
        <v>4.5850411078196075E-2</v>
      </c>
      <c r="AH87" s="2">
        <f>1000000*(BF87*150)/($B87/1000)</f>
        <v>0.11404204779883692</v>
      </c>
      <c r="AI87" s="2">
        <f>1000000*(BG87*150)/($B87/1000)</f>
        <v>9.0300387483843447E-3</v>
      </c>
      <c r="AJ87" s="2">
        <f>1000000*(BJ87*63.55)/($B87/1000)</f>
        <v>78.868715783824143</v>
      </c>
      <c r="AK87" s="2">
        <f>1000000*(BK87*63.55)/($B87/1000)</f>
        <v>11.978882208201036</v>
      </c>
      <c r="AL87" s="1">
        <f>1000000*(BL87*74.92)/($B87/1000)</f>
        <v>187365.66854992308</v>
      </c>
      <c r="AM87" s="1">
        <f>1000000*(BM87*74.92)/($B87/1000)</f>
        <v>4344.312636691302</v>
      </c>
      <c r="AN87" s="2">
        <f>1000000*(BN87*91.22)/($B87/1000)</f>
        <v>24.736295349753419</v>
      </c>
      <c r="AO87" s="2">
        <f>1000000*(BO87*91.22)/($B87/1000)</f>
        <v>1.6679733192212911</v>
      </c>
      <c r="AP87" s="2">
        <f>1000000*(BP87*107.87)/($B87/1000)</f>
        <v>3.6707679690272159</v>
      </c>
      <c r="AQ87" s="2">
        <f>1000000*(BQ87*107.87)/($B87/1000)</f>
        <v>1.4077942461440522</v>
      </c>
      <c r="AR87" s="2">
        <f>1000000*(BR87*121.76)/($B87/1000)</f>
        <v>94.854683652638926</v>
      </c>
      <c r="AS87" s="12">
        <f>1000000*(BS87*121.76)/($B87/1000)</f>
        <v>3.8227417706612186</v>
      </c>
      <c r="AX87" s="96">
        <f xml:space="preserve"> (119974.6 + (42856.8 *$BA87))*BH87</f>
        <v>2.5374932744832908</v>
      </c>
      <c r="AY87" s="2">
        <f xml:space="preserve"> (119974.6 + (42856.8 *$BA87))*BI87</f>
        <v>4.4709406971528885E-2</v>
      </c>
      <c r="AZ87" s="2">
        <f>AX87-B87</f>
        <v>1.7493274483290744E-2</v>
      </c>
      <c r="BA87" s="2">
        <f>BL87/BH87</f>
        <v>0.33346772732193664</v>
      </c>
      <c r="BB87" s="1">
        <v>8.1216021541379606E-12</v>
      </c>
      <c r="BC87" s="1">
        <v>9.8711995265198303E-14</v>
      </c>
      <c r="BD87" s="1">
        <v>1.11755330342859E-11</v>
      </c>
      <c r="BE87" s="1">
        <v>3.9569532848306202E-13</v>
      </c>
      <c r="BF87" s="1">
        <v>1.9159064030204601E-12</v>
      </c>
      <c r="BG87" s="1">
        <v>1.51704650972857E-13</v>
      </c>
      <c r="BH87" s="1">
        <v>1.8899006719373199E-5</v>
      </c>
      <c r="BI87" s="1">
        <v>3.3299137825150498E-7</v>
      </c>
      <c r="BJ87" s="1">
        <v>3.1274455354089201E-9</v>
      </c>
      <c r="BK87" s="1">
        <v>4.7500838968790895E-10</v>
      </c>
      <c r="BL87" s="1">
        <v>6.3022088193513902E-6</v>
      </c>
      <c r="BM87" s="1">
        <v>1.4612477101524401E-7</v>
      </c>
      <c r="BN87" s="1">
        <v>6.8335303969939297E-10</v>
      </c>
      <c r="BO87" s="1">
        <v>4.6078631489121398E-11</v>
      </c>
      <c r="BP87" s="1">
        <v>8.5754475590512497E-11</v>
      </c>
      <c r="BQ87" s="1">
        <v>3.2888119961833799E-11</v>
      </c>
      <c r="BR87" s="1">
        <v>1.96315541068208E-9</v>
      </c>
      <c r="BS87" s="85">
        <v>7.9117191705537701E-11</v>
      </c>
      <c r="BU87" s="23">
        <v>7.8700000000000005E-4</v>
      </c>
      <c r="BV87" s="23">
        <v>2.6999999999999999E-5</v>
      </c>
      <c r="BX87">
        <v>0</v>
      </c>
      <c r="BY87">
        <f>571-18</f>
        <v>553</v>
      </c>
      <c r="BZ87">
        <v>0</v>
      </c>
      <c r="CA87">
        <f>571+18</f>
        <v>589</v>
      </c>
    </row>
    <row r="88" spans="1:79" ht="28.2" customHeight="1" x14ac:dyDescent="0.7">
      <c r="A88" s="15" t="s">
        <v>31</v>
      </c>
      <c r="B88" s="8"/>
      <c r="C88" s="8"/>
      <c r="D88" s="8"/>
      <c r="E88" s="8"/>
      <c r="H88" s="20"/>
      <c r="I88" s="22"/>
      <c r="K88" s="2"/>
      <c r="L88" s="2"/>
      <c r="M88" s="2"/>
      <c r="N88" s="18"/>
      <c r="O88" s="82"/>
      <c r="P88" s="8"/>
      <c r="Q88" s="8"/>
      <c r="R88" s="8"/>
      <c r="S88" s="8"/>
      <c r="V88" s="8"/>
      <c r="W88" s="8"/>
      <c r="X88" s="8"/>
      <c r="Y88" s="8"/>
      <c r="Z88" s="8"/>
      <c r="AA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16"/>
      <c r="AT88" s="8"/>
      <c r="AU88" s="7"/>
      <c r="AV88" s="7"/>
      <c r="AW88" s="7"/>
      <c r="AX88" s="95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84"/>
      <c r="BU88" s="22"/>
      <c r="BV88" s="22"/>
      <c r="BW88" s="22"/>
      <c r="BX88">
        <v>20</v>
      </c>
      <c r="BY88">
        <v>553</v>
      </c>
      <c r="BZ88">
        <v>20</v>
      </c>
      <c r="CA88">
        <f>571+18</f>
        <v>589</v>
      </c>
    </row>
    <row r="89" spans="1:79" x14ac:dyDescent="0.3">
      <c r="A89" s="26" t="s">
        <v>27</v>
      </c>
      <c r="B89" s="2">
        <v>1.37</v>
      </c>
      <c r="C89" s="2">
        <f t="shared" ref="C89:C97" si="139">H89/B89</f>
        <v>547.86572189781009</v>
      </c>
      <c r="D89" s="2">
        <f t="shared" ref="D89:D97" si="140">AD89+(0.24*AF89)</f>
        <v>11.802108239255151</v>
      </c>
      <c r="E89" s="2">
        <f t="shared" ref="E89:E97" si="141">BB89/BD89</f>
        <v>294.86555305126535</v>
      </c>
      <c r="F89" s="14">
        <v>454.87536425936202</v>
      </c>
      <c r="G89" s="2">
        <v>4.7463950358055103</v>
      </c>
      <c r="H89" s="19">
        <v>750.57603899999992</v>
      </c>
      <c r="I89" s="23">
        <v>7.5699999999999995E-3</v>
      </c>
      <c r="J89" s="2">
        <f t="shared" si="127"/>
        <v>11.508000000000001</v>
      </c>
      <c r="K89" s="2">
        <f t="shared" si="107"/>
        <v>0.35300000000000004</v>
      </c>
      <c r="L89" s="2">
        <f t="shared" ref="L89:L97" si="142">J89/B89</f>
        <v>8.4</v>
      </c>
      <c r="M89" s="2"/>
      <c r="N89" s="17">
        <v>1.1462E-2</v>
      </c>
      <c r="O89" s="25">
        <v>2.1000000000000001E-4</v>
      </c>
      <c r="P89" s="2">
        <f t="shared" ref="P89:P97" si="143">(J89/1000000)/$F$105</f>
        <v>8.2791366906474817</v>
      </c>
      <c r="Q89" s="2">
        <f t="shared" ref="Q89:Q97" si="144">(K89/1000000)/$F$105</f>
        <v>0.25395683453237411</v>
      </c>
      <c r="R89" s="2">
        <f t="shared" ref="R89:R97" si="145">H89-P89</f>
        <v>742.29690230935239</v>
      </c>
      <c r="S89" s="2">
        <f t="shared" ref="S89:S97" si="146">I89+Q89</f>
        <v>0.26152683453237413</v>
      </c>
      <c r="T89" s="14">
        <v>450.06267922096401</v>
      </c>
      <c r="U89" s="12">
        <v>4.7751620267575898</v>
      </c>
      <c r="AD89" s="2">
        <f t="shared" ref="AD89:AD97" si="147">1000000*(BB89*298)/($B89/1000)</f>
        <v>11.792703058380429</v>
      </c>
      <c r="AE89" s="2">
        <f t="shared" ref="AE89:AE97" si="148">1000000*(BC89*298)/($B89/1000)</f>
        <v>0.13070141344338007</v>
      </c>
      <c r="AF89" s="2">
        <f t="shared" ref="AF89:AF97" si="149">1000000*(BD89*292)/($B89/1000)</f>
        <v>3.9188253644675888E-2</v>
      </c>
      <c r="AG89" s="2">
        <f t="shared" ref="AG89:AG97" si="150">1000000*(BE89*292)/($B89/1000)</f>
        <v>1.1789467679429164E-2</v>
      </c>
      <c r="AH89" s="2">
        <f t="shared" ref="AH89:AH97" si="151">1000000*(BF89*150)/($B89/1000)</f>
        <v>0.34400165798273979</v>
      </c>
      <c r="AI89" s="2">
        <f t="shared" ref="AI89:AI97" si="152">1000000*(BG89*150)/($B89/1000)</f>
        <v>2.9158139833089739E-2</v>
      </c>
      <c r="AJ89" s="2">
        <f t="shared" ref="AJ89:AJ97" si="153">1000000*(BJ89*63.55)/($B89/1000)</f>
        <v>0</v>
      </c>
      <c r="AK89" s="2">
        <f t="shared" ref="AK89:AK97" si="154">1000000*(BK89*63.55)/($B89/1000)</f>
        <v>0</v>
      </c>
      <c r="AL89" s="2">
        <f t="shared" ref="AL89:AL97" si="155">1000000*(BL89*74.92)/($B89/1000)</f>
        <v>0</v>
      </c>
      <c r="AM89" s="2">
        <f t="shared" ref="AM89:AM97" si="156">1000000*(BM89*74.92)/($B89/1000)</f>
        <v>0</v>
      </c>
      <c r="AN89" s="2">
        <f t="shared" ref="AN89:AN97" si="157">1000000*(BN89*91.22)/($B89/1000)</f>
        <v>0</v>
      </c>
      <c r="AO89" s="2">
        <f t="shared" ref="AO89:AO97" si="158">1000000*(BO89*91.22)/($B89/1000)</f>
        <v>0</v>
      </c>
      <c r="AP89" s="2">
        <f t="shared" ref="AP89:AP97" si="159">1000000*(BP89*107.87)/($B89/1000)</f>
        <v>0</v>
      </c>
      <c r="AQ89" s="2">
        <f t="shared" ref="AQ89:AQ97" si="160">1000000*(BQ89*107.87)/($B89/1000)</f>
        <v>0</v>
      </c>
      <c r="AR89" s="2">
        <f t="shared" ref="AR89:AR97" si="161">1000000*(BR89*121.76)/($B89/1000)</f>
        <v>0</v>
      </c>
      <c r="AS89" s="12">
        <f t="shared" ref="AS89:AS97" si="162">1000000*(BS89*121.76)/($B89/1000)</f>
        <v>0</v>
      </c>
      <c r="BB89" s="1">
        <v>5.4214775805305999E-11</v>
      </c>
      <c r="BC89" s="1">
        <v>6.0087562556184795E-13</v>
      </c>
      <c r="BD89" s="1">
        <v>1.8386269689454101E-13</v>
      </c>
      <c r="BE89" s="1">
        <v>5.5313598358965597E-14</v>
      </c>
      <c r="BF89" s="1">
        <v>3.1418818095756901E-12</v>
      </c>
      <c r="BG89" s="1">
        <v>2.6631101047555298E-13</v>
      </c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85"/>
      <c r="BU89" s="23">
        <v>1.1508000000000001E-2</v>
      </c>
      <c r="BV89" s="23">
        <v>3.5300000000000002E-4</v>
      </c>
    </row>
    <row r="90" spans="1:79" x14ac:dyDescent="0.3">
      <c r="A90" s="26" t="s">
        <v>28</v>
      </c>
      <c r="B90" s="2">
        <v>2.12</v>
      </c>
      <c r="C90" s="2">
        <f t="shared" si="139"/>
        <v>504.7975424528301</v>
      </c>
      <c r="D90" s="2">
        <f t="shared" si="140"/>
        <v>8.7793334480086713</v>
      </c>
      <c r="E90" s="2">
        <f t="shared" si="141"/>
        <v>144.78648792931679</v>
      </c>
      <c r="F90" s="14">
        <v>557.08785471670501</v>
      </c>
      <c r="G90" s="2">
        <v>6.9678199710752198</v>
      </c>
      <c r="H90" s="19">
        <v>1070.1707899999999</v>
      </c>
      <c r="I90" s="23">
        <v>8.0767000000000005E-2</v>
      </c>
      <c r="J90" s="2">
        <f t="shared" si="127"/>
        <v>6.3079999999999998</v>
      </c>
      <c r="K90" s="2">
        <f t="shared" si="107"/>
        <v>0.153</v>
      </c>
      <c r="L90" s="2">
        <f t="shared" si="142"/>
        <v>2.9754716981132074</v>
      </c>
      <c r="M90" s="2"/>
      <c r="N90" s="17">
        <v>4.1269999999999996E-3</v>
      </c>
      <c r="O90" s="25">
        <v>1E-4</v>
      </c>
      <c r="P90" s="2">
        <f t="shared" si="143"/>
        <v>4.5381294964028775</v>
      </c>
      <c r="Q90" s="2">
        <f t="shared" si="144"/>
        <v>0.11007194244604317</v>
      </c>
      <c r="R90" s="2">
        <f t="shared" si="145"/>
        <v>1065.632660503597</v>
      </c>
      <c r="S90" s="2">
        <f t="shared" si="146"/>
        <v>0.19083894244604316</v>
      </c>
      <c r="T90" s="14">
        <v>554.83937761311802</v>
      </c>
      <c r="U90" s="12">
        <v>7.0005004990180302</v>
      </c>
      <c r="AD90" s="2">
        <f t="shared" si="147"/>
        <v>8.765096840430072</v>
      </c>
      <c r="AE90" s="2">
        <f t="shared" si="148"/>
        <v>0.1165243862793514</v>
      </c>
      <c r="AF90" s="2">
        <f t="shared" si="149"/>
        <v>5.9319198244165643E-2</v>
      </c>
      <c r="AG90" s="2">
        <f t="shared" si="150"/>
        <v>7.4101144290324786E-3</v>
      </c>
      <c r="AH90" s="2">
        <f t="shared" si="151"/>
        <v>0.34312954890199815</v>
      </c>
      <c r="AI90" s="2">
        <f t="shared" si="152"/>
        <v>1.7490020272649717E-2</v>
      </c>
      <c r="AJ90" s="2">
        <f t="shared" si="153"/>
        <v>0</v>
      </c>
      <c r="AK90" s="2">
        <f t="shared" si="154"/>
        <v>0</v>
      </c>
      <c r="AL90" s="2">
        <f t="shared" si="155"/>
        <v>0</v>
      </c>
      <c r="AM90" s="2">
        <f t="shared" si="156"/>
        <v>0</v>
      </c>
      <c r="AN90" s="2">
        <f t="shared" si="157"/>
        <v>0</v>
      </c>
      <c r="AO90" s="2">
        <f t="shared" si="158"/>
        <v>0</v>
      </c>
      <c r="AP90" s="2">
        <f t="shared" si="159"/>
        <v>0</v>
      </c>
      <c r="AQ90" s="2">
        <f t="shared" si="160"/>
        <v>0</v>
      </c>
      <c r="AR90" s="2">
        <f t="shared" si="161"/>
        <v>0</v>
      </c>
      <c r="AS90" s="12">
        <f t="shared" si="162"/>
        <v>0</v>
      </c>
      <c r="BB90" s="1">
        <v>6.2355722488965606E-11</v>
      </c>
      <c r="BC90" s="1">
        <v>8.2896543259135903E-13</v>
      </c>
      <c r="BD90" s="1">
        <v>4.3067363108777798E-13</v>
      </c>
      <c r="BE90" s="1">
        <v>5.3799460923112502E-14</v>
      </c>
      <c r="BF90" s="1">
        <v>4.8495642911482403E-12</v>
      </c>
      <c r="BG90" s="1">
        <v>2.47192286520116E-13</v>
      </c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85"/>
      <c r="BU90" s="23">
        <v>6.3080000000000002E-3</v>
      </c>
      <c r="BV90" s="23">
        <v>1.5300000000000001E-4</v>
      </c>
      <c r="BX90">
        <v>-0.2</v>
      </c>
      <c r="BY90" s="23">
        <v>553</v>
      </c>
      <c r="CA90" s="23">
        <v>589</v>
      </c>
    </row>
    <row r="91" spans="1:79" x14ac:dyDescent="0.3">
      <c r="A91" s="26" t="s">
        <v>83</v>
      </c>
      <c r="B91" s="2">
        <v>0.46</v>
      </c>
      <c r="C91" s="2">
        <f t="shared" si="139"/>
        <v>523.29936304347825</v>
      </c>
      <c r="D91" s="2">
        <f t="shared" si="140"/>
        <v>9.1991304347826084</v>
      </c>
      <c r="E91" s="2" t="e">
        <f t="shared" si="141"/>
        <v>#DIV/0!</v>
      </c>
      <c r="F91" s="14">
        <v>551.74490302554796</v>
      </c>
      <c r="G91" s="2">
        <v>7.3956748193233599</v>
      </c>
      <c r="H91" s="19">
        <v>240.71770699999999</v>
      </c>
      <c r="I91" s="23">
        <v>1.5169999999999999E-3</v>
      </c>
      <c r="J91" s="2">
        <f t="shared" si="127"/>
        <v>1.544</v>
      </c>
      <c r="K91" s="2">
        <f t="shared" si="107"/>
        <v>5.3999999999999999E-2</v>
      </c>
      <c r="L91" s="2">
        <f t="shared" si="142"/>
        <v>3.3565217391304345</v>
      </c>
      <c r="M91" s="2"/>
      <c r="N91" s="17">
        <v>4.4730000000000004E-3</v>
      </c>
      <c r="O91" s="25">
        <v>1.9599999999999999E-4</v>
      </c>
      <c r="P91" s="2">
        <f t="shared" si="143"/>
        <v>1.1107913669064748</v>
      </c>
      <c r="Q91" s="2">
        <f t="shared" si="144"/>
        <v>3.884892086330935E-2</v>
      </c>
      <c r="R91" s="2">
        <f t="shared" si="145"/>
        <v>239.60691563309351</v>
      </c>
      <c r="S91" s="2">
        <f t="shared" si="146"/>
        <v>4.0365920863309347E-2</v>
      </c>
      <c r="T91" s="14">
        <v>549.37297868955602</v>
      </c>
      <c r="U91" s="12">
        <v>7.6608075289650097</v>
      </c>
      <c r="V91" s="2">
        <v>0.58468299999999995</v>
      </c>
      <c r="W91" s="2">
        <v>1.2674E-2</v>
      </c>
      <c r="X91" s="2">
        <f t="shared" ref="X91:X97" si="163">(J91/1000000)/(V91*$F$105)</f>
        <v>1.8998181354793535</v>
      </c>
      <c r="Y91" s="2">
        <f t="shared" ref="Y91:Y97" si="164">X91*((((W91/V91)^2) + ((K91/J91)^2))^(0.5))</f>
        <v>7.8171610500106153E-2</v>
      </c>
      <c r="Z91" s="2">
        <f t="shared" ref="Z91:Z97" si="165">H91-X91</f>
        <v>238.81788886452063</v>
      </c>
      <c r="AA91" s="2">
        <f t="shared" ref="AA91:AA97" si="166">I91+Y91</f>
        <v>7.9688610500106158E-2</v>
      </c>
      <c r="AB91" s="14">
        <v>547.62180362264598</v>
      </c>
      <c r="AC91" s="12">
        <v>7.6012944454548901</v>
      </c>
      <c r="AD91" s="2">
        <f t="shared" si="147"/>
        <v>9.1991304347826084</v>
      </c>
      <c r="AE91" s="2">
        <f t="shared" si="148"/>
        <v>0.1341</v>
      </c>
      <c r="AF91" s="2">
        <f t="shared" si="149"/>
        <v>0</v>
      </c>
      <c r="AG91" s="2">
        <f t="shared" si="150"/>
        <v>0</v>
      </c>
      <c r="AH91" s="2">
        <f t="shared" si="151"/>
        <v>1.558695652173913</v>
      </c>
      <c r="AI91" s="2">
        <f t="shared" si="152"/>
        <v>0.19173913043478261</v>
      </c>
      <c r="AJ91" s="2">
        <f t="shared" si="153"/>
        <v>0</v>
      </c>
      <c r="AK91" s="2">
        <f t="shared" si="154"/>
        <v>0</v>
      </c>
      <c r="AL91" s="2">
        <f t="shared" si="155"/>
        <v>338.7686956521739</v>
      </c>
      <c r="AM91" s="2">
        <f t="shared" si="156"/>
        <v>109.12260869565216</v>
      </c>
      <c r="AN91" s="2">
        <f t="shared" si="157"/>
        <v>0</v>
      </c>
      <c r="AO91" s="2">
        <f t="shared" si="158"/>
        <v>0</v>
      </c>
      <c r="AP91" s="2">
        <f t="shared" si="159"/>
        <v>0</v>
      </c>
      <c r="AQ91" s="2">
        <f t="shared" si="160"/>
        <v>0</v>
      </c>
      <c r="AR91" s="2">
        <f t="shared" si="161"/>
        <v>0</v>
      </c>
      <c r="AS91" s="12">
        <f t="shared" si="162"/>
        <v>0</v>
      </c>
      <c r="AX91" s="96">
        <f t="shared" ref="AX91:AY97" si="167">79844.1*BH91</f>
        <v>0.37047662399999998</v>
      </c>
      <c r="AY91" s="2">
        <f t="shared" si="167"/>
        <v>1.0539421199999999E-2</v>
      </c>
      <c r="AZ91" s="2">
        <f t="shared" ref="AZ91:AZ97" si="168">AX91-B91</f>
        <v>-8.9523376000000043E-2</v>
      </c>
      <c r="BB91" s="1">
        <v>1.42E-11</v>
      </c>
      <c r="BC91" s="1">
        <v>2.07E-13</v>
      </c>
      <c r="BD91">
        <v>0</v>
      </c>
      <c r="BE91">
        <v>0</v>
      </c>
      <c r="BF91" s="1">
        <v>4.7800000000000002E-12</v>
      </c>
      <c r="BG91" s="1">
        <v>5.8800000000000002E-13</v>
      </c>
      <c r="BH91" s="1">
        <v>4.6399999999999996E-6</v>
      </c>
      <c r="BI91" s="1">
        <v>1.3199999999999999E-7</v>
      </c>
      <c r="BJ91">
        <v>0</v>
      </c>
      <c r="BK91">
        <v>0</v>
      </c>
      <c r="BL91" s="1">
        <v>2.0799999999999998E-9</v>
      </c>
      <c r="BM91" s="1">
        <v>6.6999999999999996E-10</v>
      </c>
      <c r="BN91">
        <v>0</v>
      </c>
      <c r="BO91">
        <v>0</v>
      </c>
      <c r="BP91">
        <v>0</v>
      </c>
      <c r="BQ91">
        <v>0</v>
      </c>
      <c r="BR91">
        <v>0</v>
      </c>
      <c r="BS91" s="3">
        <v>0</v>
      </c>
      <c r="BU91" s="23">
        <v>1.544E-3</v>
      </c>
      <c r="BV91" s="23">
        <v>5.3999999999999998E-5</v>
      </c>
      <c r="BX91" s="23">
        <v>0.2</v>
      </c>
      <c r="BY91" s="23">
        <v>553</v>
      </c>
      <c r="CA91" s="23">
        <v>589</v>
      </c>
    </row>
    <row r="92" spans="1:79" x14ac:dyDescent="0.3">
      <c r="A92" s="26" t="s">
        <v>84</v>
      </c>
      <c r="B92" s="2">
        <v>0.49</v>
      </c>
      <c r="C92" s="2">
        <f t="shared" si="139"/>
        <v>385.17798571428574</v>
      </c>
      <c r="D92" s="2">
        <f t="shared" si="140"/>
        <v>2.1743510204081633</v>
      </c>
      <c r="E92" s="2">
        <f t="shared" si="141"/>
        <v>23.6</v>
      </c>
      <c r="F92" s="14">
        <v>1541.7340649866001</v>
      </c>
      <c r="G92" s="2">
        <v>34.805113489580897</v>
      </c>
      <c r="H92" s="19">
        <v>188.737213</v>
      </c>
      <c r="I92" s="23">
        <v>1.474E-3</v>
      </c>
      <c r="J92" s="2">
        <f t="shared" si="127"/>
        <v>0.39900000000000002</v>
      </c>
      <c r="K92" s="2">
        <f t="shared" si="107"/>
        <v>3.0000000000000002E-2</v>
      </c>
      <c r="L92" s="2">
        <f t="shared" si="142"/>
        <v>0.81428571428571439</v>
      </c>
      <c r="M92" s="2"/>
      <c r="N92" s="17">
        <v>1.358E-3</v>
      </c>
      <c r="O92" s="25">
        <v>1.3100000000000001E-4</v>
      </c>
      <c r="P92" s="2">
        <f t="shared" si="143"/>
        <v>0.2870503597122302</v>
      </c>
      <c r="Q92" s="2">
        <f t="shared" si="144"/>
        <v>2.1582733812949641E-2</v>
      </c>
      <c r="R92" s="2">
        <f t="shared" si="145"/>
        <v>188.45016264028777</v>
      </c>
      <c r="S92" s="2">
        <f t="shared" si="146"/>
        <v>2.3056733812949641E-2</v>
      </c>
      <c r="T92" s="14">
        <v>1539.66091478102</v>
      </c>
      <c r="U92" s="12">
        <v>35.1613429884883</v>
      </c>
      <c r="V92" s="2">
        <v>0.58468299999999995</v>
      </c>
      <c r="W92" s="2">
        <v>1.2674E-2</v>
      </c>
      <c r="X92" s="2">
        <f t="shared" si="163"/>
        <v>0.49095041195353761</v>
      </c>
      <c r="Y92" s="2">
        <f t="shared" si="164"/>
        <v>3.8417019666723055E-2</v>
      </c>
      <c r="Z92" s="2">
        <f t="shared" si="165"/>
        <v>188.24626258804645</v>
      </c>
      <c r="AA92" s="2">
        <f t="shared" si="166"/>
        <v>3.9891019666723058E-2</v>
      </c>
      <c r="AB92" s="14">
        <v>1538.5617266934901</v>
      </c>
      <c r="AC92" s="12">
        <v>35.0110370704177</v>
      </c>
      <c r="AD92" s="2">
        <f t="shared" si="147"/>
        <v>2.1528979591836737</v>
      </c>
      <c r="AE92" s="2">
        <f t="shared" si="148"/>
        <v>5.686326530612245E-2</v>
      </c>
      <c r="AF92" s="2">
        <f t="shared" si="149"/>
        <v>8.938775510204082E-2</v>
      </c>
      <c r="AG92" s="2">
        <f t="shared" si="150"/>
        <v>8.3428571428571449E-2</v>
      </c>
      <c r="AH92" s="2">
        <f t="shared" si="151"/>
        <v>0.86632653061224485</v>
      </c>
      <c r="AI92" s="2">
        <f t="shared" si="152"/>
        <v>0.15428571428571428</v>
      </c>
      <c r="AJ92" s="2">
        <f t="shared" si="153"/>
        <v>77.038163265306125</v>
      </c>
      <c r="AK92" s="2">
        <f t="shared" si="154"/>
        <v>34.628265306122451</v>
      </c>
      <c r="AL92" s="2">
        <f t="shared" si="155"/>
        <v>1310.3355102040816</v>
      </c>
      <c r="AM92" s="2">
        <f t="shared" si="156"/>
        <v>209.47020408163269</v>
      </c>
      <c r="AN92" s="2">
        <f t="shared" si="157"/>
        <v>19.360979591836738</v>
      </c>
      <c r="AO92" s="2">
        <f t="shared" si="158"/>
        <v>5.026408163265307</v>
      </c>
      <c r="AP92" s="2">
        <f t="shared" si="159"/>
        <v>10.809014285714285</v>
      </c>
      <c r="AQ92" s="2">
        <f t="shared" si="160"/>
        <v>9.0258571428571432</v>
      </c>
      <c r="AR92" s="2">
        <f t="shared" si="161"/>
        <v>0</v>
      </c>
      <c r="AS92" s="12">
        <f t="shared" si="162"/>
        <v>0</v>
      </c>
      <c r="AX92" s="96">
        <f t="shared" si="167"/>
        <v>0.30739978500000004</v>
      </c>
      <c r="AY92" s="2">
        <f t="shared" si="167"/>
        <v>9.1022274000000011E-3</v>
      </c>
      <c r="AZ92" s="2">
        <f t="shared" si="168"/>
        <v>-0.18260021499999995</v>
      </c>
      <c r="BB92" s="1">
        <v>3.5399999999999999E-12</v>
      </c>
      <c r="BC92" s="1">
        <v>9.3500000000000005E-14</v>
      </c>
      <c r="BD92" s="1">
        <v>1.4999999999999999E-13</v>
      </c>
      <c r="BE92" s="1">
        <v>1.4000000000000001E-13</v>
      </c>
      <c r="BF92" s="1">
        <v>2.8299999999999999E-12</v>
      </c>
      <c r="BG92" s="1">
        <v>5.0399999999999997E-13</v>
      </c>
      <c r="BH92" s="1">
        <v>3.8500000000000004E-6</v>
      </c>
      <c r="BI92" s="1">
        <v>1.14E-7</v>
      </c>
      <c r="BJ92" s="1">
        <v>5.9400000000000002E-10</v>
      </c>
      <c r="BK92" s="1">
        <v>2.6700000000000001E-10</v>
      </c>
      <c r="BL92" s="1">
        <v>8.57E-9</v>
      </c>
      <c r="BM92" s="1">
        <v>1.37E-9</v>
      </c>
      <c r="BN92" s="1">
        <v>1.04E-10</v>
      </c>
      <c r="BO92" s="1">
        <v>2.7E-11</v>
      </c>
      <c r="BP92" s="1">
        <v>4.9099999999999997E-11</v>
      </c>
      <c r="BQ92" s="1">
        <v>4.1000000000000001E-11</v>
      </c>
      <c r="BR92">
        <v>0</v>
      </c>
      <c r="BS92" s="3">
        <v>0</v>
      </c>
      <c r="BU92" s="23">
        <v>3.9899999999999999E-4</v>
      </c>
      <c r="BV92" s="23">
        <v>3.0000000000000001E-5</v>
      </c>
    </row>
    <row r="93" spans="1:79" x14ac:dyDescent="0.3">
      <c r="A93" s="26" t="s">
        <v>85</v>
      </c>
      <c r="B93" s="2">
        <v>0.28000000000000003</v>
      </c>
      <c r="C93" s="2">
        <f t="shared" si="139"/>
        <v>622.42390714285705</v>
      </c>
      <c r="D93" s="2">
        <f t="shared" si="140"/>
        <v>11.28142857142857</v>
      </c>
      <c r="E93" s="2" t="e">
        <f t="shared" si="141"/>
        <v>#DIV/0!</v>
      </c>
      <c r="F93" s="14">
        <v>535.89504504524598</v>
      </c>
      <c r="G93" s="2">
        <v>8.7832226121134997</v>
      </c>
      <c r="H93">
        <v>174.278694</v>
      </c>
      <c r="I93">
        <v>1.3669999999999999E-3</v>
      </c>
      <c r="J93" s="2">
        <f t="shared" si="127"/>
        <v>1.984</v>
      </c>
      <c r="K93" s="2">
        <f t="shared" si="107"/>
        <v>7.6999999999999999E-2</v>
      </c>
      <c r="L93" s="2">
        <f t="shared" si="142"/>
        <v>7.0857142857142854</v>
      </c>
      <c r="M93" s="2"/>
      <c r="N93" s="17">
        <v>7.7330000000000003E-3</v>
      </c>
      <c r="O93" s="25">
        <v>3.1700000000000001E-4</v>
      </c>
      <c r="P93" s="2">
        <f t="shared" si="143"/>
        <v>1.4273381294964029</v>
      </c>
      <c r="Q93" s="2">
        <f t="shared" si="144"/>
        <v>5.5395683453237407E-2</v>
      </c>
      <c r="R93" s="2">
        <f t="shared" si="145"/>
        <v>172.8513558705036</v>
      </c>
      <c r="S93" s="2">
        <f t="shared" si="146"/>
        <v>5.6762683453237407E-2</v>
      </c>
      <c r="T93" s="14">
        <v>531.75072759244699</v>
      </c>
      <c r="U93" s="12">
        <v>8.3306704107204208</v>
      </c>
      <c r="V93" s="2">
        <v>0.58468299999999995</v>
      </c>
      <c r="W93" s="2">
        <v>1.2674E-2</v>
      </c>
      <c r="X93" s="2">
        <f t="shared" si="163"/>
        <v>2.4412170860045577</v>
      </c>
      <c r="Y93" s="2">
        <f t="shared" si="164"/>
        <v>0.10852117829294748</v>
      </c>
      <c r="Z93" s="2">
        <f t="shared" si="165"/>
        <v>171.83747691399543</v>
      </c>
      <c r="AA93" s="2">
        <f t="shared" si="166"/>
        <v>0.10988817829294747</v>
      </c>
      <c r="AB93" s="14">
        <v>528.76811836772401</v>
      </c>
      <c r="AC93" s="12">
        <v>8.7354670042952201</v>
      </c>
      <c r="AD93" s="2">
        <f t="shared" si="147"/>
        <v>11.28142857142857</v>
      </c>
      <c r="AE93" s="2">
        <f t="shared" si="148"/>
        <v>0.19263571428571427</v>
      </c>
      <c r="AF93" s="2">
        <f t="shared" si="149"/>
        <v>0</v>
      </c>
      <c r="AG93" s="2">
        <f t="shared" si="150"/>
        <v>0</v>
      </c>
      <c r="AH93" s="2">
        <f t="shared" si="151"/>
        <v>1.5482142857142855</v>
      </c>
      <c r="AI93" s="2">
        <f t="shared" si="152"/>
        <v>0.34446428571428567</v>
      </c>
      <c r="AJ93" s="2">
        <f t="shared" si="153"/>
        <v>0</v>
      </c>
      <c r="AK93" s="2">
        <f t="shared" si="154"/>
        <v>0</v>
      </c>
      <c r="AL93" s="2">
        <f t="shared" si="155"/>
        <v>3960.0571428571425</v>
      </c>
      <c r="AM93" s="2">
        <f t="shared" si="156"/>
        <v>226.90057142857142</v>
      </c>
      <c r="AN93" s="2">
        <f t="shared" si="157"/>
        <v>0</v>
      </c>
      <c r="AO93" s="2">
        <f t="shared" si="158"/>
        <v>0</v>
      </c>
      <c r="AP93" s="2">
        <f t="shared" si="159"/>
        <v>20.033000000000001</v>
      </c>
      <c r="AQ93" s="2">
        <f t="shared" si="160"/>
        <v>15.525575</v>
      </c>
      <c r="AR93" s="2">
        <f t="shared" si="161"/>
        <v>0</v>
      </c>
      <c r="AS93" s="12">
        <f t="shared" si="162"/>
        <v>0</v>
      </c>
      <c r="AX93" s="96">
        <f t="shared" si="167"/>
        <v>0.26268708899999998</v>
      </c>
      <c r="AY93" s="2">
        <f t="shared" si="167"/>
        <v>4.5271604700000004E-3</v>
      </c>
      <c r="AZ93" s="2">
        <f t="shared" si="168"/>
        <v>-1.7312911000000042E-2</v>
      </c>
      <c r="BB93" s="1">
        <v>1.0599999999999999E-11</v>
      </c>
      <c r="BC93" s="1">
        <v>1.8100000000000001E-13</v>
      </c>
      <c r="BD93">
        <v>0</v>
      </c>
      <c r="BE93">
        <v>0</v>
      </c>
      <c r="BF93" s="1">
        <v>2.89E-12</v>
      </c>
      <c r="BG93" s="1">
        <v>6.4299999999999999E-13</v>
      </c>
      <c r="BH93" s="1">
        <v>3.2899999999999998E-6</v>
      </c>
      <c r="BI93" s="1">
        <v>5.6699999999999998E-8</v>
      </c>
      <c r="BJ93">
        <v>0</v>
      </c>
      <c r="BK93">
        <v>0</v>
      </c>
      <c r="BL93" s="1">
        <v>1.48E-8</v>
      </c>
      <c r="BM93" s="1">
        <v>8.4799999999999997E-10</v>
      </c>
      <c r="BN93">
        <v>0</v>
      </c>
      <c r="BO93">
        <v>0</v>
      </c>
      <c r="BP93" s="1">
        <v>5.2000000000000001E-11</v>
      </c>
      <c r="BQ93" s="1">
        <v>4.0299999999999999E-11</v>
      </c>
      <c r="BR93">
        <v>0</v>
      </c>
      <c r="BS93" s="3">
        <v>0</v>
      </c>
      <c r="BU93">
        <v>1.9840000000000001E-3</v>
      </c>
      <c r="BV93">
        <v>7.7000000000000001E-5</v>
      </c>
    </row>
    <row r="94" spans="1:79" x14ac:dyDescent="0.3">
      <c r="A94" s="26" t="s">
        <v>128</v>
      </c>
      <c r="B94" s="2">
        <v>0.42</v>
      </c>
      <c r="C94" s="2">
        <f t="shared" si="139"/>
        <v>612.12379523809523</v>
      </c>
      <c r="D94" s="2">
        <f t="shared" si="140"/>
        <v>12.167859047619048</v>
      </c>
      <c r="E94" s="2">
        <f t="shared" si="141"/>
        <v>26.771653543307085</v>
      </c>
      <c r="F94" s="14">
        <v>491.300214306474</v>
      </c>
      <c r="G94" s="2">
        <v>17.4036453427452</v>
      </c>
      <c r="H94">
        <v>257.091994</v>
      </c>
      <c r="I94">
        <v>1.8339999999999999E-3</v>
      </c>
      <c r="J94" s="2">
        <f t="shared" si="127"/>
        <v>1.415</v>
      </c>
      <c r="K94" s="2">
        <f t="shared" si="107"/>
        <v>0.04</v>
      </c>
      <c r="L94" s="2">
        <f t="shared" si="142"/>
        <v>3.3690476190476191</v>
      </c>
      <c r="M94" s="2"/>
      <c r="N94" s="17">
        <v>3.7399999999999998E-3</v>
      </c>
      <c r="O94" s="25">
        <v>1.6000000000000001E-4</v>
      </c>
      <c r="P94" s="2">
        <f t="shared" si="143"/>
        <v>1.0179856115107913</v>
      </c>
      <c r="Q94" s="2">
        <f t="shared" si="144"/>
        <v>2.8776978417266189E-2</v>
      </c>
      <c r="R94" s="2">
        <f t="shared" si="145"/>
        <v>256.07400838848923</v>
      </c>
      <c r="S94" s="2">
        <f t="shared" si="146"/>
        <v>3.0610978417266187E-2</v>
      </c>
      <c r="T94" s="14">
        <v>489.61080773114401</v>
      </c>
      <c r="U94" s="12">
        <v>17.820314821473499</v>
      </c>
      <c r="V94" s="2">
        <v>0.58468299999999995</v>
      </c>
      <c r="W94" s="2">
        <v>1.2674E-2</v>
      </c>
      <c r="X94" s="2">
        <f t="shared" si="163"/>
        <v>1.7410898068026459</v>
      </c>
      <c r="Y94" s="2">
        <f t="shared" si="164"/>
        <v>6.202265480493592E-2</v>
      </c>
      <c r="Z94" s="2">
        <f t="shared" si="165"/>
        <v>255.35090419319735</v>
      </c>
      <c r="AA94" s="2">
        <f t="shared" si="166"/>
        <v>6.3856654804935922E-2</v>
      </c>
      <c r="AB94" s="14">
        <v>487.80071872648602</v>
      </c>
      <c r="AC94" s="12">
        <v>17.926873835087498</v>
      </c>
      <c r="AD94" s="2">
        <f t="shared" si="147"/>
        <v>12.061904761904762</v>
      </c>
      <c r="AE94" s="2">
        <f t="shared" si="148"/>
        <v>0.46686666666666676</v>
      </c>
      <c r="AF94" s="2">
        <f t="shared" si="149"/>
        <v>0.44147619047619058</v>
      </c>
      <c r="AG94" s="2">
        <f t="shared" si="150"/>
        <v>0.26766666666666666</v>
      </c>
      <c r="AH94" s="2">
        <f t="shared" si="151"/>
        <v>1.8642857142857143</v>
      </c>
      <c r="AI94" s="2">
        <f t="shared" si="152"/>
        <v>0.45714285714285718</v>
      </c>
      <c r="AJ94" s="2">
        <f t="shared" si="153"/>
        <v>0</v>
      </c>
      <c r="AK94" s="2">
        <f t="shared" si="154"/>
        <v>0</v>
      </c>
      <c r="AL94" s="1">
        <f t="shared" si="155"/>
        <v>8490.9333333333343</v>
      </c>
      <c r="AM94" s="1">
        <f t="shared" si="156"/>
        <v>1373.5333333333335</v>
      </c>
      <c r="AN94" s="2">
        <f t="shared" si="157"/>
        <v>31.058238095238099</v>
      </c>
      <c r="AO94" s="2">
        <f t="shared" si="158"/>
        <v>24.325333333333333</v>
      </c>
      <c r="AP94" s="2">
        <f t="shared" si="159"/>
        <v>0</v>
      </c>
      <c r="AQ94" s="2">
        <f t="shared" si="160"/>
        <v>0</v>
      </c>
      <c r="AR94" s="2">
        <f t="shared" si="161"/>
        <v>0</v>
      </c>
      <c r="AS94" s="12">
        <f t="shared" si="162"/>
        <v>0</v>
      </c>
      <c r="AX94" s="96">
        <f t="shared" si="167"/>
        <v>0.42157684800000006</v>
      </c>
      <c r="AY94" s="2">
        <f t="shared" si="167"/>
        <v>2.6508241200000001E-2</v>
      </c>
      <c r="AZ94" s="2">
        <f t="shared" si="168"/>
        <v>1.5768480000000751E-3</v>
      </c>
      <c r="BB94" s="1">
        <v>1.6999999999999999E-11</v>
      </c>
      <c r="BC94" s="1">
        <v>6.5800000000000002E-13</v>
      </c>
      <c r="BD94" s="1">
        <v>6.3500000000000002E-13</v>
      </c>
      <c r="BE94" s="1">
        <v>3.8499999999999998E-13</v>
      </c>
      <c r="BF94" s="1">
        <v>5.22E-12</v>
      </c>
      <c r="BG94" s="1">
        <v>1.28E-12</v>
      </c>
      <c r="BH94" s="1">
        <v>5.2800000000000003E-6</v>
      </c>
      <c r="BI94" s="1">
        <v>3.3200000000000001E-7</v>
      </c>
      <c r="BJ94">
        <v>0</v>
      </c>
      <c r="BK94">
        <v>0</v>
      </c>
      <c r="BL94" s="1">
        <v>4.7600000000000003E-8</v>
      </c>
      <c r="BM94" s="1">
        <v>7.6999999999999995E-9</v>
      </c>
      <c r="BN94" s="1">
        <v>1.43E-10</v>
      </c>
      <c r="BO94" s="1">
        <v>1.12E-10</v>
      </c>
      <c r="BP94">
        <v>0</v>
      </c>
      <c r="BQ94">
        <v>0</v>
      </c>
      <c r="BR94">
        <v>0</v>
      </c>
      <c r="BS94" s="3">
        <v>0</v>
      </c>
      <c r="BU94">
        <v>1.415E-3</v>
      </c>
      <c r="BV94">
        <v>4.0000000000000003E-5</v>
      </c>
    </row>
    <row r="95" spans="1:79" x14ac:dyDescent="0.3">
      <c r="A95" s="26" t="s">
        <v>74</v>
      </c>
      <c r="B95" s="2">
        <v>0.32</v>
      </c>
      <c r="C95" s="2">
        <f t="shared" si="139"/>
        <v>584.65026562499997</v>
      </c>
      <c r="D95" s="2">
        <f t="shared" si="140"/>
        <v>10.07156726102164</v>
      </c>
      <c r="E95" s="2" t="e">
        <f t="shared" si="141"/>
        <v>#DIV/0!</v>
      </c>
      <c r="F95" s="14">
        <v>562.34943879140496</v>
      </c>
      <c r="G95" s="2">
        <v>5.6212979202991002</v>
      </c>
      <c r="H95" s="19">
        <v>187.08808500000001</v>
      </c>
      <c r="I95" s="23">
        <v>4.7749999999999997E-3</v>
      </c>
      <c r="J95" s="2">
        <f t="shared" si="127"/>
        <v>0.35300000000000004</v>
      </c>
      <c r="K95" s="2">
        <f t="shared" si="107"/>
        <v>6.0000000000000001E-3</v>
      </c>
      <c r="L95" s="2">
        <f t="shared" si="142"/>
        <v>1.1031250000000001</v>
      </c>
      <c r="M95" s="2"/>
      <c r="N95" s="17">
        <v>1.397E-3</v>
      </c>
      <c r="O95" s="25">
        <v>1.2E-4</v>
      </c>
      <c r="P95" s="2">
        <f t="shared" si="143"/>
        <v>0.25395683453237411</v>
      </c>
      <c r="Q95" s="2">
        <f t="shared" si="144"/>
        <v>4.3165467625899279E-3</v>
      </c>
      <c r="R95" s="2">
        <f t="shared" si="145"/>
        <v>186.83412816546763</v>
      </c>
      <c r="S95" s="2">
        <f t="shared" si="146"/>
        <v>9.0915467625899277E-3</v>
      </c>
      <c r="T95" s="14">
        <v>561.753169618323</v>
      </c>
      <c r="U95" s="12">
        <v>5.5252220215443399</v>
      </c>
      <c r="V95" s="2">
        <v>0.87469399999999997</v>
      </c>
      <c r="W95" s="2">
        <v>1.2834E-2</v>
      </c>
      <c r="X95" s="2">
        <f t="shared" si="163"/>
        <v>0.29033791764019662</v>
      </c>
      <c r="Y95" s="2">
        <f t="shared" si="164"/>
        <v>6.5192837112293869E-3</v>
      </c>
      <c r="Z95" s="2">
        <f t="shared" si="165"/>
        <v>186.79774708235982</v>
      </c>
      <c r="AA95" s="2">
        <f t="shared" si="166"/>
        <v>1.1294283711229387E-2</v>
      </c>
      <c r="AB95" s="14">
        <v>561.74084542358901</v>
      </c>
      <c r="AC95" s="12">
        <v>5.6624385148177296</v>
      </c>
      <c r="AD95" s="2">
        <f t="shared" si="147"/>
        <v>10.07156726102164</v>
      </c>
      <c r="AE95" s="2">
        <f t="shared" si="148"/>
        <v>0.1016650146819965</v>
      </c>
      <c r="AF95" s="2">
        <f t="shared" si="149"/>
        <v>0</v>
      </c>
      <c r="AG95" s="2">
        <f t="shared" si="150"/>
        <v>0.25955435267511034</v>
      </c>
      <c r="AH95" s="2">
        <f t="shared" si="151"/>
        <v>1.8083302250012059</v>
      </c>
      <c r="AI95" s="2">
        <f t="shared" si="152"/>
        <v>0.10141040052089859</v>
      </c>
      <c r="AJ95" s="2">
        <f t="shared" si="153"/>
        <v>0</v>
      </c>
      <c r="AK95" s="2">
        <f t="shared" si="154"/>
        <v>13.312308804308506</v>
      </c>
      <c r="AL95" s="2">
        <f t="shared" si="155"/>
        <v>2717.1708411119325</v>
      </c>
      <c r="AM95" s="2">
        <f t="shared" si="156"/>
        <v>112.31011034348818</v>
      </c>
      <c r="AN95" s="2">
        <f t="shared" si="157"/>
        <v>0</v>
      </c>
      <c r="AO95" s="2">
        <f t="shared" si="158"/>
        <v>5.8825030838290697</v>
      </c>
      <c r="AP95" s="2">
        <f t="shared" si="159"/>
        <v>3.6282909701743451</v>
      </c>
      <c r="AQ95" s="2">
        <f t="shared" si="160"/>
        <v>1.417228184901661</v>
      </c>
      <c r="AR95" s="2">
        <f t="shared" si="161"/>
        <v>18.82618392255738</v>
      </c>
      <c r="AS95" s="12">
        <f t="shared" si="162"/>
        <v>0.96087905124270379</v>
      </c>
      <c r="AX95" s="96">
        <f t="shared" si="167"/>
        <v>0.35181990255048429</v>
      </c>
      <c r="AY95" s="2">
        <f t="shared" si="167"/>
        <v>6.2114675236506255E-3</v>
      </c>
      <c r="AZ95" s="2">
        <f t="shared" si="168"/>
        <v>3.181990255048428E-2</v>
      </c>
      <c r="BB95" s="1">
        <v>1.08151057836474E-11</v>
      </c>
      <c r="BC95" s="1">
        <v>1.0917048556456001E-13</v>
      </c>
      <c r="BD95">
        <v>0</v>
      </c>
      <c r="BE95" s="1">
        <v>2.8444312621929899E-13</v>
      </c>
      <c r="BF95" s="1">
        <v>3.8577711466692396E-12</v>
      </c>
      <c r="BG95" s="1">
        <v>2.16342187777917E-13</v>
      </c>
      <c r="BH95" s="1">
        <v>4.4063356284369696E-6</v>
      </c>
      <c r="BI95" s="1">
        <v>7.7794946948498699E-8</v>
      </c>
      <c r="BJ95">
        <v>0</v>
      </c>
      <c r="BK95" s="1">
        <v>6.7032868880861094E-11</v>
      </c>
      <c r="BL95" s="1">
        <v>1.16056416064578E-8</v>
      </c>
      <c r="BM95" s="1">
        <v>4.7970148571698103E-10</v>
      </c>
      <c r="BN95">
        <v>0</v>
      </c>
      <c r="BO95" s="1">
        <v>2.06358362949496E-11</v>
      </c>
      <c r="BP95" s="1">
        <v>1.07634477654194E-11</v>
      </c>
      <c r="BQ95" s="1">
        <v>4.2042552996062998E-12</v>
      </c>
      <c r="BR95" s="1">
        <v>4.94774873128972E-11</v>
      </c>
      <c r="BS95" s="85">
        <v>2.5253063107561201E-12</v>
      </c>
      <c r="BU95" s="23">
        <v>3.5300000000000002E-4</v>
      </c>
      <c r="BV95" s="23">
        <v>6.0000000000000002E-6</v>
      </c>
    </row>
    <row r="96" spans="1:79" x14ac:dyDescent="0.3">
      <c r="A96" s="26" t="s">
        <v>75</v>
      </c>
      <c r="B96" s="2">
        <v>0.23</v>
      </c>
      <c r="C96" s="2">
        <f t="shared" si="139"/>
        <v>647.31498260869557</v>
      </c>
      <c r="D96" s="2">
        <f t="shared" si="140"/>
        <v>11.371380545435207</v>
      </c>
      <c r="E96" s="2" t="e">
        <f t="shared" si="141"/>
        <v>#DIV/0!</v>
      </c>
      <c r="F96" s="14">
        <v>551.03011400994603</v>
      </c>
      <c r="G96" s="2">
        <v>6.1066967493817996</v>
      </c>
      <c r="H96" s="19">
        <v>148.88244599999999</v>
      </c>
      <c r="I96" s="23">
        <v>1.8289999999999999E-3</v>
      </c>
      <c r="J96" s="2">
        <f t="shared" si="127"/>
        <v>0.63800000000000001</v>
      </c>
      <c r="K96" s="2">
        <f t="shared" si="107"/>
        <v>2.3E-2</v>
      </c>
      <c r="L96" s="2">
        <f t="shared" si="142"/>
        <v>2.7739130434782608</v>
      </c>
      <c r="M96" s="2"/>
      <c r="N96" s="17">
        <v>2.6919999999999999E-3</v>
      </c>
      <c r="O96" s="25">
        <v>2.2900000000000001E-4</v>
      </c>
      <c r="P96" s="2">
        <f t="shared" si="143"/>
        <v>0.45899280575539564</v>
      </c>
      <c r="Q96" s="2">
        <f t="shared" si="144"/>
        <v>1.6546762589928057E-2</v>
      </c>
      <c r="R96" s="2">
        <f t="shared" si="145"/>
        <v>148.42345319424459</v>
      </c>
      <c r="S96" s="2">
        <f t="shared" si="146"/>
        <v>1.8375762589928058E-2</v>
      </c>
      <c r="T96" s="14">
        <v>549.44632174568005</v>
      </c>
      <c r="U96" s="12">
        <v>6.0200153317060003</v>
      </c>
      <c r="V96" s="2">
        <v>0.90215000000000001</v>
      </c>
      <c r="W96" s="2">
        <v>3.3177999999999999E-2</v>
      </c>
      <c r="X96" s="2">
        <f t="shared" si="163"/>
        <v>0.5087765956386362</v>
      </c>
      <c r="Y96" s="2">
        <f t="shared" si="164"/>
        <v>2.6201408432182868E-2</v>
      </c>
      <c r="Z96" s="2">
        <f t="shared" si="165"/>
        <v>148.37366940436135</v>
      </c>
      <c r="AA96" s="2">
        <f t="shared" si="166"/>
        <v>2.8030408432182869E-2</v>
      </c>
      <c r="AB96" s="14">
        <v>549.282258964432</v>
      </c>
      <c r="AC96" s="12">
        <v>6.3227389660446898</v>
      </c>
      <c r="AD96" s="2">
        <f t="shared" si="147"/>
        <v>11.371380545435207</v>
      </c>
      <c r="AE96" s="2">
        <f t="shared" si="148"/>
        <v>0.12135194370781874</v>
      </c>
      <c r="AF96" s="2">
        <f t="shared" si="149"/>
        <v>0</v>
      </c>
      <c r="AG96" s="2">
        <f t="shared" si="150"/>
        <v>0.39778064515327222</v>
      </c>
      <c r="AH96" s="2">
        <f t="shared" si="151"/>
        <v>1.8107788156717042</v>
      </c>
      <c r="AI96" s="2">
        <f t="shared" si="152"/>
        <v>0.18332589098752627</v>
      </c>
      <c r="AJ96" s="2">
        <f t="shared" si="153"/>
        <v>0</v>
      </c>
      <c r="AK96" s="2">
        <f t="shared" si="154"/>
        <v>13.892927930770508</v>
      </c>
      <c r="AL96" s="2">
        <f t="shared" si="155"/>
        <v>1849.8642985067022</v>
      </c>
      <c r="AM96" s="2">
        <f t="shared" si="156"/>
        <v>128.14939464855757</v>
      </c>
      <c r="AN96" s="2">
        <f t="shared" si="157"/>
        <v>0</v>
      </c>
      <c r="AO96" s="2">
        <f t="shared" si="158"/>
        <v>8.0175755154901118</v>
      </c>
      <c r="AP96" s="2">
        <f t="shared" si="159"/>
        <v>78.003352064598644</v>
      </c>
      <c r="AQ96" s="2">
        <f t="shared" si="160"/>
        <v>29.794764177524662</v>
      </c>
      <c r="AR96" s="2">
        <f t="shared" si="161"/>
        <v>89.117658197491608</v>
      </c>
      <c r="AS96" s="12">
        <f t="shared" si="162"/>
        <v>4.5416038759800168</v>
      </c>
      <c r="AX96" s="96">
        <f t="shared" si="167"/>
        <v>0.25927347924674432</v>
      </c>
      <c r="AY96" s="2">
        <f t="shared" si="167"/>
        <v>5.5255308123712387E-3</v>
      </c>
      <c r="AZ96" s="2">
        <f t="shared" si="168"/>
        <v>2.9273479246744311E-2</v>
      </c>
      <c r="BB96" s="1">
        <v>8.7765688773493208E-12</v>
      </c>
      <c r="BC96" s="1">
        <v>9.3660896150329895E-14</v>
      </c>
      <c r="BD96">
        <v>0</v>
      </c>
      <c r="BE96" s="1">
        <v>3.1332037118237198E-13</v>
      </c>
      <c r="BF96" s="1">
        <v>2.7765275173632798E-12</v>
      </c>
      <c r="BG96" s="1">
        <v>2.81099699514207E-13</v>
      </c>
      <c r="BH96" s="1">
        <v>3.2472465623226299E-6</v>
      </c>
      <c r="BI96" s="1">
        <v>6.9203996442708203E-8</v>
      </c>
      <c r="BJ96">
        <v>0</v>
      </c>
      <c r="BK96" s="1">
        <v>5.02812497887839E-11</v>
      </c>
      <c r="BL96" s="1">
        <v>5.6789747551593903E-9</v>
      </c>
      <c r="BM96" s="1">
        <v>3.93411115445385E-10</v>
      </c>
      <c r="BN96">
        <v>0</v>
      </c>
      <c r="BO96" s="1">
        <v>2.02153296268661E-11</v>
      </c>
      <c r="BP96" s="1">
        <v>1.66318447898931E-10</v>
      </c>
      <c r="BQ96" s="1">
        <v>6.3528281828410794E-11</v>
      </c>
      <c r="BR96" s="1">
        <v>1.6833986026135899E-10</v>
      </c>
      <c r="BS96" s="85">
        <v>8.5789166514077201E-12</v>
      </c>
      <c r="BU96" s="23">
        <v>6.38E-4</v>
      </c>
      <c r="BV96" s="23">
        <v>2.3E-5</v>
      </c>
    </row>
    <row r="97" spans="1:74" x14ac:dyDescent="0.3">
      <c r="A97" s="26" t="s">
        <v>76</v>
      </c>
      <c r="B97" s="4">
        <v>0.42</v>
      </c>
      <c r="C97" s="2">
        <f t="shared" si="139"/>
        <v>583.23679047619055</v>
      </c>
      <c r="D97" s="2">
        <f t="shared" si="140"/>
        <v>9.7472722610646976</v>
      </c>
      <c r="E97" s="2" t="e">
        <f t="shared" si="141"/>
        <v>#DIV/0!</v>
      </c>
      <c r="F97" s="14">
        <v>579.73591839661697</v>
      </c>
      <c r="G97" s="2">
        <v>6.5249641874189797</v>
      </c>
      <c r="H97" s="19">
        <v>244.959452</v>
      </c>
      <c r="I97" s="23">
        <v>1.923E-3</v>
      </c>
      <c r="J97" s="2">
        <f t="shared" si="127"/>
        <v>0.17899999999999999</v>
      </c>
      <c r="K97" s="2">
        <f t="shared" si="107"/>
        <v>2.0999999999999998E-2</v>
      </c>
      <c r="L97" s="2">
        <f t="shared" si="142"/>
        <v>0.42619047619047618</v>
      </c>
      <c r="M97" s="2"/>
      <c r="N97" s="17">
        <v>4.17E-4</v>
      </c>
      <c r="O97" s="25">
        <v>8.8999999999999995E-5</v>
      </c>
      <c r="P97" s="2">
        <f t="shared" si="143"/>
        <v>0.12877697841726618</v>
      </c>
      <c r="Q97" s="2">
        <f t="shared" si="144"/>
        <v>1.5107913669064747E-2</v>
      </c>
      <c r="R97" s="2">
        <f t="shared" si="145"/>
        <v>244.83067502158272</v>
      </c>
      <c r="S97" s="2">
        <f t="shared" si="146"/>
        <v>1.7030913669064746E-2</v>
      </c>
      <c r="T97" s="14">
        <v>579.46992088380205</v>
      </c>
      <c r="U97" s="12">
        <v>6.3855784394324004</v>
      </c>
      <c r="V97" s="2">
        <v>0.67700099999999996</v>
      </c>
      <c r="W97" s="2">
        <v>1.6670000000000001E-2</v>
      </c>
      <c r="X97" s="2">
        <f t="shared" si="163"/>
        <v>0.19021682156638792</v>
      </c>
      <c r="Y97" s="2">
        <f t="shared" si="164"/>
        <v>2.2802167491854448E-2</v>
      </c>
      <c r="Z97" s="2">
        <f t="shared" si="165"/>
        <v>244.7692351784336</v>
      </c>
      <c r="AA97" s="2">
        <f t="shared" si="166"/>
        <v>2.4725167491854449E-2</v>
      </c>
      <c r="AB97" s="14">
        <v>579.39726100803603</v>
      </c>
      <c r="AC97" s="12">
        <v>6.6823110253726599</v>
      </c>
      <c r="AD97" s="2">
        <f t="shared" si="147"/>
        <v>9.7472722610646976</v>
      </c>
      <c r="AE97" s="2">
        <f t="shared" si="148"/>
        <v>0.11094546984697763</v>
      </c>
      <c r="AF97" s="2">
        <f t="shared" si="149"/>
        <v>0</v>
      </c>
      <c r="AG97" s="2">
        <f t="shared" si="150"/>
        <v>0.20449001248312343</v>
      </c>
      <c r="AH97" s="2">
        <f t="shared" si="151"/>
        <v>1.6326974249135575</v>
      </c>
      <c r="AI97" s="2">
        <f t="shared" si="152"/>
        <v>0.16672115187719322</v>
      </c>
      <c r="AJ97" s="2">
        <f t="shared" si="153"/>
        <v>0</v>
      </c>
      <c r="AK97" s="2">
        <f t="shared" si="154"/>
        <v>11.088199561832747</v>
      </c>
      <c r="AL97" s="2">
        <f t="shared" si="155"/>
        <v>443.70839710977236</v>
      </c>
      <c r="AM97" s="2">
        <f t="shared" si="156"/>
        <v>19.648684137724459</v>
      </c>
      <c r="AN97" s="2">
        <f t="shared" si="157"/>
        <v>0</v>
      </c>
      <c r="AO97" s="2">
        <f t="shared" si="158"/>
        <v>4.6582359542350575</v>
      </c>
      <c r="AP97" s="2">
        <f t="shared" si="159"/>
        <v>3.0610245898916784</v>
      </c>
      <c r="AQ97" s="2">
        <f t="shared" si="160"/>
        <v>1.6296031913649658</v>
      </c>
      <c r="AR97" s="2">
        <f t="shared" si="161"/>
        <v>93.1536883765433</v>
      </c>
      <c r="AS97" s="12">
        <f t="shared" si="162"/>
        <v>7.0733665393941312</v>
      </c>
      <c r="AX97" s="96">
        <f t="shared" si="167"/>
        <v>0.41803515649874312</v>
      </c>
      <c r="AY97" s="2">
        <f t="shared" si="167"/>
        <v>1.1857395827537451E-2</v>
      </c>
      <c r="AZ97" s="2">
        <f t="shared" si="168"/>
        <v>-1.9648435012568632E-3</v>
      </c>
      <c r="BB97" s="1">
        <v>1.37377662739838E-11</v>
      </c>
      <c r="BC97" s="1">
        <v>1.56366098442049E-13</v>
      </c>
      <c r="BD97">
        <v>0</v>
      </c>
      <c r="BE97" s="1">
        <v>2.94129470009972E-13</v>
      </c>
      <c r="BF97" s="1">
        <v>4.5715527897579602E-12</v>
      </c>
      <c r="BG97" s="1">
        <v>4.6681922525614102E-13</v>
      </c>
      <c r="BH97" s="1">
        <v>5.2356424143893296E-6</v>
      </c>
      <c r="BI97" s="1">
        <v>1.4850685056926499E-7</v>
      </c>
      <c r="BJ97">
        <v>0</v>
      </c>
      <c r="BK97" s="1">
        <v>7.32815706682888E-11</v>
      </c>
      <c r="BL97" s="1">
        <v>2.4874202721049702E-9</v>
      </c>
      <c r="BM97" s="1">
        <v>1.1015012463753699E-10</v>
      </c>
      <c r="BN97">
        <v>0</v>
      </c>
      <c r="BO97" s="1">
        <v>2.1447698978060999E-11</v>
      </c>
      <c r="BP97" s="1">
        <v>1.19183306549968E-11</v>
      </c>
      <c r="BQ97" s="1">
        <v>6.3449832240037596E-12</v>
      </c>
      <c r="BR97" s="1">
        <v>3.2132514058925899E-10</v>
      </c>
      <c r="BS97" s="85">
        <v>2.4398931886871999E-11</v>
      </c>
      <c r="BU97" s="23">
        <v>1.7899999999999999E-4</v>
      </c>
      <c r="BV97" s="23">
        <v>2.0999999999999999E-5</v>
      </c>
    </row>
    <row r="98" spans="1:74" x14ac:dyDescent="0.3">
      <c r="BB98" s="1"/>
      <c r="BC98" s="1"/>
      <c r="BE98" s="1"/>
      <c r="BF98" s="1"/>
      <c r="BG98" s="1"/>
      <c r="BH98" s="1"/>
      <c r="BI98" s="1"/>
      <c r="BK98" s="1"/>
      <c r="BL98" s="1"/>
      <c r="BM98" s="1"/>
      <c r="BO98" s="1"/>
      <c r="BP98" s="1"/>
      <c r="BQ98" s="1"/>
      <c r="BR98" s="1"/>
      <c r="BS98" s="85"/>
    </row>
    <row r="99" spans="1:74" x14ac:dyDescent="0.3">
      <c r="T99" s="14">
        <f>AVERAGE(T93:T97,T91,T90,T89)</f>
        <v>533.28824788687916</v>
      </c>
      <c r="U99" s="12">
        <f>_xlfn.STDEV.P(T93:T97,T91,T90,T89)</f>
        <v>39.943444119856416</v>
      </c>
    </row>
    <row r="100" spans="1:74" x14ac:dyDescent="0.3">
      <c r="BA100">
        <v>0.33</v>
      </c>
    </row>
    <row r="101" spans="1:74" x14ac:dyDescent="0.3">
      <c r="BA101">
        <v>0.28000000000000003</v>
      </c>
    </row>
    <row r="102" spans="1:74" x14ac:dyDescent="0.3">
      <c r="BA102">
        <v>0.42</v>
      </c>
    </row>
    <row r="104" spans="1:74" ht="16.2" thickBot="1" x14ac:dyDescent="0.35"/>
    <row r="105" spans="1:74" ht="16.2" thickBot="1" x14ac:dyDescent="0.35">
      <c r="D105" s="5" t="s">
        <v>89</v>
      </c>
      <c r="E105" s="6"/>
      <c r="F105" s="43">
        <v>1.39E-6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28AA-480E-41BA-A2B0-B9CBD5A0D085}">
  <dimension ref="A1"/>
  <sheetViews>
    <sheetView topLeftCell="A29" zoomScale="85" zoomScaleNormal="85" workbookViewId="0">
      <selection activeCell="K17" sqref="K1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40FB-E211-4CEB-B682-F66C071C2D08}">
  <dimension ref="A1:BH15"/>
  <sheetViews>
    <sheetView zoomScale="86" workbookViewId="0">
      <selection activeCell="AL3" sqref="AL3"/>
    </sheetView>
  </sheetViews>
  <sheetFormatPr defaultRowHeight="14.4" x14ac:dyDescent="0.3"/>
  <sheetData>
    <row r="1" spans="1:60" s="40" customFormat="1" ht="55.8" customHeight="1" x14ac:dyDescent="0.3">
      <c r="A1" s="30" t="s">
        <v>29</v>
      </c>
      <c r="B1" s="31" t="s">
        <v>21</v>
      </c>
      <c r="C1" s="31" t="s">
        <v>119</v>
      </c>
      <c r="D1" s="31" t="s">
        <v>120</v>
      </c>
      <c r="E1" s="31" t="s">
        <v>116</v>
      </c>
      <c r="F1" s="32" t="s">
        <v>121</v>
      </c>
      <c r="G1" s="33" t="s">
        <v>88</v>
      </c>
      <c r="H1" s="34" t="s">
        <v>122</v>
      </c>
      <c r="I1" s="35" t="s">
        <v>88</v>
      </c>
      <c r="J1" s="31" t="s">
        <v>117</v>
      </c>
      <c r="K1" s="35" t="s">
        <v>88</v>
      </c>
      <c r="L1" s="36" t="s">
        <v>86</v>
      </c>
      <c r="M1" s="37" t="s">
        <v>88</v>
      </c>
      <c r="N1" s="33" t="s">
        <v>91</v>
      </c>
      <c r="O1" s="33" t="s">
        <v>88</v>
      </c>
      <c r="P1" s="33" t="s">
        <v>90</v>
      </c>
      <c r="Q1" s="33" t="s">
        <v>88</v>
      </c>
      <c r="R1" s="38" t="s">
        <v>123</v>
      </c>
      <c r="S1" s="39" t="s">
        <v>88</v>
      </c>
      <c r="T1" s="31" t="s">
        <v>118</v>
      </c>
      <c r="U1" s="33" t="s">
        <v>88</v>
      </c>
      <c r="V1" s="33" t="s">
        <v>92</v>
      </c>
      <c r="W1" s="33" t="s">
        <v>88</v>
      </c>
      <c r="X1" s="33" t="s">
        <v>93</v>
      </c>
      <c r="Y1" s="33" t="s">
        <v>88</v>
      </c>
      <c r="Z1" s="38" t="s">
        <v>94</v>
      </c>
      <c r="AA1" s="39" t="s">
        <v>88</v>
      </c>
      <c r="AB1" s="31" t="s">
        <v>18</v>
      </c>
      <c r="AC1" s="33" t="s">
        <v>88</v>
      </c>
      <c r="AD1" s="31" t="s">
        <v>19</v>
      </c>
      <c r="AE1" s="33" t="s">
        <v>88</v>
      </c>
      <c r="AF1" s="31" t="s">
        <v>20</v>
      </c>
      <c r="AG1" s="33" t="s">
        <v>88</v>
      </c>
      <c r="AH1" s="31"/>
      <c r="AI1" s="40" t="s">
        <v>15</v>
      </c>
      <c r="AJ1" s="33" t="s">
        <v>88</v>
      </c>
      <c r="AK1" s="33"/>
      <c r="AL1" s="33" t="s">
        <v>130</v>
      </c>
      <c r="AM1" s="33"/>
      <c r="AN1" s="33"/>
      <c r="AO1" s="40" t="s">
        <v>16</v>
      </c>
      <c r="AP1" s="33" t="s">
        <v>88</v>
      </c>
      <c r="AQ1" s="40" t="s">
        <v>17</v>
      </c>
      <c r="AR1" s="33" t="s">
        <v>88</v>
      </c>
      <c r="AS1" s="40" t="s">
        <v>55</v>
      </c>
      <c r="AT1" s="33" t="s">
        <v>88</v>
      </c>
      <c r="AU1" s="40" t="s">
        <v>56</v>
      </c>
      <c r="AV1" s="33" t="s">
        <v>88</v>
      </c>
      <c r="AW1" s="40" t="s">
        <v>57</v>
      </c>
      <c r="AX1" s="33" t="s">
        <v>88</v>
      </c>
      <c r="AY1" s="40" t="s">
        <v>58</v>
      </c>
      <c r="AZ1" s="33" t="s">
        <v>88</v>
      </c>
      <c r="BA1" s="40" t="s">
        <v>59</v>
      </c>
      <c r="BB1" s="33" t="s">
        <v>88</v>
      </c>
      <c r="BC1" s="40" t="s">
        <v>60</v>
      </c>
      <c r="BD1" s="33" t="s">
        <v>88</v>
      </c>
      <c r="BF1" s="41" t="s">
        <v>87</v>
      </c>
      <c r="BG1" s="35" t="s">
        <v>88</v>
      </c>
      <c r="BH1" s="35"/>
    </row>
    <row r="3" spans="1:60" ht="15.6" x14ac:dyDescent="0.3">
      <c r="A3" s="26" t="s">
        <v>11</v>
      </c>
      <c r="B3" s="2">
        <v>2.4900000000000002</v>
      </c>
      <c r="C3" s="2">
        <f>H3/B3</f>
        <v>20.59702530120482</v>
      </c>
      <c r="D3" s="2">
        <f>AB3+(0.24*AD3)</f>
        <v>0.30500542971887551</v>
      </c>
      <c r="E3" s="2">
        <f>AI3/AO3</f>
        <v>5.8472553699284004</v>
      </c>
      <c r="F3" s="14">
        <v>650.11988421714204</v>
      </c>
      <c r="G3">
        <v>26.7989103652158</v>
      </c>
      <c r="H3" s="19">
        <v>51.286593000000003</v>
      </c>
      <c r="I3" s="23">
        <v>4.7800000000000002E-4</v>
      </c>
      <c r="J3" s="2">
        <f t="shared" ref="J3:K7" si="0">BF3*1000</f>
        <v>13.978000000000002</v>
      </c>
      <c r="K3" s="2">
        <f t="shared" si="0"/>
        <v>0.19500000000000001</v>
      </c>
      <c r="L3" s="17">
        <v>0.19747799999999999</v>
      </c>
      <c r="M3" s="25">
        <v>2.8389999999999999E-3</v>
      </c>
      <c r="N3" s="2" t="e">
        <f t="shared" ref="N3:O7" si="1">(J3/1000000)/$F$105</f>
        <v>#DIV/0!</v>
      </c>
      <c r="O3" s="2" t="e">
        <f t="shared" si="1"/>
        <v>#DIV/0!</v>
      </c>
      <c r="P3" s="2" t="e">
        <f>H3-N3</f>
        <v>#DIV/0!</v>
      </c>
      <c r="Q3" s="2" t="e">
        <f>I3+O3</f>
        <v>#DIV/0!</v>
      </c>
      <c r="R3" s="14">
        <v>529.10223941355798</v>
      </c>
      <c r="S3">
        <v>22.117541811062701</v>
      </c>
      <c r="T3" s="2"/>
      <c r="U3" s="2"/>
      <c r="V3" s="2"/>
      <c r="W3" s="2"/>
      <c r="X3" s="2"/>
      <c r="Y3" s="2"/>
      <c r="Z3" s="14"/>
      <c r="AB3" s="2">
        <f t="shared" ref="AB3:AC7" si="2">1000000*(AI3*298)/($B3/1000)</f>
        <v>0.29321285140562248</v>
      </c>
      <c r="AC3" s="2">
        <f t="shared" si="2"/>
        <v>1.3044979919678713E-2</v>
      </c>
      <c r="AD3" s="2">
        <f t="shared" ref="AD3:AE7" si="3">1000000*(AO3*292)/($B3/1000)</f>
        <v>4.9135742971887553E-2</v>
      </c>
      <c r="AE3" s="2">
        <f t="shared" si="3"/>
        <v>1.0800481927710843E-2</v>
      </c>
      <c r="AF3" s="2">
        <f t="shared" ref="AF3:AG7" si="4">1000000*(AQ3*150)/($B3/1000)</f>
        <v>1.6385542168674695E-2</v>
      </c>
      <c r="AG3" s="2">
        <f t="shared" si="4"/>
        <v>1.4277108433734941E-3</v>
      </c>
      <c r="AH3" s="2"/>
      <c r="AI3" s="1">
        <v>2.4499999999999999E-12</v>
      </c>
      <c r="AJ3" s="1">
        <v>1.09E-13</v>
      </c>
      <c r="AK3" s="1"/>
      <c r="AL3" s="1">
        <f>B3*$AI$6/$B$6</f>
        <v>1.0038735177865616E-12</v>
      </c>
      <c r="AM3" s="1">
        <f>AL3*$AJ$6/$AI$6</f>
        <v>1.1416600790513837E-13</v>
      </c>
      <c r="AN3" s="1"/>
      <c r="AO3" s="1">
        <v>4.1899999999999998E-13</v>
      </c>
      <c r="AP3" s="1">
        <v>9.2099999999999994E-14</v>
      </c>
      <c r="AQ3" s="1">
        <v>2.72E-13</v>
      </c>
      <c r="AR3" s="1">
        <v>2.3699999999999999E-14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F3" s="23">
        <v>1.3978000000000001E-2</v>
      </c>
      <c r="BG3" s="23">
        <v>1.95E-4</v>
      </c>
      <c r="BH3" s="23"/>
    </row>
    <row r="4" spans="1:60" ht="15.6" x14ac:dyDescent="0.3">
      <c r="A4" s="26" t="s">
        <v>12</v>
      </c>
      <c r="B4" s="2">
        <v>3</v>
      </c>
      <c r="C4" s="2">
        <f>H4/B4</f>
        <v>22.290349333333335</v>
      </c>
      <c r="D4" s="2">
        <f>AB4+(0.24*AD4)</f>
        <v>1.7799121066666668</v>
      </c>
      <c r="E4" s="2">
        <f>AI4/AO4</f>
        <v>226.58227848101265</v>
      </c>
      <c r="F4" s="14">
        <v>126.72287945217001</v>
      </c>
      <c r="G4">
        <v>1.4461981680604099</v>
      </c>
      <c r="H4" s="19">
        <v>66.871048000000002</v>
      </c>
      <c r="I4" s="23">
        <v>8.8900000000000003E-4</v>
      </c>
      <c r="J4" s="2">
        <f t="shared" si="0"/>
        <v>14.649000000000001</v>
      </c>
      <c r="K4" s="2">
        <f t="shared" si="0"/>
        <v>0.19799999999999998</v>
      </c>
      <c r="L4" s="17">
        <v>0.15862999999999999</v>
      </c>
      <c r="M4" s="25">
        <v>2.2109999999999999E-3</v>
      </c>
      <c r="N4" s="2" t="e">
        <f t="shared" si="1"/>
        <v>#DIV/0!</v>
      </c>
      <c r="O4" s="2" t="e">
        <f t="shared" si="1"/>
        <v>#DIV/0!</v>
      </c>
      <c r="P4" s="2" t="e">
        <f>H4-N4</f>
        <v>#DIV/0!</v>
      </c>
      <c r="Q4" s="2" t="e">
        <f>I4+O4</f>
        <v>#DIV/0!</v>
      </c>
      <c r="R4" s="14">
        <v>106.91835705407701</v>
      </c>
      <c r="S4">
        <v>1.27973606653748</v>
      </c>
      <c r="T4" s="2"/>
      <c r="U4" s="2"/>
      <c r="V4" s="2"/>
      <c r="W4" s="2"/>
      <c r="X4" s="2"/>
      <c r="Y4" s="2"/>
      <c r="Z4" s="14"/>
      <c r="AB4" s="2">
        <f t="shared" si="2"/>
        <v>1.7780666666666667</v>
      </c>
      <c r="AC4" s="2">
        <f t="shared" si="2"/>
        <v>2.0562E-2</v>
      </c>
      <c r="AD4" s="2">
        <f t="shared" si="3"/>
        <v>7.6893333333333336E-3</v>
      </c>
      <c r="AE4" s="2">
        <f t="shared" si="3"/>
        <v>5.2462666666666666E-3</v>
      </c>
      <c r="AF4" s="2">
        <f t="shared" si="4"/>
        <v>8.3499999999999998E-3</v>
      </c>
      <c r="AG4" s="2">
        <f t="shared" si="4"/>
        <v>2.3249999999999998E-3</v>
      </c>
      <c r="AH4" s="2"/>
      <c r="AI4" s="1">
        <v>1.7900000000000001E-11</v>
      </c>
      <c r="AJ4" s="1">
        <v>2.07E-13</v>
      </c>
      <c r="AK4" s="1"/>
      <c r="AL4" s="1">
        <f>B4*$AI$6/$B$6</f>
        <v>1.2094861660079053E-12</v>
      </c>
      <c r="AM4" s="1">
        <f>AL4*$AJ$6/$AI$6</f>
        <v>1.3754940711462454E-13</v>
      </c>
      <c r="AN4" s="1"/>
      <c r="AO4" s="1">
        <v>7.9000000000000004E-14</v>
      </c>
      <c r="AP4" s="1">
        <v>5.3900000000000003E-14</v>
      </c>
      <c r="AQ4" s="1">
        <v>1.67E-13</v>
      </c>
      <c r="AR4" s="1">
        <v>4.6499999999999997E-14</v>
      </c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F4" s="23">
        <v>1.4649000000000001E-2</v>
      </c>
      <c r="BG4" s="23">
        <v>1.9799999999999999E-4</v>
      </c>
      <c r="BH4" s="23"/>
    </row>
    <row r="5" spans="1:60" ht="15.6" x14ac:dyDescent="0.3">
      <c r="A5" s="26" t="s">
        <v>0</v>
      </c>
      <c r="B5" s="2">
        <v>1.45</v>
      </c>
      <c r="C5" s="2">
        <f>H5/B5</f>
        <v>29.543028275862067</v>
      </c>
      <c r="D5" s="2">
        <f>AB5+(0.24*AD5)</f>
        <v>0.64648187586206896</v>
      </c>
      <c r="E5" s="2">
        <f>AI5/AO5</f>
        <v>28.623853211009173</v>
      </c>
      <c r="F5" s="14">
        <v>447.21333419768501</v>
      </c>
      <c r="G5">
        <v>20.741813538197199</v>
      </c>
      <c r="H5" s="19">
        <v>42.837390999999997</v>
      </c>
      <c r="I5" s="23">
        <v>4.7399999999999997E-4</v>
      </c>
      <c r="J5" s="2">
        <f t="shared" si="0"/>
        <v>17.286999999999999</v>
      </c>
      <c r="K5" s="2">
        <f t="shared" si="0"/>
        <v>0.22500000000000001</v>
      </c>
      <c r="L5" s="17">
        <v>0.29153000000000001</v>
      </c>
      <c r="M5" s="25">
        <v>3.9050000000000001E-3</v>
      </c>
      <c r="N5" s="2" t="e">
        <f t="shared" si="1"/>
        <v>#DIV/0!</v>
      </c>
      <c r="O5" s="2" t="e">
        <f t="shared" si="1"/>
        <v>#DIV/0!</v>
      </c>
      <c r="P5" s="2" t="e">
        <f>H5-N5</f>
        <v>#DIV/0!</v>
      </c>
      <c r="Q5" s="2" t="e">
        <f>I5+O5</f>
        <v>#DIV/0!</v>
      </c>
      <c r="R5" s="14">
        <v>322.17074936636402</v>
      </c>
      <c r="S5">
        <v>14.8140987853222</v>
      </c>
      <c r="T5" s="2"/>
      <c r="U5" s="2"/>
      <c r="V5" s="2"/>
      <c r="W5" s="2"/>
      <c r="X5" s="2"/>
      <c r="Y5" s="2"/>
      <c r="Z5" s="14"/>
      <c r="AB5" s="2">
        <f t="shared" si="2"/>
        <v>0.64121379310344828</v>
      </c>
      <c r="AC5" s="2">
        <f t="shared" si="2"/>
        <v>3.0827586206896549E-2</v>
      </c>
      <c r="AD5" s="2">
        <f t="shared" si="3"/>
        <v>2.1950344827586208E-2</v>
      </c>
      <c r="AE5" s="2">
        <f t="shared" si="3"/>
        <v>1.1579310344827586E-2</v>
      </c>
      <c r="AF5" s="2">
        <f t="shared" si="4"/>
        <v>2.3379310344827587E-2</v>
      </c>
      <c r="AG5" s="2">
        <f t="shared" si="4"/>
        <v>4.2206896551724143E-3</v>
      </c>
      <c r="AH5" s="2"/>
      <c r="AI5" s="1">
        <v>3.12E-12</v>
      </c>
      <c r="AJ5" s="1">
        <v>1.4999999999999999E-13</v>
      </c>
      <c r="AK5" s="1"/>
      <c r="AL5" s="1">
        <f>B5*$AI$6/$B$6</f>
        <v>5.8458498023715426E-13</v>
      </c>
      <c r="AM5" s="1">
        <f>AL5*$AJ$6/$AI$6</f>
        <v>6.6482213438735188E-14</v>
      </c>
      <c r="AN5" s="1"/>
      <c r="AO5" s="1">
        <v>1.09E-13</v>
      </c>
      <c r="AP5" s="1">
        <v>5.7499999999999995E-14</v>
      </c>
      <c r="AQ5" s="1">
        <v>2.26E-13</v>
      </c>
      <c r="AR5" s="1">
        <v>4.08E-14</v>
      </c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F5" s="23">
        <v>1.7287E-2</v>
      </c>
      <c r="BG5" s="23">
        <v>2.2499999999999999E-4</v>
      </c>
      <c r="BH5" s="23"/>
    </row>
    <row r="6" spans="1:60" ht="15.6" x14ac:dyDescent="0.3">
      <c r="A6" s="26" t="s">
        <v>13</v>
      </c>
      <c r="B6" s="2">
        <v>2.5299999999999998</v>
      </c>
      <c r="C6" s="2">
        <f>H6/B6</f>
        <v>22.831151778656128</v>
      </c>
      <c r="D6" s="2">
        <f>AB6+(0.24*AD6)</f>
        <v>0.12014229249011861</v>
      </c>
      <c r="E6" s="2"/>
      <c r="F6" s="14">
        <v>1623.4498440842799</v>
      </c>
      <c r="G6">
        <v>153.23130229885999</v>
      </c>
      <c r="H6" s="19">
        <v>57.762813999999999</v>
      </c>
      <c r="I6" s="23">
        <v>6.7699999999999998E-4</v>
      </c>
      <c r="J6" s="2">
        <f t="shared" si="0"/>
        <v>20.889000000000003</v>
      </c>
      <c r="K6" s="2">
        <f t="shared" si="0"/>
        <v>0.247</v>
      </c>
      <c r="L6" s="17">
        <v>0.26193</v>
      </c>
      <c r="M6" s="25">
        <v>3.1960000000000001E-3</v>
      </c>
      <c r="N6" s="2" t="e">
        <f t="shared" si="1"/>
        <v>#DIV/0!</v>
      </c>
      <c r="O6" s="2" t="e">
        <f t="shared" si="1"/>
        <v>#DIV/0!</v>
      </c>
      <c r="P6" s="2" t="e">
        <f>H6-N6</f>
        <v>#DIV/0!</v>
      </c>
      <c r="Q6" s="2" t="e">
        <f>I6+O6</f>
        <v>#DIV/0!</v>
      </c>
      <c r="R6" s="14">
        <v>1256.60565182961</v>
      </c>
      <c r="S6">
        <v>124.261832394518</v>
      </c>
      <c r="T6" s="2"/>
      <c r="U6" s="2"/>
      <c r="V6" s="2"/>
      <c r="W6" s="2"/>
      <c r="X6" s="2"/>
      <c r="Y6" s="2"/>
      <c r="Z6" s="14"/>
      <c r="AB6" s="2">
        <f t="shared" si="2"/>
        <v>0.12014229249011861</v>
      </c>
      <c r="AC6" s="2">
        <f t="shared" si="2"/>
        <v>1.3663241106719371E-2</v>
      </c>
      <c r="AD6" s="2">
        <f t="shared" si="3"/>
        <v>0</v>
      </c>
      <c r="AE6" s="2">
        <f t="shared" si="3"/>
        <v>0</v>
      </c>
      <c r="AF6" s="2">
        <f t="shared" si="4"/>
        <v>0.90711462450592906</v>
      </c>
      <c r="AG6" s="2">
        <f t="shared" si="4"/>
        <v>3.5217391304347832E-2</v>
      </c>
      <c r="AH6" s="2"/>
      <c r="AI6" s="1">
        <v>1.0200000000000001E-12</v>
      </c>
      <c r="AJ6" s="1">
        <v>1.1600000000000001E-13</v>
      </c>
      <c r="AK6" s="1"/>
      <c r="AL6" s="1">
        <f>B6*$AI$6/$B$6</f>
        <v>1.0200000000000001E-12</v>
      </c>
      <c r="AM6" s="1">
        <f>AL6*$AJ$6/$AI$6</f>
        <v>1.1600000000000001E-13</v>
      </c>
      <c r="AN6" s="1"/>
      <c r="AO6">
        <v>0</v>
      </c>
      <c r="AP6">
        <v>0</v>
      </c>
      <c r="AQ6" s="1">
        <v>1.5300000000000001E-11</v>
      </c>
      <c r="AR6" s="1">
        <v>5.9399999999999999E-13</v>
      </c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23">
        <v>2.0889000000000001E-2</v>
      </c>
      <c r="BG6" s="23">
        <v>2.4699999999999999E-4</v>
      </c>
      <c r="BH6" s="23"/>
    </row>
    <row r="7" spans="1:60" ht="15.6" x14ac:dyDescent="0.3">
      <c r="A7" s="26" t="s">
        <v>14</v>
      </c>
      <c r="B7" s="2">
        <v>1.93</v>
      </c>
      <c r="C7" s="2">
        <f>H7/B7</f>
        <v>28.567412435233162</v>
      </c>
      <c r="D7" s="2">
        <f>AB7+(0.24*AD7)</f>
        <v>0.99884791709844578</v>
      </c>
      <c r="E7" s="2">
        <f>AI7/AO7</f>
        <v>79.629629629629633</v>
      </c>
      <c r="F7" s="14">
        <v>284.80176746771201</v>
      </c>
      <c r="G7">
        <v>5.6346093284704502</v>
      </c>
      <c r="H7" s="19">
        <v>55.135106</v>
      </c>
      <c r="I7" s="23">
        <v>6.5200000000000002E-4</v>
      </c>
      <c r="J7" s="2">
        <f t="shared" si="0"/>
        <v>16.968</v>
      </c>
      <c r="K7" s="2">
        <f t="shared" si="0"/>
        <v>0.21099999999999999</v>
      </c>
      <c r="L7" s="17">
        <v>0.22287899999999999</v>
      </c>
      <c r="M7" s="25">
        <v>2.8500000000000001E-3</v>
      </c>
      <c r="N7" s="2" t="e">
        <f t="shared" si="1"/>
        <v>#DIV/0!</v>
      </c>
      <c r="O7" s="2" t="e">
        <f t="shared" si="1"/>
        <v>#DIV/0!</v>
      </c>
      <c r="P7" s="2" t="e">
        <f>H7-N7</f>
        <v>#DIV/0!</v>
      </c>
      <c r="Q7" s="2" t="e">
        <f>I7+O7</f>
        <v>#DIV/0!</v>
      </c>
      <c r="R7" s="14">
        <v>223.21356370317801</v>
      </c>
      <c r="S7">
        <v>4.6113425811836901</v>
      </c>
      <c r="T7" s="2"/>
      <c r="U7" s="2"/>
      <c r="V7" s="2"/>
      <c r="W7" s="2"/>
      <c r="X7" s="2"/>
      <c r="Y7" s="2"/>
      <c r="Z7" s="14"/>
      <c r="AB7" s="2">
        <f t="shared" si="2"/>
        <v>0.99590673575129551</v>
      </c>
      <c r="AC7" s="2">
        <f t="shared" si="2"/>
        <v>2.0226943005181346E-2</v>
      </c>
      <c r="AD7" s="2">
        <f t="shared" si="3"/>
        <v>1.2254922279792746E-2</v>
      </c>
      <c r="AE7" s="2">
        <f t="shared" si="3"/>
        <v>7.6404145077720205E-3</v>
      </c>
      <c r="AF7" s="2">
        <f t="shared" si="4"/>
        <v>2.1994818652849742E-2</v>
      </c>
      <c r="AG7" s="2">
        <f t="shared" si="4"/>
        <v>4.686528497409327E-3</v>
      </c>
      <c r="AH7" s="2"/>
      <c r="AI7" s="1">
        <v>6.4500000000000002E-12</v>
      </c>
      <c r="AJ7" s="1">
        <v>1.31E-13</v>
      </c>
      <c r="AK7" s="1"/>
      <c r="AL7" s="1">
        <f>B7*$AI$6/$B$6</f>
        <v>7.7810276679841918E-13</v>
      </c>
      <c r="AM7" s="1">
        <f>AL7*$AJ$6/$AI$6</f>
        <v>8.8490118577075129E-14</v>
      </c>
      <c r="AN7" s="1"/>
      <c r="AO7" s="1">
        <v>8.0999999999999996E-14</v>
      </c>
      <c r="AP7" s="1">
        <v>5.0499999999999999E-14</v>
      </c>
      <c r="AQ7" s="1">
        <v>2.8300000000000001E-13</v>
      </c>
      <c r="AR7" s="1">
        <v>6.0300000000000006E-14</v>
      </c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F7" s="23">
        <v>1.6968E-2</v>
      </c>
      <c r="BG7" s="23">
        <v>2.1100000000000001E-4</v>
      </c>
      <c r="BH7" s="23"/>
    </row>
    <row r="14" spans="1:60" x14ac:dyDescent="0.3">
      <c r="AC14">
        <v>0</v>
      </c>
      <c r="AD14">
        <v>1300</v>
      </c>
    </row>
    <row r="15" spans="1:60" x14ac:dyDescent="0.3">
      <c r="AC15">
        <v>2</v>
      </c>
      <c r="AD15">
        <v>1300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B8BF8-77C4-44AE-B550-35877E7DF177}">
  <dimension ref="A1:BW21"/>
  <sheetViews>
    <sheetView workbookViewId="0">
      <selection activeCell="S3" sqref="S3"/>
    </sheetView>
  </sheetViews>
  <sheetFormatPr defaultRowHeight="14.4" x14ac:dyDescent="0.3"/>
  <sheetData>
    <row r="1" spans="1:75" x14ac:dyDescent="0.3">
      <c r="A1" t="s">
        <v>29</v>
      </c>
      <c r="B1" t="s">
        <v>21</v>
      </c>
      <c r="C1" t="s">
        <v>119</v>
      </c>
      <c r="D1" t="s">
        <v>120</v>
      </c>
      <c r="E1" t="s">
        <v>116</v>
      </c>
      <c r="F1" t="s">
        <v>121</v>
      </c>
      <c r="G1" t="s">
        <v>88</v>
      </c>
      <c r="H1" t="s">
        <v>122</v>
      </c>
      <c r="I1" t="s">
        <v>88</v>
      </c>
      <c r="J1" t="s">
        <v>117</v>
      </c>
      <c r="K1" t="s">
        <v>88</v>
      </c>
      <c r="L1" t="s">
        <v>86</v>
      </c>
      <c r="M1" t="s">
        <v>88</v>
      </c>
      <c r="N1" t="s">
        <v>91</v>
      </c>
      <c r="O1" t="s">
        <v>88</v>
      </c>
      <c r="P1" t="s">
        <v>90</v>
      </c>
      <c r="Q1" t="s">
        <v>88</v>
      </c>
      <c r="R1" t="s">
        <v>123</v>
      </c>
      <c r="S1" t="s">
        <v>88</v>
      </c>
      <c r="T1" t="s">
        <v>118</v>
      </c>
      <c r="U1" t="s">
        <v>88</v>
      </c>
      <c r="V1" t="s">
        <v>92</v>
      </c>
      <c r="W1" t="s">
        <v>88</v>
      </c>
      <c r="X1" t="s">
        <v>93</v>
      </c>
      <c r="Y1" t="s">
        <v>88</v>
      </c>
      <c r="Z1" t="s">
        <v>94</v>
      </c>
      <c r="AA1" t="s">
        <v>88</v>
      </c>
      <c r="AB1" t="s">
        <v>18</v>
      </c>
      <c r="AC1" t="s">
        <v>88</v>
      </c>
      <c r="AD1" t="s">
        <v>19</v>
      </c>
      <c r="AE1" t="s">
        <v>88</v>
      </c>
      <c r="AF1" t="s">
        <v>20</v>
      </c>
      <c r="AG1" t="s">
        <v>88</v>
      </c>
      <c r="AH1" t="s">
        <v>61</v>
      </c>
      <c r="AI1" t="s">
        <v>88</v>
      </c>
      <c r="AJ1" t="s">
        <v>62</v>
      </c>
      <c r="AK1" t="s">
        <v>88</v>
      </c>
      <c r="AL1" t="s">
        <v>63</v>
      </c>
      <c r="AM1" t="s">
        <v>88</v>
      </c>
      <c r="AN1" t="s">
        <v>64</v>
      </c>
      <c r="AO1" t="s">
        <v>88</v>
      </c>
      <c r="AP1" t="s">
        <v>65</v>
      </c>
      <c r="AQ1" t="s">
        <v>88</v>
      </c>
      <c r="AR1" t="s">
        <v>81</v>
      </c>
      <c r="AS1" t="s">
        <v>88</v>
      </c>
      <c r="AT1" t="s">
        <v>82</v>
      </c>
      <c r="AU1" t="s">
        <v>125</v>
      </c>
      <c r="AV1" t="s">
        <v>88</v>
      </c>
      <c r="AW1" t="s">
        <v>127</v>
      </c>
      <c r="AX1" t="s">
        <v>124</v>
      </c>
      <c r="AY1" t="s">
        <v>15</v>
      </c>
      <c r="AZ1" t="s">
        <v>88</v>
      </c>
      <c r="BA1" t="s">
        <v>16</v>
      </c>
      <c r="BB1" t="s">
        <v>88</v>
      </c>
      <c r="BC1" t="s">
        <v>17</v>
      </c>
      <c r="BD1" t="s">
        <v>88</v>
      </c>
      <c r="BE1" t="s">
        <v>55</v>
      </c>
      <c r="BF1" t="s">
        <v>88</v>
      </c>
      <c r="BG1" t="s">
        <v>56</v>
      </c>
      <c r="BH1" t="s">
        <v>88</v>
      </c>
      <c r="BI1" t="s">
        <v>57</v>
      </c>
      <c r="BJ1" t="s">
        <v>88</v>
      </c>
      <c r="BK1" t="s">
        <v>58</v>
      </c>
      <c r="BL1" t="s">
        <v>88</v>
      </c>
      <c r="BM1" t="s">
        <v>59</v>
      </c>
      <c r="BN1" t="s">
        <v>88</v>
      </c>
      <c r="BO1" t="s">
        <v>60</v>
      </c>
      <c r="BP1" t="s">
        <v>88</v>
      </c>
      <c r="BR1" t="s">
        <v>87</v>
      </c>
      <c r="BS1" t="s">
        <v>88</v>
      </c>
    </row>
    <row r="2" spans="1:75" x14ac:dyDescent="0.3">
      <c r="A2" t="s">
        <v>40</v>
      </c>
    </row>
    <row r="3" spans="1:75" x14ac:dyDescent="0.3">
      <c r="A3" t="s">
        <v>1</v>
      </c>
      <c r="B3">
        <v>4.7699999999999996</v>
      </c>
      <c r="C3">
        <v>98.69979077568135</v>
      </c>
      <c r="D3">
        <v>1.3121056603773584</v>
      </c>
      <c r="E3">
        <v>0.54850746268656725</v>
      </c>
      <c r="F3">
        <v>732.20659014597697</v>
      </c>
      <c r="G3">
        <v>30.179960778795198</v>
      </c>
      <c r="H3">
        <v>470.798002</v>
      </c>
      <c r="I3">
        <v>3.993E-3</v>
      </c>
      <c r="J3">
        <v>35.469000000000001</v>
      </c>
      <c r="K3">
        <v>0.36699999999999999</v>
      </c>
      <c r="L3">
        <v>5.4533999999999999E-2</v>
      </c>
      <c r="M3">
        <v>5.8200000000000005E-4</v>
      </c>
      <c r="N3">
        <v>25.51726618705036</v>
      </c>
      <c r="O3">
        <v>0.26402877697841726</v>
      </c>
      <c r="P3">
        <v>445.28073581294962</v>
      </c>
      <c r="Q3">
        <v>0.26802177697841728</v>
      </c>
      <c r="R3">
        <v>694.93517684553899</v>
      </c>
      <c r="S3">
        <v>29.1497707860098</v>
      </c>
      <c r="AB3">
        <v>0.91836477987421383</v>
      </c>
      <c r="AC3">
        <v>5.4414675052410905E-2</v>
      </c>
      <c r="AD3">
        <v>1.6405870020964362</v>
      </c>
      <c r="AE3">
        <v>4.003522012578617E-2</v>
      </c>
      <c r="AF3">
        <v>9.9056603773584911E-2</v>
      </c>
      <c r="AG3">
        <v>5.5345911949685536E-3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Y3">
        <v>1.4700000000000002E-11</v>
      </c>
      <c r="AZ3">
        <v>8.7100000000000002E-13</v>
      </c>
      <c r="BA3">
        <v>2.6800000000000001E-11</v>
      </c>
      <c r="BB3">
        <v>6.5400000000000004E-13</v>
      </c>
      <c r="BC3">
        <v>3.1500000000000001E-12</v>
      </c>
      <c r="BD3">
        <v>1.7600000000000001E-13</v>
      </c>
      <c r="BR3">
        <v>3.5469000000000001E-2</v>
      </c>
      <c r="BS3">
        <v>3.6699999999999998E-4</v>
      </c>
      <c r="BV3">
        <v>0</v>
      </c>
      <c r="BW3">
        <v>0</v>
      </c>
    </row>
    <row r="4" spans="1:75" x14ac:dyDescent="0.3">
      <c r="A4" t="s">
        <v>2</v>
      </c>
      <c r="B4">
        <v>3.23</v>
      </c>
      <c r="C4">
        <v>94.599166563467506</v>
      </c>
      <c r="D4">
        <v>1.3199554179566566</v>
      </c>
      <c r="E4">
        <v>0.25479452054794521</v>
      </c>
      <c r="F4">
        <v>707.33945109815897</v>
      </c>
      <c r="G4">
        <v>8.8754015145782095</v>
      </c>
      <c r="H4">
        <v>305.55530800000003</v>
      </c>
      <c r="I4">
        <v>3.8899999999999998E-3</v>
      </c>
      <c r="J4">
        <v>39.654000000000003</v>
      </c>
      <c r="K4">
        <v>1.3719999999999999</v>
      </c>
      <c r="L4">
        <v>8.3131999999999998E-2</v>
      </c>
      <c r="M4">
        <v>3.836E-3</v>
      </c>
      <c r="N4">
        <v>28.528057553956838</v>
      </c>
      <c r="O4">
        <v>0.98705035971223021</v>
      </c>
      <c r="P4">
        <v>277.02725044604318</v>
      </c>
      <c r="Q4">
        <v>0.99094035971223016</v>
      </c>
      <c r="R4">
        <v>644.05027871025095</v>
      </c>
      <c r="S4">
        <v>8.4482354633419998</v>
      </c>
      <c r="AB4">
        <v>0.68641486068111468</v>
      </c>
      <c r="AC4">
        <v>1.310092879256966E-2</v>
      </c>
      <c r="AD4">
        <v>2.6397523219814243</v>
      </c>
      <c r="AE4">
        <v>4.9902167182662535E-2</v>
      </c>
      <c r="AF4">
        <v>0.13374613003095973</v>
      </c>
      <c r="AG4">
        <v>8.8699690402476786E-3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Y4">
        <v>7.4400000000000006E-12</v>
      </c>
      <c r="AZ4">
        <v>1.42E-13</v>
      </c>
      <c r="BA4">
        <v>2.92E-11</v>
      </c>
      <c r="BB4">
        <v>5.5199999999999997E-13</v>
      </c>
      <c r="BC4">
        <v>2.8799999999999998E-12</v>
      </c>
      <c r="BD4">
        <v>1.9099999999999999E-13</v>
      </c>
      <c r="BR4">
        <v>3.9654000000000002E-2</v>
      </c>
      <c r="BS4">
        <v>1.372E-3</v>
      </c>
      <c r="BV4">
        <v>9</v>
      </c>
      <c r="BW4">
        <v>9</v>
      </c>
    </row>
    <row r="5" spans="1:75" x14ac:dyDescent="0.3">
      <c r="A5" t="s">
        <v>3</v>
      </c>
      <c r="B5">
        <v>1.74</v>
      </c>
      <c r="C5">
        <v>91.857957471264356</v>
      </c>
      <c r="D5">
        <v>1.2608041379310344</v>
      </c>
      <c r="E5">
        <v>0.54056902002107488</v>
      </c>
      <c r="F5">
        <v>709.95973224589704</v>
      </c>
      <c r="G5">
        <v>28.498667499913399</v>
      </c>
      <c r="H5">
        <v>159.83284599999999</v>
      </c>
      <c r="I5">
        <v>2.5690000000000001E-3</v>
      </c>
      <c r="J5">
        <v>29.3</v>
      </c>
      <c r="K5">
        <v>0.34799999999999998</v>
      </c>
      <c r="L5">
        <v>0.13274900000000001</v>
      </c>
      <c r="M5">
        <v>1.619E-3</v>
      </c>
      <c r="N5">
        <v>21.079136690647481</v>
      </c>
      <c r="O5">
        <v>0.2503597122302158</v>
      </c>
      <c r="P5">
        <v>138.7537093093525</v>
      </c>
      <c r="Q5">
        <v>0.25292871223021579</v>
      </c>
      <c r="R5">
        <v>621.28576290311196</v>
      </c>
      <c r="S5">
        <v>25.568673418692999</v>
      </c>
      <c r="AB5">
        <v>0.87858620689655176</v>
      </c>
      <c r="AC5">
        <v>5.240689655172414E-2</v>
      </c>
      <c r="AD5">
        <v>1.5925747126436782</v>
      </c>
      <c r="AE5">
        <v>3.305977011494253E-2</v>
      </c>
      <c r="AF5">
        <v>0.20258620689655168</v>
      </c>
      <c r="AG5">
        <v>1.2068965517241381E-2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Y5">
        <v>5.1300000000000002E-12</v>
      </c>
      <c r="AZ5">
        <v>3.0600000000000001E-13</v>
      </c>
      <c r="BA5">
        <v>9.4899999999999993E-12</v>
      </c>
      <c r="BB5">
        <v>1.9699999999999999E-13</v>
      </c>
      <c r="BC5">
        <v>2.3499999999999999E-12</v>
      </c>
      <c r="BD5">
        <v>1.4000000000000001E-13</v>
      </c>
      <c r="BR5">
        <v>2.93E-2</v>
      </c>
      <c r="BS5">
        <v>3.48E-4</v>
      </c>
    </row>
    <row r="6" spans="1:75" x14ac:dyDescent="0.3">
      <c r="A6" t="s">
        <v>4</v>
      </c>
      <c r="B6">
        <v>1.98</v>
      </c>
      <c r="C6">
        <v>83.747024747474754</v>
      </c>
      <c r="D6">
        <v>0.87794666666666665</v>
      </c>
      <c r="E6">
        <v>0.70873786407766992</v>
      </c>
      <c r="F6">
        <v>910.36751461352605</v>
      </c>
      <c r="G6">
        <v>21.638239719672001</v>
      </c>
      <c r="H6">
        <v>165.819109</v>
      </c>
      <c r="I6">
        <v>1.5070000000000001E-3</v>
      </c>
      <c r="J6">
        <v>27.099999999999998</v>
      </c>
      <c r="K6">
        <v>0.26200000000000001</v>
      </c>
      <c r="L6">
        <v>0.118413</v>
      </c>
      <c r="M6">
        <v>1.1770000000000001E-3</v>
      </c>
      <c r="N6">
        <v>19.49640287769784</v>
      </c>
      <c r="O6">
        <v>0.18848920863309351</v>
      </c>
      <c r="P6">
        <v>146.32270612230215</v>
      </c>
      <c r="Q6">
        <v>0.18999620863309352</v>
      </c>
      <c r="R6">
        <v>810.818929663821</v>
      </c>
      <c r="S6">
        <v>19.586375157266001</v>
      </c>
      <c r="AB6">
        <v>0.65921212121212125</v>
      </c>
      <c r="AC6">
        <v>2.0769696969696969E-2</v>
      </c>
      <c r="AD6">
        <v>0.91139393939393942</v>
      </c>
      <c r="AE6">
        <v>2.875757575757576E-2</v>
      </c>
      <c r="AF6">
        <v>3.7196969696969701E-2</v>
      </c>
      <c r="AG6">
        <v>4.681818181818182E-3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Y6">
        <v>4.3800000000000003E-12</v>
      </c>
      <c r="AZ6">
        <v>1.3799999999999999E-13</v>
      </c>
      <c r="BA6">
        <v>6.1799999999999999E-12</v>
      </c>
      <c r="BB6">
        <v>1.95E-13</v>
      </c>
      <c r="BC6">
        <v>4.9100000000000003E-13</v>
      </c>
      <c r="BD6">
        <v>6.1799999999999999E-14</v>
      </c>
      <c r="BR6">
        <v>2.7099999999999999E-2</v>
      </c>
      <c r="BS6">
        <v>2.6200000000000003E-4</v>
      </c>
    </row>
    <row r="7" spans="1:75" x14ac:dyDescent="0.3">
      <c r="A7" t="s">
        <v>32</v>
      </c>
      <c r="B7">
        <v>1.28</v>
      </c>
      <c r="C7">
        <v>123.49463203124999</v>
      </c>
      <c r="D7">
        <v>0.68560687499999995</v>
      </c>
      <c r="E7">
        <v>0.68224299065420568</v>
      </c>
      <c r="F7">
        <v>1610.9316588111501</v>
      </c>
      <c r="G7">
        <v>45.693447284526002</v>
      </c>
      <c r="H7">
        <v>158.07312899999999</v>
      </c>
      <c r="I7">
        <v>1.3680000000000001E-3</v>
      </c>
      <c r="J7">
        <v>2.177</v>
      </c>
      <c r="K7">
        <v>7.1000000000000008E-2</v>
      </c>
      <c r="L7">
        <v>9.4570000000000001E-3</v>
      </c>
      <c r="M7">
        <v>3.8099999999999999E-4</v>
      </c>
      <c r="N7">
        <v>1.5661870503597122</v>
      </c>
      <c r="O7">
        <v>5.1079136690647488E-2</v>
      </c>
      <c r="P7">
        <v>156.50694194964029</v>
      </c>
      <c r="Q7">
        <v>5.2447136690647489E-2</v>
      </c>
      <c r="R7">
        <v>1595.94175696248</v>
      </c>
      <c r="S7">
        <v>46.028684693177098</v>
      </c>
      <c r="AB7">
        <v>0.509859375</v>
      </c>
      <c r="AC7">
        <v>1.9323437499999999E-2</v>
      </c>
      <c r="AD7">
        <v>0.73228124999999999</v>
      </c>
      <c r="AE7">
        <v>5.0643749999999994E-2</v>
      </c>
      <c r="AF7">
        <v>0.38437499999999997</v>
      </c>
      <c r="AG7">
        <v>6.9609374999999987E-2</v>
      </c>
      <c r="AH7">
        <v>248.35995266515937</v>
      </c>
      <c r="AI7">
        <v>27.855230944494622</v>
      </c>
      <c r="AJ7">
        <v>49.381022334005976</v>
      </c>
      <c r="AK7">
        <v>12.693660852007131</v>
      </c>
      <c r="AL7">
        <v>9.127945312010084</v>
      </c>
      <c r="AM7">
        <v>2.6356004048493253</v>
      </c>
      <c r="AN7">
        <v>3.8803296229650699</v>
      </c>
      <c r="AO7">
        <v>0.97897823000473339</v>
      </c>
      <c r="AP7">
        <v>15.910835760965266</v>
      </c>
      <c r="AQ7">
        <v>0.936350068301393</v>
      </c>
      <c r="AU7">
        <v>0.94039941658747717</v>
      </c>
      <c r="AV7">
        <v>2.4799210832088723E-2</v>
      </c>
      <c r="AW7">
        <v>-0.33960058341252286</v>
      </c>
      <c r="AX7">
        <v>1.076380783503225E-4</v>
      </c>
      <c r="AY7">
        <v>2.1900000000000002E-12</v>
      </c>
      <c r="AZ7">
        <v>8.3E-14</v>
      </c>
      <c r="BA7">
        <v>3.2099999999999999E-12</v>
      </c>
      <c r="BB7">
        <v>2.2199999999999999E-13</v>
      </c>
      <c r="BC7">
        <v>3.2800000000000002E-12</v>
      </c>
      <c r="BD7">
        <v>5.9399999999999999E-13</v>
      </c>
      <c r="BE7">
        <v>7.8380195442899706E-6</v>
      </c>
      <c r="BF7">
        <v>2.0669589512319499E-7</v>
      </c>
      <c r="BG7">
        <v>5.0023719812966797E-9</v>
      </c>
      <c r="BH7">
        <v>5.6104949817392796E-10</v>
      </c>
      <c r="BI7">
        <v>8.4366936181964296E-10</v>
      </c>
      <c r="BJ7">
        <v>2.1686980633434501E-10</v>
      </c>
      <c r="BK7">
        <v>1.2808342468069401E-10</v>
      </c>
      <c r="BL7">
        <v>3.69827726179252E-11</v>
      </c>
      <c r="BM7">
        <v>4.6044515781916099E-11</v>
      </c>
      <c r="BN7">
        <v>1.16166879985729E-11</v>
      </c>
      <c r="BO7">
        <v>1.6726239958964799E-10</v>
      </c>
      <c r="BP7">
        <v>9.8433647127610305E-12</v>
      </c>
      <c r="BR7">
        <v>2.1770000000000001E-3</v>
      </c>
      <c r="BS7">
        <v>7.1000000000000005E-5</v>
      </c>
    </row>
    <row r="8" spans="1:75" x14ac:dyDescent="0.3">
      <c r="A8" t="s">
        <v>33</v>
      </c>
      <c r="B8">
        <v>2.41</v>
      </c>
      <c r="C8">
        <v>161.49582904564315</v>
      </c>
      <c r="D8">
        <v>2.6776232365145223</v>
      </c>
      <c r="E8">
        <v>0.41317365269461076</v>
      </c>
      <c r="F8">
        <v>594.99595935741604</v>
      </c>
      <c r="G8">
        <v>7.8024016758530603</v>
      </c>
      <c r="H8">
        <v>389.204948</v>
      </c>
      <c r="I8">
        <v>2.4550000000000002E-3</v>
      </c>
      <c r="J8">
        <v>3.7320000000000002</v>
      </c>
      <c r="K8">
        <v>0.10500000000000001</v>
      </c>
      <c r="L8">
        <v>6.9439999999999997E-3</v>
      </c>
      <c r="M8">
        <v>1.8699999999999999E-4</v>
      </c>
      <c r="N8">
        <v>2.6848920863309353</v>
      </c>
      <c r="O8">
        <v>7.5539568345323743E-2</v>
      </c>
      <c r="P8">
        <v>386.52005591366907</v>
      </c>
      <c r="Q8">
        <v>7.7994568345323742E-2</v>
      </c>
      <c r="R8">
        <v>590.96296246556699</v>
      </c>
      <c r="S8">
        <v>7.70377394487274</v>
      </c>
      <c r="T8">
        <v>0.65630500000000003</v>
      </c>
      <c r="U8">
        <v>4.0682000000000003E-2</v>
      </c>
      <c r="V8">
        <v>4.0909212733880365</v>
      </c>
      <c r="W8">
        <v>0.27848021321949351</v>
      </c>
      <c r="X8">
        <v>385.11402672661194</v>
      </c>
      <c r="Y8">
        <v>0.2809352132194935</v>
      </c>
      <c r="Z8">
        <v>589.07129918349995</v>
      </c>
      <c r="AA8">
        <v>7.5681341819869203</v>
      </c>
      <c r="AB8">
        <v>1.7063900414937756</v>
      </c>
      <c r="AC8">
        <v>2.4235684647302906E-2</v>
      </c>
      <c r="AD8">
        <v>4.0468049792531122</v>
      </c>
      <c r="AE8">
        <v>0.11522489626556016</v>
      </c>
      <c r="AF8">
        <v>1.1763485477178424</v>
      </c>
      <c r="AG8">
        <v>7.0954356846473027E-2</v>
      </c>
      <c r="AH8">
        <v>555.10094288955588</v>
      </c>
      <c r="AI8">
        <v>38.855672916670507</v>
      </c>
      <c r="AJ8">
        <v>5922.2039763590228</v>
      </c>
      <c r="AK8">
        <v>397.88912221694102</v>
      </c>
      <c r="AL8">
        <v>28.909649128472665</v>
      </c>
      <c r="AM8">
        <v>2.2473271757349194</v>
      </c>
      <c r="AN8">
        <v>7.818996857738636</v>
      </c>
      <c r="AO8">
        <v>1.1185069574650548</v>
      </c>
      <c r="AP8">
        <v>35.687800509553611</v>
      </c>
      <c r="AQ8">
        <v>0.94702677622603548</v>
      </c>
      <c r="AU8">
        <v>2.5000138832234087</v>
      </c>
      <c r="AV8">
        <v>5.3009167642312296E-2</v>
      </c>
      <c r="AW8">
        <v>9.0013883223408531E-2</v>
      </c>
      <c r="AX8">
        <v>9.1721285751546183E-3</v>
      </c>
      <c r="AY8">
        <v>1.38E-11</v>
      </c>
      <c r="AZ8">
        <v>1.96E-13</v>
      </c>
      <c r="BA8">
        <v>3.3400000000000002E-11</v>
      </c>
      <c r="BB8">
        <v>9.5100000000000009E-13</v>
      </c>
      <c r="BC8">
        <v>1.8900000000000001E-11</v>
      </c>
      <c r="BD8">
        <v>1.14E-12</v>
      </c>
      <c r="BE8">
        <v>2.0769808933802E-5</v>
      </c>
      <c r="BF8">
        <v>4.4039366783481101E-7</v>
      </c>
      <c r="BG8">
        <v>2.1051034970319902E-8</v>
      </c>
      <c r="BH8">
        <v>1.47351961808302E-9</v>
      </c>
      <c r="BI8">
        <v>1.9050335802222699E-7</v>
      </c>
      <c r="BJ8">
        <v>1.27991562272134E-8</v>
      </c>
      <c r="BK8">
        <v>7.6378266169282097E-10</v>
      </c>
      <c r="BL8">
        <v>5.9373585765415003E-11</v>
      </c>
      <c r="BM8">
        <v>1.7468974160702801E-10</v>
      </c>
      <c r="BN8">
        <v>2.4989355404568301E-11</v>
      </c>
      <c r="BO8">
        <v>7.0636990167562595E-10</v>
      </c>
      <c r="BP8">
        <v>1.8744534582003498E-11</v>
      </c>
      <c r="BR8">
        <v>3.7320000000000001E-3</v>
      </c>
      <c r="BS8">
        <v>1.05E-4</v>
      </c>
    </row>
    <row r="9" spans="1:75" x14ac:dyDescent="0.3">
      <c r="A9" t="s">
        <v>34</v>
      </c>
      <c r="B9">
        <v>4.04</v>
      </c>
      <c r="C9">
        <v>132.17927574257425</v>
      </c>
      <c r="D9">
        <v>2.8107782178217819</v>
      </c>
      <c r="E9">
        <v>0.579059829059829</v>
      </c>
      <c r="F9">
        <v>466.25968978815899</v>
      </c>
      <c r="G9">
        <v>8.9940055197096793</v>
      </c>
      <c r="H9">
        <v>534.00427400000001</v>
      </c>
      <c r="I9">
        <v>2.9550000000000002E-3</v>
      </c>
      <c r="J9">
        <v>2.0960000000000001</v>
      </c>
      <c r="K9">
        <v>6.4999999999999988E-2</v>
      </c>
      <c r="L9">
        <v>2.7690000000000002E-3</v>
      </c>
      <c r="M9">
        <v>1.12E-4</v>
      </c>
      <c r="N9">
        <v>1.5079136690647481</v>
      </c>
      <c r="O9">
        <v>4.6762589928057541E-2</v>
      </c>
      <c r="P9">
        <v>532.49636033093532</v>
      </c>
      <c r="Q9">
        <v>4.971758992805754E-2</v>
      </c>
      <c r="R9">
        <v>465.15851721306399</v>
      </c>
      <c r="S9">
        <v>8.8461195792096596</v>
      </c>
      <c r="T9">
        <v>0.65630500000000003</v>
      </c>
      <c r="U9">
        <v>4.0682000000000003E-2</v>
      </c>
      <c r="V9">
        <v>2.2975806508631629</v>
      </c>
      <c r="W9">
        <v>0.15924781293399193</v>
      </c>
      <c r="X9">
        <v>531.7066933491368</v>
      </c>
      <c r="Y9">
        <v>0.16220281293399194</v>
      </c>
      <c r="Z9">
        <v>464.43589106384201</v>
      </c>
      <c r="AA9">
        <v>9.2392400529707803</v>
      </c>
      <c r="AB9">
        <v>1.9989603960396036</v>
      </c>
      <c r="AC9">
        <v>5.2297524752475247E-2</v>
      </c>
      <c r="AD9">
        <v>3.3825742574257429</v>
      </c>
      <c r="AE9">
        <v>8.6009900990098989E-2</v>
      </c>
      <c r="AF9">
        <v>2.2054455445544554</v>
      </c>
      <c r="AG9">
        <v>0.1303217821782178</v>
      </c>
      <c r="AH9">
        <v>1365.5635607424942</v>
      </c>
      <c r="AI9">
        <v>58.405048714010491</v>
      </c>
      <c r="AJ9">
        <v>1604.1387680749115</v>
      </c>
      <c r="AK9">
        <v>109.69509029842905</v>
      </c>
      <c r="AL9">
        <v>41.163654585016594</v>
      </c>
      <c r="AM9">
        <v>3.8621356127037036</v>
      </c>
      <c r="AN9">
        <v>12.622370012912052</v>
      </c>
      <c r="AO9">
        <v>1.0373345856740417</v>
      </c>
      <c r="AP9">
        <v>22.440211943230633</v>
      </c>
      <c r="AQ9">
        <v>0.41257158806712158</v>
      </c>
      <c r="AU9">
        <v>3.0305874292460548</v>
      </c>
      <c r="AV9">
        <v>5.5488110323897527E-2</v>
      </c>
      <c r="AW9">
        <v>-1.0094125707539452</v>
      </c>
      <c r="AX9">
        <v>3.4286219743147627E-3</v>
      </c>
      <c r="AY9">
        <v>2.7099999999999999E-11</v>
      </c>
      <c r="AZ9">
        <v>7.0900000000000001E-13</v>
      </c>
      <c r="BA9">
        <v>4.6800000000000003E-11</v>
      </c>
      <c r="BB9">
        <v>1.19E-12</v>
      </c>
      <c r="BC9">
        <v>5.9399999999999997E-11</v>
      </c>
      <c r="BD9">
        <v>3.5100000000000002E-12</v>
      </c>
      <c r="BE9">
        <v>2.52293421741342E-5</v>
      </c>
      <c r="BF9">
        <v>4.61933059065711E-7</v>
      </c>
      <c r="BG9">
        <v>8.6811593790710897E-8</v>
      </c>
      <c r="BH9">
        <v>3.7129252054225399E-9</v>
      </c>
      <c r="BI9">
        <v>8.6501876975742703E-8</v>
      </c>
      <c r="BJ9">
        <v>5.9152184304011396E-9</v>
      </c>
      <c r="BK9">
        <v>1.8230778833969199E-9</v>
      </c>
      <c r="BL9">
        <v>1.7104832136946901E-10</v>
      </c>
      <c r="BM9">
        <v>4.7273917541637802E-10</v>
      </c>
      <c r="BN9">
        <v>3.8850762270539799E-11</v>
      </c>
      <c r="BO9">
        <v>7.4456682203229099E-10</v>
      </c>
      <c r="BP9">
        <v>1.36891361349472E-11</v>
      </c>
      <c r="BR9">
        <v>2.0960000000000002E-3</v>
      </c>
      <c r="BS9">
        <v>6.4999999999999994E-5</v>
      </c>
    </row>
    <row r="10" spans="1:75" x14ac:dyDescent="0.3">
      <c r="A10" t="s">
        <v>35</v>
      </c>
      <c r="B10">
        <v>3.93</v>
      </c>
      <c r="C10">
        <v>71.654073282442738</v>
      </c>
      <c r="D10">
        <v>1.3066463104325698</v>
      </c>
      <c r="E10">
        <v>0.41509433962264153</v>
      </c>
      <c r="F10">
        <v>543.14890381658302</v>
      </c>
      <c r="G10">
        <v>16.5128799993721</v>
      </c>
      <c r="H10">
        <v>281.60050799999999</v>
      </c>
      <c r="I10">
        <v>2.2130000000000001E-3</v>
      </c>
      <c r="J10">
        <v>2.5179999999999998</v>
      </c>
      <c r="K10">
        <v>9.0000000000000011E-2</v>
      </c>
      <c r="L10">
        <v>6.476E-3</v>
      </c>
      <c r="M10">
        <v>2.2800000000000001E-4</v>
      </c>
      <c r="N10">
        <v>1.8115107913669064</v>
      </c>
      <c r="O10">
        <v>6.4748201438848935E-2</v>
      </c>
      <c r="P10">
        <v>279.78899720863308</v>
      </c>
      <c r="Q10">
        <v>6.6961201438848941E-2</v>
      </c>
      <c r="R10">
        <v>539.93151462176002</v>
      </c>
      <c r="S10">
        <v>16.259434222890601</v>
      </c>
      <c r="T10">
        <v>0.65630500000000003</v>
      </c>
      <c r="U10">
        <v>4.0682000000000003E-2</v>
      </c>
      <c r="V10">
        <v>2.760166068164811</v>
      </c>
      <c r="W10">
        <v>0.19749859060710373</v>
      </c>
      <c r="X10">
        <v>278.84034193183516</v>
      </c>
      <c r="Y10">
        <v>0.19971159060710372</v>
      </c>
      <c r="Z10">
        <v>538.381787269141</v>
      </c>
      <c r="AA10">
        <v>16.332152474620301</v>
      </c>
      <c r="AB10">
        <v>0.83409669211195925</v>
      </c>
      <c r="AC10">
        <v>3.7686005089058526E-2</v>
      </c>
      <c r="AD10">
        <v>1.9689567430025441</v>
      </c>
      <c r="AE10">
        <v>6.2337913486005078E-2</v>
      </c>
      <c r="AF10">
        <v>0.49236641221374045</v>
      </c>
      <c r="AG10">
        <v>4.6564885496183206E-2</v>
      </c>
      <c r="AH10">
        <v>780.58255792869102</v>
      </c>
      <c r="AI10">
        <v>52.487275244915523</v>
      </c>
      <c r="AJ10">
        <v>8026.8812489419679</v>
      </c>
      <c r="AK10">
        <v>487.81158463900437</v>
      </c>
      <c r="AL10">
        <v>15.457571534188016</v>
      </c>
      <c r="AM10">
        <v>1.0959189841227495</v>
      </c>
      <c r="AN10">
        <v>11.173804802924616</v>
      </c>
      <c r="AO10">
        <v>1.6430502194649634</v>
      </c>
      <c r="AP10">
        <v>21.969323616434405</v>
      </c>
      <c r="AQ10">
        <v>0.46103896238538816</v>
      </c>
      <c r="AU10">
        <v>4.0630375203838449</v>
      </c>
      <c r="AV10">
        <v>7.9658008260846819E-2</v>
      </c>
      <c r="AW10">
        <v>0.13303752038384475</v>
      </c>
      <c r="AX10">
        <v>1.2488584807205999E-2</v>
      </c>
      <c r="AY10">
        <v>1.1000000000000001E-11</v>
      </c>
      <c r="AZ10">
        <v>4.97E-13</v>
      </c>
      <c r="BA10">
        <v>2.6499999999999999E-11</v>
      </c>
      <c r="BB10">
        <v>8.3899999999999996E-13</v>
      </c>
      <c r="BC10">
        <v>1.29E-11</v>
      </c>
      <c r="BD10">
        <v>1.2200000000000001E-12</v>
      </c>
      <c r="BE10">
        <v>3.3715405881776199E-5</v>
      </c>
      <c r="BF10">
        <v>6.6100843685898501E-7</v>
      </c>
      <c r="BG10">
        <v>4.8272060624071697E-8</v>
      </c>
      <c r="BH10">
        <v>3.24586926376897E-9</v>
      </c>
      <c r="BI10">
        <v>4.2105770566393399E-7</v>
      </c>
      <c r="BJ10">
        <v>2.5588621564752901E-8</v>
      </c>
      <c r="BK10">
        <v>6.6595325728303998E-10</v>
      </c>
      <c r="BL10">
        <v>4.7215102034667898E-11</v>
      </c>
      <c r="BM10">
        <v>4.0709236002126398E-10</v>
      </c>
      <c r="BN10">
        <v>5.9860826573628506E-11</v>
      </c>
      <c r="BO10">
        <v>7.0909528426894899E-10</v>
      </c>
      <c r="BP10">
        <v>1.48807746564929E-11</v>
      </c>
      <c r="BR10">
        <v>2.5179999999999998E-3</v>
      </c>
      <c r="BS10">
        <v>9.0000000000000006E-5</v>
      </c>
    </row>
    <row r="11" spans="1:75" x14ac:dyDescent="0.3">
      <c r="A11" t="s">
        <v>36</v>
      </c>
      <c r="B11">
        <v>1.46</v>
      </c>
      <c r="C11">
        <v>48.797513698630141</v>
      </c>
      <c r="D11">
        <v>0.64487671232876709</v>
      </c>
      <c r="E11">
        <v>0.50823529411764712</v>
      </c>
      <c r="F11">
        <v>736.28838859495102</v>
      </c>
      <c r="G11">
        <v>34.684435371902801</v>
      </c>
      <c r="H11">
        <v>71.244370000000004</v>
      </c>
      <c r="I11">
        <v>6.8499999999999995E-4</v>
      </c>
      <c r="J11">
        <v>0.77100000000000002</v>
      </c>
      <c r="K11">
        <v>6.0000000000000005E-2</v>
      </c>
      <c r="L11">
        <v>6.8950000000000001E-3</v>
      </c>
      <c r="M11">
        <v>5.22E-4</v>
      </c>
      <c r="N11">
        <v>0.5546762589928057</v>
      </c>
      <c r="O11">
        <v>4.3165467625899283E-2</v>
      </c>
      <c r="P11">
        <v>70.689693741007204</v>
      </c>
      <c r="Q11">
        <v>4.3850467625899281E-2</v>
      </c>
      <c r="R11">
        <v>731.28748031078999</v>
      </c>
      <c r="S11">
        <v>34.566604907353501</v>
      </c>
      <c r="T11">
        <v>0.65630500000000003</v>
      </c>
      <c r="U11">
        <v>4.0682000000000003E-2</v>
      </c>
      <c r="V11">
        <v>0.84515013445395926</v>
      </c>
      <c r="W11">
        <v>8.4084694142413999E-2</v>
      </c>
      <c r="X11">
        <v>70.399219865546044</v>
      </c>
      <c r="Y11">
        <v>8.4769694142414004E-2</v>
      </c>
      <c r="Z11">
        <v>727.99534650373903</v>
      </c>
      <c r="AA11">
        <v>35.131026805304202</v>
      </c>
      <c r="AB11">
        <v>0.44087671232876713</v>
      </c>
      <c r="AC11">
        <v>2.4493150684931509E-2</v>
      </c>
      <c r="AD11">
        <v>0.85</v>
      </c>
      <c r="AE11">
        <v>8.7800000000000003E-2</v>
      </c>
      <c r="AF11">
        <v>7.3047945205479456E-2</v>
      </c>
      <c r="AG11">
        <v>3.4931506849315078E-2</v>
      </c>
      <c r="AH11">
        <v>146.70828435412233</v>
      </c>
      <c r="AI11">
        <v>19.634042145750239</v>
      </c>
      <c r="AJ11">
        <v>11440.328449428482</v>
      </c>
      <c r="AK11">
        <v>796.20862334464857</v>
      </c>
      <c r="AL11">
        <v>7.4272495385318509</v>
      </c>
      <c r="AM11">
        <v>2.5264209742515287</v>
      </c>
      <c r="AN11">
        <v>2.134614020444408</v>
      </c>
      <c r="AO11">
        <v>1.3509608735148158</v>
      </c>
      <c r="AP11">
        <v>24.090782507677361</v>
      </c>
      <c r="AQ11">
        <v>0.72521977573067475</v>
      </c>
      <c r="AU11">
        <v>1.5640938606950707</v>
      </c>
      <c r="AV11">
        <v>4.9770877583662915E-2</v>
      </c>
      <c r="AW11">
        <v>0.10409386069507076</v>
      </c>
      <c r="AX11">
        <v>1.7206050808092833E-2</v>
      </c>
      <c r="AY11">
        <v>2.1600000000000001E-12</v>
      </c>
      <c r="AZ11">
        <v>1.1999999999999999E-13</v>
      </c>
      <c r="BA11">
        <v>4.2499999999999999E-12</v>
      </c>
      <c r="BB11">
        <v>4.39E-13</v>
      </c>
      <c r="BC11">
        <v>7.11E-13</v>
      </c>
      <c r="BD11">
        <v>3.4000000000000002E-13</v>
      </c>
      <c r="BE11">
        <v>1.2957236305573401E-5</v>
      </c>
      <c r="BF11">
        <v>4.1231094769510902E-7</v>
      </c>
      <c r="BG11">
        <v>3.3704814344141398E-9</v>
      </c>
      <c r="BH11">
        <v>4.5107319485122499E-10</v>
      </c>
      <c r="BI11">
        <v>2.2294286620616099E-7</v>
      </c>
      <c r="BJ11">
        <v>1.55160783513506E-8</v>
      </c>
      <c r="BK11">
        <v>1.1887507483289301E-10</v>
      </c>
      <c r="BL11">
        <v>4.0436029625161497E-11</v>
      </c>
      <c r="BM11">
        <v>2.8891596086482199E-11</v>
      </c>
      <c r="BN11">
        <v>1.8284999307792999E-11</v>
      </c>
      <c r="BO11">
        <v>2.8886779288115102E-10</v>
      </c>
      <c r="BP11">
        <v>8.6959664304105206E-12</v>
      </c>
      <c r="BR11">
        <v>7.7099999999999998E-4</v>
      </c>
      <c r="BS11">
        <v>6.0000000000000002E-5</v>
      </c>
    </row>
    <row r="12" spans="1:75" x14ac:dyDescent="0.3">
      <c r="A12" t="s">
        <v>37</v>
      </c>
      <c r="B12">
        <v>1.66</v>
      </c>
      <c r="C12">
        <v>156.29384036144577</v>
      </c>
      <c r="D12">
        <v>2.8087518072289157</v>
      </c>
      <c r="E12">
        <v>0.11175166297117518</v>
      </c>
      <c r="F12">
        <v>557.70557395144601</v>
      </c>
      <c r="G12">
        <v>10.3043658640589</v>
      </c>
      <c r="H12">
        <v>259.44777499999998</v>
      </c>
      <c r="I12">
        <v>1.6980000000000001E-3</v>
      </c>
      <c r="J12">
        <v>4.1539999999999999</v>
      </c>
      <c r="K12">
        <v>0.114</v>
      </c>
      <c r="L12">
        <v>1.1447000000000001E-2</v>
      </c>
      <c r="M12">
        <v>3.4299999999999999E-4</v>
      </c>
      <c r="N12">
        <v>2.988489208633093</v>
      </c>
      <c r="O12">
        <v>8.2014388489208626E-2</v>
      </c>
      <c r="P12">
        <v>256.45928579136688</v>
      </c>
      <c r="Q12">
        <v>8.3712388489208631E-2</v>
      </c>
      <c r="R12">
        <v>551.53149028127905</v>
      </c>
      <c r="S12">
        <v>10.280880782832501</v>
      </c>
      <c r="T12">
        <v>1.2358420000000001</v>
      </c>
      <c r="U12">
        <v>8.8944999999999996E-2</v>
      </c>
      <c r="V12">
        <v>2.4181806482002495</v>
      </c>
      <c r="W12">
        <v>0.18626257849667549</v>
      </c>
      <c r="X12">
        <v>257.02959435179974</v>
      </c>
      <c r="Y12">
        <v>0.1879605784966755</v>
      </c>
      <c r="Z12">
        <v>552.61949607436702</v>
      </c>
      <c r="AA12">
        <v>10.530638827246101</v>
      </c>
      <c r="AB12">
        <v>0.90477108433734943</v>
      </c>
      <c r="AC12">
        <v>1.9028915662650605E-2</v>
      </c>
      <c r="AD12">
        <v>7.9332530120481923</v>
      </c>
      <c r="AE12">
        <v>0.21460240963855423</v>
      </c>
      <c r="AF12">
        <v>11.475903614457829</v>
      </c>
      <c r="AG12">
        <v>0.42018072289156616</v>
      </c>
      <c r="AH12">
        <v>17.411487541943057</v>
      </c>
      <c r="AI12">
        <v>7.7593622790067309</v>
      </c>
      <c r="AJ12">
        <v>47121.028441219292</v>
      </c>
      <c r="AK12">
        <v>2800.8752954237489</v>
      </c>
      <c r="AL12">
        <v>6.8470309277861325</v>
      </c>
      <c r="AM12">
        <v>1.8164512146123168</v>
      </c>
      <c r="AN12">
        <v>0</v>
      </c>
      <c r="AO12">
        <v>0</v>
      </c>
      <c r="AP12">
        <v>38.450342505759671</v>
      </c>
      <c r="AQ12">
        <v>0.80744341408190845</v>
      </c>
      <c r="AU12">
        <v>1.3681535010990944</v>
      </c>
      <c r="AV12">
        <v>2.2959282401172027E-2</v>
      </c>
      <c r="AW12">
        <v>-0.29184649890090553</v>
      </c>
      <c r="AX12">
        <v>9.4649970058931512E-2</v>
      </c>
      <c r="AY12">
        <v>5.0400000000000003E-12</v>
      </c>
      <c r="AZ12">
        <v>1.06E-13</v>
      </c>
      <c r="BA12">
        <v>4.5099999999999998E-11</v>
      </c>
      <c r="BB12">
        <v>1.2200000000000001E-12</v>
      </c>
      <c r="BC12">
        <v>1.27E-10</v>
      </c>
      <c r="BD12">
        <v>4.6499999999999998E-12</v>
      </c>
      <c r="BE12">
        <v>1.10307387512216E-5</v>
      </c>
      <c r="BF12">
        <v>1.8510923363452701E-7</v>
      </c>
      <c r="BG12">
        <v>4.5480832918372102E-10</v>
      </c>
      <c r="BH12">
        <v>2.0268357801968801E-10</v>
      </c>
      <c r="BI12">
        <v>1.0440590925310199E-6</v>
      </c>
      <c r="BJ12">
        <v>6.2058902701594004E-8</v>
      </c>
      <c r="BK12">
        <v>1.2460065051660799E-10</v>
      </c>
      <c r="BL12">
        <v>3.3055349882223702E-11</v>
      </c>
      <c r="BM12">
        <v>0</v>
      </c>
      <c r="BN12">
        <v>0</v>
      </c>
      <c r="BO12">
        <v>5.2420802036433197E-10</v>
      </c>
      <c r="BP12">
        <v>1.1008180579631799E-11</v>
      </c>
      <c r="BR12">
        <v>4.1539999999999997E-3</v>
      </c>
      <c r="BS12">
        <v>1.1400000000000001E-4</v>
      </c>
    </row>
    <row r="13" spans="1:75" x14ac:dyDescent="0.3">
      <c r="A13" t="s">
        <v>38</v>
      </c>
      <c r="B13">
        <v>1.05</v>
      </c>
      <c r="C13">
        <v>52.51184380952381</v>
      </c>
      <c r="D13">
        <v>0.56381714285714268</v>
      </c>
      <c r="E13">
        <v>0.31666666666666665</v>
      </c>
      <c r="F13">
        <v>905.99456916346799</v>
      </c>
      <c r="G13">
        <v>126.94200390045199</v>
      </c>
      <c r="H13">
        <v>55.137436000000001</v>
      </c>
      <c r="I13">
        <v>4.9700000000000005E-4</v>
      </c>
      <c r="J13">
        <v>4.0489999999999995</v>
      </c>
      <c r="K13">
        <v>9.5000000000000001E-2</v>
      </c>
      <c r="L13">
        <v>5.1727000000000002E-2</v>
      </c>
      <c r="M13">
        <v>1.335E-3</v>
      </c>
      <c r="N13">
        <v>2.9129496402877697</v>
      </c>
      <c r="O13">
        <v>6.83453237410072E-2</v>
      </c>
      <c r="P13">
        <v>52.22448635971223</v>
      </c>
      <c r="Q13">
        <v>6.8842323741007197E-2</v>
      </c>
      <c r="R13">
        <v>860.08691075305398</v>
      </c>
      <c r="S13">
        <v>120.523558268225</v>
      </c>
      <c r="T13">
        <v>1.2358420000000001</v>
      </c>
      <c r="U13">
        <v>8.8944999999999996E-2</v>
      </c>
      <c r="V13">
        <v>2.3570566789992324</v>
      </c>
      <c r="W13">
        <v>0.17842689812232732</v>
      </c>
      <c r="X13">
        <v>52.780379321000765</v>
      </c>
      <c r="Y13">
        <v>0.17892389812232731</v>
      </c>
      <c r="Z13">
        <v>871.73271098405303</v>
      </c>
      <c r="AA13">
        <v>120.802471243816</v>
      </c>
      <c r="AB13">
        <v>0.32354285714285708</v>
      </c>
      <c r="AC13">
        <v>7.4074285714285704E-2</v>
      </c>
      <c r="AD13">
        <v>1.0011428571428569</v>
      </c>
      <c r="AE13">
        <v>0.12180571428571428</v>
      </c>
      <c r="AF13">
        <v>0.24857142857142858</v>
      </c>
      <c r="AG13">
        <v>8.528571428571427E-2</v>
      </c>
      <c r="AH13">
        <v>313.99531649515569</v>
      </c>
      <c r="AI13">
        <v>30.304362415013106</v>
      </c>
      <c r="AJ13">
        <v>11923.720671983638</v>
      </c>
      <c r="AK13">
        <v>782.76525986991692</v>
      </c>
      <c r="AL13">
        <v>4.9106348874336598</v>
      </c>
      <c r="AM13">
        <v>2.7674100382610236</v>
      </c>
      <c r="AN13">
        <v>3.5201373734768602</v>
      </c>
      <c r="AO13">
        <v>2.0535211961914808</v>
      </c>
      <c r="AP13">
        <v>23.928570194601715</v>
      </c>
      <c r="AQ13">
        <v>1.3322406911937072</v>
      </c>
      <c r="AU13">
        <v>1.115179575844701</v>
      </c>
      <c r="AV13">
        <v>2.3415105103698649E-2</v>
      </c>
      <c r="AW13">
        <v>6.517957584470091E-2</v>
      </c>
      <c r="AX13">
        <v>1.8094471901252802E-2</v>
      </c>
      <c r="AY13">
        <v>1.14E-12</v>
      </c>
      <c r="AZ13">
        <v>2.61E-13</v>
      </c>
      <c r="BA13">
        <v>3.6E-12</v>
      </c>
      <c r="BB13">
        <v>4.38E-13</v>
      </c>
      <c r="BC13">
        <v>1.7400000000000001E-12</v>
      </c>
      <c r="BD13">
        <v>5.9699999999999998E-13</v>
      </c>
      <c r="BE13">
        <v>9.2354361790465307E-6</v>
      </c>
      <c r="BF13">
        <v>1.9391379962018801E-7</v>
      </c>
      <c r="BG13">
        <v>5.1879635298176796E-9</v>
      </c>
      <c r="BH13">
        <v>5.0070150331650301E-10</v>
      </c>
      <c r="BI13">
        <v>1.6711034043757101E-7</v>
      </c>
      <c r="BJ13">
        <v>1.0970415414621101E-8</v>
      </c>
      <c r="BK13">
        <v>5.6524519094555397E-11</v>
      </c>
      <c r="BL13">
        <v>3.1854643062640601E-11</v>
      </c>
      <c r="BM13">
        <v>3.4264802467328301E-11</v>
      </c>
      <c r="BN13">
        <v>1.9988850060267499E-11</v>
      </c>
      <c r="BO13">
        <v>2.06348543892344E-10</v>
      </c>
      <c r="BP13">
        <v>1.14886064861481E-11</v>
      </c>
      <c r="BR13">
        <v>4.0489999999999996E-3</v>
      </c>
      <c r="BS13">
        <v>9.5000000000000005E-5</v>
      </c>
    </row>
    <row r="14" spans="1:75" x14ac:dyDescent="0.3">
      <c r="A14" t="s">
        <v>39</v>
      </c>
      <c r="B14">
        <v>1.56</v>
      </c>
      <c r="C14">
        <v>172.28648846153848</v>
      </c>
      <c r="D14">
        <v>3.2436871794871793</v>
      </c>
      <c r="E14">
        <v>8.582230623818525E-2</v>
      </c>
      <c r="F14">
        <v>534.02587570498099</v>
      </c>
      <c r="G14">
        <v>10.3487023173127</v>
      </c>
      <c r="H14">
        <v>268.76692200000002</v>
      </c>
      <c r="I14">
        <v>1.6930000000000001E-3</v>
      </c>
      <c r="J14">
        <v>7.4649999999999999</v>
      </c>
      <c r="K14">
        <v>0.15100000000000002</v>
      </c>
      <c r="L14">
        <v>2.0097E-2</v>
      </c>
      <c r="M14">
        <v>4.2000000000000002E-4</v>
      </c>
      <c r="N14">
        <v>5.3705035971223021</v>
      </c>
      <c r="O14">
        <v>0.10863309352517986</v>
      </c>
      <c r="P14">
        <v>263.39641840287771</v>
      </c>
      <c r="Q14">
        <v>0.11032609352517986</v>
      </c>
      <c r="R14">
        <v>523.37729086052195</v>
      </c>
      <c r="S14">
        <v>9.9845100913970697</v>
      </c>
      <c r="T14">
        <v>1.2358420000000001</v>
      </c>
      <c r="U14">
        <v>8.8944999999999996E-2</v>
      </c>
      <c r="V14">
        <v>4.3456231436723316</v>
      </c>
      <c r="W14">
        <v>0.32487743091988308</v>
      </c>
      <c r="X14">
        <v>264.42129885632767</v>
      </c>
      <c r="Y14">
        <v>0.32657043091988308</v>
      </c>
      <c r="Z14">
        <v>525.55721021815202</v>
      </c>
      <c r="AA14">
        <v>10.4107534042433</v>
      </c>
      <c r="AB14">
        <v>0.8672564102564102</v>
      </c>
      <c r="AC14">
        <v>1.782269230769231E-2</v>
      </c>
      <c r="AD14">
        <v>9.9017948717948716</v>
      </c>
      <c r="AE14">
        <v>0.26392307692307693</v>
      </c>
      <c r="AF14">
        <v>16.53846153846154</v>
      </c>
      <c r="AG14">
        <v>0.625</v>
      </c>
      <c r="AH14">
        <v>102.87966812975193</v>
      </c>
      <c r="AI14">
        <v>20.196743578165307</v>
      </c>
      <c r="AJ14">
        <v>410116.34687768854</v>
      </c>
      <c r="AK14">
        <v>23437.587317235866</v>
      </c>
      <c r="AL14">
        <v>8.8089595313741604</v>
      </c>
      <c r="AM14">
        <v>2.1587468598012025</v>
      </c>
      <c r="AN14">
        <v>0</v>
      </c>
      <c r="AO14">
        <v>0</v>
      </c>
      <c r="AP14">
        <v>1235.4206475025564</v>
      </c>
      <c r="AQ14">
        <v>29.545992177395387</v>
      </c>
      <c r="AU14">
        <v>1.595789773499197</v>
      </c>
      <c r="AV14">
        <v>2.8590990095856458E-2</v>
      </c>
      <c r="AW14">
        <v>3.5789773499196986E-2</v>
      </c>
      <c r="AX14">
        <v>0.83307514724267784</v>
      </c>
      <c r="AY14">
        <v>4.5399999999999996E-12</v>
      </c>
      <c r="AZ14">
        <v>9.3300000000000004E-14</v>
      </c>
      <c r="BA14">
        <v>5.29E-11</v>
      </c>
      <c r="BB14">
        <v>1.4100000000000001E-12</v>
      </c>
      <c r="BC14">
        <v>1.72E-10</v>
      </c>
      <c r="BD14">
        <v>6.5000000000000002E-12</v>
      </c>
      <c r="BE14">
        <v>1.02506104930498E-5</v>
      </c>
      <c r="BF14">
        <v>1.8365520819238199E-7</v>
      </c>
      <c r="BG14">
        <v>2.5254489737594498E-9</v>
      </c>
      <c r="BH14">
        <v>4.9578158901554502E-10</v>
      </c>
      <c r="BI14">
        <v>8.5395288458248005E-6</v>
      </c>
      <c r="BJ14">
        <v>4.8802237339679595E-7</v>
      </c>
      <c r="BK14">
        <v>1.50646534410696E-10</v>
      </c>
      <c r="BL14">
        <v>3.6917837111268102E-11</v>
      </c>
      <c r="BM14">
        <v>0</v>
      </c>
      <c r="BN14">
        <v>0</v>
      </c>
      <c r="BO14">
        <v>1.5828319728186499E-8</v>
      </c>
      <c r="BP14">
        <v>3.7854589189172798E-10</v>
      </c>
      <c r="BR14">
        <v>7.4650000000000003E-3</v>
      </c>
      <c r="BS14">
        <v>1.5100000000000001E-4</v>
      </c>
    </row>
    <row r="15" spans="1:75" x14ac:dyDescent="0.3">
      <c r="A15" t="s">
        <v>8</v>
      </c>
      <c r="B15">
        <v>2.09</v>
      </c>
      <c r="D15">
        <v>1.2038507177033493</v>
      </c>
      <c r="E15">
        <v>0.43492063492063493</v>
      </c>
      <c r="AB15">
        <v>0.78135885167464114</v>
      </c>
      <c r="AC15">
        <v>3.3792344497607658E-2</v>
      </c>
      <c r="AD15">
        <v>1.7603827751196175</v>
      </c>
      <c r="AE15">
        <v>4.4847846889952157E-2</v>
      </c>
      <c r="AF15">
        <v>8.1100478468899534E-2</v>
      </c>
      <c r="AG15">
        <v>8.0382775119617229E-3</v>
      </c>
      <c r="AY15">
        <v>5.4800000000000001E-12</v>
      </c>
      <c r="AZ15">
        <v>2.37E-13</v>
      </c>
      <c r="BA15">
        <v>1.26E-11</v>
      </c>
      <c r="BB15">
        <v>3.21E-13</v>
      </c>
      <c r="BC15">
        <v>1.13E-12</v>
      </c>
      <c r="BD15">
        <v>1.12E-13</v>
      </c>
    </row>
    <row r="16" spans="1:75" x14ac:dyDescent="0.3">
      <c r="A16" t="s">
        <v>9</v>
      </c>
      <c r="B16">
        <v>2.98</v>
      </c>
      <c r="D16">
        <v>1.3254241610738253</v>
      </c>
      <c r="E16">
        <v>0.35919282511210765</v>
      </c>
      <c r="AB16">
        <v>0.80099999999999993</v>
      </c>
      <c r="AC16">
        <v>1.3699999999999999E-2</v>
      </c>
      <c r="AD16">
        <v>2.1851006711409395</v>
      </c>
      <c r="AE16">
        <v>6.1535570469798663E-2</v>
      </c>
      <c r="AF16">
        <v>2.0788590604026845E-2</v>
      </c>
      <c r="AG16">
        <v>4.3338926174496641E-3</v>
      </c>
      <c r="AY16">
        <v>8.01E-12</v>
      </c>
      <c r="AZ16">
        <v>1.37E-13</v>
      </c>
      <c r="BA16">
        <v>2.23E-11</v>
      </c>
      <c r="BB16">
        <v>6.2800000000000005E-13</v>
      </c>
      <c r="BC16">
        <v>4.1300000000000001E-13</v>
      </c>
      <c r="BD16">
        <v>8.6099999999999994E-14</v>
      </c>
    </row>
    <row r="17" spans="1:71" x14ac:dyDescent="0.3">
      <c r="A17" t="s">
        <v>10</v>
      </c>
      <c r="B17">
        <v>1.77</v>
      </c>
      <c r="D17">
        <v>1.2292858757062146</v>
      </c>
      <c r="E17">
        <v>0.38888888888888884</v>
      </c>
      <c r="AB17">
        <v>0.76604519774011293</v>
      </c>
      <c r="AC17">
        <v>2.6096045197740111E-2</v>
      </c>
      <c r="AD17">
        <v>1.9301694915254239</v>
      </c>
      <c r="AE17">
        <v>5.5595480225988696E-2</v>
      </c>
      <c r="AF17">
        <v>0.10338983050847457</v>
      </c>
      <c r="AG17">
        <v>1.1610169491525423E-2</v>
      </c>
      <c r="AY17">
        <v>4.5499999999999998E-12</v>
      </c>
      <c r="AZ17">
        <v>1.55E-13</v>
      </c>
      <c r="BA17">
        <v>1.1700000000000001E-11</v>
      </c>
      <c r="BB17">
        <v>3.3699999999999998E-13</v>
      </c>
      <c r="BC17">
        <v>1.2200000000000001E-12</v>
      </c>
      <c r="BD17">
        <v>1.37E-13</v>
      </c>
    </row>
    <row r="18" spans="1:71" x14ac:dyDescent="0.3">
      <c r="A18" t="s">
        <v>23</v>
      </c>
      <c r="B18">
        <v>14.35</v>
      </c>
      <c r="C18">
        <v>99.156943902439025</v>
      </c>
      <c r="H18">
        <v>1422.902145</v>
      </c>
      <c r="I18">
        <v>1.0654E-2</v>
      </c>
      <c r="J18">
        <v>10.94</v>
      </c>
      <c r="K18">
        <v>0.35399999999999998</v>
      </c>
      <c r="L18">
        <v>6.0000000000000001E-3</v>
      </c>
      <c r="M18">
        <v>2.0799999999999999E-4</v>
      </c>
      <c r="N18">
        <v>7.8705035971223021</v>
      </c>
      <c r="O18">
        <v>0.25467625899280572</v>
      </c>
      <c r="P18">
        <v>1415.0316414028778</v>
      </c>
      <c r="Q18">
        <v>0.26533025899280571</v>
      </c>
      <c r="BR18">
        <v>1.094E-2</v>
      </c>
      <c r="BS18">
        <v>3.5399999999999999E-4</v>
      </c>
    </row>
    <row r="19" spans="1:71" x14ac:dyDescent="0.3">
      <c r="A19" t="s">
        <v>24</v>
      </c>
      <c r="B19">
        <v>10.52</v>
      </c>
      <c r="C19">
        <v>91.325338498098859</v>
      </c>
      <c r="H19">
        <v>960.74256100000002</v>
      </c>
      <c r="I19">
        <v>8.5749999999999993E-3</v>
      </c>
      <c r="J19">
        <v>9.2259999999999991</v>
      </c>
      <c r="K19">
        <v>0.41800000000000004</v>
      </c>
      <c r="L19">
        <v>6.3210000000000002E-3</v>
      </c>
      <c r="M19">
        <v>2.9500000000000001E-4</v>
      </c>
      <c r="N19">
        <v>6.6374100719424458</v>
      </c>
      <c r="O19">
        <v>0.30071942446043171</v>
      </c>
      <c r="P19">
        <v>954.10515092805758</v>
      </c>
      <c r="Q19">
        <v>0.30929442446043171</v>
      </c>
      <c r="BR19">
        <v>9.2259999999999998E-3</v>
      </c>
      <c r="BS19">
        <v>4.1800000000000002E-4</v>
      </c>
    </row>
    <row r="20" spans="1:71" x14ac:dyDescent="0.3">
      <c r="A20" t="s">
        <v>25</v>
      </c>
      <c r="B20">
        <v>12.19</v>
      </c>
      <c r="C20">
        <v>98.766726579163247</v>
      </c>
      <c r="H20">
        <v>1203.9663969999999</v>
      </c>
      <c r="I20">
        <v>1.1103999999999999E-2</v>
      </c>
      <c r="J20">
        <v>8.0719999999999992</v>
      </c>
      <c r="K20">
        <v>0.42700000000000005</v>
      </c>
      <c r="L20">
        <v>4.7260000000000002E-3</v>
      </c>
      <c r="M20">
        <v>2.5599999999999999E-4</v>
      </c>
      <c r="N20">
        <v>5.8071942446043163</v>
      </c>
      <c r="O20">
        <v>0.3071942446043166</v>
      </c>
      <c r="P20">
        <v>1198.1592027553957</v>
      </c>
      <c r="Q20">
        <v>0.3182982446043166</v>
      </c>
      <c r="BR20">
        <v>8.0719999999999993E-3</v>
      </c>
      <c r="BS20">
        <v>4.2700000000000002E-4</v>
      </c>
    </row>
    <row r="21" spans="1:71" x14ac:dyDescent="0.3">
      <c r="A21" t="s">
        <v>26</v>
      </c>
      <c r="B21">
        <v>9.6</v>
      </c>
      <c r="C21">
        <v>90.182190416666671</v>
      </c>
      <c r="H21">
        <v>865.74902799999995</v>
      </c>
      <c r="I21">
        <v>8.5579999999999996E-3</v>
      </c>
      <c r="J21">
        <v>10.218</v>
      </c>
      <c r="K21">
        <v>0.41399999999999998</v>
      </c>
      <c r="L21">
        <v>8.2740000000000001E-3</v>
      </c>
      <c r="M21">
        <v>3.3100000000000002E-4</v>
      </c>
      <c r="N21">
        <v>7.3510791366906467</v>
      </c>
      <c r="O21">
        <v>0.297841726618705</v>
      </c>
      <c r="P21">
        <v>858.39794886330935</v>
      </c>
      <c r="Q21">
        <v>0.30639972661870502</v>
      </c>
      <c r="BR21">
        <v>1.0218E-2</v>
      </c>
      <c r="BS21">
        <v>4.1399999999999998E-4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362C-C33B-4EAA-8013-E6E1B994C4FF}">
  <dimension ref="A1:BS6"/>
  <sheetViews>
    <sheetView workbookViewId="0">
      <selection sqref="A1:XFD1"/>
    </sheetView>
  </sheetViews>
  <sheetFormatPr defaultRowHeight="14.4" x14ac:dyDescent="0.3"/>
  <sheetData>
    <row r="1" spans="1:71" x14ac:dyDescent="0.3">
      <c r="A1" t="s">
        <v>29</v>
      </c>
      <c r="B1" t="s">
        <v>21</v>
      </c>
      <c r="C1" t="s">
        <v>119</v>
      </c>
      <c r="D1" t="s">
        <v>120</v>
      </c>
      <c r="E1" t="s">
        <v>116</v>
      </c>
      <c r="F1" t="s">
        <v>121</v>
      </c>
      <c r="G1" t="s">
        <v>88</v>
      </c>
      <c r="H1" t="s">
        <v>122</v>
      </c>
      <c r="I1" t="s">
        <v>88</v>
      </c>
      <c r="J1" t="s">
        <v>117</v>
      </c>
      <c r="K1" t="s">
        <v>88</v>
      </c>
      <c r="L1" t="s">
        <v>86</v>
      </c>
      <c r="M1" t="s">
        <v>88</v>
      </c>
      <c r="N1" t="s">
        <v>91</v>
      </c>
      <c r="O1" t="s">
        <v>88</v>
      </c>
      <c r="P1" t="s">
        <v>90</v>
      </c>
      <c r="Q1" t="s">
        <v>88</v>
      </c>
      <c r="R1" t="s">
        <v>123</v>
      </c>
      <c r="S1" t="s">
        <v>88</v>
      </c>
      <c r="T1" t="s">
        <v>118</v>
      </c>
      <c r="U1" t="s">
        <v>88</v>
      </c>
      <c r="V1" t="s">
        <v>92</v>
      </c>
      <c r="W1" t="s">
        <v>88</v>
      </c>
      <c r="X1" t="s">
        <v>93</v>
      </c>
      <c r="Y1" t="s">
        <v>88</v>
      </c>
      <c r="Z1" t="s">
        <v>94</v>
      </c>
      <c r="AA1" t="s">
        <v>88</v>
      </c>
      <c r="AB1" t="s">
        <v>18</v>
      </c>
      <c r="AC1" t="s">
        <v>88</v>
      </c>
      <c r="AD1" t="s">
        <v>19</v>
      </c>
      <c r="AE1" t="s">
        <v>88</v>
      </c>
      <c r="AF1" t="s">
        <v>20</v>
      </c>
      <c r="AG1" t="s">
        <v>88</v>
      </c>
      <c r="AH1" t="s">
        <v>61</v>
      </c>
      <c r="AI1" t="s">
        <v>88</v>
      </c>
      <c r="AJ1" t="s">
        <v>62</v>
      </c>
      <c r="AK1" t="s">
        <v>88</v>
      </c>
      <c r="AL1" t="s">
        <v>63</v>
      </c>
      <c r="AM1" t="s">
        <v>88</v>
      </c>
      <c r="AN1" t="s">
        <v>64</v>
      </c>
      <c r="AO1" t="s">
        <v>88</v>
      </c>
      <c r="AP1" t="s">
        <v>65</v>
      </c>
      <c r="AQ1" t="s">
        <v>88</v>
      </c>
      <c r="AR1" t="s">
        <v>81</v>
      </c>
      <c r="AS1" t="s">
        <v>88</v>
      </c>
      <c r="AT1" t="s">
        <v>82</v>
      </c>
      <c r="AU1" t="s">
        <v>125</v>
      </c>
      <c r="AV1" t="s">
        <v>88</v>
      </c>
      <c r="AW1" t="s">
        <v>127</v>
      </c>
      <c r="AX1" t="s">
        <v>124</v>
      </c>
      <c r="AY1" t="s">
        <v>15</v>
      </c>
      <c r="AZ1" t="s">
        <v>88</v>
      </c>
      <c r="BA1" t="s">
        <v>16</v>
      </c>
      <c r="BB1" t="s">
        <v>88</v>
      </c>
      <c r="BC1" t="s">
        <v>17</v>
      </c>
      <c r="BD1" t="s">
        <v>88</v>
      </c>
      <c r="BE1" t="s">
        <v>55</v>
      </c>
      <c r="BF1" t="s">
        <v>88</v>
      </c>
      <c r="BG1" t="s">
        <v>56</v>
      </c>
      <c r="BH1" t="s">
        <v>88</v>
      </c>
      <c r="BI1" t="s">
        <v>57</v>
      </c>
      <c r="BJ1" t="s">
        <v>88</v>
      </c>
      <c r="BK1" t="s">
        <v>58</v>
      </c>
      <c r="BL1" t="s">
        <v>88</v>
      </c>
      <c r="BM1" t="s">
        <v>59</v>
      </c>
      <c r="BN1" t="s">
        <v>88</v>
      </c>
      <c r="BO1" t="s">
        <v>60</v>
      </c>
      <c r="BP1" t="s">
        <v>88</v>
      </c>
      <c r="BR1" t="s">
        <v>87</v>
      </c>
      <c r="BS1" t="s">
        <v>88</v>
      </c>
    </row>
    <row r="2" spans="1:71" x14ac:dyDescent="0.3">
      <c r="A2" t="s">
        <v>11</v>
      </c>
      <c r="B2">
        <v>2.4900000000000002</v>
      </c>
      <c r="C2">
        <v>20.59702530120482</v>
      </c>
      <c r="D2">
        <v>0.30500542971887551</v>
      </c>
      <c r="E2">
        <v>5.8472553699284004</v>
      </c>
      <c r="F2">
        <v>650.11988421714204</v>
      </c>
      <c r="G2">
        <v>26.7989103652158</v>
      </c>
      <c r="H2">
        <v>51.286593000000003</v>
      </c>
      <c r="I2">
        <v>4.7800000000000002E-4</v>
      </c>
      <c r="J2">
        <v>13.978000000000002</v>
      </c>
      <c r="K2">
        <v>0.19500000000000001</v>
      </c>
      <c r="L2">
        <v>0.19747799999999999</v>
      </c>
      <c r="M2">
        <v>2.8389999999999999E-3</v>
      </c>
      <c r="N2">
        <v>10.056115107913671</v>
      </c>
      <c r="O2">
        <v>0.14028776978417268</v>
      </c>
      <c r="P2">
        <v>41.230477892086334</v>
      </c>
      <c r="Q2">
        <v>0.14076576978417268</v>
      </c>
      <c r="R2">
        <v>529.10223941355798</v>
      </c>
      <c r="S2">
        <v>22.117541811062701</v>
      </c>
      <c r="V2">
        <v>1506.8481290360701</v>
      </c>
      <c r="W2">
        <v>147.01850439797801</v>
      </c>
      <c r="X2">
        <v>1248.40953627202</v>
      </c>
      <c r="Y2">
        <v>124.051663417521</v>
      </c>
      <c r="AB2">
        <v>0.29321285140562248</v>
      </c>
      <c r="AC2">
        <v>1.3044979919678713E-2</v>
      </c>
      <c r="AD2">
        <v>4.9135742971887553E-2</v>
      </c>
      <c r="AE2">
        <v>1.0800481927710843E-2</v>
      </c>
      <c r="AF2">
        <v>1.6385542168674695E-2</v>
      </c>
      <c r="AG2">
        <v>1.4277108433734941E-3</v>
      </c>
      <c r="AY2">
        <v>2.4499999999999999E-12</v>
      </c>
      <c r="AZ2">
        <v>1.09E-13</v>
      </c>
      <c r="BA2">
        <v>4.1899999999999998E-13</v>
      </c>
      <c r="BB2">
        <v>9.2099999999999994E-14</v>
      </c>
      <c r="BC2">
        <v>2.72E-13</v>
      </c>
      <c r="BD2">
        <v>2.3699999999999999E-14</v>
      </c>
      <c r="BR2">
        <v>1.3978000000000001E-2</v>
      </c>
      <c r="BS2">
        <v>1.95E-4</v>
      </c>
    </row>
    <row r="3" spans="1:71" x14ac:dyDescent="0.3">
      <c r="A3" t="s">
        <v>12</v>
      </c>
      <c r="B3">
        <v>3</v>
      </c>
      <c r="C3">
        <v>22.290349333333335</v>
      </c>
      <c r="D3">
        <v>1.7799121066666668</v>
      </c>
      <c r="E3">
        <v>226.58227848101265</v>
      </c>
      <c r="F3">
        <v>126.72287945217001</v>
      </c>
      <c r="G3">
        <v>1.4461981680604099</v>
      </c>
      <c r="H3">
        <v>66.871048000000002</v>
      </c>
      <c r="I3">
        <v>8.8900000000000003E-4</v>
      </c>
      <c r="J3">
        <v>14.649000000000001</v>
      </c>
      <c r="K3">
        <v>0.19799999999999998</v>
      </c>
      <c r="L3">
        <v>0.15862999999999999</v>
      </c>
      <c r="M3">
        <v>2.2109999999999999E-3</v>
      </c>
      <c r="N3">
        <v>10.538848920863311</v>
      </c>
      <c r="O3">
        <v>0.14244604316546761</v>
      </c>
      <c r="P3">
        <v>56.332199079136693</v>
      </c>
      <c r="Q3">
        <v>0.14333504316546761</v>
      </c>
      <c r="R3">
        <v>106.91835705407701</v>
      </c>
      <c r="S3">
        <v>1.27973606653748</v>
      </c>
      <c r="V3">
        <v>1604.5980195290499</v>
      </c>
      <c r="W3">
        <v>154.43311630637299</v>
      </c>
      <c r="X3">
        <v>1387.62808083703</v>
      </c>
      <c r="Y3">
        <v>137.14045869774199</v>
      </c>
      <c r="AB3">
        <v>1.7780666666666667</v>
      </c>
      <c r="AC3">
        <v>2.0562E-2</v>
      </c>
      <c r="AD3">
        <v>7.6893333333333336E-3</v>
      </c>
      <c r="AE3">
        <v>5.2462666666666666E-3</v>
      </c>
      <c r="AF3">
        <v>8.3499999999999998E-3</v>
      </c>
      <c r="AG3">
        <v>2.3249999999999998E-3</v>
      </c>
      <c r="AY3">
        <v>1.7900000000000001E-11</v>
      </c>
      <c r="AZ3">
        <v>2.07E-13</v>
      </c>
      <c r="BA3">
        <v>7.9000000000000004E-14</v>
      </c>
      <c r="BB3">
        <v>5.3900000000000003E-14</v>
      </c>
      <c r="BC3">
        <v>1.67E-13</v>
      </c>
      <c r="BD3">
        <v>4.6499999999999997E-14</v>
      </c>
      <c r="BR3">
        <v>1.4649000000000001E-2</v>
      </c>
      <c r="BS3">
        <v>1.9799999999999999E-4</v>
      </c>
    </row>
    <row r="4" spans="1:71" x14ac:dyDescent="0.3">
      <c r="A4" t="s">
        <v>0</v>
      </c>
      <c r="B4">
        <v>1.45</v>
      </c>
      <c r="C4">
        <v>29.543028275862067</v>
      </c>
      <c r="D4">
        <v>0.64648187586206896</v>
      </c>
      <c r="E4">
        <v>28.623853211009173</v>
      </c>
      <c r="F4">
        <v>447.21333419768501</v>
      </c>
      <c r="G4">
        <v>20.741813538197199</v>
      </c>
      <c r="H4">
        <v>42.837390999999997</v>
      </c>
      <c r="I4">
        <v>4.7399999999999997E-4</v>
      </c>
      <c r="J4">
        <v>17.286999999999999</v>
      </c>
      <c r="K4">
        <v>0.22500000000000001</v>
      </c>
      <c r="L4">
        <v>0.29153000000000001</v>
      </c>
      <c r="M4">
        <v>3.9050000000000001E-3</v>
      </c>
      <c r="N4">
        <v>12.436690647482013</v>
      </c>
      <c r="O4">
        <v>0.16187050359712232</v>
      </c>
      <c r="P4">
        <v>30.400700352517983</v>
      </c>
      <c r="Q4">
        <v>0.16234450359712232</v>
      </c>
      <c r="R4">
        <v>322.17074936636402</v>
      </c>
      <c r="S4">
        <v>14.8140987853222</v>
      </c>
      <c r="V4">
        <v>2014.1432210016601</v>
      </c>
      <c r="W4">
        <v>178.48554143274399</v>
      </c>
      <c r="X4">
        <v>1525.5754122528499</v>
      </c>
      <c r="Y4">
        <v>151.223473771448</v>
      </c>
      <c r="AB4">
        <v>0.64121379310344828</v>
      </c>
      <c r="AC4">
        <v>3.0827586206896549E-2</v>
      </c>
      <c r="AD4">
        <v>2.1950344827586208E-2</v>
      </c>
      <c r="AE4">
        <v>1.1579310344827586E-2</v>
      </c>
      <c r="AF4">
        <v>2.3379310344827587E-2</v>
      </c>
      <c r="AG4">
        <v>4.2206896551724143E-3</v>
      </c>
      <c r="AY4">
        <v>3.12E-12</v>
      </c>
      <c r="AZ4">
        <v>1.4999999999999999E-13</v>
      </c>
      <c r="BA4">
        <v>1.09E-13</v>
      </c>
      <c r="BB4">
        <v>5.7499999999999995E-14</v>
      </c>
      <c r="BC4">
        <v>2.26E-13</v>
      </c>
      <c r="BD4">
        <v>4.08E-14</v>
      </c>
      <c r="BR4">
        <v>1.7287E-2</v>
      </c>
      <c r="BS4">
        <v>2.2499999999999999E-4</v>
      </c>
    </row>
    <row r="5" spans="1:71" x14ac:dyDescent="0.3">
      <c r="A5" t="s">
        <v>13</v>
      </c>
      <c r="B5">
        <v>2.5299999999999998</v>
      </c>
      <c r="C5">
        <v>22.831151778656128</v>
      </c>
      <c r="D5">
        <v>0.12014229249011861</v>
      </c>
      <c r="F5">
        <v>1623.4498440842799</v>
      </c>
      <c r="G5">
        <v>153.23130229885999</v>
      </c>
      <c r="H5">
        <v>57.762813999999999</v>
      </c>
      <c r="I5">
        <v>6.7699999999999998E-4</v>
      </c>
      <c r="J5">
        <v>20.889000000000003</v>
      </c>
      <c r="K5">
        <v>0.247</v>
      </c>
      <c r="L5">
        <v>0.26193</v>
      </c>
      <c r="M5">
        <v>3.1960000000000001E-3</v>
      </c>
      <c r="N5">
        <v>15.028057553956836</v>
      </c>
      <c r="O5">
        <v>0.17769784172661868</v>
      </c>
      <c r="P5">
        <v>42.734756446043164</v>
      </c>
      <c r="Q5">
        <v>0.17837484172661869</v>
      </c>
      <c r="R5">
        <v>1256.60565182961</v>
      </c>
      <c r="S5">
        <v>124.261832394518</v>
      </c>
      <c r="V5">
        <v>1637.2166884850001</v>
      </c>
      <c r="W5">
        <v>151.838751104035</v>
      </c>
      <c r="X5">
        <v>1266.6981993445099</v>
      </c>
      <c r="Y5">
        <v>125.92844677385099</v>
      </c>
      <c r="AB5">
        <v>0.12014229249011861</v>
      </c>
      <c r="AC5">
        <v>1.3663241106719371E-2</v>
      </c>
      <c r="AD5">
        <v>0</v>
      </c>
      <c r="AE5">
        <v>0</v>
      </c>
      <c r="AF5">
        <v>0.90711462450592906</v>
      </c>
      <c r="AG5">
        <v>3.5217391304347832E-2</v>
      </c>
      <c r="AY5">
        <v>1.0200000000000001E-12</v>
      </c>
      <c r="AZ5">
        <v>1.1600000000000001E-13</v>
      </c>
      <c r="BA5">
        <v>0</v>
      </c>
      <c r="BB5">
        <v>0</v>
      </c>
      <c r="BC5">
        <v>1.5300000000000001E-11</v>
      </c>
      <c r="BD5">
        <v>5.9399999999999999E-13</v>
      </c>
      <c r="BR5">
        <v>2.0889000000000001E-2</v>
      </c>
      <c r="BS5">
        <v>2.4699999999999999E-4</v>
      </c>
    </row>
    <row r="6" spans="1:71" x14ac:dyDescent="0.3">
      <c r="A6" t="s">
        <v>14</v>
      </c>
      <c r="B6">
        <v>1.93</v>
      </c>
      <c r="C6">
        <v>28.567412435233162</v>
      </c>
      <c r="D6">
        <v>0.99884791709844578</v>
      </c>
      <c r="E6">
        <v>79.629629629629633</v>
      </c>
      <c r="F6">
        <v>284.80176746771201</v>
      </c>
      <c r="G6">
        <v>5.6346093284704502</v>
      </c>
      <c r="H6">
        <v>55.135106</v>
      </c>
      <c r="I6">
        <v>6.5200000000000002E-4</v>
      </c>
      <c r="J6">
        <v>16.968</v>
      </c>
      <c r="K6">
        <v>0.21099999999999999</v>
      </c>
      <c r="L6">
        <v>0.22287899999999999</v>
      </c>
      <c r="M6">
        <v>2.8500000000000001E-3</v>
      </c>
      <c r="N6">
        <v>12.207194244604317</v>
      </c>
      <c r="O6">
        <v>0.15179856115107912</v>
      </c>
      <c r="P6">
        <v>42.927911755395684</v>
      </c>
      <c r="Q6">
        <v>0.15245056115107913</v>
      </c>
      <c r="R6">
        <v>223.21356370317801</v>
      </c>
      <c r="S6">
        <v>4.6113425811836901</v>
      </c>
      <c r="V6">
        <v>1961.3914662264399</v>
      </c>
      <c r="W6">
        <v>175.70437603136301</v>
      </c>
      <c r="X6">
        <v>1603.35856120634</v>
      </c>
      <c r="Y6">
        <v>151.505481970434</v>
      </c>
      <c r="AB6">
        <v>0.99590673575129551</v>
      </c>
      <c r="AC6">
        <v>2.0226943005181346E-2</v>
      </c>
      <c r="AD6">
        <v>1.2254922279792746E-2</v>
      </c>
      <c r="AE6">
        <v>7.6404145077720205E-3</v>
      </c>
      <c r="AF6">
        <v>2.1994818652849742E-2</v>
      </c>
      <c r="AG6">
        <v>4.686528497409327E-3</v>
      </c>
      <c r="AY6">
        <v>6.4500000000000002E-12</v>
      </c>
      <c r="AZ6">
        <v>1.31E-13</v>
      </c>
      <c r="BA6">
        <v>8.0999999999999996E-14</v>
      </c>
      <c r="BB6">
        <v>5.0499999999999999E-14</v>
      </c>
      <c r="BC6">
        <v>2.8300000000000001E-13</v>
      </c>
      <c r="BD6">
        <v>6.0300000000000006E-14</v>
      </c>
      <c r="BR6">
        <v>1.6968E-2</v>
      </c>
      <c r="BS6">
        <v>2.1100000000000001E-4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5C79-E30C-4E2B-B23A-0D7B2A66F3DE}">
  <dimension ref="A1:BU3"/>
  <sheetViews>
    <sheetView workbookViewId="0">
      <selection sqref="A1:XFD1"/>
    </sheetView>
  </sheetViews>
  <sheetFormatPr defaultRowHeight="14.4" x14ac:dyDescent="0.3"/>
  <sheetData>
    <row r="1" spans="1:73" x14ac:dyDescent="0.3">
      <c r="A1" t="s">
        <v>29</v>
      </c>
      <c r="B1" t="s">
        <v>21</v>
      </c>
      <c r="C1" t="s">
        <v>119</v>
      </c>
      <c r="D1" t="s">
        <v>120</v>
      </c>
      <c r="E1" t="s">
        <v>116</v>
      </c>
      <c r="F1" t="s">
        <v>121</v>
      </c>
      <c r="G1" t="s">
        <v>88</v>
      </c>
      <c r="H1" t="s">
        <v>122</v>
      </c>
      <c r="I1" t="s">
        <v>88</v>
      </c>
      <c r="J1" t="s">
        <v>117</v>
      </c>
      <c r="K1" t="s">
        <v>88</v>
      </c>
      <c r="L1" t="s">
        <v>86</v>
      </c>
      <c r="M1" t="s">
        <v>88</v>
      </c>
      <c r="N1" t="s">
        <v>91</v>
      </c>
      <c r="O1" t="s">
        <v>88</v>
      </c>
      <c r="P1" t="s">
        <v>90</v>
      </c>
      <c r="Q1" t="s">
        <v>88</v>
      </c>
      <c r="R1" t="s">
        <v>123</v>
      </c>
      <c r="S1" t="s">
        <v>88</v>
      </c>
      <c r="T1" t="s">
        <v>118</v>
      </c>
      <c r="U1" t="s">
        <v>88</v>
      </c>
      <c r="V1" t="s">
        <v>92</v>
      </c>
      <c r="W1" t="s">
        <v>88</v>
      </c>
      <c r="X1" t="s">
        <v>93</v>
      </c>
      <c r="Y1" t="s">
        <v>88</v>
      </c>
      <c r="Z1" t="s">
        <v>94</v>
      </c>
      <c r="AA1" t="s">
        <v>88</v>
      </c>
      <c r="AB1" t="s">
        <v>18</v>
      </c>
      <c r="AC1" t="s">
        <v>88</v>
      </c>
      <c r="AD1" t="s">
        <v>19</v>
      </c>
      <c r="AE1" t="s">
        <v>88</v>
      </c>
      <c r="AF1" t="s">
        <v>20</v>
      </c>
      <c r="AG1" t="s">
        <v>88</v>
      </c>
      <c r="AH1" t="s">
        <v>61</v>
      </c>
      <c r="AI1" t="s">
        <v>88</v>
      </c>
      <c r="AJ1" t="s">
        <v>62</v>
      </c>
      <c r="AK1" t="s">
        <v>88</v>
      </c>
      <c r="AL1" t="s">
        <v>63</v>
      </c>
      <c r="AM1" t="s">
        <v>88</v>
      </c>
      <c r="AN1" t="s">
        <v>64</v>
      </c>
      <c r="AO1" t="s">
        <v>88</v>
      </c>
      <c r="AP1" t="s">
        <v>65</v>
      </c>
      <c r="AQ1" t="s">
        <v>88</v>
      </c>
      <c r="AR1" t="s">
        <v>81</v>
      </c>
      <c r="AS1" t="s">
        <v>88</v>
      </c>
      <c r="AT1" t="s">
        <v>82</v>
      </c>
      <c r="AU1" t="s">
        <v>125</v>
      </c>
      <c r="AV1" t="s">
        <v>88</v>
      </c>
      <c r="AW1" t="s">
        <v>127</v>
      </c>
      <c r="AX1" t="s">
        <v>124</v>
      </c>
      <c r="AY1" t="s">
        <v>15</v>
      </c>
      <c r="AZ1" t="s">
        <v>88</v>
      </c>
      <c r="BA1" t="s">
        <v>16</v>
      </c>
      <c r="BB1" t="s">
        <v>88</v>
      </c>
      <c r="BC1" t="s">
        <v>17</v>
      </c>
      <c r="BD1" t="s">
        <v>88</v>
      </c>
      <c r="BE1" t="s">
        <v>55</v>
      </c>
      <c r="BF1" t="s">
        <v>88</v>
      </c>
      <c r="BG1" t="s">
        <v>56</v>
      </c>
      <c r="BH1" t="s">
        <v>88</v>
      </c>
      <c r="BI1" t="s">
        <v>57</v>
      </c>
      <c r="BJ1" t="s">
        <v>88</v>
      </c>
      <c r="BK1" t="s">
        <v>58</v>
      </c>
      <c r="BL1" t="s">
        <v>88</v>
      </c>
      <c r="BM1" t="s">
        <v>59</v>
      </c>
      <c r="BN1" t="s">
        <v>88</v>
      </c>
      <c r="BO1" t="s">
        <v>60</v>
      </c>
      <c r="BP1" t="s">
        <v>88</v>
      </c>
      <c r="BR1" t="s">
        <v>87</v>
      </c>
      <c r="BS1" t="s">
        <v>88</v>
      </c>
    </row>
    <row r="2" spans="1:73" x14ac:dyDescent="0.3">
      <c r="A2" t="s">
        <v>41</v>
      </c>
      <c r="B2">
        <v>1.4</v>
      </c>
      <c r="C2">
        <v>54.862585000000003</v>
      </c>
      <c r="D2">
        <v>3.2509234285714288</v>
      </c>
      <c r="E2">
        <v>12.931034482758621</v>
      </c>
      <c r="F2">
        <v>170.02228008159901</v>
      </c>
      <c r="G2">
        <v>1.92817511316835</v>
      </c>
      <c r="H2">
        <v>76.807619000000003</v>
      </c>
      <c r="I2">
        <v>7.5299999999999998E-4</v>
      </c>
      <c r="J2">
        <v>0.83799999999999997</v>
      </c>
      <c r="K2">
        <v>3.6000000000000004E-2</v>
      </c>
      <c r="L2">
        <v>0.59857142857142853</v>
      </c>
      <c r="N2">
        <v>7.2820000000000003E-3</v>
      </c>
      <c r="O2">
        <v>5.31E-4</v>
      </c>
      <c r="P2">
        <v>0.60287769784172662</v>
      </c>
      <c r="Q2">
        <v>2.5899280575539571E-2</v>
      </c>
      <c r="R2">
        <v>76.204741302158283</v>
      </c>
      <c r="S2">
        <v>2.6652280575539571E-2</v>
      </c>
      <c r="T2">
        <v>168.73299453566401</v>
      </c>
      <c r="U2">
        <v>1.9365507633877399</v>
      </c>
      <c r="V2">
        <v>0.65630500000000003</v>
      </c>
      <c r="W2">
        <v>4.0682000000000003E-2</v>
      </c>
      <c r="X2">
        <v>0.9185937907554057</v>
      </c>
      <c r="Y2">
        <v>6.9278228937949923E-2</v>
      </c>
      <c r="Z2">
        <v>75.889025209244593</v>
      </c>
      <c r="AA2">
        <v>7.0031228937949927E-2</v>
      </c>
      <c r="AD2">
        <v>3.1928571428571431</v>
      </c>
      <c r="AE2">
        <v>3.3631428571428576E-2</v>
      </c>
      <c r="AF2">
        <v>0.24194285714285713</v>
      </c>
      <c r="AG2">
        <v>7.0288571428571436E-2</v>
      </c>
      <c r="AH2">
        <v>0.21107142857142855</v>
      </c>
      <c r="AI2">
        <v>3.7821428571428568E-2</v>
      </c>
      <c r="AJ2">
        <v>32.172008247904984</v>
      </c>
      <c r="AK2">
        <v>10.034876219271249</v>
      </c>
      <c r="AL2">
        <v>0</v>
      </c>
      <c r="AM2">
        <v>0</v>
      </c>
      <c r="AN2">
        <v>1.8241167498679256</v>
      </c>
      <c r="AO2">
        <v>1.1314014893648388</v>
      </c>
      <c r="AP2">
        <v>10.225126542942341</v>
      </c>
      <c r="AQ2">
        <v>1.7160059186465759</v>
      </c>
      <c r="AR2">
        <v>35.806627980041895</v>
      </c>
      <c r="AS2">
        <v>0.73585452867804713</v>
      </c>
      <c r="BA2">
        <v>1.5E-11</v>
      </c>
      <c r="BB2">
        <v>1.5800000000000001E-13</v>
      </c>
      <c r="BC2">
        <v>1.1599999999999999E-12</v>
      </c>
      <c r="BD2">
        <v>3.3699999999999998E-13</v>
      </c>
      <c r="BE2">
        <v>1.9699999999999999E-12</v>
      </c>
      <c r="BF2">
        <v>3.5300000000000001E-13</v>
      </c>
      <c r="BG2">
        <v>0</v>
      </c>
      <c r="BH2">
        <v>0</v>
      </c>
      <c r="BI2">
        <v>7.0874605109468104E-10</v>
      </c>
      <c r="BJ2">
        <v>2.2106729672666799E-10</v>
      </c>
      <c r="BK2">
        <v>0</v>
      </c>
      <c r="BL2">
        <v>0</v>
      </c>
      <c r="BM2">
        <v>2.79956528153376E-11</v>
      </c>
      <c r="BN2">
        <v>1.7364197381174899E-11</v>
      </c>
      <c r="BO2">
        <v>1.3270767739055601E-10</v>
      </c>
      <c r="BP2">
        <v>2.2271329249144399E-11</v>
      </c>
      <c r="BQ2">
        <v>4.1170564366013998E-10</v>
      </c>
      <c r="BR2">
        <v>8.4608766438014602E-12</v>
      </c>
      <c r="BT2">
        <v>8.3799999999999999E-4</v>
      </c>
      <c r="BU2">
        <v>3.6000000000000001E-5</v>
      </c>
    </row>
    <row r="3" spans="1:73" x14ac:dyDescent="0.3">
      <c r="A3" t="s">
        <v>42</v>
      </c>
      <c r="B3">
        <v>1.03</v>
      </c>
      <c r="C3">
        <v>96.988350485436882</v>
      </c>
      <c r="D3">
        <v>5.4009388737864086</v>
      </c>
      <c r="E3">
        <v>25.946704067321178</v>
      </c>
      <c r="F3">
        <v>180.74151810790701</v>
      </c>
      <c r="G3">
        <v>2.7851889440616899</v>
      </c>
      <c r="H3">
        <v>99.898000999999994</v>
      </c>
      <c r="I3">
        <v>7.4100000000000001E-4</v>
      </c>
      <c r="J3">
        <v>1.077</v>
      </c>
      <c r="K3">
        <v>6.0000000000000005E-2</v>
      </c>
      <c r="L3">
        <v>1.0456310679611649</v>
      </c>
      <c r="N3">
        <v>7.4009999999999996E-3</v>
      </c>
      <c r="O3">
        <v>4.2400000000000001E-4</v>
      </c>
      <c r="P3">
        <v>0.77482014388489207</v>
      </c>
      <c r="Q3">
        <v>4.3165467625899283E-2</v>
      </c>
      <c r="R3">
        <v>99.123180856115098</v>
      </c>
      <c r="S3">
        <v>4.3906467625899281E-2</v>
      </c>
      <c r="T3">
        <v>179.28749808113199</v>
      </c>
      <c r="U3">
        <v>2.8232068943762898</v>
      </c>
      <c r="V3">
        <v>0.65630500000000003</v>
      </c>
      <c r="W3">
        <v>4.0682000000000003E-2</v>
      </c>
      <c r="X3">
        <v>1.1805793706963867</v>
      </c>
      <c r="Y3">
        <v>9.8392313624479436E-2</v>
      </c>
      <c r="Z3">
        <v>98.717421629303601</v>
      </c>
      <c r="AA3">
        <v>9.9133313624479441E-2</v>
      </c>
      <c r="AD3">
        <v>5.3524271844660198</v>
      </c>
      <c r="AE3">
        <v>8.4481553398058254E-2</v>
      </c>
      <c r="AF3">
        <v>0.20213203883495146</v>
      </c>
      <c r="AG3">
        <v>5.9533980582524265E-2</v>
      </c>
      <c r="AH3">
        <v>0.34223300970873777</v>
      </c>
      <c r="AI3">
        <v>8.5776699029126199E-2</v>
      </c>
      <c r="AJ3">
        <v>0</v>
      </c>
      <c r="AK3">
        <v>0</v>
      </c>
      <c r="AL3">
        <v>0</v>
      </c>
      <c r="AM3">
        <v>0</v>
      </c>
      <c r="AN3">
        <v>5.7980682946369884</v>
      </c>
      <c r="AO3">
        <v>1.5621287849520225</v>
      </c>
      <c r="AP3">
        <v>0</v>
      </c>
      <c r="AQ3">
        <v>0</v>
      </c>
      <c r="AR3">
        <v>30.633464883643473</v>
      </c>
      <c r="AS3">
        <v>0.70732450406360203</v>
      </c>
      <c r="BA3">
        <v>1.8500000000000001E-11</v>
      </c>
      <c r="BB3">
        <v>2.9200000000000002E-13</v>
      </c>
      <c r="BC3">
        <v>7.1299999999999999E-13</v>
      </c>
      <c r="BD3">
        <v>2.0999999999999999E-13</v>
      </c>
      <c r="BE3">
        <v>2.3499999999999999E-12</v>
      </c>
      <c r="BF3">
        <v>5.8900000000000001E-13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6.5468212491516106E-11</v>
      </c>
      <c r="BN3">
        <v>1.7638595138133999E-11</v>
      </c>
      <c r="BO3">
        <v>0</v>
      </c>
      <c r="BP3">
        <v>0</v>
      </c>
      <c r="BQ3">
        <v>2.59136570549875E-10</v>
      </c>
      <c r="BR3">
        <v>5.9834448027719296E-12</v>
      </c>
      <c r="BT3">
        <v>1.077E-3</v>
      </c>
      <c r="BU3">
        <v>6.0000000000000002E-5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EE37-3E6F-4C4C-AC86-A53D2425B298}">
  <dimension ref="A1:BZ16"/>
  <sheetViews>
    <sheetView tabSelected="1" workbookViewId="0">
      <selection activeCell="L18" sqref="L18"/>
    </sheetView>
  </sheetViews>
  <sheetFormatPr defaultRowHeight="14.4" x14ac:dyDescent="0.3"/>
  <sheetData>
    <row r="1" spans="1:78" ht="72" x14ac:dyDescent="0.3">
      <c r="A1" s="30" t="s">
        <v>29</v>
      </c>
      <c r="B1" s="31" t="s">
        <v>21</v>
      </c>
      <c r="C1" s="31" t="s">
        <v>119</v>
      </c>
      <c r="D1" s="31" t="s">
        <v>120</v>
      </c>
      <c r="E1" s="31" t="s">
        <v>116</v>
      </c>
      <c r="F1" s="32" t="s">
        <v>121</v>
      </c>
      <c r="G1" s="33" t="s">
        <v>88</v>
      </c>
      <c r="H1" s="34" t="s">
        <v>122</v>
      </c>
      <c r="I1" s="35" t="s">
        <v>88</v>
      </c>
      <c r="J1" s="31" t="s">
        <v>117</v>
      </c>
      <c r="K1" s="35" t="s">
        <v>88</v>
      </c>
      <c r="L1" s="35"/>
      <c r="M1" s="35"/>
      <c r="N1" s="36" t="s">
        <v>86</v>
      </c>
      <c r="O1" s="37" t="s">
        <v>88</v>
      </c>
      <c r="P1" s="33" t="s">
        <v>91</v>
      </c>
      <c r="Q1" s="33" t="s">
        <v>88</v>
      </c>
      <c r="R1" s="33" t="s">
        <v>90</v>
      </c>
      <c r="S1" s="33" t="s">
        <v>88</v>
      </c>
      <c r="T1" s="38" t="s">
        <v>123</v>
      </c>
      <c r="U1" s="39" t="s">
        <v>88</v>
      </c>
      <c r="V1" s="31" t="s">
        <v>118</v>
      </c>
      <c r="W1" s="33" t="s">
        <v>88</v>
      </c>
      <c r="X1" s="33" t="s">
        <v>92</v>
      </c>
      <c r="Y1" s="33" t="s">
        <v>88</v>
      </c>
      <c r="Z1" s="33" t="s">
        <v>93</v>
      </c>
      <c r="AA1" s="33" t="s">
        <v>88</v>
      </c>
      <c r="AB1" s="38" t="s">
        <v>94</v>
      </c>
      <c r="AC1" s="39" t="s">
        <v>88</v>
      </c>
      <c r="AD1" s="31" t="s">
        <v>18</v>
      </c>
      <c r="AE1" s="33" t="s">
        <v>88</v>
      </c>
      <c r="AF1" s="31" t="s">
        <v>19</v>
      </c>
      <c r="AG1" s="33" t="s">
        <v>88</v>
      </c>
      <c r="AH1" s="31" t="s">
        <v>20</v>
      </c>
      <c r="AI1" s="33" t="s">
        <v>88</v>
      </c>
      <c r="AJ1" s="31" t="s">
        <v>61</v>
      </c>
      <c r="AK1" s="33" t="s">
        <v>88</v>
      </c>
      <c r="AL1" s="31" t="s">
        <v>62</v>
      </c>
      <c r="AM1" s="33" t="s">
        <v>88</v>
      </c>
      <c r="AN1" s="31" t="s">
        <v>63</v>
      </c>
      <c r="AO1" s="33" t="s">
        <v>88</v>
      </c>
      <c r="AP1" s="31" t="s">
        <v>64</v>
      </c>
      <c r="AQ1" s="33" t="s">
        <v>88</v>
      </c>
      <c r="AR1" s="31" t="s">
        <v>65</v>
      </c>
      <c r="AS1" s="39" t="s">
        <v>88</v>
      </c>
      <c r="AT1" s="33"/>
      <c r="AU1" s="31" t="s">
        <v>81</v>
      </c>
      <c r="AV1" s="33" t="s">
        <v>88</v>
      </c>
      <c r="AW1" s="31" t="s">
        <v>82</v>
      </c>
      <c r="AX1" s="94" t="s">
        <v>125</v>
      </c>
      <c r="AY1" s="33" t="s">
        <v>88</v>
      </c>
      <c r="AZ1" s="33" t="s">
        <v>127</v>
      </c>
      <c r="BA1" s="33" t="s">
        <v>124</v>
      </c>
      <c r="BB1" s="40" t="s">
        <v>15</v>
      </c>
      <c r="BC1" s="33" t="s">
        <v>88</v>
      </c>
      <c r="BD1" s="40" t="s">
        <v>16</v>
      </c>
      <c r="BE1" s="33" t="s">
        <v>88</v>
      </c>
      <c r="BF1" s="40" t="s">
        <v>17</v>
      </c>
      <c r="BG1" s="33" t="s">
        <v>88</v>
      </c>
      <c r="BH1" s="40" t="s">
        <v>55</v>
      </c>
      <c r="BI1" s="33" t="s">
        <v>88</v>
      </c>
      <c r="BJ1" s="40" t="s">
        <v>56</v>
      </c>
      <c r="BK1" s="33" t="s">
        <v>88</v>
      </c>
      <c r="BL1" s="40" t="s">
        <v>57</v>
      </c>
      <c r="BM1" s="33" t="s">
        <v>88</v>
      </c>
      <c r="BN1" s="40" t="s">
        <v>58</v>
      </c>
      <c r="BO1" s="33" t="s">
        <v>88</v>
      </c>
      <c r="BP1" s="40" t="s">
        <v>59</v>
      </c>
      <c r="BQ1" s="33" t="s">
        <v>88</v>
      </c>
      <c r="BR1" s="40" t="s">
        <v>60</v>
      </c>
      <c r="BS1" s="39" t="s">
        <v>88</v>
      </c>
    </row>
    <row r="2" spans="1:78" x14ac:dyDescent="0.3">
      <c r="A2" t="s">
        <v>5</v>
      </c>
      <c r="B2">
        <v>0.81</v>
      </c>
      <c r="C2">
        <v>174.60748888888887</v>
      </c>
      <c r="D2">
        <v>56.83525925925926</v>
      </c>
      <c r="E2">
        <v>5.2513966480446927E-2</v>
      </c>
      <c r="F2">
        <v>31.844800707311599</v>
      </c>
      <c r="G2">
        <v>0.51270075599926901</v>
      </c>
      <c r="H2">
        <v>141.43206599999999</v>
      </c>
      <c r="I2">
        <v>1.4959999999999999E-3</v>
      </c>
      <c r="J2">
        <v>0.70399999999999996</v>
      </c>
      <c r="K2">
        <v>3.7999999999999999E-2</v>
      </c>
      <c r="L2">
        <v>0.86913580246913569</v>
      </c>
      <c r="N2">
        <v>3.5400000000000002E-3</v>
      </c>
      <c r="O2">
        <v>2.52E-4</v>
      </c>
      <c r="P2">
        <v>0.5064748201438849</v>
      </c>
      <c r="Q2">
        <v>2.7338129496402873E-2</v>
      </c>
      <c r="R2">
        <v>140.9255911798561</v>
      </c>
      <c r="S2">
        <v>2.8834129496402874E-2</v>
      </c>
      <c r="T2">
        <v>31.749468046359102</v>
      </c>
      <c r="U2">
        <v>0.51219405523565897</v>
      </c>
      <c r="AD2">
        <v>10.374814814814815</v>
      </c>
      <c r="AE2">
        <v>0.10448395061728394</v>
      </c>
      <c r="AF2">
        <v>193.58518518518517</v>
      </c>
      <c r="AG2">
        <v>3.7851851851851852</v>
      </c>
      <c r="AH2">
        <v>25</v>
      </c>
      <c r="AI2">
        <v>0.9092592592592591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BB2">
        <v>2.82E-11</v>
      </c>
      <c r="BC2">
        <v>2.84E-13</v>
      </c>
      <c r="BD2">
        <v>5.3700000000000001E-10</v>
      </c>
      <c r="BE2">
        <v>1.0499999999999999E-11</v>
      </c>
      <c r="BF2">
        <v>1.35E-10</v>
      </c>
      <c r="BG2">
        <v>4.9099999999999999E-12</v>
      </c>
      <c r="BU2">
        <v>7.0399999999999998E-4</v>
      </c>
      <c r="BV2">
        <v>3.8000000000000002E-5</v>
      </c>
      <c r="BY2">
        <v>0</v>
      </c>
      <c r="BZ2">
        <v>32.1</v>
      </c>
    </row>
    <row r="3" spans="1:78" x14ac:dyDescent="0.3">
      <c r="A3" t="s">
        <v>6</v>
      </c>
      <c r="B3">
        <v>0.82</v>
      </c>
      <c r="C3">
        <v>221.01667804878051</v>
      </c>
      <c r="D3">
        <v>60.313073170731705</v>
      </c>
      <c r="E3">
        <v>5.1468048359240078E-2</v>
      </c>
      <c r="F3">
        <v>38.001131647450102</v>
      </c>
      <c r="G3">
        <v>0.63295131432045504</v>
      </c>
      <c r="H3">
        <v>181.233676</v>
      </c>
      <c r="I3">
        <v>1.6169999999999999E-3</v>
      </c>
      <c r="J3">
        <v>7.86</v>
      </c>
      <c r="K3">
        <v>0.14699999999999999</v>
      </c>
      <c r="L3">
        <v>9.5853658536585371</v>
      </c>
      <c r="N3">
        <v>3.1115E-2</v>
      </c>
      <c r="O3">
        <v>6.2E-4</v>
      </c>
      <c r="P3">
        <v>5.6546762589928061</v>
      </c>
      <c r="Q3">
        <v>0.10575539568345323</v>
      </c>
      <c r="R3">
        <v>175.57899974100721</v>
      </c>
      <c r="S3">
        <v>0.10737239568345322</v>
      </c>
      <c r="T3">
        <v>36.807998968208402</v>
      </c>
      <c r="U3">
        <v>0.58897771096037999</v>
      </c>
      <c r="AD3">
        <v>10.829756097560976</v>
      </c>
      <c r="AE3">
        <v>0.12719512195121951</v>
      </c>
      <c r="AF3">
        <v>206.18048780487806</v>
      </c>
      <c r="AG3">
        <v>4.0951219512195127</v>
      </c>
      <c r="AH3">
        <v>24.512195121951219</v>
      </c>
      <c r="AI3">
        <v>0.74268292682926829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BB3">
        <v>2.9800000000000003E-11</v>
      </c>
      <c r="BC3">
        <v>3.5000000000000002E-13</v>
      </c>
      <c r="BD3">
        <v>5.7899999999999997E-10</v>
      </c>
      <c r="BE3">
        <v>1.1500000000000001E-11</v>
      </c>
      <c r="BF3">
        <v>1.34E-10</v>
      </c>
      <c r="BG3">
        <v>4.0600000000000001E-12</v>
      </c>
      <c r="BU3">
        <v>7.8600000000000007E-3</v>
      </c>
      <c r="BV3">
        <v>1.47E-4</v>
      </c>
      <c r="BY3">
        <v>20</v>
      </c>
      <c r="BZ3">
        <v>32.1</v>
      </c>
    </row>
    <row r="4" spans="1:78" x14ac:dyDescent="0.3">
      <c r="A4" t="s">
        <v>7</v>
      </c>
      <c r="B4">
        <v>0.31</v>
      </c>
      <c r="C4">
        <v>262.8959741935484</v>
      </c>
      <c r="D4">
        <v>77.925548387096782</v>
      </c>
      <c r="E4">
        <v>4.5328719723183392E-2</v>
      </c>
      <c r="F4">
        <v>35.007624999305897</v>
      </c>
      <c r="G4">
        <v>0.517057498317681</v>
      </c>
      <c r="H4">
        <v>81.497752000000006</v>
      </c>
      <c r="I4">
        <v>7.4299999999999995E-4</v>
      </c>
      <c r="J4">
        <v>18.221999999999998</v>
      </c>
      <c r="K4">
        <v>0.21000000000000002</v>
      </c>
      <c r="L4">
        <v>58.780645161290316</v>
      </c>
      <c r="N4">
        <v>0.161971</v>
      </c>
      <c r="O4">
        <v>1.9250000000000001E-3</v>
      </c>
      <c r="P4">
        <v>13.109352517985611</v>
      </c>
      <c r="Q4">
        <v>0.15107913669064749</v>
      </c>
      <c r="R4">
        <v>68.388399482014393</v>
      </c>
      <c r="S4">
        <v>0.15182213669064748</v>
      </c>
      <c r="T4">
        <v>29.3773351732831</v>
      </c>
      <c r="U4">
        <v>0.43675583906697402</v>
      </c>
      <c r="AD4">
        <v>12.592903225806451</v>
      </c>
      <c r="AE4">
        <v>0.18841290322580648</v>
      </c>
      <c r="AF4">
        <v>272.21935483870971</v>
      </c>
      <c r="AG4">
        <v>4.7096774193548381</v>
      </c>
      <c r="AH4">
        <v>31.499999999999996</v>
      </c>
      <c r="AI4">
        <v>1.1225806451612903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BB4">
        <v>1.31E-11</v>
      </c>
      <c r="BC4">
        <v>1.96E-13</v>
      </c>
      <c r="BD4">
        <v>2.8899999999999998E-10</v>
      </c>
      <c r="BE4">
        <v>4.9999999999999997E-12</v>
      </c>
      <c r="BF4">
        <v>6.51E-11</v>
      </c>
      <c r="BG4">
        <v>2.3199999999999998E-12</v>
      </c>
      <c r="BU4">
        <v>1.8221999999999999E-2</v>
      </c>
      <c r="BV4">
        <v>2.1000000000000001E-4</v>
      </c>
    </row>
    <row r="5" spans="1:78" x14ac:dyDescent="0.3">
      <c r="A5" t="s">
        <v>22</v>
      </c>
      <c r="B5">
        <v>0.3</v>
      </c>
      <c r="C5">
        <v>232.02436333333335</v>
      </c>
      <c r="D5">
        <v>67.978533333333345</v>
      </c>
      <c r="E5">
        <v>5.3586497890295355E-2</v>
      </c>
      <c r="F5">
        <v>35.347401040040097</v>
      </c>
      <c r="G5">
        <v>0.69347606563018704</v>
      </c>
      <c r="H5">
        <v>69.607309000000001</v>
      </c>
      <c r="I5">
        <v>7.5000000000000002E-4</v>
      </c>
      <c r="J5">
        <v>16.074000000000002</v>
      </c>
      <c r="K5">
        <v>0.20599999999999999</v>
      </c>
      <c r="L5">
        <v>53.580000000000005</v>
      </c>
      <c r="N5">
        <v>0.16732</v>
      </c>
      <c r="O5">
        <v>2.1979999999999999E-3</v>
      </c>
      <c r="P5">
        <v>11.564028776978418</v>
      </c>
      <c r="Q5">
        <v>0.14820143884892084</v>
      </c>
      <c r="R5">
        <v>58.043280223021583</v>
      </c>
      <c r="S5">
        <v>0.14895143884892084</v>
      </c>
      <c r="T5">
        <v>29.503375259339801</v>
      </c>
      <c r="U5">
        <v>0.586940176032546</v>
      </c>
      <c r="AD5">
        <v>12.615333333333336</v>
      </c>
      <c r="AE5">
        <v>0.21555333333333332</v>
      </c>
      <c r="AF5">
        <v>230.68000000000004</v>
      </c>
      <c r="AG5">
        <v>5.5285333333333346</v>
      </c>
      <c r="AH5">
        <v>71.500000000000014</v>
      </c>
      <c r="AI5">
        <v>1.9550000000000001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BB5">
        <v>1.27E-11</v>
      </c>
      <c r="BC5">
        <v>2.1700000000000001E-13</v>
      </c>
      <c r="BD5">
        <v>2.3700000000000001E-10</v>
      </c>
      <c r="BE5">
        <v>5.68E-12</v>
      </c>
      <c r="BF5">
        <v>1.43E-10</v>
      </c>
      <c r="BG5">
        <v>3.9100000000000001E-12</v>
      </c>
      <c r="BU5">
        <v>1.6074000000000001E-2</v>
      </c>
      <c r="BV5">
        <v>2.0599999999999999E-4</v>
      </c>
    </row>
    <row r="6" spans="1:78" x14ac:dyDescent="0.3">
      <c r="A6" t="s">
        <v>48</v>
      </c>
      <c r="B6">
        <v>0.53</v>
      </c>
      <c r="C6">
        <v>182.48061320754715</v>
      </c>
      <c r="D6">
        <v>59.818113207547171</v>
      </c>
      <c r="E6">
        <v>4.8533333333333331E-2</v>
      </c>
      <c r="F6">
        <v>31.5523779753436</v>
      </c>
      <c r="G6">
        <v>0.93678743749382998</v>
      </c>
      <c r="H6">
        <v>96.714725000000001</v>
      </c>
      <c r="I6">
        <v>9.1200000000000005E-4</v>
      </c>
      <c r="J6">
        <v>1.4690000000000001</v>
      </c>
      <c r="K6">
        <v>4.5999999999999999E-2</v>
      </c>
      <c r="L6">
        <v>2.7716981132075471</v>
      </c>
      <c r="N6">
        <v>1.0527E-2</v>
      </c>
      <c r="O6">
        <v>4.66E-4</v>
      </c>
      <c r="P6">
        <v>1.0568345323741006</v>
      </c>
      <c r="Q6">
        <v>3.3093525179856115E-2</v>
      </c>
      <c r="R6">
        <v>95.657890467625904</v>
      </c>
      <c r="S6">
        <v>3.4005525179856118E-2</v>
      </c>
      <c r="T6">
        <v>31.2294248369641</v>
      </c>
      <c r="U6">
        <v>0.91820802143809599</v>
      </c>
      <c r="AD6">
        <v>10.233207547169812</v>
      </c>
      <c r="AE6">
        <v>0.20466415094339624</v>
      </c>
      <c r="AF6">
        <v>206.60377358490567</v>
      </c>
      <c r="AG6">
        <v>7.3275471698113215</v>
      </c>
      <c r="AH6">
        <v>135.56603773584905</v>
      </c>
      <c r="AI6">
        <v>5.5754716981132084</v>
      </c>
      <c r="AJ6">
        <v>0</v>
      </c>
      <c r="AK6">
        <v>0</v>
      </c>
      <c r="AL6">
        <v>924.96978450491281</v>
      </c>
      <c r="AM6">
        <v>72.802008010001813</v>
      </c>
      <c r="AN6">
        <v>10.472151925578864</v>
      </c>
      <c r="AO6">
        <v>7.1749190508576222</v>
      </c>
      <c r="AP6">
        <v>118.07972303772755</v>
      </c>
      <c r="AQ6">
        <v>10.692958391083208</v>
      </c>
      <c r="AR6">
        <v>89.069173886560421</v>
      </c>
      <c r="AS6">
        <v>4.679266989285316</v>
      </c>
      <c r="BB6">
        <v>1.8199999999999999E-11</v>
      </c>
      <c r="BC6">
        <v>3.6400000000000001E-13</v>
      </c>
      <c r="BD6">
        <v>3.75E-10</v>
      </c>
      <c r="BE6">
        <v>1.33E-11</v>
      </c>
      <c r="BF6">
        <v>4.79E-10</v>
      </c>
      <c r="BG6">
        <v>1.97E-11</v>
      </c>
      <c r="BH6">
        <v>8.1895796953718493E-9</v>
      </c>
      <c r="BI6">
        <v>5.7089369951628196E-9</v>
      </c>
      <c r="BJ6">
        <v>0</v>
      </c>
      <c r="BK6">
        <v>0</v>
      </c>
      <c r="BL6">
        <v>6.5434328054939104E-9</v>
      </c>
      <c r="BM6">
        <v>5.1501687460359001E-10</v>
      </c>
      <c r="BN6">
        <v>6.0844557340021904E-11</v>
      </c>
      <c r="BO6">
        <v>4.1687207815770002E-11</v>
      </c>
      <c r="BP6">
        <v>5.8016365263739302E-10</v>
      </c>
      <c r="BQ6">
        <v>5.25379433324752E-11</v>
      </c>
      <c r="BR6">
        <v>3.8770254730516602E-10</v>
      </c>
      <c r="BS6">
        <v>2.0368031408682799E-11</v>
      </c>
      <c r="BU6">
        <v>1.469E-3</v>
      </c>
      <c r="BV6">
        <v>4.6E-5</v>
      </c>
    </row>
    <row r="7" spans="1:78" x14ac:dyDescent="0.3">
      <c r="A7" t="s">
        <v>49</v>
      </c>
      <c r="B7">
        <v>0.57999999999999996</v>
      </c>
      <c r="C7">
        <v>185.21732241379311</v>
      </c>
      <c r="D7">
        <v>58.981793103448268</v>
      </c>
      <c r="E7">
        <v>5.3266331658291449E-2</v>
      </c>
      <c r="F7">
        <v>32.4671459099971</v>
      </c>
      <c r="G7">
        <v>0.71303882794670803</v>
      </c>
      <c r="H7">
        <v>107.426047</v>
      </c>
      <c r="I7">
        <v>8.9999999999999998E-4</v>
      </c>
      <c r="J7">
        <v>1.4630000000000001</v>
      </c>
      <c r="K7">
        <v>5.6000000000000001E-2</v>
      </c>
      <c r="L7">
        <v>2.5224137931034485</v>
      </c>
      <c r="N7">
        <v>9.0089999999999996E-3</v>
      </c>
      <c r="O7">
        <v>4.3800000000000002E-4</v>
      </c>
      <c r="P7">
        <v>1.0525179856115108</v>
      </c>
      <c r="Q7">
        <v>4.0287769784172658E-2</v>
      </c>
      <c r="R7">
        <v>106.37352901438848</v>
      </c>
      <c r="S7">
        <v>4.1187769784172656E-2</v>
      </c>
      <c r="T7">
        <v>32.150753836987697</v>
      </c>
      <c r="U7">
        <v>0.69493845315597302</v>
      </c>
      <c r="AD7">
        <v>10.892413793103447</v>
      </c>
      <c r="AE7">
        <v>0.11611724137931036</v>
      </c>
      <c r="AF7">
        <v>200.37241379310345</v>
      </c>
      <c r="AG7">
        <v>5.3868965517241376</v>
      </c>
      <c r="AH7">
        <v>126.98275862068964</v>
      </c>
      <c r="AI7">
        <v>5.0172413793103443</v>
      </c>
      <c r="AJ7">
        <v>0</v>
      </c>
      <c r="AK7">
        <v>0</v>
      </c>
      <c r="AL7">
        <v>910.07070992856859</v>
      </c>
      <c r="AM7">
        <v>100.20164055346227</v>
      </c>
      <c r="AN7">
        <v>0</v>
      </c>
      <c r="AO7">
        <v>0</v>
      </c>
      <c r="AP7">
        <v>0</v>
      </c>
      <c r="AQ7">
        <v>0</v>
      </c>
      <c r="AR7">
        <v>26.324459926727396</v>
      </c>
      <c r="AS7">
        <v>2.8654630968746631</v>
      </c>
      <c r="BB7">
        <v>2.1199999999999999E-11</v>
      </c>
      <c r="BC7">
        <v>2.26E-13</v>
      </c>
      <c r="BD7">
        <v>3.9800000000000002E-10</v>
      </c>
      <c r="BE7">
        <v>1.0699999999999999E-11</v>
      </c>
      <c r="BF7">
        <v>4.9099999999999996E-10</v>
      </c>
      <c r="BG7">
        <v>1.9399999999999999E-11</v>
      </c>
      <c r="BH7">
        <v>0</v>
      </c>
      <c r="BI7">
        <v>0</v>
      </c>
      <c r="BJ7">
        <v>0</v>
      </c>
      <c r="BK7">
        <v>0</v>
      </c>
      <c r="BL7">
        <v>7.0453952450423102E-9</v>
      </c>
      <c r="BM7">
        <v>7.7572012174330103E-10</v>
      </c>
      <c r="BN7">
        <v>0</v>
      </c>
      <c r="BO7">
        <v>0</v>
      </c>
      <c r="BP7">
        <v>0</v>
      </c>
      <c r="BQ7">
        <v>0</v>
      </c>
      <c r="BR7">
        <v>1.25395751950574E-10</v>
      </c>
      <c r="BS7">
        <v>1.3649544975257101E-11</v>
      </c>
      <c r="BU7">
        <v>1.4630000000000001E-3</v>
      </c>
      <c r="BV7">
        <v>5.5999999999999999E-5</v>
      </c>
    </row>
    <row r="8" spans="1:78" x14ac:dyDescent="0.3">
      <c r="A8" t="s">
        <v>126</v>
      </c>
      <c r="B8">
        <v>0.79</v>
      </c>
      <c r="C8">
        <v>208.42180632911391</v>
      </c>
      <c r="D8">
        <v>65.493113924050618</v>
      </c>
      <c r="E8">
        <v>4.8529411764705883E-2</v>
      </c>
      <c r="F8">
        <v>32.949640807500799</v>
      </c>
      <c r="G8">
        <v>0.71734785843113302</v>
      </c>
      <c r="H8">
        <v>164.65322699999999</v>
      </c>
      <c r="I8">
        <v>1.485E-3</v>
      </c>
      <c r="J8">
        <v>1.5469999999999999</v>
      </c>
      <c r="K8">
        <v>6.6000000000000003E-2</v>
      </c>
      <c r="L8">
        <v>1.9582278481012656</v>
      </c>
      <c r="N8">
        <v>6.1460000000000004E-3</v>
      </c>
      <c r="O8">
        <v>2.9999999999999997E-4</v>
      </c>
      <c r="P8">
        <v>1.1129496402877697</v>
      </c>
      <c r="Q8">
        <v>4.7482014388489216E-2</v>
      </c>
      <c r="R8">
        <v>163.54027735971221</v>
      </c>
      <c r="S8">
        <v>4.8967014388489216E-2</v>
      </c>
      <c r="T8">
        <v>32.717220313176497</v>
      </c>
      <c r="U8">
        <v>0.68730643997001195</v>
      </c>
      <c r="AD8">
        <v>11.203291139240504</v>
      </c>
      <c r="AE8">
        <v>9.2040506329113925E-2</v>
      </c>
      <c r="AF8">
        <v>226.20759493670883</v>
      </c>
      <c r="AG8">
        <v>5.9508860759493674</v>
      </c>
      <c r="AH8">
        <v>120.18987341772153</v>
      </c>
      <c r="AI8">
        <v>4.386075949367088</v>
      </c>
      <c r="AJ8">
        <v>0</v>
      </c>
      <c r="AK8">
        <v>0</v>
      </c>
      <c r="AL8">
        <v>803.9199520417136</v>
      </c>
      <c r="AM8">
        <v>55.207907358253983</v>
      </c>
      <c r="AN8">
        <v>0</v>
      </c>
      <c r="AO8">
        <v>0</v>
      </c>
      <c r="AP8">
        <v>0</v>
      </c>
      <c r="AQ8">
        <v>0</v>
      </c>
      <c r="AR8">
        <v>49.443100381073187</v>
      </c>
      <c r="AS8">
        <v>1.012855885441583</v>
      </c>
      <c r="BB8">
        <v>2.9699999999999998E-11</v>
      </c>
      <c r="BC8">
        <v>2.4400000000000002E-13</v>
      </c>
      <c r="BD8">
        <v>6.1199999999999995E-10</v>
      </c>
      <c r="BE8">
        <v>1.6100000000000001E-11</v>
      </c>
      <c r="BF8">
        <v>6.3299999999999999E-10</v>
      </c>
      <c r="BG8">
        <v>2.31E-11</v>
      </c>
      <c r="BH8">
        <v>4.71451146857301E-8</v>
      </c>
      <c r="BI8">
        <v>5.7794272710377802E-9</v>
      </c>
      <c r="BJ8">
        <v>0</v>
      </c>
      <c r="BK8">
        <v>0</v>
      </c>
      <c r="BL8">
        <v>8.4769989603971401E-9</v>
      </c>
      <c r="BM8">
        <v>5.8214424470128999E-10</v>
      </c>
      <c r="BN8">
        <v>0</v>
      </c>
      <c r="BO8">
        <v>0</v>
      </c>
      <c r="BP8">
        <v>0</v>
      </c>
      <c r="BQ8">
        <v>0</v>
      </c>
      <c r="BR8">
        <v>3.2079541147378299E-10</v>
      </c>
      <c r="BS8">
        <v>6.5715846706541603E-12</v>
      </c>
      <c r="BU8">
        <v>1.547E-3</v>
      </c>
      <c r="BV8">
        <v>6.6000000000000005E-5</v>
      </c>
    </row>
    <row r="9" spans="1:78" x14ac:dyDescent="0.3">
      <c r="A9" t="s">
        <v>50</v>
      </c>
      <c r="B9">
        <v>0.93</v>
      </c>
      <c r="C9">
        <v>178.42045806451611</v>
      </c>
      <c r="D9">
        <v>57.073419354838705</v>
      </c>
      <c r="E9">
        <v>4.9361022364217251E-2</v>
      </c>
      <c r="F9">
        <v>32.348920111798698</v>
      </c>
      <c r="G9">
        <v>0.70944669937474403</v>
      </c>
      <c r="H9">
        <v>165.931026</v>
      </c>
      <c r="I9">
        <v>1.565E-3</v>
      </c>
      <c r="J9">
        <v>0.80599999999999994</v>
      </c>
      <c r="K9">
        <v>5.2999999999999999E-2</v>
      </c>
      <c r="L9">
        <v>0.86666666666666659</v>
      </c>
      <c r="N9">
        <v>2.8189999999999999E-3</v>
      </c>
      <c r="O9">
        <v>2.5399999999999999E-4</v>
      </c>
      <c r="P9">
        <v>0.57985611510791368</v>
      </c>
      <c r="Q9">
        <v>3.8129496402877695E-2</v>
      </c>
      <c r="R9">
        <v>165.3511698848921</v>
      </c>
      <c r="S9">
        <v>3.9694496402877692E-2</v>
      </c>
      <c r="T9">
        <v>32.211123406717597</v>
      </c>
      <c r="U9">
        <v>0.67845513946128999</v>
      </c>
      <c r="V9">
        <v>0.65630500000000003</v>
      </c>
      <c r="W9">
        <v>4.0682000000000003E-2</v>
      </c>
      <c r="X9">
        <v>0.88351622356665516</v>
      </c>
      <c r="Y9">
        <v>7.9841111184524943E-2</v>
      </c>
      <c r="Z9">
        <v>165.04750977643334</v>
      </c>
      <c r="AA9">
        <v>8.140611118452494E-2</v>
      </c>
      <c r="AB9">
        <v>32.169731094403701</v>
      </c>
      <c r="AC9">
        <v>0.68399138250992797</v>
      </c>
      <c r="AD9">
        <v>9.9012903225806443</v>
      </c>
      <c r="AE9">
        <v>0.1067032258064516</v>
      </c>
      <c r="AF9">
        <v>196.55053763440861</v>
      </c>
      <c r="AG9">
        <v>5.1178494623655908</v>
      </c>
      <c r="AH9">
        <v>133.06451612903226</v>
      </c>
      <c r="AI9">
        <v>4.774193548387097</v>
      </c>
      <c r="AJ9">
        <v>0</v>
      </c>
      <c r="AK9">
        <v>0</v>
      </c>
      <c r="AL9">
        <v>787.88099836394179</v>
      </c>
      <c r="AM9">
        <v>50.755151960221781</v>
      </c>
      <c r="AN9">
        <v>0</v>
      </c>
      <c r="AO9">
        <v>0</v>
      </c>
      <c r="AP9">
        <v>1.7880336680495745</v>
      </c>
      <c r="AQ9">
        <v>1.4191035121146633</v>
      </c>
      <c r="AR9">
        <v>28.711062540916217</v>
      </c>
      <c r="AS9">
        <v>0.83128692257114023</v>
      </c>
      <c r="BB9">
        <v>3.0899999999999998E-11</v>
      </c>
      <c r="BC9">
        <v>3.3299999999999999E-13</v>
      </c>
      <c r="BD9">
        <v>6.2600000000000001E-10</v>
      </c>
      <c r="BE9">
        <v>1.6300000000000001E-11</v>
      </c>
      <c r="BF9">
        <v>8.2500000000000005E-10</v>
      </c>
      <c r="BG9">
        <v>2.96E-11</v>
      </c>
      <c r="BH9">
        <v>0</v>
      </c>
      <c r="BI9">
        <v>0</v>
      </c>
      <c r="BJ9">
        <v>0</v>
      </c>
      <c r="BK9">
        <v>0</v>
      </c>
      <c r="BL9">
        <v>9.7801565466960206E-9</v>
      </c>
      <c r="BM9">
        <v>6.3003592262421597E-10</v>
      </c>
      <c r="BN9">
        <v>0</v>
      </c>
      <c r="BO9">
        <v>0</v>
      </c>
      <c r="BP9">
        <v>1.54155122952267E-11</v>
      </c>
      <c r="BQ9">
        <v>1.2234785077098701E-11</v>
      </c>
      <c r="BR9">
        <v>2.19294416582228E-10</v>
      </c>
      <c r="BS9">
        <v>6.3493498520956004E-12</v>
      </c>
      <c r="BU9">
        <v>8.0599999999999997E-4</v>
      </c>
      <c r="BV9">
        <v>5.3000000000000001E-5</v>
      </c>
    </row>
    <row r="10" spans="1:78" x14ac:dyDescent="0.3">
      <c r="A10" t="s">
        <v>51</v>
      </c>
      <c r="B10">
        <v>1.51</v>
      </c>
      <c r="C10">
        <v>189.84066622516556</v>
      </c>
      <c r="D10">
        <v>60.325827814569536</v>
      </c>
      <c r="E10">
        <v>5.3207547169811319E-2</v>
      </c>
      <c r="F10">
        <v>32.550016603984403</v>
      </c>
      <c r="G10">
        <v>0.57591351446219796</v>
      </c>
      <c r="H10">
        <v>286.65940599999999</v>
      </c>
      <c r="I10">
        <v>2.2239999999999998E-3</v>
      </c>
      <c r="J10">
        <v>0.45700000000000002</v>
      </c>
      <c r="K10">
        <v>3.3000000000000002E-2</v>
      </c>
      <c r="L10">
        <v>0.30264900662251659</v>
      </c>
      <c r="N10">
        <v>1.0679999999999999E-3</v>
      </c>
      <c r="O10">
        <v>1.05E-4</v>
      </c>
      <c r="P10">
        <v>0.32877697841726622</v>
      </c>
      <c r="Q10">
        <v>2.3741007194244608E-2</v>
      </c>
      <c r="R10">
        <v>286.33062902158275</v>
      </c>
      <c r="S10">
        <v>2.5965007194244608E-2</v>
      </c>
      <c r="T10">
        <v>32.509491687811298</v>
      </c>
      <c r="U10">
        <v>0.59661808886811596</v>
      </c>
      <c r="V10">
        <v>0.65630500000000003</v>
      </c>
      <c r="W10">
        <v>4.0682000000000003E-2</v>
      </c>
      <c r="X10">
        <v>0.50095150641434427</v>
      </c>
      <c r="Y10">
        <v>4.7673663666814567E-2</v>
      </c>
      <c r="Z10">
        <v>286.15845449358562</v>
      </c>
      <c r="AA10">
        <v>4.9897663666814564E-2</v>
      </c>
      <c r="AB10">
        <v>32.497876234206601</v>
      </c>
      <c r="AC10">
        <v>0.57543742896818895</v>
      </c>
      <c r="AD10">
        <v>11.130596026490066</v>
      </c>
      <c r="AE10">
        <v>0.12176556291390728</v>
      </c>
      <c r="AF10">
        <v>204.98013245033113</v>
      </c>
      <c r="AG10">
        <v>4.4863576158940397</v>
      </c>
      <c r="AH10">
        <v>129.13907284768212</v>
      </c>
      <c r="AI10">
        <v>4.7980132450331121</v>
      </c>
      <c r="AJ10">
        <v>0</v>
      </c>
      <c r="AK10">
        <v>0</v>
      </c>
      <c r="AL10">
        <v>846.82882407249372</v>
      </c>
      <c r="AM10">
        <v>57.620829696860206</v>
      </c>
      <c r="AN10">
        <v>0</v>
      </c>
      <c r="AO10">
        <v>0</v>
      </c>
      <c r="AP10">
        <v>0</v>
      </c>
      <c r="AQ10">
        <v>0</v>
      </c>
      <c r="AR10">
        <v>17.664343793438949</v>
      </c>
      <c r="AS10">
        <v>0.58392285989802339</v>
      </c>
      <c r="BB10">
        <v>5.64E-11</v>
      </c>
      <c r="BC10">
        <v>6.17E-13</v>
      </c>
      <c r="BD10">
        <v>1.0600000000000001E-9</v>
      </c>
      <c r="BE10">
        <v>2.3200000000000001E-11</v>
      </c>
      <c r="BF10">
        <v>1.3000000000000001E-9</v>
      </c>
      <c r="BG10">
        <v>4.8299999999999997E-11</v>
      </c>
      <c r="BH10">
        <v>0</v>
      </c>
      <c r="BI10">
        <v>0</v>
      </c>
      <c r="BJ10">
        <v>0</v>
      </c>
      <c r="BK10">
        <v>0</v>
      </c>
      <c r="BL10">
        <v>1.70676925300249E-8</v>
      </c>
      <c r="BM10">
        <v>1.1613381319041499E-9</v>
      </c>
      <c r="BN10">
        <v>0</v>
      </c>
      <c r="BO10">
        <v>0</v>
      </c>
      <c r="BP10">
        <v>0</v>
      </c>
      <c r="BQ10">
        <v>0</v>
      </c>
      <c r="BR10">
        <v>2.1906339625568999E-10</v>
      </c>
      <c r="BS10">
        <v>7.2414875036630698E-12</v>
      </c>
      <c r="BU10">
        <v>4.57E-4</v>
      </c>
      <c r="BV10">
        <v>3.3000000000000003E-5</v>
      </c>
    </row>
    <row r="11" spans="1:78" x14ac:dyDescent="0.3">
      <c r="A11" t="s">
        <v>52</v>
      </c>
      <c r="B11">
        <v>0.98</v>
      </c>
      <c r="C11">
        <v>207.67212142857142</v>
      </c>
      <c r="D11">
        <v>65.055428571428578</v>
      </c>
      <c r="E11">
        <v>5.046728971962617E-2</v>
      </c>
      <c r="F11">
        <v>33.0329972915887</v>
      </c>
      <c r="G11">
        <v>0.74492586320214704</v>
      </c>
      <c r="H11">
        <v>203.51867899999999</v>
      </c>
      <c r="I11">
        <v>1.6900000000000001E-3</v>
      </c>
      <c r="J11">
        <v>0.8899999999999999</v>
      </c>
      <c r="K11">
        <v>5.3999999999999999E-2</v>
      </c>
      <c r="L11">
        <v>0.90816326530612235</v>
      </c>
      <c r="N11">
        <v>2.7539999999999999E-3</v>
      </c>
      <c r="O11">
        <v>1.9599999999999999E-4</v>
      </c>
      <c r="P11">
        <v>0.64028776978417257</v>
      </c>
      <c r="Q11">
        <v>3.884892086330935E-2</v>
      </c>
      <c r="R11">
        <v>202.87839123021581</v>
      </c>
      <c r="S11">
        <v>4.0538920863309347E-2</v>
      </c>
      <c r="T11">
        <v>32.931244147209199</v>
      </c>
      <c r="U11">
        <v>0.72225827132188702</v>
      </c>
      <c r="V11">
        <v>0.65630500000000003</v>
      </c>
      <c r="W11">
        <v>4.0682000000000003E-2</v>
      </c>
      <c r="X11">
        <v>0.97559483743712538</v>
      </c>
      <c r="Y11">
        <v>8.4622210601962428E-2</v>
      </c>
      <c r="Z11">
        <v>202.54308416256288</v>
      </c>
      <c r="AA11">
        <v>8.6312210601962425E-2</v>
      </c>
      <c r="AB11">
        <v>32.869452658631999</v>
      </c>
      <c r="AC11">
        <v>0.70629506791311503</v>
      </c>
      <c r="AD11">
        <v>11.494285714285715</v>
      </c>
      <c r="AE11">
        <v>0.14960816326530613</v>
      </c>
      <c r="AF11">
        <v>223.17142857142861</v>
      </c>
      <c r="AG11">
        <v>5.899591836734694</v>
      </c>
      <c r="AH11">
        <v>123.67346938775511</v>
      </c>
      <c r="AI11">
        <v>4.3928571428571432</v>
      </c>
      <c r="AJ11">
        <v>0</v>
      </c>
      <c r="AK11">
        <v>0</v>
      </c>
      <c r="AL11">
        <v>820.23319825541</v>
      </c>
      <c r="AM11">
        <v>71.818859139154569</v>
      </c>
      <c r="AN11">
        <v>0</v>
      </c>
      <c r="AO11">
        <v>0</v>
      </c>
      <c r="AP11">
        <v>0</v>
      </c>
      <c r="AQ11">
        <v>0</v>
      </c>
      <c r="AR11">
        <v>23.651494753562243</v>
      </c>
      <c r="AS11">
        <v>0.53843759460841145</v>
      </c>
      <c r="BB11">
        <v>3.7800000000000001E-11</v>
      </c>
      <c r="BC11">
        <v>4.9200000000000002E-13</v>
      </c>
      <c r="BD11">
        <v>7.49E-10</v>
      </c>
      <c r="BE11">
        <v>1.9799999999999999E-11</v>
      </c>
      <c r="BF11">
        <v>8.08E-10</v>
      </c>
      <c r="BG11">
        <v>2.8699999999999998E-11</v>
      </c>
      <c r="BH11">
        <v>0</v>
      </c>
      <c r="BI11">
        <v>0</v>
      </c>
      <c r="BJ11">
        <v>0</v>
      </c>
      <c r="BK11">
        <v>0</v>
      </c>
      <c r="BL11">
        <v>1.07291582259784E-8</v>
      </c>
      <c r="BM11">
        <v>9.3943515691899992E-10</v>
      </c>
      <c r="BN11">
        <v>0</v>
      </c>
      <c r="BO11">
        <v>0</v>
      </c>
      <c r="BP11">
        <v>0</v>
      </c>
      <c r="BQ11">
        <v>0</v>
      </c>
      <c r="BR11">
        <v>1.9036189929772499E-10</v>
      </c>
      <c r="BS11">
        <v>4.3336797200742703E-12</v>
      </c>
      <c r="BU11">
        <v>8.8999999999999995E-4</v>
      </c>
      <c r="BV11">
        <v>5.3999999999999998E-5</v>
      </c>
    </row>
    <row r="12" spans="1:78" x14ac:dyDescent="0.3">
      <c r="A12" t="s">
        <v>53</v>
      </c>
      <c r="B12">
        <v>0.81</v>
      </c>
      <c r="C12">
        <v>210.70037407407406</v>
      </c>
      <c r="D12">
        <v>68.355950617283938</v>
      </c>
      <c r="E12">
        <v>4.8929663608562692E-2</v>
      </c>
      <c r="F12">
        <v>31.928782257728098</v>
      </c>
      <c r="G12">
        <v>0.80137711789311705</v>
      </c>
      <c r="H12">
        <v>170.667303</v>
      </c>
      <c r="I12">
        <v>1.4760000000000001E-3</v>
      </c>
      <c r="J12">
        <v>0.53900000000000003</v>
      </c>
      <c r="K12">
        <v>4.8000000000000001E-2</v>
      </c>
      <c r="L12">
        <v>0.66543209876543208</v>
      </c>
      <c r="N12">
        <v>1.6689999999999999E-3</v>
      </c>
      <c r="O12">
        <v>2.05E-4</v>
      </c>
      <c r="P12">
        <v>0.38776978417266189</v>
      </c>
      <c r="Q12">
        <v>3.4532374100719423E-2</v>
      </c>
      <c r="R12">
        <v>170.27953321582734</v>
      </c>
      <c r="S12">
        <v>3.6008374100719422E-2</v>
      </c>
      <c r="T12">
        <v>31.839968620252201</v>
      </c>
      <c r="U12">
        <v>0.77755685798164398</v>
      </c>
      <c r="V12">
        <v>0.65630500000000003</v>
      </c>
      <c r="W12">
        <v>4.0682000000000003E-2</v>
      </c>
      <c r="X12">
        <v>0.5908377723355176</v>
      </c>
      <c r="Y12">
        <v>6.410765894060344E-2</v>
      </c>
      <c r="Z12">
        <v>170.0764652276645</v>
      </c>
      <c r="AA12">
        <v>6.5583658940603445E-2</v>
      </c>
      <c r="AB12">
        <v>31.793146514374801</v>
      </c>
      <c r="AC12">
        <v>0.77741779945341205</v>
      </c>
      <c r="AD12">
        <v>11.772839506172838</v>
      </c>
      <c r="AE12">
        <v>0.14237777777777777</v>
      </c>
      <c r="AF12">
        <v>235.76296296296294</v>
      </c>
      <c r="AG12">
        <v>6.993580246913579</v>
      </c>
      <c r="AH12">
        <v>125.74074074074072</v>
      </c>
      <c r="AI12">
        <v>5.2037037037037033</v>
      </c>
      <c r="AJ12">
        <v>0</v>
      </c>
      <c r="AK12">
        <v>0</v>
      </c>
      <c r="AL12">
        <v>810.8810003713287</v>
      </c>
      <c r="AM12">
        <v>61.155016868623072</v>
      </c>
      <c r="AN12">
        <v>8.9164910810856792</v>
      </c>
      <c r="AO12">
        <v>4.0278639939881824</v>
      </c>
      <c r="AP12">
        <v>0</v>
      </c>
      <c r="AQ12">
        <v>0</v>
      </c>
      <c r="AR12">
        <v>42.874398476489276</v>
      </c>
      <c r="AS12">
        <v>2.2866098410183899</v>
      </c>
      <c r="BB12">
        <v>3.1999999999999999E-11</v>
      </c>
      <c r="BC12">
        <v>3.8700000000000002E-13</v>
      </c>
      <c r="BD12">
        <v>6.5400000000000002E-10</v>
      </c>
      <c r="BE12">
        <v>1.9399999999999999E-11</v>
      </c>
      <c r="BF12">
        <v>6.7900000000000003E-10</v>
      </c>
      <c r="BG12">
        <v>2.8099999999999999E-11</v>
      </c>
      <c r="BH12">
        <v>0</v>
      </c>
      <c r="BI12">
        <v>0</v>
      </c>
      <c r="BJ12">
        <v>0</v>
      </c>
      <c r="BK12">
        <v>0</v>
      </c>
      <c r="BL12">
        <v>8.7668661278800898E-9</v>
      </c>
      <c r="BM12">
        <v>6.6117944025073E-10</v>
      </c>
      <c r="BN12">
        <v>7.9175156497252801E-11</v>
      </c>
      <c r="BO12">
        <v>3.5765948642078798E-11</v>
      </c>
      <c r="BP12">
        <v>0</v>
      </c>
      <c r="BQ12">
        <v>0</v>
      </c>
      <c r="BR12">
        <v>2.8521897803840599E-10</v>
      </c>
      <c r="BS12">
        <v>1.5211514218338501E-11</v>
      </c>
      <c r="BU12">
        <v>5.3899999999999998E-4</v>
      </c>
      <c r="BV12">
        <v>4.8000000000000001E-5</v>
      </c>
    </row>
    <row r="13" spans="1:78" x14ac:dyDescent="0.3">
      <c r="A13" t="s">
        <v>99</v>
      </c>
      <c r="B13">
        <v>0.3</v>
      </c>
      <c r="C13">
        <v>242.21389666666667</v>
      </c>
      <c r="D13">
        <v>77.374853126411566</v>
      </c>
      <c r="E13">
        <v>4.9246162387904982E-2</v>
      </c>
      <c r="F13">
        <v>32.413577264870597</v>
      </c>
      <c r="G13">
        <v>0.72982846871345497</v>
      </c>
      <c r="H13">
        <v>72.664169000000001</v>
      </c>
      <c r="I13">
        <v>2.611E-3</v>
      </c>
      <c r="J13">
        <v>0.25999999999999995</v>
      </c>
      <c r="K13">
        <v>3.7999999999999999E-2</v>
      </c>
      <c r="L13">
        <v>0.86666666666666659</v>
      </c>
      <c r="N13">
        <v>2.31E-3</v>
      </c>
      <c r="O13">
        <v>3.0200000000000002E-4</v>
      </c>
      <c r="P13">
        <v>0.18705035971223016</v>
      </c>
      <c r="Q13">
        <v>2.7338129496402873E-2</v>
      </c>
      <c r="R13">
        <v>72.47711864028777</v>
      </c>
      <c r="S13">
        <v>2.9949129496402872E-2</v>
      </c>
      <c r="T13">
        <v>32.312631839814003</v>
      </c>
      <c r="U13">
        <v>0.74115465120691604</v>
      </c>
      <c r="V13">
        <v>0.87469399999999997</v>
      </c>
      <c r="W13">
        <v>1.2834E-2</v>
      </c>
      <c r="X13">
        <v>0.21384662489079631</v>
      </c>
      <c r="Y13">
        <v>3.1411609467955542E-2</v>
      </c>
      <c r="Z13">
        <v>72.450322375109209</v>
      </c>
      <c r="AA13">
        <v>3.4022609467955545E-2</v>
      </c>
      <c r="AB13">
        <v>32.283950477923398</v>
      </c>
      <c r="AC13">
        <v>0.74320743858133298</v>
      </c>
      <c r="AD13">
        <v>13.397425174299164</v>
      </c>
      <c r="AE13">
        <v>0.17335149232532684</v>
      </c>
      <c r="AF13">
        <v>266.57261646713505</v>
      </c>
      <c r="AG13">
        <v>7.381306642292822</v>
      </c>
      <c r="AH13">
        <v>142.947427112176</v>
      </c>
      <c r="AI13">
        <v>10.02079780626695</v>
      </c>
      <c r="AJ13">
        <v>0</v>
      </c>
      <c r="AK13">
        <v>33.927166021889867</v>
      </c>
      <c r="AL13">
        <v>665.13954373945933</v>
      </c>
      <c r="AM13">
        <v>204.98263007064352</v>
      </c>
      <c r="AN13">
        <v>5.0359975932275702</v>
      </c>
      <c r="AO13">
        <v>2.7865612031116349</v>
      </c>
      <c r="AP13">
        <v>0</v>
      </c>
      <c r="AQ13">
        <v>13.05953808525944</v>
      </c>
      <c r="AR13">
        <v>0</v>
      </c>
      <c r="AS13">
        <v>3.7850932689047578</v>
      </c>
      <c r="BB13">
        <v>1.34873407794958E-11</v>
      </c>
      <c r="BC13">
        <v>1.7451492515972499E-13</v>
      </c>
      <c r="BD13">
        <v>2.7387597582239899E-10</v>
      </c>
      <c r="BE13">
        <v>7.5835342215337208E-12</v>
      </c>
      <c r="BF13">
        <v>2.8589485422435201E-10</v>
      </c>
      <c r="BG13">
        <v>2.0041595612533899E-11</v>
      </c>
      <c r="BH13">
        <v>0</v>
      </c>
      <c r="BI13">
        <v>1.20873613430067E-9</v>
      </c>
      <c r="BJ13">
        <v>0</v>
      </c>
      <c r="BK13">
        <v>1.60159713714665E-10</v>
      </c>
      <c r="BL13">
        <v>2.6633991340341402E-9</v>
      </c>
      <c r="BM13">
        <v>8.2080604673242199E-10</v>
      </c>
      <c r="BN13">
        <v>1.6562149506339301E-11</v>
      </c>
      <c r="BO13">
        <v>9.1643100299659107E-12</v>
      </c>
      <c r="BP13">
        <v>0</v>
      </c>
      <c r="BQ13">
        <v>3.6320213456733401E-11</v>
      </c>
      <c r="BR13">
        <v>0</v>
      </c>
      <c r="BS13">
        <v>9.3259525350807101E-12</v>
      </c>
      <c r="BU13">
        <v>2.5999999999999998E-4</v>
      </c>
      <c r="BV13">
        <v>3.8000000000000002E-5</v>
      </c>
    </row>
    <row r="14" spans="1:78" x14ac:dyDescent="0.3">
      <c r="A14" t="s">
        <v>100</v>
      </c>
      <c r="B14">
        <v>0.85</v>
      </c>
      <c r="C14">
        <v>189.78885764705882</v>
      </c>
      <c r="D14">
        <v>61.916185793865949</v>
      </c>
      <c r="E14">
        <v>5.1221715234236867E-2</v>
      </c>
      <c r="F14">
        <v>31.682654105452301</v>
      </c>
      <c r="G14">
        <v>0.65007010400398801</v>
      </c>
      <c r="H14">
        <v>161.32052899999999</v>
      </c>
      <c r="I14">
        <v>5.5760000000000002E-3</v>
      </c>
      <c r="J14">
        <v>0.41</v>
      </c>
      <c r="K14">
        <v>4.3999999999999997E-2</v>
      </c>
      <c r="L14">
        <v>0.4823529411764706</v>
      </c>
      <c r="N14">
        <v>1.694E-3</v>
      </c>
      <c r="O14">
        <v>1.6200000000000001E-4</v>
      </c>
      <c r="P14">
        <v>0.29496402877697842</v>
      </c>
      <c r="Q14">
        <v>3.1654676258992806E-2</v>
      </c>
      <c r="R14">
        <v>161.02556497122302</v>
      </c>
      <c r="S14">
        <v>3.7230676258992804E-2</v>
      </c>
      <c r="T14">
        <v>31.636410432650798</v>
      </c>
      <c r="U14">
        <v>0.65272283603133696</v>
      </c>
      <c r="V14">
        <v>0.90215000000000001</v>
      </c>
      <c r="W14">
        <v>3.3177999999999999E-2</v>
      </c>
      <c r="X14">
        <v>0.32695674641354366</v>
      </c>
      <c r="Y14">
        <v>3.70911810958282E-2</v>
      </c>
      <c r="Z14">
        <v>160.99357225358645</v>
      </c>
      <c r="AA14">
        <v>4.2667181095828198E-2</v>
      </c>
      <c r="AB14">
        <v>31.629851613719399</v>
      </c>
      <c r="AC14">
        <v>0.64684175298171098</v>
      </c>
      <c r="AD14">
        <v>11.073915880045634</v>
      </c>
      <c r="AE14">
        <v>9.6530880964528609E-2</v>
      </c>
      <c r="AF14">
        <v>211.84279130758466</v>
      </c>
      <c r="AG14">
        <v>5.3145832404397906</v>
      </c>
      <c r="AH14">
        <v>123.77442226883807</v>
      </c>
      <c r="AI14">
        <v>8.2052895983742893</v>
      </c>
      <c r="AJ14">
        <v>24.93758225831607</v>
      </c>
      <c r="AK14">
        <v>8.9869583873786141</v>
      </c>
      <c r="AL14">
        <v>799.92157902520478</v>
      </c>
      <c r="AM14">
        <v>156.54127557364367</v>
      </c>
      <c r="AN14">
        <v>2.7109625456973676</v>
      </c>
      <c r="AO14">
        <v>1.7090275804465034</v>
      </c>
      <c r="AP14">
        <v>0</v>
      </c>
      <c r="AQ14">
        <v>4.8595544519851606</v>
      </c>
      <c r="AR14">
        <v>0</v>
      </c>
      <c r="AS14">
        <v>1.217942962801571</v>
      </c>
      <c r="BB14">
        <v>3.1586672812210701E-11</v>
      </c>
      <c r="BC14">
        <v>2.7533976114043398E-13</v>
      </c>
      <c r="BD14">
        <v>6.1666565962824301E-10</v>
      </c>
      <c r="BE14">
        <v>1.5470533405389799E-11</v>
      </c>
      <c r="BF14">
        <v>7.0138839285674896E-10</v>
      </c>
      <c r="BG14">
        <v>4.6496641057454299E-11</v>
      </c>
      <c r="BH14">
        <v>0</v>
      </c>
      <c r="BI14">
        <v>1.0523999513576501E-9</v>
      </c>
      <c r="BJ14">
        <v>3.33547520370868E-10</v>
      </c>
      <c r="BK14">
        <v>1.20203219972806E-10</v>
      </c>
      <c r="BL14">
        <v>9.0754583845625192E-9</v>
      </c>
      <c r="BM14">
        <v>1.7760288873144301E-9</v>
      </c>
      <c r="BN14">
        <v>2.5261106816956399E-11</v>
      </c>
      <c r="BO14">
        <v>1.5924944566756499E-11</v>
      </c>
      <c r="BP14">
        <v>0</v>
      </c>
      <c r="BQ14">
        <v>3.8292586300059203E-11</v>
      </c>
      <c r="BR14">
        <v>0</v>
      </c>
      <c r="BS14">
        <v>8.5023942048401396E-12</v>
      </c>
      <c r="BU14">
        <v>4.0999999999999999E-4</v>
      </c>
      <c r="BV14">
        <v>4.3999999999999999E-5</v>
      </c>
    </row>
    <row r="15" spans="1:78" x14ac:dyDescent="0.3">
      <c r="A15" t="s">
        <v>101</v>
      </c>
      <c r="E15">
        <v>4.9944949186337545E-2</v>
      </c>
      <c r="F15">
        <v>31.990539794421</v>
      </c>
      <c r="G15">
        <v>0.39536697954650601</v>
      </c>
      <c r="H15">
        <v>177.58224899999999</v>
      </c>
      <c r="I15">
        <v>1.8569999999999999E-3</v>
      </c>
      <c r="J15">
        <v>0.30099999999999999</v>
      </c>
      <c r="K15">
        <v>1.9E-2</v>
      </c>
      <c r="N15">
        <v>9.7599999999999998E-4</v>
      </c>
      <c r="O15">
        <v>1.3300000000000001E-4</v>
      </c>
      <c r="P15">
        <v>0.21654676258992805</v>
      </c>
      <c r="Q15">
        <v>1.3669064748201436E-2</v>
      </c>
      <c r="R15">
        <v>177.36570223741006</v>
      </c>
      <c r="S15">
        <v>1.5526064748201436E-2</v>
      </c>
      <c r="T15">
        <v>31.943098532658802</v>
      </c>
      <c r="U15">
        <v>0.38277978921116401</v>
      </c>
      <c r="V15">
        <v>0.67700099999999996</v>
      </c>
      <c r="W15">
        <v>1.6670000000000001E-2</v>
      </c>
      <c r="X15">
        <v>0.31986180609766907</v>
      </c>
      <c r="Y15">
        <v>2.1672402970996863E-2</v>
      </c>
      <c r="Z15">
        <v>177.26238719390233</v>
      </c>
      <c r="AA15">
        <v>2.3529402970996864E-2</v>
      </c>
      <c r="BB15">
        <v>3.37785332707423E-11</v>
      </c>
      <c r="BC15">
        <v>2.6720266110623301E-13</v>
      </c>
      <c r="BD15">
        <v>6.7631529956551495E-10</v>
      </c>
      <c r="BE15">
        <v>9.9890094322684103E-12</v>
      </c>
      <c r="BF15">
        <v>7.6127245424434898E-10</v>
      </c>
      <c r="BG15">
        <v>4.8345365375034099E-11</v>
      </c>
      <c r="BH15">
        <v>0</v>
      </c>
      <c r="BI15">
        <v>1.9669963676452299E-9</v>
      </c>
      <c r="BJ15">
        <v>0</v>
      </c>
      <c r="BK15">
        <v>9.2316482787144201E-11</v>
      </c>
      <c r="BL15">
        <v>1.02744775763773E-8</v>
      </c>
      <c r="BM15">
        <v>1.57055052141326E-9</v>
      </c>
      <c r="BN15">
        <v>4.0072536250473198E-11</v>
      </c>
      <c r="BO15">
        <v>9.6337808506661194E-12</v>
      </c>
      <c r="BP15">
        <v>0</v>
      </c>
      <c r="BQ15">
        <v>5.6160387454513303E-11</v>
      </c>
      <c r="BR15">
        <v>7.79629221520313E-11</v>
      </c>
      <c r="BS15">
        <v>1.4739424502343299E-11</v>
      </c>
      <c r="BU15">
        <v>3.01E-4</v>
      </c>
      <c r="BV15">
        <v>1.9000000000000001E-5</v>
      </c>
    </row>
    <row r="16" spans="1:78" x14ac:dyDescent="0.3">
      <c r="A16" t="s">
        <v>136</v>
      </c>
      <c r="C16">
        <v>194.06777742373004</v>
      </c>
      <c r="D16" t="s">
        <v>135</v>
      </c>
      <c r="E16">
        <v>24.097393511299611</v>
      </c>
      <c r="F16" t="s">
        <v>138</v>
      </c>
      <c r="J16">
        <v>0</v>
      </c>
      <c r="K16">
        <v>0</v>
      </c>
      <c r="Q16">
        <v>32.301160527008754</v>
      </c>
      <c r="R16">
        <v>31.99511300383967</v>
      </c>
      <c r="S16">
        <v>0.1</v>
      </c>
      <c r="T16">
        <v>32.148136765424212</v>
      </c>
      <c r="U16">
        <v>0.15302376158454217</v>
      </c>
      <c r="V16">
        <v>32.1</v>
      </c>
      <c r="X16">
        <v>0</v>
      </c>
      <c r="Y16">
        <v>32.376904249078862</v>
      </c>
      <c r="Z16">
        <v>32.037765282007769</v>
      </c>
      <c r="AA16">
        <v>0.1</v>
      </c>
      <c r="AB16">
        <v>32.207334765543315</v>
      </c>
      <c r="AC16">
        <v>0.16956948353554541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7173D-1B48-47EF-AD51-6D80CDDC4952}">
  <dimension ref="A1:BT17"/>
  <sheetViews>
    <sheetView workbookViewId="0">
      <selection sqref="A1:BS1"/>
    </sheetView>
  </sheetViews>
  <sheetFormatPr defaultRowHeight="14.4" x14ac:dyDescent="0.3"/>
  <sheetData>
    <row r="1" spans="1:72" ht="72" x14ac:dyDescent="0.3">
      <c r="A1" s="30" t="s">
        <v>29</v>
      </c>
      <c r="B1" s="31" t="s">
        <v>21</v>
      </c>
      <c r="C1" s="31" t="s">
        <v>119</v>
      </c>
      <c r="D1" s="31" t="s">
        <v>120</v>
      </c>
      <c r="E1" s="31" t="s">
        <v>116</v>
      </c>
      <c r="F1" s="32" t="s">
        <v>121</v>
      </c>
      <c r="G1" s="33" t="s">
        <v>88</v>
      </c>
      <c r="H1" s="34" t="s">
        <v>122</v>
      </c>
      <c r="I1" s="35" t="s">
        <v>88</v>
      </c>
      <c r="J1" s="31" t="s">
        <v>117</v>
      </c>
      <c r="K1" s="35" t="s">
        <v>88</v>
      </c>
      <c r="L1" s="35"/>
      <c r="M1" s="35"/>
      <c r="N1" s="36" t="s">
        <v>86</v>
      </c>
      <c r="O1" s="37" t="s">
        <v>88</v>
      </c>
      <c r="P1" s="33" t="s">
        <v>91</v>
      </c>
      <c r="Q1" s="33" t="s">
        <v>88</v>
      </c>
      <c r="R1" s="33" t="s">
        <v>90</v>
      </c>
      <c r="S1" s="33" t="s">
        <v>88</v>
      </c>
      <c r="T1" s="38" t="s">
        <v>123</v>
      </c>
      <c r="U1" s="39" t="s">
        <v>88</v>
      </c>
      <c r="V1" s="31" t="s">
        <v>118</v>
      </c>
      <c r="W1" s="33" t="s">
        <v>88</v>
      </c>
      <c r="X1" s="33" t="s">
        <v>92</v>
      </c>
      <c r="Y1" s="33" t="s">
        <v>88</v>
      </c>
      <c r="Z1" s="33" t="s">
        <v>93</v>
      </c>
      <c r="AA1" s="33" t="s">
        <v>88</v>
      </c>
      <c r="AB1" s="38" t="s">
        <v>94</v>
      </c>
      <c r="AC1" s="39" t="s">
        <v>88</v>
      </c>
      <c r="AD1" s="31" t="s">
        <v>18</v>
      </c>
      <c r="AE1" s="33" t="s">
        <v>88</v>
      </c>
      <c r="AF1" s="31" t="s">
        <v>19</v>
      </c>
      <c r="AG1" s="33" t="s">
        <v>88</v>
      </c>
      <c r="AH1" s="31" t="s">
        <v>20</v>
      </c>
      <c r="AI1" s="33" t="s">
        <v>88</v>
      </c>
      <c r="AJ1" s="31" t="s">
        <v>61</v>
      </c>
      <c r="AK1" s="33" t="s">
        <v>88</v>
      </c>
      <c r="AL1" s="31" t="s">
        <v>62</v>
      </c>
      <c r="AM1" s="33" t="s">
        <v>88</v>
      </c>
      <c r="AN1" s="31" t="s">
        <v>63</v>
      </c>
      <c r="AO1" s="33" t="s">
        <v>88</v>
      </c>
      <c r="AP1" s="31" t="s">
        <v>64</v>
      </c>
      <c r="AQ1" s="33" t="s">
        <v>88</v>
      </c>
      <c r="AR1" s="31" t="s">
        <v>65</v>
      </c>
      <c r="AS1" s="39" t="s">
        <v>88</v>
      </c>
      <c r="AT1" s="33"/>
      <c r="AU1" s="31" t="s">
        <v>81</v>
      </c>
      <c r="AV1" s="33" t="s">
        <v>88</v>
      </c>
      <c r="AW1" s="31" t="s">
        <v>82</v>
      </c>
      <c r="AX1" s="94" t="s">
        <v>125</v>
      </c>
      <c r="AY1" s="33" t="s">
        <v>88</v>
      </c>
      <c r="AZ1" s="33" t="s">
        <v>127</v>
      </c>
      <c r="BA1" s="33" t="s">
        <v>124</v>
      </c>
      <c r="BB1" s="40" t="s">
        <v>15</v>
      </c>
      <c r="BC1" s="33" t="s">
        <v>88</v>
      </c>
      <c r="BD1" s="40" t="s">
        <v>16</v>
      </c>
      <c r="BE1" s="33" t="s">
        <v>88</v>
      </c>
      <c r="BF1" s="40" t="s">
        <v>17</v>
      </c>
      <c r="BG1" s="33" t="s">
        <v>88</v>
      </c>
      <c r="BH1" s="40" t="s">
        <v>55</v>
      </c>
      <c r="BI1" s="33" t="s">
        <v>88</v>
      </c>
      <c r="BJ1" s="40" t="s">
        <v>56</v>
      </c>
      <c r="BK1" s="33" t="s">
        <v>88</v>
      </c>
      <c r="BL1" s="40" t="s">
        <v>57</v>
      </c>
      <c r="BM1" s="33" t="s">
        <v>88</v>
      </c>
      <c r="BN1" s="40" t="s">
        <v>58</v>
      </c>
      <c r="BO1" s="33" t="s">
        <v>88</v>
      </c>
      <c r="BP1" s="40" t="s">
        <v>59</v>
      </c>
      <c r="BQ1" s="33" t="s">
        <v>88</v>
      </c>
      <c r="BR1" s="40" t="s">
        <v>60</v>
      </c>
      <c r="BS1" s="39" t="s">
        <v>88</v>
      </c>
    </row>
    <row r="2" spans="1:72" ht="15.6" x14ac:dyDescent="0.3">
      <c r="A2" s="64" t="s">
        <v>43</v>
      </c>
      <c r="B2" s="65">
        <v>3.81</v>
      </c>
      <c r="C2" s="65">
        <v>9.1114545931758517</v>
      </c>
      <c r="D2" s="65">
        <v>8.0042729658792652E-2</v>
      </c>
      <c r="E2" s="65">
        <v>0.99041916167664679</v>
      </c>
      <c r="F2" s="14">
        <v>1063.1186634817</v>
      </c>
      <c r="G2" s="65">
        <v>55.511870474410202</v>
      </c>
      <c r="H2" s="67">
        <v>34.714641999999998</v>
      </c>
      <c r="I2" s="68">
        <v>3.6099999999999999E-4</v>
      </c>
      <c r="J2" s="65">
        <v>6.6589999999999998</v>
      </c>
      <c r="K2" s="65">
        <v>0.11799999999999999</v>
      </c>
      <c r="L2" s="2">
        <v>1.747769028871391</v>
      </c>
      <c r="M2" s="65"/>
      <c r="N2" s="17">
        <v>0.13675799999999999</v>
      </c>
      <c r="O2" s="69">
        <v>2.6670000000000001E-3</v>
      </c>
      <c r="P2" s="65">
        <v>4.7906474820143883</v>
      </c>
      <c r="Q2" s="65">
        <v>8.4892086330935243E-2</v>
      </c>
      <c r="R2" s="65">
        <v>29.923994517985609</v>
      </c>
      <c r="S2" s="65">
        <v>8.5253086330935243E-2</v>
      </c>
      <c r="T2" s="14">
        <v>928.31796962381702</v>
      </c>
      <c r="U2" s="70">
        <v>50.869137187349899</v>
      </c>
      <c r="V2" s="65">
        <v>1.2358420000000001</v>
      </c>
      <c r="W2" s="65">
        <v>8.8944999999999996E-2</v>
      </c>
      <c r="X2" s="65">
        <v>3.8764239134245222</v>
      </c>
      <c r="Y2" s="65">
        <v>0.28732282444946911</v>
      </c>
      <c r="Z2" s="65">
        <v>30.838218086575477</v>
      </c>
      <c r="AA2" s="65">
        <v>0.28768382444946911</v>
      </c>
      <c r="AB2" s="14">
        <v>955.27413701458397</v>
      </c>
      <c r="AC2" s="70">
        <v>51.5603240381947</v>
      </c>
      <c r="AD2" s="65">
        <v>6.4683989501312336E-2</v>
      </c>
      <c r="AE2" s="65">
        <v>3.9342257217847773E-3</v>
      </c>
      <c r="AF2" s="65">
        <v>6.399475065616797E-2</v>
      </c>
      <c r="AG2" s="65">
        <v>1.065301837270341E-2</v>
      </c>
      <c r="AH2" s="65">
        <v>0.12834645669291336</v>
      </c>
      <c r="AI2" s="65">
        <v>2.2244094488188978E-2</v>
      </c>
      <c r="AJ2" s="65">
        <v>42.498691109514454</v>
      </c>
      <c r="AK2" s="65">
        <v>7.4992605710989215</v>
      </c>
      <c r="AL2" s="71">
        <v>202426.65242738544</v>
      </c>
      <c r="AM2" s="71">
        <v>12489.882049342868</v>
      </c>
      <c r="AN2" s="65">
        <v>1.2211450545032201</v>
      </c>
      <c r="AO2" s="65">
        <v>0.74633768304375014</v>
      </c>
      <c r="AP2" s="65">
        <v>0.72612025143213854</v>
      </c>
      <c r="AQ2" s="65">
        <v>0.40836558933058975</v>
      </c>
      <c r="AR2" s="65">
        <v>138.00350338514906</v>
      </c>
      <c r="AS2" s="70">
        <v>3.1756945909290852</v>
      </c>
      <c r="AT2" s="65"/>
      <c r="AU2" s="65"/>
      <c r="AV2" s="65"/>
      <c r="AW2" s="65"/>
      <c r="AX2" s="96">
        <v>1.4044579781539199</v>
      </c>
      <c r="AY2" s="65">
        <v>3.32945587901846E-2</v>
      </c>
      <c r="AZ2" s="65">
        <v>-2.4055420218460801</v>
      </c>
      <c r="BA2" s="65">
        <v>0.87937772643831325</v>
      </c>
      <c r="BB2" s="71">
        <v>8.2700000000000001E-13</v>
      </c>
      <c r="BC2" s="71">
        <v>5.0299999999999998E-14</v>
      </c>
      <c r="BD2" s="71">
        <v>8.3499999999999998E-13</v>
      </c>
      <c r="BE2" s="71">
        <v>1.3899999999999999E-13</v>
      </c>
      <c r="BF2" s="71">
        <v>3.2599999999999998E-12</v>
      </c>
      <c r="BG2" s="71">
        <v>5.6500000000000002E-13</v>
      </c>
      <c r="BH2" s="71">
        <v>1.1706294316913E-5</v>
      </c>
      <c r="BI2" s="71">
        <v>2.7751339692055301E-7</v>
      </c>
      <c r="BJ2" s="71">
        <v>2.5479152341030699E-9</v>
      </c>
      <c r="BK2" s="71">
        <v>4.4960161724448298E-10</v>
      </c>
      <c r="BL2" s="71">
        <v>1.0294254481424701E-5</v>
      </c>
      <c r="BM2" s="71">
        <v>6.3516351585686496E-7</v>
      </c>
      <c r="BN2" s="71">
        <v>5.1003756387385097E-11</v>
      </c>
      <c r="BO2" s="71">
        <v>3.11724026792007E-11</v>
      </c>
      <c r="BP2" s="71">
        <v>2.5646779994034001E-11</v>
      </c>
      <c r="BQ2" s="71">
        <v>1.4423592243900501E-11</v>
      </c>
      <c r="BR2" s="71">
        <v>4.3182765103270197E-9</v>
      </c>
      <c r="BS2" s="86">
        <v>9.9370863924439994E-11</v>
      </c>
      <c r="BT2">
        <v>1.18E-4</v>
      </c>
    </row>
    <row r="3" spans="1:72" ht="15.6" x14ac:dyDescent="0.3">
      <c r="A3" s="64" t="s">
        <v>44</v>
      </c>
      <c r="B3" s="65">
        <v>1.1499999999999999</v>
      </c>
      <c r="C3" s="65">
        <v>41.49110869565218</v>
      </c>
      <c r="D3" s="65">
        <v>0.33302608695652169</v>
      </c>
      <c r="E3" s="65">
        <v>1.05</v>
      </c>
      <c r="F3" s="14">
        <v>1153.6382550318101</v>
      </c>
      <c r="G3" s="65">
        <v>57.932644357579498</v>
      </c>
      <c r="H3" s="67">
        <v>47.714775000000003</v>
      </c>
      <c r="I3" s="68">
        <v>4.9100000000000001E-4</v>
      </c>
      <c r="J3" s="65">
        <v>9.2650000000000006</v>
      </c>
      <c r="K3" s="65">
        <v>0.156</v>
      </c>
      <c r="L3" s="2">
        <v>8.0565217391304351</v>
      </c>
      <c r="M3" s="65"/>
      <c r="N3" s="17">
        <v>0.139902</v>
      </c>
      <c r="O3" s="69">
        <v>2.4260000000000002E-3</v>
      </c>
      <c r="P3" s="65">
        <v>6.6654676258992804</v>
      </c>
      <c r="Q3" s="65">
        <v>0.11223021582733812</v>
      </c>
      <c r="R3" s="65">
        <v>41.049307374100721</v>
      </c>
      <c r="S3" s="65">
        <v>0.11272121582733813</v>
      </c>
      <c r="T3" s="14">
        <v>1008.0253331441</v>
      </c>
      <c r="U3" s="70">
        <v>51.702274306024002</v>
      </c>
      <c r="V3" s="65">
        <v>1.2358420000000001</v>
      </c>
      <c r="W3" s="65">
        <v>8.8944999999999996E-2</v>
      </c>
      <c r="X3" s="65">
        <v>5.3934626156897725</v>
      </c>
      <c r="Y3" s="65">
        <v>0.39865509512932823</v>
      </c>
      <c r="Z3" s="65">
        <v>42.321312384310232</v>
      </c>
      <c r="AA3" s="65">
        <v>0.39914609512932825</v>
      </c>
      <c r="AB3" s="14">
        <v>1034.7951927362701</v>
      </c>
      <c r="AC3" s="70">
        <v>55.554127491071498</v>
      </c>
      <c r="AD3" s="65">
        <v>0.27208695652173909</v>
      </c>
      <c r="AE3" s="65">
        <v>1.6351130434782611E-2</v>
      </c>
      <c r="AF3" s="65">
        <v>0.25391304347826088</v>
      </c>
      <c r="AG3" s="65">
        <v>3.96104347826087E-2</v>
      </c>
      <c r="AH3" s="65">
        <v>0.31956521739130433</v>
      </c>
      <c r="AI3" s="65">
        <v>6.5347826086956523E-2</v>
      </c>
      <c r="AJ3" s="65">
        <v>196.52327416206222</v>
      </c>
      <c r="AK3" s="65">
        <v>14.556866776584739</v>
      </c>
      <c r="AL3" s="71">
        <v>1045127.9649590834</v>
      </c>
      <c r="AM3" s="71">
        <v>63721.0345382347</v>
      </c>
      <c r="AN3" s="65">
        <v>3.5814895614363982</v>
      </c>
      <c r="AO3" s="65">
        <v>2.4297710616216013</v>
      </c>
      <c r="AP3" s="65">
        <v>3.1470046822913473</v>
      </c>
      <c r="AQ3" s="65">
        <v>1.2639485750958361</v>
      </c>
      <c r="AR3" s="65">
        <v>733.74395533954862</v>
      </c>
      <c r="AS3" s="70">
        <v>21.571073123512654</v>
      </c>
      <c r="AT3" s="65"/>
      <c r="AU3" s="65"/>
      <c r="AV3" s="65"/>
      <c r="AW3" s="65"/>
      <c r="AX3" s="96">
        <v>2.1291891235846401</v>
      </c>
      <c r="AY3" s="65">
        <v>6.8423889648216593E-2</v>
      </c>
      <c r="AZ3" s="65">
        <v>0.97918912358464016</v>
      </c>
      <c r="BA3" s="65">
        <v>0.90395042187700014</v>
      </c>
      <c r="BB3" s="71">
        <v>1.05E-12</v>
      </c>
      <c r="BC3" s="71">
        <v>6.3100000000000004E-14</v>
      </c>
      <c r="BD3" s="71">
        <v>9.9999999999999998E-13</v>
      </c>
      <c r="BE3" s="71">
        <v>1.5599999999999999E-13</v>
      </c>
      <c r="BF3" s="71">
        <v>2.4499999999999999E-12</v>
      </c>
      <c r="BG3" s="71">
        <v>5.0099999999999999E-13</v>
      </c>
      <c r="BH3" s="71">
        <v>1.7746999144690898E-5</v>
      </c>
      <c r="BI3" s="71">
        <v>5.7031979809240102E-7</v>
      </c>
      <c r="BJ3" s="71">
        <v>3.55628269530089E-9</v>
      </c>
      <c r="BK3" s="71">
        <v>2.6342087793977102E-10</v>
      </c>
      <c r="BL3" s="71">
        <v>1.6042407363894099E-5</v>
      </c>
      <c r="BM3" s="71">
        <v>9.7809916869954498E-7</v>
      </c>
      <c r="BN3" s="71">
        <v>4.51514250784023E-11</v>
      </c>
      <c r="BO3" s="71">
        <v>3.0631843026363099E-11</v>
      </c>
      <c r="BP3" s="71">
        <v>3.3550156527626301E-11</v>
      </c>
      <c r="BQ3" s="71">
        <v>1.3474931504220001E-11</v>
      </c>
      <c r="BR3" s="71">
        <v>6.9300718515151199E-9</v>
      </c>
      <c r="BS3" s="86">
        <v>2.0373467552594901E-10</v>
      </c>
      <c r="BT3">
        <v>1.56E-4</v>
      </c>
    </row>
    <row r="4" spans="1:72" ht="15.6" x14ac:dyDescent="0.3">
      <c r="A4" s="64" t="s">
        <v>45</v>
      </c>
      <c r="B4" s="65">
        <v>1.81</v>
      </c>
      <c r="C4" s="65">
        <v>17.48133314917127</v>
      </c>
      <c r="D4" s="65">
        <v>0.16650886187845304</v>
      </c>
      <c r="E4" s="65">
        <v>0.78846153846153844</v>
      </c>
      <c r="F4" s="14">
        <v>990.55601714269005</v>
      </c>
      <c r="G4" s="65">
        <v>42.051344281198702</v>
      </c>
      <c r="H4" s="67">
        <v>31.641213</v>
      </c>
      <c r="I4" s="68">
        <v>3.9899999999999999E-4</v>
      </c>
      <c r="J4" s="65">
        <v>10.824</v>
      </c>
      <c r="K4" s="65">
        <v>0.17499999999999999</v>
      </c>
      <c r="L4" s="2">
        <v>5.9801104972375692</v>
      </c>
      <c r="M4" s="65"/>
      <c r="N4" s="17">
        <v>0.24576000000000001</v>
      </c>
      <c r="O4" s="69">
        <v>3.8289999999999999E-3</v>
      </c>
      <c r="P4" s="65">
        <v>7.7870503597122305</v>
      </c>
      <c r="Q4" s="65">
        <v>0.12589928057553956</v>
      </c>
      <c r="R4" s="65">
        <v>23.854162640287768</v>
      </c>
      <c r="S4" s="65">
        <v>0.12629828057553957</v>
      </c>
      <c r="T4" s="14">
        <v>763.31503965133095</v>
      </c>
      <c r="U4" s="70">
        <v>34.771375924718903</v>
      </c>
      <c r="V4" s="65">
        <v>1.2358420000000001</v>
      </c>
      <c r="W4" s="65">
        <v>8.8944999999999996E-2</v>
      </c>
      <c r="X4" s="65">
        <v>6.3010080250648786</v>
      </c>
      <c r="Y4" s="65">
        <v>0.46479264677828241</v>
      </c>
      <c r="Z4" s="65">
        <v>25.340204974935123</v>
      </c>
      <c r="AA4" s="65">
        <v>0.4651916467782824</v>
      </c>
      <c r="AB4" s="14">
        <v>807.69479395047199</v>
      </c>
      <c r="AC4" s="70">
        <v>37.878471501686001</v>
      </c>
      <c r="AD4" s="65">
        <v>0.12825524861878454</v>
      </c>
      <c r="AE4" s="65">
        <v>5.6801104972375692E-3</v>
      </c>
      <c r="AF4" s="65">
        <v>0.15939005524861879</v>
      </c>
      <c r="AG4" s="65">
        <v>2.3876243093922653E-2</v>
      </c>
      <c r="AH4" s="65">
        <v>0.17320441988950275</v>
      </c>
      <c r="AI4" s="65">
        <v>4.6906077348066302E-2</v>
      </c>
      <c r="AJ4" s="65">
        <v>15.930912211743049</v>
      </c>
      <c r="AK4" s="65">
        <v>8.91216693297525</v>
      </c>
      <c r="AL4" s="71">
        <v>433911.06155545288</v>
      </c>
      <c r="AM4" s="71">
        <v>27229.996216390857</v>
      </c>
      <c r="AN4" s="65">
        <v>0</v>
      </c>
      <c r="AO4" s="65">
        <v>0</v>
      </c>
      <c r="AP4" s="65">
        <v>2.8058338962879685</v>
      </c>
      <c r="AQ4" s="65">
        <v>0.86034525365403447</v>
      </c>
      <c r="AR4" s="65">
        <v>345.22490241401584</v>
      </c>
      <c r="AS4" s="70">
        <v>9.9204106556742211</v>
      </c>
      <c r="AT4" s="65"/>
      <c r="AU4" s="65"/>
      <c r="AV4" s="65"/>
      <c r="AW4" s="65"/>
      <c r="AX4" s="96">
        <v>1.3951721099347201</v>
      </c>
      <c r="AY4" s="65">
        <v>3.5091807797799801E-2</v>
      </c>
      <c r="AZ4" s="65">
        <v>-0.41482789006527998</v>
      </c>
      <c r="BA4" s="65">
        <v>0.90145292545558275</v>
      </c>
      <c r="BB4" s="71">
        <v>7.7900000000000001E-13</v>
      </c>
      <c r="BC4" s="71">
        <v>3.4499999999999998E-14</v>
      </c>
      <c r="BD4" s="71">
        <v>9.8800000000000003E-13</v>
      </c>
      <c r="BE4" s="71">
        <v>1.48E-13</v>
      </c>
      <c r="BF4" s="71">
        <v>2.0900000000000002E-12</v>
      </c>
      <c r="BG4" s="71">
        <v>5.6600000000000001E-13</v>
      </c>
      <c r="BH4" s="71">
        <v>1.16288956990456E-5</v>
      </c>
      <c r="BI4" s="71">
        <v>2.9249364280272499E-7</v>
      </c>
      <c r="BJ4" s="71">
        <v>4.5373644536986498E-10</v>
      </c>
      <c r="BK4" s="71">
        <v>2.5383197716263099E-10</v>
      </c>
      <c r="BL4" s="71">
        <v>1.04829020477225E-5</v>
      </c>
      <c r="BM4" s="71">
        <v>6.5785228445898895E-7</v>
      </c>
      <c r="BN4" s="66">
        <v>0</v>
      </c>
      <c r="BO4" s="66">
        <v>0</v>
      </c>
      <c r="BP4" s="71">
        <v>4.7080368520267201E-11</v>
      </c>
      <c r="BQ4" s="71">
        <v>1.44361259767665E-11</v>
      </c>
      <c r="BR4" s="71">
        <v>5.1318747812858797E-9</v>
      </c>
      <c r="BS4" s="86">
        <v>1.4746996786112301E-10</v>
      </c>
      <c r="BT4">
        <v>1.75E-4</v>
      </c>
    </row>
    <row r="5" spans="1:72" ht="15.6" x14ac:dyDescent="0.3">
      <c r="A5" s="64" t="s">
        <v>46</v>
      </c>
      <c r="B5" s="65">
        <v>1.82</v>
      </c>
      <c r="C5" s="65">
        <v>28.699334615384611</v>
      </c>
      <c r="D5" s="65">
        <v>0.36585626373626379</v>
      </c>
      <c r="E5" s="65">
        <v>0.76681614349775784</v>
      </c>
      <c r="F5" s="14">
        <v>757.27602864317703</v>
      </c>
      <c r="G5" s="65">
        <v>81.8818206751112</v>
      </c>
      <c r="H5" s="67">
        <v>52.232788999999997</v>
      </c>
      <c r="I5" s="68">
        <v>4.9299999999999995E-4</v>
      </c>
      <c r="J5" s="65">
        <v>11.995000000000001</v>
      </c>
      <c r="K5" s="65">
        <v>0.18000000000000002</v>
      </c>
      <c r="L5" s="2">
        <v>6.5906593406593412</v>
      </c>
      <c r="M5" s="65"/>
      <c r="N5" s="17">
        <v>0.16407099999999999</v>
      </c>
      <c r="O5" s="69">
        <v>2.5999999999999999E-3</v>
      </c>
      <c r="P5" s="65">
        <v>8.6294964028776988</v>
      </c>
      <c r="Q5" s="65">
        <v>0.12949640287769787</v>
      </c>
      <c r="R5" s="65">
        <v>43.603292597122298</v>
      </c>
      <c r="S5" s="65">
        <v>0.12998940287769786</v>
      </c>
      <c r="T5" s="14">
        <v>638.09223624778895</v>
      </c>
      <c r="U5" s="70">
        <v>69.536280739225802</v>
      </c>
      <c r="V5" s="65">
        <v>1.2358420000000001</v>
      </c>
      <c r="W5" s="65">
        <v>8.8944999999999996E-2</v>
      </c>
      <c r="X5" s="65">
        <v>6.9826858149162252</v>
      </c>
      <c r="Y5" s="65">
        <v>0.51335980240292001</v>
      </c>
      <c r="Z5" s="65">
        <v>45.250103185083773</v>
      </c>
      <c r="AA5" s="65">
        <v>0.51385280240291997</v>
      </c>
      <c r="AB5" s="14">
        <v>661.26963858674401</v>
      </c>
      <c r="AC5" s="70">
        <v>71.021170111997293</v>
      </c>
      <c r="AD5" s="65">
        <v>0.27998901098901102</v>
      </c>
      <c r="AE5" s="65">
        <v>4.0606593406593408E-2</v>
      </c>
      <c r="AF5" s="65">
        <v>0.35778021978021973</v>
      </c>
      <c r="AG5" s="65">
        <v>3.0964835164835169E-2</v>
      </c>
      <c r="AH5" s="65">
        <v>0.64697802197802201</v>
      </c>
      <c r="AI5" s="65">
        <v>4.9038461538461538E-2</v>
      </c>
      <c r="AJ5" s="65">
        <v>38.759237118597312</v>
      </c>
      <c r="AK5" s="65">
        <v>16.893562715937652</v>
      </c>
      <c r="AL5" s="71">
        <v>616561.59360950592</v>
      </c>
      <c r="AM5" s="71">
        <v>36135.055985706473</v>
      </c>
      <c r="AN5" s="65">
        <v>7.1474143029717334</v>
      </c>
      <c r="AO5" s="65">
        <v>3.711955105790651</v>
      </c>
      <c r="AP5" s="65">
        <v>1.6728674867127653</v>
      </c>
      <c r="AQ5" s="65">
        <v>0.79180357355957998</v>
      </c>
      <c r="AR5" s="65">
        <v>333.73743169256687</v>
      </c>
      <c r="AS5" s="70">
        <v>7.8270102701734139</v>
      </c>
      <c r="AT5" s="65"/>
      <c r="AU5" s="65"/>
      <c r="AV5" s="65"/>
      <c r="AW5" s="65"/>
      <c r="AX5" s="96">
        <v>1.9834408400183601</v>
      </c>
      <c r="AY5" s="65">
        <v>4.0739557106420202E-2</v>
      </c>
      <c r="AZ5" s="65">
        <v>0.16344084001836001</v>
      </c>
      <c r="BA5" s="65">
        <v>0.90598320550148792</v>
      </c>
      <c r="BB5" s="71">
        <v>1.71E-12</v>
      </c>
      <c r="BC5" s="71">
        <v>2.48E-13</v>
      </c>
      <c r="BD5" s="71">
        <v>2.23E-12</v>
      </c>
      <c r="BE5" s="71">
        <v>1.9300000000000001E-13</v>
      </c>
      <c r="BF5" s="71">
        <v>7.8500000000000007E-12</v>
      </c>
      <c r="BG5" s="71">
        <v>5.9499999999999999E-13</v>
      </c>
      <c r="BH5" s="71">
        <v>1.6532172976766401E-5</v>
      </c>
      <c r="BI5" s="71">
        <v>3.3956818448588498E-7</v>
      </c>
      <c r="BJ5" s="71">
        <v>1.1100206381722601E-9</v>
      </c>
      <c r="BK5" s="71">
        <v>4.8381249634943397E-10</v>
      </c>
      <c r="BL5" s="71">
        <v>1.4977871067395899E-5</v>
      </c>
      <c r="BM5" s="71">
        <v>8.7781369319254901E-7</v>
      </c>
      <c r="BN5" s="71">
        <v>1.42603530271964E-10</v>
      </c>
      <c r="BO5" s="71">
        <v>7.4060055827000494E-11</v>
      </c>
      <c r="BP5" s="71">
        <v>2.82248894578403E-11</v>
      </c>
      <c r="BQ5" s="71">
        <v>1.33594373215763E-11</v>
      </c>
      <c r="BR5" s="71">
        <v>4.9885194290446099E-9</v>
      </c>
      <c r="BS5" s="86">
        <v>1.1699374746809799E-10</v>
      </c>
      <c r="BT5">
        <v>1.8000000000000001E-4</v>
      </c>
    </row>
    <row r="6" spans="1:72" ht="15.6" x14ac:dyDescent="0.3">
      <c r="A6" s="26" t="s">
        <v>102</v>
      </c>
      <c r="B6" s="2">
        <v>3.54</v>
      </c>
      <c r="C6" s="2">
        <v>14.979118644067796</v>
      </c>
      <c r="D6" s="2">
        <v>0.60310440677966104</v>
      </c>
      <c r="E6" s="2">
        <v>0.7710674157303371</v>
      </c>
      <c r="F6" s="14">
        <v>249.81621159484601</v>
      </c>
      <c r="G6" s="2">
        <v>3.6092637871828099</v>
      </c>
      <c r="H6" s="19">
        <v>53.02608</v>
      </c>
      <c r="I6" s="23">
        <v>5.7600000000000001E-4</v>
      </c>
      <c r="J6" s="2">
        <v>5.0730000000000004</v>
      </c>
      <c r="K6" s="2">
        <v>0.13400000000000001</v>
      </c>
      <c r="L6" s="2">
        <v>1.4330508474576271</v>
      </c>
      <c r="M6" s="2"/>
      <c r="N6" s="17">
        <v>6.9821999999999995E-2</v>
      </c>
      <c r="O6" s="25">
        <v>1.722E-3</v>
      </c>
      <c r="P6" s="2">
        <v>3.6496402877697842</v>
      </c>
      <c r="Q6" s="2">
        <v>9.6402877697841727E-2</v>
      </c>
      <c r="R6" s="2">
        <v>49.376439712230216</v>
      </c>
      <c r="S6" s="2">
        <v>9.697887769784172E-2</v>
      </c>
      <c r="T6" s="14">
        <v>233.08191585828601</v>
      </c>
      <c r="U6" s="12">
        <v>3.4220322487508801</v>
      </c>
      <c r="V6" s="2">
        <v>0.58468299999999995</v>
      </c>
      <c r="W6" s="2">
        <v>1.2674E-2</v>
      </c>
      <c r="X6" s="2">
        <v>6.2420838091235504</v>
      </c>
      <c r="Y6" s="2">
        <v>0.21329277864189231</v>
      </c>
      <c r="Z6" s="2">
        <v>46.783996190876451</v>
      </c>
      <c r="AA6" s="2">
        <v>0.2138687786418923</v>
      </c>
      <c r="AB6" s="14">
        <v>220.951137934657</v>
      </c>
      <c r="AC6" s="12">
        <v>3.4477388014280002</v>
      </c>
      <c r="AD6" s="2">
        <v>0.46215254237288139</v>
      </c>
      <c r="AE6" s="2">
        <v>6.3219774011299438E-3</v>
      </c>
      <c r="AF6" s="2">
        <v>0.58729943502824866</v>
      </c>
      <c r="AG6" s="2">
        <v>2.6725423728813553E-2</v>
      </c>
      <c r="AH6" s="2">
        <v>0.58898305084745761</v>
      </c>
      <c r="AI6" s="2">
        <v>6.9491525423728814E-2</v>
      </c>
      <c r="AJ6" s="2">
        <v>43.084745762711862</v>
      </c>
      <c r="AK6" s="2">
        <v>8.2758615819209034</v>
      </c>
      <c r="AL6" s="2">
        <v>552.37627118644059</v>
      </c>
      <c r="AM6" s="2">
        <v>44.655706214689268</v>
      </c>
      <c r="AN6" s="2">
        <v>56.948079096045198</v>
      </c>
      <c r="AO6" s="2">
        <v>3.4271920903954802</v>
      </c>
      <c r="AP6" s="2">
        <v>9.2634124293785298</v>
      </c>
      <c r="AQ6" s="2">
        <v>1.9227675141242937</v>
      </c>
      <c r="AR6" s="2">
        <v>70.166779661016946</v>
      </c>
      <c r="AS6" s="12">
        <v>4.4026214689265535</v>
      </c>
      <c r="AT6" s="2"/>
      <c r="AU6">
        <v>178846</v>
      </c>
      <c r="AV6">
        <v>1.4</v>
      </c>
      <c r="AW6" s="2">
        <v>50521.468926553673</v>
      </c>
      <c r="AX6" s="96">
        <v>2.3526207224799998</v>
      </c>
      <c r="AY6" s="2">
        <v>9.8666032340742865E-2</v>
      </c>
      <c r="AZ6" s="2">
        <v>-1.1873792775200003</v>
      </c>
      <c r="BA6" s="2">
        <v>1.3316326530612246E-3</v>
      </c>
      <c r="BB6" s="1">
        <v>5.4900000000000002E-12</v>
      </c>
      <c r="BC6" s="1">
        <v>7.5100000000000003E-14</v>
      </c>
      <c r="BD6" s="1">
        <v>7.1200000000000004E-12</v>
      </c>
      <c r="BE6" s="1">
        <v>3.2399999999999998E-13</v>
      </c>
      <c r="BF6" s="1">
        <v>1.39E-11</v>
      </c>
      <c r="BG6" s="1">
        <v>1.6400000000000001E-12</v>
      </c>
      <c r="BH6" s="1">
        <v>1.9599999999999999E-5</v>
      </c>
      <c r="BI6" s="1">
        <v>8.2200000000000003E-7</v>
      </c>
      <c r="BJ6" s="1">
        <v>2.4E-9</v>
      </c>
      <c r="BK6" s="1">
        <v>4.6100000000000001E-10</v>
      </c>
      <c r="BL6" s="1">
        <v>2.6099999999999999E-8</v>
      </c>
      <c r="BM6" s="1">
        <v>2.11E-9</v>
      </c>
      <c r="BN6" s="1">
        <v>2.21E-9</v>
      </c>
      <c r="BO6" s="1">
        <v>1.3300000000000001E-10</v>
      </c>
      <c r="BP6" s="1">
        <v>3.0399999999999998E-10</v>
      </c>
      <c r="BQ6" s="1">
        <v>6.3099999999999994E-11</v>
      </c>
      <c r="BR6" s="1">
        <v>2.04E-9</v>
      </c>
      <c r="BS6" s="85">
        <v>1.28E-10</v>
      </c>
      <c r="BT6">
        <v>1.34E-4</v>
      </c>
    </row>
    <row r="7" spans="1:72" ht="15.6" x14ac:dyDescent="0.3">
      <c r="A7" s="26" t="s">
        <v>103</v>
      </c>
      <c r="B7" s="2">
        <v>1.67</v>
      </c>
      <c r="C7" s="2">
        <v>9.0554467065868263</v>
      </c>
      <c r="D7" s="2">
        <v>0.3188416766467066</v>
      </c>
      <c r="E7" s="2">
        <v>0.6280193236714976</v>
      </c>
      <c r="F7" s="14">
        <v>285.14275470835099</v>
      </c>
      <c r="G7" s="2">
        <v>14.067052451819601</v>
      </c>
      <c r="H7" s="19">
        <v>15.122596</v>
      </c>
      <c r="I7" s="23">
        <v>1.92E-4</v>
      </c>
      <c r="J7" s="2">
        <v>2.113</v>
      </c>
      <c r="K7" s="2">
        <v>6.8999999999999992E-2</v>
      </c>
      <c r="L7" s="2">
        <v>1.2652694610778443</v>
      </c>
      <c r="M7" s="2"/>
      <c r="N7" s="17">
        <v>9.8056000000000004E-2</v>
      </c>
      <c r="O7" s="25">
        <v>3.5530000000000002E-3</v>
      </c>
      <c r="P7" s="2">
        <v>1.5201438848920863</v>
      </c>
      <c r="Q7" s="2">
        <v>4.9640287769784165E-2</v>
      </c>
      <c r="R7" s="2">
        <v>13.602452115107914</v>
      </c>
      <c r="S7" s="2">
        <v>4.9832287769784163E-2</v>
      </c>
      <c r="T7" s="14">
        <v>257.43727051374498</v>
      </c>
      <c r="U7" s="12">
        <v>12.638572594921699</v>
      </c>
      <c r="V7" s="2">
        <v>0.58468299999999995</v>
      </c>
      <c r="W7" s="2">
        <v>1.2674E-2</v>
      </c>
      <c r="X7" s="2">
        <v>2.5999454146812653</v>
      </c>
      <c r="Y7" s="2">
        <v>0.10190419747511871</v>
      </c>
      <c r="Z7" s="2">
        <v>12.522650585318734</v>
      </c>
      <c r="AA7" s="2">
        <v>0.10209619747511871</v>
      </c>
      <c r="AB7" s="14">
        <v>237.491864080239</v>
      </c>
      <c r="AC7" s="12">
        <v>11.6721850774228</v>
      </c>
      <c r="AD7" s="2">
        <v>0.23197604790419163</v>
      </c>
      <c r="AE7" s="2">
        <v>1.4221916167664673E-2</v>
      </c>
      <c r="AF7" s="2">
        <v>0.36194011976047902</v>
      </c>
      <c r="AG7" s="2">
        <v>3.1647904191616769E-2</v>
      </c>
      <c r="AH7" s="2">
        <v>0.37455089820359289</v>
      </c>
      <c r="AI7" s="2">
        <v>5.8383233532934134E-2</v>
      </c>
      <c r="AJ7" s="2">
        <v>33.144940119760477</v>
      </c>
      <c r="AK7" s="2">
        <v>8.8665568862275475</v>
      </c>
      <c r="AL7" s="2">
        <v>164.64455089820359</v>
      </c>
      <c r="AM7" s="2">
        <v>37.863760479041922</v>
      </c>
      <c r="AN7" s="2">
        <v>40.366215568862287</v>
      </c>
      <c r="AO7" s="2">
        <v>3.1681197604790419</v>
      </c>
      <c r="AP7" s="2">
        <v>8.7846227544910178</v>
      </c>
      <c r="AQ7" s="2">
        <v>2.0540514970059887</v>
      </c>
      <c r="AR7" s="2">
        <v>12.540550898203595</v>
      </c>
      <c r="AS7" s="12">
        <v>3.6965461077844313</v>
      </c>
      <c r="AT7" s="2"/>
      <c r="AU7">
        <v>80126</v>
      </c>
      <c r="AV7">
        <v>1.3</v>
      </c>
      <c r="AW7" s="2">
        <v>47979.640718562878</v>
      </c>
      <c r="AX7" s="96">
        <v>0.92276195845599995</v>
      </c>
      <c r="AY7" s="2">
        <v>3.2998639606684012E-2</v>
      </c>
      <c r="AZ7" s="2">
        <v>-0.74723804154399998</v>
      </c>
      <c r="BA7" s="2">
        <v>4.7724317295188559E-4</v>
      </c>
      <c r="BB7" s="1">
        <v>1.2999999999999999E-12</v>
      </c>
      <c r="BC7" s="1">
        <v>7.9700000000000004E-14</v>
      </c>
      <c r="BD7" s="1">
        <v>2.0699999999999999E-12</v>
      </c>
      <c r="BE7" s="1">
        <v>1.8100000000000001E-13</v>
      </c>
      <c r="BF7" s="1">
        <v>4.1700000000000002E-12</v>
      </c>
      <c r="BG7" s="1">
        <v>6.4999999999999996E-13</v>
      </c>
      <c r="BH7" s="1">
        <v>7.6899999999999992E-6</v>
      </c>
      <c r="BI7" s="1">
        <v>2.7500000000000001E-7</v>
      </c>
      <c r="BJ7" s="1">
        <v>8.7099999999999999E-10</v>
      </c>
      <c r="BK7" s="1">
        <v>2.3300000000000002E-10</v>
      </c>
      <c r="BL7" s="1">
        <v>3.6699999999999999E-9</v>
      </c>
      <c r="BM7" s="1">
        <v>8.4399999999999998E-10</v>
      </c>
      <c r="BN7" s="1">
        <v>7.3900000000000003E-10</v>
      </c>
      <c r="BO7" s="1">
        <v>5.8E-11</v>
      </c>
      <c r="BP7" s="1">
        <v>1.36E-10</v>
      </c>
      <c r="BQ7" s="1">
        <v>3.1800000000000003E-11</v>
      </c>
      <c r="BR7" s="1">
        <v>1.72E-10</v>
      </c>
      <c r="BS7" s="85">
        <v>5.0699999999999997E-11</v>
      </c>
      <c r="BT7">
        <v>6.8999999999999997E-5</v>
      </c>
    </row>
    <row r="8" spans="1:72" ht="15.6" x14ac:dyDescent="0.3">
      <c r="A8" s="26" t="s">
        <v>104</v>
      </c>
      <c r="B8" s="2">
        <v>1.32</v>
      </c>
      <c r="C8" s="2">
        <v>22.945115909090909</v>
      </c>
      <c r="D8" s="2">
        <v>0.92033393939393915</v>
      </c>
      <c r="E8" s="2">
        <v>1.0153374233128833</v>
      </c>
      <c r="F8" s="14">
        <v>250.679756751974</v>
      </c>
      <c r="G8" s="2">
        <v>5.43443022851352</v>
      </c>
      <c r="H8" s="19">
        <v>30.287552999999999</v>
      </c>
      <c r="I8" s="23">
        <v>3.7399999999999998E-4</v>
      </c>
      <c r="J8" s="2">
        <v>2.621</v>
      </c>
      <c r="K8" s="2">
        <v>7.5999999999999998E-2</v>
      </c>
      <c r="L8" s="2">
        <v>1.9856060606060606</v>
      </c>
      <c r="M8" s="2"/>
      <c r="N8" s="17">
        <v>6.1163000000000002E-2</v>
      </c>
      <c r="O8" s="25">
        <v>2.1090000000000002E-3</v>
      </c>
      <c r="P8" s="2">
        <v>1.8856115107913669</v>
      </c>
      <c r="Q8" s="2">
        <v>5.4676258992805746E-2</v>
      </c>
      <c r="R8" s="2">
        <v>28.401941489208632</v>
      </c>
      <c r="S8" s="2">
        <v>5.5050258992805745E-2</v>
      </c>
      <c r="T8" s="14">
        <v>235.19937673622701</v>
      </c>
      <c r="U8" s="12">
        <v>5.30252827895956</v>
      </c>
      <c r="V8" s="2">
        <v>0.58468299999999995</v>
      </c>
      <c r="W8" s="2">
        <v>1.2674E-2</v>
      </c>
      <c r="X8" s="2">
        <v>3.2250151121058197</v>
      </c>
      <c r="Y8" s="2">
        <v>0.11675625163020967</v>
      </c>
      <c r="Z8" s="2">
        <v>27.06253788789418</v>
      </c>
      <c r="AA8" s="2">
        <v>0.11713025163020967</v>
      </c>
      <c r="AB8" s="14">
        <v>224.310758856017</v>
      </c>
      <c r="AC8" s="12">
        <v>5.1592576899567399</v>
      </c>
      <c r="AD8" s="2">
        <v>0.74725757575757557</v>
      </c>
      <c r="AE8" s="2">
        <v>1.7631666666666667E-2</v>
      </c>
      <c r="AF8" s="2">
        <v>0.7211515151515151</v>
      </c>
      <c r="AG8" s="2">
        <v>4.6675757575757572E-2</v>
      </c>
      <c r="AH8" s="2">
        <v>0.77499999999999991</v>
      </c>
      <c r="AI8" s="2">
        <v>0.12386363636363637</v>
      </c>
      <c r="AJ8" s="2">
        <v>95.806439393939399</v>
      </c>
      <c r="AK8" s="2">
        <v>27.827196969696967</v>
      </c>
      <c r="AL8" s="2">
        <v>3445.1848484848483</v>
      </c>
      <c r="AM8" s="2">
        <v>214.54363636363635</v>
      </c>
      <c r="AN8" s="2">
        <v>72.561363636363637</v>
      </c>
      <c r="AO8" s="2">
        <v>3.2825378787878785</v>
      </c>
      <c r="AP8" s="2">
        <v>7.9104666666666681</v>
      </c>
      <c r="AQ8" s="2">
        <v>4.0451249999999996</v>
      </c>
      <c r="AR8" s="2">
        <v>61.525696969696973</v>
      </c>
      <c r="AS8" s="12">
        <v>5.6544606060606064</v>
      </c>
      <c r="AT8" s="2"/>
      <c r="AU8">
        <v>79057</v>
      </c>
      <c r="AV8">
        <v>1.4</v>
      </c>
      <c r="AW8" s="2">
        <v>59891.666666666664</v>
      </c>
      <c r="AX8" s="96">
        <v>1.17835248776</v>
      </c>
      <c r="AY8" s="2">
        <v>3.054097264194286E-2</v>
      </c>
      <c r="AZ8" s="2">
        <v>-0.14164751224000005</v>
      </c>
      <c r="BA8" s="2">
        <v>6.1938775510204077E-3</v>
      </c>
      <c r="BB8" s="1">
        <v>3.3099999999999998E-12</v>
      </c>
      <c r="BC8" s="1">
        <v>7.8100000000000003E-14</v>
      </c>
      <c r="BD8" s="1">
        <v>3.2599999999999998E-12</v>
      </c>
      <c r="BE8" s="1">
        <v>2.1100000000000001E-13</v>
      </c>
      <c r="BF8" s="1">
        <v>6.8199999999999996E-12</v>
      </c>
      <c r="BG8" s="1">
        <v>1.09E-12</v>
      </c>
      <c r="BH8" s="1">
        <v>9.7999999999999993E-6</v>
      </c>
      <c r="BI8" s="1">
        <v>2.5400000000000002E-7</v>
      </c>
      <c r="BJ8" s="1">
        <v>1.99E-9</v>
      </c>
      <c r="BK8" s="1">
        <v>5.7799999999999997E-10</v>
      </c>
      <c r="BL8" s="1">
        <v>6.0699999999999994E-8</v>
      </c>
      <c r="BM8" s="1">
        <v>3.7799999999999998E-9</v>
      </c>
      <c r="BN8" s="1">
        <v>1.0500000000000001E-9</v>
      </c>
      <c r="BO8" s="1">
        <v>4.7499999999999998E-11</v>
      </c>
      <c r="BP8" s="1">
        <v>9.6800000000000004E-11</v>
      </c>
      <c r="BQ8" s="1">
        <v>4.9499999999999997E-11</v>
      </c>
      <c r="BR8" s="1">
        <v>6.6699999999999997E-10</v>
      </c>
      <c r="BS8" s="85">
        <v>6.1299999999999998E-11</v>
      </c>
      <c r="BT8">
        <v>7.6000000000000004E-5</v>
      </c>
    </row>
    <row r="9" spans="1:72" ht="15.6" x14ac:dyDescent="0.3">
      <c r="A9" s="64" t="s">
        <v>105</v>
      </c>
      <c r="B9" s="65">
        <v>1.85</v>
      </c>
      <c r="C9" s="65">
        <v>68.395347567567555</v>
      </c>
      <c r="D9" s="65">
        <v>1.0515679999999998</v>
      </c>
      <c r="E9" s="65">
        <v>1.0678642714570858</v>
      </c>
      <c r="F9" s="14">
        <v>632.29684170640701</v>
      </c>
      <c r="G9" s="65">
        <v>10.344280273786501</v>
      </c>
      <c r="H9" s="67">
        <v>126.53139299999999</v>
      </c>
      <c r="I9" s="68">
        <v>1.0640000000000001E-3</v>
      </c>
      <c r="J9" s="65">
        <v>2.8220000000000001</v>
      </c>
      <c r="K9" s="65">
        <v>8.7999999999999995E-2</v>
      </c>
      <c r="L9" s="2">
        <v>1.5254054054054054</v>
      </c>
      <c r="M9" s="65"/>
      <c r="N9" s="17">
        <v>1.6421000000000002E-2</v>
      </c>
      <c r="O9" s="69">
        <v>4.9600000000000002E-4</v>
      </c>
      <c r="P9" s="65">
        <v>2.0302158273381297</v>
      </c>
      <c r="Q9" s="65">
        <v>6.3309352517985612E-2</v>
      </c>
      <c r="R9" s="65">
        <v>124.50117717266187</v>
      </c>
      <c r="S9" s="65">
        <v>6.4373352517985608E-2</v>
      </c>
      <c r="T9" s="14">
        <v>622.85430276101795</v>
      </c>
      <c r="U9" s="70">
        <v>10.227694570639001</v>
      </c>
      <c r="V9" s="65">
        <v>0.58468299999999995</v>
      </c>
      <c r="W9" s="65">
        <v>1.2674E-2</v>
      </c>
      <c r="X9" s="65">
        <v>3.4723359963230158</v>
      </c>
      <c r="Y9" s="65">
        <v>0.13187078844507824</v>
      </c>
      <c r="Z9" s="65">
        <v>123.05905700367698</v>
      </c>
      <c r="AA9" s="65">
        <v>0.13293478844507825</v>
      </c>
      <c r="AB9" s="14">
        <v>616.01056906450003</v>
      </c>
      <c r="AC9" s="70">
        <v>9.5773455165931107</v>
      </c>
      <c r="AD9" s="65">
        <v>0.86178378378378373</v>
      </c>
      <c r="AE9" s="65">
        <v>1.5640972972972973E-2</v>
      </c>
      <c r="AF9" s="65">
        <v>0.7907675675675675</v>
      </c>
      <c r="AG9" s="65">
        <v>3.6776216216216219E-2</v>
      </c>
      <c r="AH9" s="65">
        <v>0.48891891891891892</v>
      </c>
      <c r="AI9" s="65">
        <v>7.1189189189189192E-2</v>
      </c>
      <c r="AJ9" s="65">
        <v>30.297891891891886</v>
      </c>
      <c r="AK9" s="65">
        <v>10.786324324324323</v>
      </c>
      <c r="AL9" s="65">
        <v>3814.845405405405</v>
      </c>
      <c r="AM9" s="65">
        <v>170.89859459459458</v>
      </c>
      <c r="AN9" s="65">
        <v>77.413729729729724</v>
      </c>
      <c r="AO9" s="65">
        <v>5.1773513513513514</v>
      </c>
      <c r="AP9" s="65">
        <v>7.4051297297297305</v>
      </c>
      <c r="AQ9" s="65">
        <v>2.8979129729729731</v>
      </c>
      <c r="AR9" s="65">
        <v>82.92843243243243</v>
      </c>
      <c r="AS9" s="70">
        <v>4.5347372972972986</v>
      </c>
      <c r="AT9" s="65"/>
      <c r="AU9" s="66">
        <v>173035</v>
      </c>
      <c r="AV9" s="66">
        <v>3.7</v>
      </c>
      <c r="AW9" s="65">
        <v>93532.432432432426</v>
      </c>
      <c r="AX9" s="96">
        <v>1.2757678705600002</v>
      </c>
      <c r="AY9" s="65">
        <v>3.2255263142460383E-2</v>
      </c>
      <c r="AZ9" s="65">
        <v>-0.57423212943999991</v>
      </c>
      <c r="BA9" s="65">
        <v>8.8867924528301875E-3</v>
      </c>
      <c r="BB9" s="71">
        <v>5.3499999999999996E-12</v>
      </c>
      <c r="BC9" s="71">
        <v>9.7099999999999998E-14</v>
      </c>
      <c r="BD9" s="71">
        <v>5.0099999999999999E-12</v>
      </c>
      <c r="BE9" s="71">
        <v>2.3300000000000002E-13</v>
      </c>
      <c r="BF9" s="71">
        <v>6.03E-12</v>
      </c>
      <c r="BG9" s="71">
        <v>8.7799999999999999E-13</v>
      </c>
      <c r="BH9" s="71">
        <v>1.06E-5</v>
      </c>
      <c r="BI9" s="71">
        <v>2.6800000000000002E-7</v>
      </c>
      <c r="BJ9" s="71">
        <v>8.8199999999999995E-10</v>
      </c>
      <c r="BK9" s="71">
        <v>3.14E-10</v>
      </c>
      <c r="BL9" s="71">
        <v>9.4199999999999996E-8</v>
      </c>
      <c r="BM9" s="71">
        <v>4.2199999999999999E-9</v>
      </c>
      <c r="BN9" s="71">
        <v>1.57E-9</v>
      </c>
      <c r="BO9" s="71">
        <v>1.05E-10</v>
      </c>
      <c r="BP9" s="71">
        <v>1.27E-10</v>
      </c>
      <c r="BQ9" s="71">
        <v>4.97E-11</v>
      </c>
      <c r="BR9" s="71">
        <v>1.26E-9</v>
      </c>
      <c r="BS9" s="86">
        <v>6.8900000000000002E-11</v>
      </c>
      <c r="BT9">
        <v>8.7999999999999998E-5</v>
      </c>
    </row>
    <row r="10" spans="1:72" ht="15.6" x14ac:dyDescent="0.3">
      <c r="A10" s="26" t="s">
        <v>66</v>
      </c>
      <c r="B10" s="2">
        <v>2.15</v>
      </c>
      <c r="C10" s="2">
        <v>15.205739069767441</v>
      </c>
      <c r="D10" s="2">
        <v>0.77637716587060202</v>
      </c>
      <c r="E10" s="2">
        <v>1.0695786568354206</v>
      </c>
      <c r="F10" s="14">
        <v>197.82265885069401</v>
      </c>
      <c r="G10" s="2">
        <v>6.32052257074709</v>
      </c>
      <c r="H10" s="19">
        <v>32.692338999999997</v>
      </c>
      <c r="I10" s="23">
        <v>8.4000000000000003E-4</v>
      </c>
      <c r="J10" s="2">
        <v>1.5489999999999999</v>
      </c>
      <c r="K10" s="2">
        <v>4.8000000000000001E-2</v>
      </c>
      <c r="L10" s="2">
        <v>0.72046511627906973</v>
      </c>
      <c r="M10" s="2"/>
      <c r="N10" s="17">
        <v>3.3141999999999998E-2</v>
      </c>
      <c r="O10" s="25">
        <v>1.34E-3</v>
      </c>
      <c r="P10" s="2">
        <v>1.1143884892086331</v>
      </c>
      <c r="Q10" s="2">
        <v>3.4532374100719423E-2</v>
      </c>
      <c r="R10" s="2">
        <v>31.577950510791364</v>
      </c>
      <c r="S10" s="2">
        <v>3.5372374100719424E-2</v>
      </c>
      <c r="T10" s="14">
        <v>191.11034011094401</v>
      </c>
      <c r="U10" s="12">
        <v>6.0712250541278303</v>
      </c>
      <c r="V10" s="2">
        <v>0.87469399999999997</v>
      </c>
      <c r="W10" s="2">
        <v>1.2834E-2</v>
      </c>
      <c r="X10" s="2">
        <v>1.2740323921378598</v>
      </c>
      <c r="Y10" s="2">
        <v>4.3681360781958611E-2</v>
      </c>
      <c r="Z10" s="2">
        <v>31.418306607862139</v>
      </c>
      <c r="AA10" s="2">
        <v>4.4521360781958612E-2</v>
      </c>
      <c r="AB10" s="14">
        <v>190.09555543358599</v>
      </c>
      <c r="AC10" s="12">
        <v>6.0722011277469896</v>
      </c>
      <c r="AD10" s="2">
        <v>0.63644277500533275</v>
      </c>
      <c r="AE10" s="2">
        <v>2.1874036331356435E-2</v>
      </c>
      <c r="AF10" s="2">
        <v>0.58305996193862197</v>
      </c>
      <c r="AG10" s="2">
        <v>4.9884471722302773E-2</v>
      </c>
      <c r="AH10" s="2">
        <v>0.49782692073689228</v>
      </c>
      <c r="AI10" s="2">
        <v>2.8356175687718369E-2</v>
      </c>
      <c r="AJ10" s="2">
        <v>29.500980998760685</v>
      </c>
      <c r="AK10" s="2">
        <v>5.7141667843025532</v>
      </c>
      <c r="AL10" s="2">
        <v>3594.3095088457985</v>
      </c>
      <c r="AM10" s="2">
        <v>91.80634390182685</v>
      </c>
      <c r="AN10" s="2">
        <v>89.475799668548134</v>
      </c>
      <c r="AO10" s="2">
        <v>7.1744040388349495</v>
      </c>
      <c r="AP10" s="2">
        <v>4.7631443376059464</v>
      </c>
      <c r="AQ10" s="2">
        <v>1.6409547050247486</v>
      </c>
      <c r="AR10" s="2">
        <v>186.79844382591796</v>
      </c>
      <c r="AS10" s="12">
        <v>5.2185154224721666</v>
      </c>
      <c r="AT10" s="2"/>
      <c r="AU10">
        <v>331280</v>
      </c>
      <c r="AV10">
        <v>1.9</v>
      </c>
      <c r="AW10" s="2">
        <v>154083.72093023255</v>
      </c>
      <c r="AX10" s="96">
        <v>1.8104799550158195</v>
      </c>
      <c r="AY10" s="2">
        <v>3.3376181977757803E-2</v>
      </c>
      <c r="AZ10" s="2">
        <v>-0.33952004498418042</v>
      </c>
      <c r="BA10" s="2">
        <v>6.8519382692639715E-3</v>
      </c>
      <c r="BB10" s="1">
        <v>4.59178512168277E-12</v>
      </c>
      <c r="BC10" s="1">
        <v>1.5781603393428301E-13</v>
      </c>
      <c r="BD10" s="1">
        <v>4.2930784868768398E-12</v>
      </c>
      <c r="BE10" s="1">
        <v>3.67300048640243E-13</v>
      </c>
      <c r="BF10" s="1">
        <v>7.1355191972287897E-12</v>
      </c>
      <c r="BG10" s="1">
        <v>4.0643851819063E-13</v>
      </c>
      <c r="BH10" s="1">
        <v>1.5053681438619401E-5</v>
      </c>
      <c r="BI10" s="1">
        <v>2.7751448434355398E-7</v>
      </c>
      <c r="BJ10" s="1">
        <v>9.9806623363234405E-10</v>
      </c>
      <c r="BK10" s="1">
        <v>1.93319568627073E-10</v>
      </c>
      <c r="BL10" s="1">
        <v>1.0314689594258499E-7</v>
      </c>
      <c r="BM10" s="1">
        <v>2.6345920900817901E-9</v>
      </c>
      <c r="BN10" s="1">
        <v>2.10889025748058E-9</v>
      </c>
      <c r="BO10" s="1">
        <v>1.6909634601507499E-10</v>
      </c>
      <c r="BP10" s="1">
        <v>9.4936129840111105E-11</v>
      </c>
      <c r="BQ10" s="1">
        <v>3.2706522812674603E-11</v>
      </c>
      <c r="BR10" s="1">
        <v>3.2984285005397801E-9</v>
      </c>
      <c r="BS10" s="85">
        <v>9.2146913258173094E-11</v>
      </c>
      <c r="BT10">
        <v>4.8000000000000001E-5</v>
      </c>
    </row>
    <row r="11" spans="1:72" ht="15.6" x14ac:dyDescent="0.3">
      <c r="A11" s="26" t="s">
        <v>67</v>
      </c>
      <c r="B11" s="2">
        <v>9.43</v>
      </c>
      <c r="C11" s="2">
        <v>13.362202863202546</v>
      </c>
      <c r="D11" s="2">
        <v>0.42502530684542195</v>
      </c>
      <c r="E11" s="2">
        <v>0.82225424563780547</v>
      </c>
      <c r="F11" s="14">
        <v>313.77958481674199</v>
      </c>
      <c r="G11" s="2">
        <v>5.1120985350409498</v>
      </c>
      <c r="H11" s="19">
        <v>126.005573</v>
      </c>
      <c r="I11" s="23">
        <v>3.5239999999999998E-3</v>
      </c>
      <c r="J11" s="2">
        <v>4.21</v>
      </c>
      <c r="K11" s="2">
        <v>0.10299999999999999</v>
      </c>
      <c r="L11" s="2">
        <v>0.44644750795334043</v>
      </c>
      <c r="M11" s="2"/>
      <c r="N11" s="17">
        <v>2.4060999999999999E-2</v>
      </c>
      <c r="O11" s="25">
        <v>6.4599999999999998E-4</v>
      </c>
      <c r="P11" s="2">
        <v>3.0287769784172665</v>
      </c>
      <c r="Q11" s="2">
        <v>7.4100719424460421E-2</v>
      </c>
      <c r="R11" s="2">
        <v>122.97679602158273</v>
      </c>
      <c r="S11" s="2">
        <v>7.762471942446042E-2</v>
      </c>
      <c r="T11" s="14">
        <v>306.44949314807099</v>
      </c>
      <c r="U11" s="12">
        <v>5.0378770876587602</v>
      </c>
      <c r="V11" s="2">
        <v>0.87469399999999997</v>
      </c>
      <c r="W11" s="2">
        <v>1.2834E-2</v>
      </c>
      <c r="X11" s="2">
        <v>3.4626703491932798</v>
      </c>
      <c r="Y11" s="2">
        <v>9.8783106096554565E-2</v>
      </c>
      <c r="Z11" s="2">
        <v>122.54290265080672</v>
      </c>
      <c r="AA11" s="2">
        <v>0.10230710609655456</v>
      </c>
      <c r="AB11" s="14">
        <v>305.43468254618102</v>
      </c>
      <c r="AC11" s="12">
        <v>5.0807605978666901</v>
      </c>
      <c r="AD11" s="2">
        <v>0.33050083396572472</v>
      </c>
      <c r="AE11" s="2">
        <v>6.6245740769689679E-3</v>
      </c>
      <c r="AF11" s="2">
        <v>0.39385197033207187</v>
      </c>
      <c r="AG11" s="2">
        <v>1.1405148117416199E-2</v>
      </c>
      <c r="AH11" s="2">
        <v>0.37486660567113633</v>
      </c>
      <c r="AI11" s="2">
        <v>2.1732594205403289E-2</v>
      </c>
      <c r="AJ11" s="2">
        <v>21.712832347048867</v>
      </c>
      <c r="AK11" s="2">
        <v>3.1650651308251088</v>
      </c>
      <c r="AL11" s="2">
        <v>499.31156589346108</v>
      </c>
      <c r="AM11" s="2">
        <v>18.48176536507647</v>
      </c>
      <c r="AN11" s="2">
        <v>65.543808649428982</v>
      </c>
      <c r="AO11" s="2">
        <v>2.3502707745929152</v>
      </c>
      <c r="AP11" s="2">
        <v>2.3007480343426843</v>
      </c>
      <c r="AQ11" s="2">
        <v>1.1104285201931599</v>
      </c>
      <c r="AR11" s="2">
        <v>6.3572890857274871</v>
      </c>
      <c r="AS11" s="12">
        <v>0.18526515585275241</v>
      </c>
      <c r="AT11" s="2"/>
      <c r="AU11">
        <v>395176</v>
      </c>
      <c r="AV11">
        <v>1.4</v>
      </c>
      <c r="AW11" s="2">
        <v>41906.256627783667</v>
      </c>
      <c r="AX11" s="96">
        <v>8.0126664487911921</v>
      </c>
      <c r="AY11" s="2">
        <v>0.13611553237244389</v>
      </c>
      <c r="AZ11" s="2">
        <v>-1.4173335512088077</v>
      </c>
      <c r="BA11" s="2">
        <v>9.4133413473269022E-4</v>
      </c>
      <c r="BB11" s="1">
        <v>1.0458465987573099E-11</v>
      </c>
      <c r="BC11" s="1">
        <v>2.0962997834166899E-13</v>
      </c>
      <c r="BD11" s="1">
        <v>1.27192605487378E-11</v>
      </c>
      <c r="BE11" s="1">
        <v>3.6832379023025598E-13</v>
      </c>
      <c r="BF11" s="1">
        <v>2.3566613943192101E-11</v>
      </c>
      <c r="BG11" s="1">
        <v>1.3662557557130201E-12</v>
      </c>
      <c r="BH11" s="1">
        <v>6.6763906871025497E-5</v>
      </c>
      <c r="BI11" s="1">
        <v>1.13415487654361E-6</v>
      </c>
      <c r="BJ11" s="1">
        <v>3.2219041547233799E-9</v>
      </c>
      <c r="BK11" s="1">
        <v>4.6965482586437098E-10</v>
      </c>
      <c r="BL11" s="1">
        <v>6.2847144505810701E-8</v>
      </c>
      <c r="BM11" s="1">
        <v>2.3262553042267899E-9</v>
      </c>
      <c r="BN11" s="1">
        <v>6.7756864236364303E-9</v>
      </c>
      <c r="BO11" s="1">
        <v>2.42962655167849E-10</v>
      </c>
      <c r="BP11" s="1">
        <v>2.0113149127516E-10</v>
      </c>
      <c r="BQ11" s="1">
        <v>9.7073708588314596E-11</v>
      </c>
      <c r="BR11" s="1">
        <v>4.92355749658428E-10</v>
      </c>
      <c r="BS11" s="85">
        <v>1.43483115940494E-11</v>
      </c>
      <c r="BT11">
        <v>1.03E-4</v>
      </c>
    </row>
    <row r="12" spans="1:72" ht="15.6" x14ac:dyDescent="0.3">
      <c r="A12" s="26" t="s">
        <v>68</v>
      </c>
      <c r="B12" s="2">
        <v>2.38</v>
      </c>
      <c r="C12" s="2">
        <v>14.827183613445378</v>
      </c>
      <c r="D12" s="2">
        <v>0.58767903486760009</v>
      </c>
      <c r="E12" s="2">
        <v>1.0079726887206089</v>
      </c>
      <c r="F12" s="14">
        <v>252.96309325271</v>
      </c>
      <c r="G12" s="2">
        <v>4.9638585284394399</v>
      </c>
      <c r="H12" s="19">
        <v>35.288696999999999</v>
      </c>
      <c r="I12" s="23">
        <v>6.3699999999999998E-4</v>
      </c>
      <c r="J12" s="2">
        <v>5.0169999999999995</v>
      </c>
      <c r="K12" s="2">
        <v>0.11699999999999999</v>
      </c>
      <c r="L12" s="2">
        <v>2.107983193277311</v>
      </c>
      <c r="M12" s="2"/>
      <c r="N12" s="17">
        <v>9.9179000000000003E-2</v>
      </c>
      <c r="O12" s="25">
        <v>2.2729999999999998E-3</v>
      </c>
      <c r="P12" s="2">
        <v>3.6093525179856112</v>
      </c>
      <c r="Q12" s="2">
        <v>8.4172661870503582E-2</v>
      </c>
      <c r="R12" s="2">
        <v>31.679344482014386</v>
      </c>
      <c r="S12" s="2">
        <v>8.480966187050358E-2</v>
      </c>
      <c r="T12" s="14">
        <v>227.51757170891099</v>
      </c>
      <c r="U12" s="12">
        <v>4.5185983501295501</v>
      </c>
      <c r="V12" s="2">
        <v>0.90215000000000001</v>
      </c>
      <c r="W12" s="2">
        <v>3.3177999999999999E-2</v>
      </c>
      <c r="X12" s="2">
        <v>4.0008341384310935</v>
      </c>
      <c r="Y12" s="2">
        <v>0.17422578520788853</v>
      </c>
      <c r="Z12" s="2">
        <v>31.287862861568904</v>
      </c>
      <c r="AA12" s="2">
        <v>0.17486278520788853</v>
      </c>
      <c r="AB12" s="14">
        <v>224.77920305876401</v>
      </c>
      <c r="AC12" s="12">
        <v>4.5032223889420004</v>
      </c>
      <c r="AD12" s="2">
        <v>0.47650642006321481</v>
      </c>
      <c r="AE12" s="2">
        <v>7.1449991547791651E-3</v>
      </c>
      <c r="AF12" s="2">
        <v>0.46321922835160539</v>
      </c>
      <c r="AG12" s="2">
        <v>4.0717618411743553E-2</v>
      </c>
      <c r="AH12" s="2">
        <v>0.97145102699590979</v>
      </c>
      <c r="AI12" s="2">
        <v>5.2643905747194589E-2</v>
      </c>
      <c r="AJ12" s="2">
        <v>30.596479707860507</v>
      </c>
      <c r="AK12" s="2">
        <v>5.7762918992028061</v>
      </c>
      <c r="AL12" s="2">
        <v>13394.393367100865</v>
      </c>
      <c r="AM12" s="2">
        <v>344.58697714359784</v>
      </c>
      <c r="AN12" s="2">
        <v>64.391295571018034</v>
      </c>
      <c r="AO12" s="2">
        <v>2.9924066244161609</v>
      </c>
      <c r="AP12" s="2">
        <v>4.1643983428781217</v>
      </c>
      <c r="AQ12" s="2">
        <v>1.5342139970682831</v>
      </c>
      <c r="AR12" s="2">
        <v>144.67510394803668</v>
      </c>
      <c r="AS12" s="12">
        <v>5.0553026734168238</v>
      </c>
      <c r="AT12" s="2"/>
      <c r="AU12">
        <v>214556</v>
      </c>
      <c r="AV12">
        <v>2</v>
      </c>
      <c r="AW12" s="2">
        <v>90149.579831932773</v>
      </c>
      <c r="AX12" s="96">
        <v>1.8937063509864172</v>
      </c>
      <c r="AY12" s="2">
        <v>3.4272192661690029E-2</v>
      </c>
      <c r="AZ12" s="2">
        <v>-0.48629364901358274</v>
      </c>
      <c r="BA12" s="2">
        <v>2.7219570701803263E-2</v>
      </c>
      <c r="BB12" s="1">
        <v>3.8056553011760104E-12</v>
      </c>
      <c r="BC12" s="1">
        <v>5.7064087209310106E-14</v>
      </c>
      <c r="BD12" s="1">
        <v>3.7755539845096604E-12</v>
      </c>
      <c r="BE12" s="1">
        <v>3.3187647883544402E-13</v>
      </c>
      <c r="BF12" s="1">
        <v>1.54136896283351E-11</v>
      </c>
      <c r="BG12" s="1">
        <v>8.3528330452215404E-13</v>
      </c>
      <c r="BH12" s="1">
        <v>1.56322310751232E-5</v>
      </c>
      <c r="BI12" s="1">
        <v>2.8291125224331199E-7</v>
      </c>
      <c r="BJ12" s="1">
        <v>1.1458634414588199E-9</v>
      </c>
      <c r="BK12" s="1">
        <v>2.1632690354213499E-10</v>
      </c>
      <c r="BL12" s="1">
        <v>4.2550261897624201E-7</v>
      </c>
      <c r="BM12" s="1">
        <v>1.0946569749089199E-8</v>
      </c>
      <c r="BN12" s="1">
        <v>1.6800184549333799E-9</v>
      </c>
      <c r="BO12" s="1">
        <v>7.8074191691629702E-11</v>
      </c>
      <c r="BP12" s="1">
        <v>9.1881598739685999E-11</v>
      </c>
      <c r="BQ12" s="1">
        <v>3.3850276379183401E-11</v>
      </c>
      <c r="BR12" s="1">
        <v>2.8279134970132E-9</v>
      </c>
      <c r="BS12" s="85">
        <v>9.8814227683410298E-11</v>
      </c>
      <c r="BT12">
        <v>1.17E-4</v>
      </c>
    </row>
    <row r="13" spans="1:72" ht="15.6" x14ac:dyDescent="0.3">
      <c r="A13" s="26" t="s">
        <v>69</v>
      </c>
      <c r="B13" s="2">
        <v>2.3199999999999998</v>
      </c>
      <c r="C13" s="2">
        <v>21.605612499999999</v>
      </c>
      <c r="D13" s="2">
        <v>0.73922806048912781</v>
      </c>
      <c r="E13" s="2">
        <v>1.1621589996868626</v>
      </c>
      <c r="F13" s="14">
        <v>291.87204827730199</v>
      </c>
      <c r="G13" s="2">
        <v>5.4521811171039802</v>
      </c>
      <c r="H13" s="19">
        <v>50.125020999999997</v>
      </c>
      <c r="I13" s="23">
        <v>6.4199999999999999E-4</v>
      </c>
      <c r="J13" s="2">
        <v>1.7450000000000001</v>
      </c>
      <c r="K13" s="2">
        <v>7.1000000000000008E-2</v>
      </c>
      <c r="L13" s="2">
        <v>0.75215517241379315</v>
      </c>
      <c r="M13" s="2"/>
      <c r="N13" s="17">
        <v>2.5156999999999999E-2</v>
      </c>
      <c r="O13" s="25">
        <v>9.2199999999999997E-4</v>
      </c>
      <c r="P13" s="2">
        <v>1.2553956834532374</v>
      </c>
      <c r="Q13" s="2">
        <v>5.1079136690647488E-2</v>
      </c>
      <c r="R13" s="2">
        <v>48.86962531654676</v>
      </c>
      <c r="S13" s="2">
        <v>5.1721136690647485E-2</v>
      </c>
      <c r="T13" s="14">
        <v>284.98791532617503</v>
      </c>
      <c r="U13" s="12">
        <v>5.5094529745231799</v>
      </c>
      <c r="V13" s="2">
        <v>0.90215000000000001</v>
      </c>
      <c r="W13" s="2">
        <v>3.3177999999999999E-2</v>
      </c>
      <c r="X13" s="2">
        <v>1.3915598109552041</v>
      </c>
      <c r="Y13" s="2">
        <v>7.6320487575341461E-2</v>
      </c>
      <c r="Z13" s="2">
        <v>48.733461189044796</v>
      </c>
      <c r="AA13" s="2">
        <v>7.6962487575341465E-2</v>
      </c>
      <c r="AB13" s="14">
        <v>284.33504408352002</v>
      </c>
      <c r="AC13" s="12">
        <v>5.6344235970597198</v>
      </c>
      <c r="AD13" s="2">
        <v>0.61481720137970908</v>
      </c>
      <c r="AE13" s="2">
        <v>1.0548329011970907E-2</v>
      </c>
      <c r="AF13" s="2">
        <v>0.51837857962257794</v>
      </c>
      <c r="AG13" s="2">
        <v>4.3884472190038347E-2</v>
      </c>
      <c r="AH13" s="2">
        <v>0.78217989392143972</v>
      </c>
      <c r="AI13" s="2">
        <v>5.2677150037804654E-2</v>
      </c>
      <c r="AJ13" s="2">
        <v>11.481365063036856</v>
      </c>
      <c r="AK13" s="2">
        <v>2.4875616809988474</v>
      </c>
      <c r="AL13" s="1">
        <v>101443.33078785482</v>
      </c>
      <c r="AM13" s="1">
        <v>2285.0897868135626</v>
      </c>
      <c r="AN13" s="2">
        <v>61.546988057341217</v>
      </c>
      <c r="AO13" s="2">
        <v>2.8384168442982065</v>
      </c>
      <c r="AP13" s="2">
        <v>2.8456608158006484</v>
      </c>
      <c r="AQ13" s="2">
        <v>1.1773409475187271</v>
      </c>
      <c r="AR13" s="2">
        <v>166.23442144807879</v>
      </c>
      <c r="AS13" s="12">
        <v>5.8856030961264834</v>
      </c>
      <c r="AT13" s="2"/>
      <c r="AU13">
        <v>279883</v>
      </c>
      <c r="AV13">
        <v>1.1000000000000001</v>
      </c>
      <c r="AW13" s="2">
        <v>120639.22413793104</v>
      </c>
      <c r="AX13" s="96">
        <v>1.7907053083879929</v>
      </c>
      <c r="AY13" s="2">
        <v>3.539848595063011E-2</v>
      </c>
      <c r="AZ13" s="2">
        <v>-0.52929469161200693</v>
      </c>
      <c r="BA13" s="2">
        <v>0.22757380098715024</v>
      </c>
      <c r="BB13" s="1">
        <v>4.7864963328890103E-12</v>
      </c>
      <c r="BC13" s="1">
        <v>8.2121219153599002E-14</v>
      </c>
      <c r="BD13" s="1">
        <v>4.1186243312478803E-12</v>
      </c>
      <c r="BE13" s="1">
        <v>3.4867114890715398E-13</v>
      </c>
      <c r="BF13" s="1">
        <v>1.2097715692651601E-11</v>
      </c>
      <c r="BG13" s="1">
        <v>8.1473992058471202E-13</v>
      </c>
      <c r="BH13" s="1">
        <v>1.3803570996624399E-5</v>
      </c>
      <c r="BI13" s="1">
        <v>2.7286763025927399E-7</v>
      </c>
      <c r="BJ13" s="1">
        <v>4.1914660812345402E-10</v>
      </c>
      <c r="BK13" s="1">
        <v>9.0812637292168798E-11</v>
      </c>
      <c r="BL13" s="1">
        <v>3.1413311188978002E-6</v>
      </c>
      <c r="BM13" s="1">
        <v>7.0760922389314794E-8</v>
      </c>
      <c r="BN13" s="1">
        <v>1.5653257212566501E-9</v>
      </c>
      <c r="BO13" s="1">
        <v>7.2189509743168601E-11</v>
      </c>
      <c r="BP13" s="1">
        <v>6.1202680009803501E-11</v>
      </c>
      <c r="BQ13" s="1">
        <v>2.5321507353698401E-11</v>
      </c>
      <c r="BR13" s="1">
        <v>3.1674101327163502E-9</v>
      </c>
      <c r="BS13" s="85">
        <v>1.12143554394E-10</v>
      </c>
      <c r="BT13">
        <v>7.1000000000000005E-5</v>
      </c>
    </row>
    <row r="14" spans="1:72" ht="15.6" x14ac:dyDescent="0.3">
      <c r="A14" s="26" t="s">
        <v>70</v>
      </c>
      <c r="B14" s="2">
        <v>6.17</v>
      </c>
      <c r="C14" s="2">
        <v>21.646662236628853</v>
      </c>
      <c r="D14" s="2">
        <v>0.79863557449765521</v>
      </c>
      <c r="E14" s="2">
        <v>0.85843061504191553</v>
      </c>
      <c r="F14" s="14">
        <v>271.91026398172801</v>
      </c>
      <c r="G14" s="2">
        <v>3.6030642126757702</v>
      </c>
      <c r="H14" s="19">
        <v>133.55990600000001</v>
      </c>
      <c r="I14" s="23">
        <v>1.0839999999999999E-3</v>
      </c>
      <c r="J14" s="2">
        <v>5.0070000000000006</v>
      </c>
      <c r="K14" s="2">
        <v>0.11299999999999999</v>
      </c>
      <c r="L14" s="2">
        <v>0.81150729335494343</v>
      </c>
      <c r="M14" s="2"/>
      <c r="N14" s="17">
        <v>2.6298999999999999E-2</v>
      </c>
      <c r="O14" s="25">
        <v>6.3199999999999997E-4</v>
      </c>
      <c r="P14" s="2">
        <v>3.6021582733812951</v>
      </c>
      <c r="Q14" s="2">
        <v>8.1294964028776978E-2</v>
      </c>
      <c r="R14" s="2">
        <v>129.95774772661872</v>
      </c>
      <c r="S14" s="2">
        <v>8.237896402877698E-2</v>
      </c>
      <c r="T14" s="14">
        <v>264.66449637425899</v>
      </c>
      <c r="U14" s="12">
        <v>3.6034574475944399</v>
      </c>
      <c r="V14" s="2">
        <v>0.67700099999999996</v>
      </c>
      <c r="W14" s="2">
        <v>1.6670000000000001E-2</v>
      </c>
      <c r="X14" s="2">
        <v>5.3207576848206948</v>
      </c>
      <c r="Y14" s="2">
        <v>0.17771966800547673</v>
      </c>
      <c r="Z14" s="2">
        <v>128.23914831517931</v>
      </c>
      <c r="AA14" s="2">
        <v>0.17880366800547673</v>
      </c>
      <c r="AB14" s="14">
        <v>261.244284889082</v>
      </c>
      <c r="AC14" s="12">
        <v>3.5721664533695301</v>
      </c>
      <c r="AD14" s="2">
        <v>0.62689669922417712</v>
      </c>
      <c r="AE14" s="2">
        <v>7.414807406876338E-3</v>
      </c>
      <c r="AF14" s="2">
        <v>0.71557864697282514</v>
      </c>
      <c r="AG14" s="2">
        <v>3.4375467576266486E-2</v>
      </c>
      <c r="AH14" s="2">
        <v>0.78479076077300092</v>
      </c>
      <c r="AI14" s="2">
        <v>5.096046122805533E-2</v>
      </c>
      <c r="AJ14" s="2">
        <v>60.992354596011452</v>
      </c>
      <c r="AK14" s="2">
        <v>6.3402632238244276</v>
      </c>
      <c r="AL14" s="1">
        <v>297125.64003100217</v>
      </c>
      <c r="AM14" s="1">
        <v>8329.2512401643216</v>
      </c>
      <c r="AN14" s="2">
        <v>96.432280629357564</v>
      </c>
      <c r="AO14" s="2">
        <v>3.8238664265462234</v>
      </c>
      <c r="AP14" s="2">
        <v>72.303878858161738</v>
      </c>
      <c r="AQ14" s="2">
        <v>26.219128903294855</v>
      </c>
      <c r="AR14" s="2">
        <v>222.09063830795694</v>
      </c>
      <c r="AS14" s="12">
        <v>12.533121838795415</v>
      </c>
      <c r="AT14" s="2"/>
      <c r="AU14">
        <v>626429</v>
      </c>
      <c r="AV14">
        <v>3.4</v>
      </c>
      <c r="AW14" s="2">
        <v>101528.20097244733</v>
      </c>
      <c r="AX14" s="96">
        <v>7.3478368238885086</v>
      </c>
      <c r="AY14" s="2">
        <v>0.16703928187147446</v>
      </c>
      <c r="AZ14" s="2">
        <v>1.1778368238885086</v>
      </c>
      <c r="BA14" s="2">
        <v>0.46605280712609859</v>
      </c>
      <c r="BB14" s="1">
        <v>1.29797068262187E-11</v>
      </c>
      <c r="BC14" s="1">
        <v>1.5352134798801009E-13</v>
      </c>
      <c r="BD14" s="1">
        <v>1.5120274835007982E-11</v>
      </c>
      <c r="BE14" s="1">
        <v>7.2635833885467203E-13</v>
      </c>
      <c r="BF14" s="1">
        <v>3.2281059959796103E-11</v>
      </c>
      <c r="BG14" s="1">
        <v>2.0961736385140092E-12</v>
      </c>
      <c r="BH14" s="1">
        <v>5.2504000745115603E-5</v>
      </c>
      <c r="BI14" s="1">
        <v>1.1935799324408819E-6</v>
      </c>
      <c r="BJ14" s="1">
        <v>5.92168100483699E-9</v>
      </c>
      <c r="BK14" s="1">
        <v>6.1556922251765097E-10</v>
      </c>
      <c r="BL14" s="1">
        <v>2.44696369326119E-5</v>
      </c>
      <c r="BM14" s="1">
        <v>6.8595141686884502E-7</v>
      </c>
      <c r="BN14" s="1">
        <v>6.5225517592977005E-9</v>
      </c>
      <c r="BO14" s="1">
        <v>2.58641261256196E-10</v>
      </c>
      <c r="BP14" s="1">
        <v>4.1356719435881883E-9</v>
      </c>
      <c r="BQ14" s="1">
        <v>1.4996943110533907E-9</v>
      </c>
      <c r="BR14" s="1">
        <v>1.1254100183640722E-8</v>
      </c>
      <c r="BS14" s="85">
        <v>6.3509659777733008E-10</v>
      </c>
      <c r="BT14">
        <v>1.13E-4</v>
      </c>
    </row>
    <row r="15" spans="1:72" ht="15.6" x14ac:dyDescent="0.3">
      <c r="A15" s="26" t="s">
        <v>71</v>
      </c>
      <c r="B15" s="2">
        <v>4.03</v>
      </c>
      <c r="C15" s="2">
        <v>19.593398014888336</v>
      </c>
      <c r="D15" s="2">
        <v>0.69946818372963382</v>
      </c>
      <c r="E15" s="2">
        <v>1.1973235474964659</v>
      </c>
      <c r="F15" s="14">
        <v>280.63820159550698</v>
      </c>
      <c r="G15" s="2">
        <v>9.2034569167021001</v>
      </c>
      <c r="H15" s="19">
        <v>78.961393999999999</v>
      </c>
      <c r="I15" s="23">
        <v>6.4300000000000002E-4</v>
      </c>
      <c r="J15" s="2">
        <v>1.9390000000000001</v>
      </c>
      <c r="K15" s="2">
        <v>7.2000000000000008E-2</v>
      </c>
      <c r="L15" s="2">
        <v>0.48114143920595531</v>
      </c>
      <c r="M15" s="2"/>
      <c r="N15" s="17">
        <v>1.6881E-2</v>
      </c>
      <c r="O15" s="25">
        <v>6.8499999999999995E-4</v>
      </c>
      <c r="P15" s="2">
        <v>1.3949640287769784</v>
      </c>
      <c r="Q15" s="2">
        <v>5.1798561151079142E-2</v>
      </c>
      <c r="R15" s="2">
        <v>77.566429971223016</v>
      </c>
      <c r="S15" s="2">
        <v>5.244156115107914E-2</v>
      </c>
      <c r="T15" s="14">
        <v>275.56553718107301</v>
      </c>
      <c r="U15" s="12">
        <v>9.0723730423670403</v>
      </c>
      <c r="V15" s="2">
        <v>0.67700099999999996</v>
      </c>
      <c r="W15" s="2">
        <v>1.6670000000000001E-2</v>
      </c>
      <c r="X15" s="2">
        <v>2.0605051230012634</v>
      </c>
      <c r="Y15" s="2">
        <v>9.1805451665404852E-2</v>
      </c>
      <c r="Z15" s="2">
        <v>76.900888876998735</v>
      </c>
      <c r="AA15" s="2">
        <v>9.2448451665404857E-2</v>
      </c>
      <c r="AB15" s="14">
        <v>273.34650642787699</v>
      </c>
      <c r="AC15" s="12">
        <v>8.9628445139269495</v>
      </c>
      <c r="AD15" s="2">
        <v>0.58463859987705014</v>
      </c>
      <c r="AE15" s="2">
        <v>2.2746558712403796E-2</v>
      </c>
      <c r="AF15" s="2">
        <v>0.47845659938576524</v>
      </c>
      <c r="AG15" s="2">
        <v>2.5225521048372432E-2</v>
      </c>
      <c r="AH15" s="2">
        <v>0.64986264727524179</v>
      </c>
      <c r="AI15" s="2">
        <v>4.4517679067184852E-2</v>
      </c>
      <c r="AJ15" s="2">
        <v>22.999103635184699</v>
      </c>
      <c r="AK15" s="2">
        <v>4.1936387110022704</v>
      </c>
      <c r="AL15" s="1">
        <v>33613.364444218598</v>
      </c>
      <c r="AM15" s="1">
        <v>1092.6271213541941</v>
      </c>
      <c r="AN15" s="2">
        <v>64.975801638534051</v>
      </c>
      <c r="AO15" s="2">
        <v>6.5262349463541653</v>
      </c>
      <c r="AP15" s="2">
        <v>7.6476006514261989</v>
      </c>
      <c r="AQ15" s="2">
        <v>3.0885801956156818</v>
      </c>
      <c r="AR15" s="2">
        <v>183.40976202071928</v>
      </c>
      <c r="AS15" s="12">
        <v>11.946378286635799</v>
      </c>
      <c r="AT15" s="2"/>
      <c r="AU15">
        <v>446037</v>
      </c>
      <c r="AV15">
        <v>0.8</v>
      </c>
      <c r="AW15" s="2">
        <v>110679.15632754342</v>
      </c>
      <c r="AX15" s="96">
        <v>3.304442062768393</v>
      </c>
      <c r="AY15" s="2">
        <v>8.4023029680138903E-2</v>
      </c>
      <c r="AZ15" s="2">
        <v>-0.72555793723160722</v>
      </c>
      <c r="BA15" s="2">
        <v>6.7222691737668858E-2</v>
      </c>
      <c r="BB15" s="1">
        <v>7.9063542198138003E-12</v>
      </c>
      <c r="BC15" s="1">
        <v>3.0761285775499098E-13</v>
      </c>
      <c r="BD15" s="1">
        <v>6.6033564915227201E-12</v>
      </c>
      <c r="BE15" s="1">
        <v>3.4814674597582501E-13</v>
      </c>
      <c r="BF15" s="1">
        <v>1.7459643123461499E-11</v>
      </c>
      <c r="BG15" s="1">
        <v>1.1960416442716999E-12</v>
      </c>
      <c r="BH15" s="1">
        <v>2.6896970282744E-5</v>
      </c>
      <c r="BI15" s="1">
        <v>6.8391725121652198E-7</v>
      </c>
      <c r="BJ15" s="1">
        <v>1.4584797427190299E-9</v>
      </c>
      <c r="BK15" s="1">
        <v>2.6593806460014402E-10</v>
      </c>
      <c r="BL15" s="1">
        <v>1.8080867419941401E-6</v>
      </c>
      <c r="BM15" s="1">
        <v>5.8773188722068899E-8</v>
      </c>
      <c r="BN15" s="1">
        <v>2.8705599715335698E-9</v>
      </c>
      <c r="BO15" s="1">
        <v>2.8832193415706302E-10</v>
      </c>
      <c r="BP15" s="1">
        <v>2.8571271553951598E-10</v>
      </c>
      <c r="BQ15" s="1">
        <v>1.1538869183583201E-10</v>
      </c>
      <c r="BR15" s="1">
        <v>6.0704775044636899E-9</v>
      </c>
      <c r="BS15" s="85">
        <v>3.9540000406654299E-10</v>
      </c>
      <c r="BT15">
        <v>7.2000000000000002E-5</v>
      </c>
    </row>
    <row r="16" spans="1:72" ht="15.6" x14ac:dyDescent="0.3">
      <c r="A16" s="26" t="s">
        <v>72</v>
      </c>
      <c r="B16" s="2">
        <v>2.5299999999999998</v>
      </c>
      <c r="C16" s="2">
        <v>12.551722134387353</v>
      </c>
      <c r="D16" s="2">
        <v>0.39689157179318357</v>
      </c>
      <c r="E16" s="2">
        <v>0.813904644582224</v>
      </c>
      <c r="F16" s="14">
        <v>317.19819664713202</v>
      </c>
      <c r="G16" s="2">
        <v>12.9752257281186</v>
      </c>
      <c r="H16" s="19">
        <v>31.755856999999999</v>
      </c>
      <c r="I16" s="23">
        <v>4.0200000000000001E-4</v>
      </c>
      <c r="J16" s="2">
        <v>1.883</v>
      </c>
      <c r="K16" s="2">
        <v>6.9999999999999993E-2</v>
      </c>
      <c r="L16" s="2">
        <v>0.74426877470355735</v>
      </c>
      <c r="M16" s="2"/>
      <c r="N16" s="17">
        <v>4.0486000000000001E-2</v>
      </c>
      <c r="O16" s="25">
        <v>1.6249999999999999E-3</v>
      </c>
      <c r="P16" s="2">
        <v>1.3546762589928056</v>
      </c>
      <c r="Q16" s="2">
        <v>5.035971223021582E-2</v>
      </c>
      <c r="R16" s="2">
        <v>30.401180741007192</v>
      </c>
      <c r="S16" s="2">
        <v>5.0761712230215819E-2</v>
      </c>
      <c r="T16" s="14">
        <v>303.644044197239</v>
      </c>
      <c r="U16" s="12">
        <v>12.2512367959797</v>
      </c>
      <c r="V16" s="2">
        <v>0.67700099999999996</v>
      </c>
      <c r="W16" s="2">
        <v>1.6670000000000001E-2</v>
      </c>
      <c r="X16" s="2">
        <v>2.0009959497737904</v>
      </c>
      <c r="Y16" s="2">
        <v>8.9224382279574938E-2</v>
      </c>
      <c r="Z16" s="2">
        <v>29.754861050226207</v>
      </c>
      <c r="AA16" s="2">
        <v>8.9626382279574937E-2</v>
      </c>
      <c r="AB16" s="14">
        <v>297.40625361455199</v>
      </c>
      <c r="AC16" s="12">
        <v>12.524347985204299</v>
      </c>
      <c r="AD16" s="2">
        <v>0.30792144040457053</v>
      </c>
      <c r="AE16" s="2">
        <v>1.3403101205810215E-2</v>
      </c>
      <c r="AF16" s="2">
        <v>0.37070888078588782</v>
      </c>
      <c r="AG16" s="2">
        <v>4.2041091200437274E-2</v>
      </c>
      <c r="AH16" s="2">
        <v>0.39574543361520126</v>
      </c>
      <c r="AI16" s="2">
        <v>3.239151610901491E-2</v>
      </c>
      <c r="AJ16" s="2">
        <v>30.708908048806691</v>
      </c>
      <c r="AK16" s="2">
        <v>4.0374851731064112</v>
      </c>
      <c r="AL16" s="2">
        <v>1615.7642182197972</v>
      </c>
      <c r="AM16" s="2">
        <v>61.649831964928651</v>
      </c>
      <c r="AN16" s="2">
        <v>63.980118020232965</v>
      </c>
      <c r="AO16" s="2">
        <v>3.0756105945588388</v>
      </c>
      <c r="AP16" s="2">
        <v>4.6033039320536684</v>
      </c>
      <c r="AQ16" s="2">
        <v>1.9665068650028708</v>
      </c>
      <c r="AR16" s="2">
        <v>96.597127156796191</v>
      </c>
      <c r="AS16" s="12">
        <v>6.9876197112849461</v>
      </c>
      <c r="AT16" s="2"/>
      <c r="AU16">
        <v>223646</v>
      </c>
      <c r="AV16">
        <v>0.9</v>
      </c>
      <c r="AW16" s="2">
        <v>88397.628458498031</v>
      </c>
      <c r="AX16" s="96">
        <v>1.9081497212710186</v>
      </c>
      <c r="AY16" s="2">
        <v>5.2324219010423119E-2</v>
      </c>
      <c r="AZ16" s="2">
        <v>-0.62185027872898124</v>
      </c>
      <c r="BA16" s="2">
        <v>3.4348687665457169E-3</v>
      </c>
      <c r="BB16" s="1">
        <v>2.6142323631663198E-12</v>
      </c>
      <c r="BC16" s="1">
        <v>1.1379142970033501E-13</v>
      </c>
      <c r="BD16" s="1">
        <v>3.2119639328366302E-12</v>
      </c>
      <c r="BE16" s="1">
        <v>3.6426013951063801E-13</v>
      </c>
      <c r="BF16" s="1">
        <v>6.6749063136430604E-12</v>
      </c>
      <c r="BG16" s="1">
        <v>5.4633690503871799E-13</v>
      </c>
      <c r="BH16" s="1">
        <v>1.58851232864531E-5</v>
      </c>
      <c r="BI16" s="1">
        <v>4.3559300435518102E-7</v>
      </c>
      <c r="BJ16" s="1">
        <v>1.22255762963778E-9</v>
      </c>
      <c r="BK16" s="1">
        <v>1.60737017906518E-10</v>
      </c>
      <c r="BL16" s="1">
        <v>5.45633138293658E-8</v>
      </c>
      <c r="BM16" s="1">
        <v>2.0818749982817601E-9</v>
      </c>
      <c r="BN16" s="1">
        <v>1.77449790167934E-9</v>
      </c>
      <c r="BO16" s="1">
        <v>8.53025082682949E-11</v>
      </c>
      <c r="BP16" s="1">
        <v>1.07966616743263E-10</v>
      </c>
      <c r="BQ16" s="1">
        <v>4.6122762292178199E-11</v>
      </c>
      <c r="BR16" s="1">
        <v>2.0071512130970298E-9</v>
      </c>
      <c r="BS16" s="85">
        <v>1.4519282087344701E-10</v>
      </c>
      <c r="BT16">
        <v>6.9999999999999994E-5</v>
      </c>
    </row>
    <row r="17" spans="1:72" ht="15.6" x14ac:dyDescent="0.3">
      <c r="A17" s="26" t="s">
        <v>73</v>
      </c>
      <c r="B17" s="2">
        <v>1.57</v>
      </c>
      <c r="C17" s="2">
        <v>15.223701910828025</v>
      </c>
      <c r="D17" s="2">
        <v>0.56692185983732912</v>
      </c>
      <c r="E17" s="2">
        <v>1.1187943619455296</v>
      </c>
      <c r="F17" s="14">
        <v>268.94452491919202</v>
      </c>
      <c r="G17" s="2">
        <v>9.1664400507862904</v>
      </c>
      <c r="H17" s="19">
        <v>23.901212000000001</v>
      </c>
      <c r="I17" s="23">
        <v>3.5100000000000002E-4</v>
      </c>
      <c r="J17" s="2">
        <v>0.90399999999999991</v>
      </c>
      <c r="K17" s="2">
        <v>5.6000000000000001E-2</v>
      </c>
      <c r="L17" s="2">
        <v>0.57579617834394892</v>
      </c>
      <c r="M17" s="2"/>
      <c r="N17" s="17">
        <v>2.5111999999999999E-2</v>
      </c>
      <c r="O17" s="25">
        <v>1.4159999999999999E-3</v>
      </c>
      <c r="P17" s="2">
        <v>0.65035971223021583</v>
      </c>
      <c r="Q17" s="2">
        <v>4.0287769784172658E-2</v>
      </c>
      <c r="R17" s="2">
        <v>23.250852287769785</v>
      </c>
      <c r="S17" s="2">
        <v>4.0638769784172656E-2</v>
      </c>
      <c r="T17" s="14">
        <v>261.76091000398497</v>
      </c>
      <c r="U17" s="12">
        <v>8.8736692709547906</v>
      </c>
      <c r="V17" s="2">
        <v>0.67700099999999996</v>
      </c>
      <c r="W17" s="2">
        <v>1.6670000000000001E-2</v>
      </c>
      <c r="X17" s="2">
        <v>0.96064808210064057</v>
      </c>
      <c r="Y17" s="2">
        <v>6.403802712959808E-2</v>
      </c>
      <c r="Z17" s="2">
        <v>22.940563917899361</v>
      </c>
      <c r="AA17" s="2">
        <v>6.4389027129598084E-2</v>
      </c>
      <c r="AB17" s="14">
        <v>258.33052600628002</v>
      </c>
      <c r="AC17" s="12">
        <v>8.8852033581475904</v>
      </c>
      <c r="AD17" s="2">
        <v>0.46845399760289969</v>
      </c>
      <c r="AE17" s="2">
        <v>1.1975575933213982E-2</v>
      </c>
      <c r="AF17" s="2">
        <v>0.41028275931012254</v>
      </c>
      <c r="AG17" s="2">
        <v>6.8086315459317509E-2</v>
      </c>
      <c r="AH17" s="2">
        <v>0.63215465554386785</v>
      </c>
      <c r="AI17" s="2">
        <v>4.8860819002759112E-2</v>
      </c>
      <c r="AJ17" s="2">
        <v>11.998661252854356</v>
      </c>
      <c r="AK17" s="2">
        <v>5.2935729857422231</v>
      </c>
      <c r="AL17" s="2">
        <v>1498.7866913746138</v>
      </c>
      <c r="AM17" s="2">
        <v>70.726582241626588</v>
      </c>
      <c r="AN17" s="2">
        <v>64.384733044898596</v>
      </c>
      <c r="AO17" s="2">
        <v>6.0068644983395352</v>
      </c>
      <c r="AP17" s="2">
        <v>7.2730408352369915</v>
      </c>
      <c r="AQ17" s="2">
        <v>3.0775619440616699</v>
      </c>
      <c r="AR17" s="2">
        <v>45.680193002350002</v>
      </c>
      <c r="AS17" s="12">
        <v>3.4038074490648067</v>
      </c>
      <c r="AT17" s="2"/>
      <c r="AU17">
        <v>154186</v>
      </c>
      <c r="AV17">
        <v>1</v>
      </c>
      <c r="AW17" s="2">
        <v>98207.643312101907</v>
      </c>
      <c r="AX17" s="96">
        <v>1.1486678621103166</v>
      </c>
      <c r="AY17" s="2">
        <v>3.1150282922964141E-2</v>
      </c>
      <c r="AZ17" s="2">
        <v>-0.42133213788968349</v>
      </c>
      <c r="BA17" s="2">
        <v>3.2843223261425406E-3</v>
      </c>
      <c r="BB17" s="1">
        <v>2.4680294504582298E-12</v>
      </c>
      <c r="BC17" s="1">
        <v>6.3092799379684402E-14</v>
      </c>
      <c r="BD17" s="1">
        <v>2.2059723702633299E-12</v>
      </c>
      <c r="BE17" s="1">
        <v>3.6608053175044002E-13</v>
      </c>
      <c r="BF17" s="1">
        <v>6.61655206135915E-12</v>
      </c>
      <c r="BG17" s="1">
        <v>5.1140990556221203E-13</v>
      </c>
      <c r="BH17" s="1">
        <v>9.5630392708560794E-6</v>
      </c>
      <c r="BI17" s="1">
        <v>2.5933639193430702E-7</v>
      </c>
      <c r="BJ17" s="1">
        <v>2.9642640703353802E-10</v>
      </c>
      <c r="BK17" s="1">
        <v>1.3077749154390699E-10</v>
      </c>
      <c r="BL17" s="1">
        <v>3.1408103383050502E-8</v>
      </c>
      <c r="BM17" s="1">
        <v>1.48212405391556E-9</v>
      </c>
      <c r="BN17" s="1">
        <v>1.10813451962827E-9</v>
      </c>
      <c r="BO17" s="1">
        <v>1.03384973277714E-10</v>
      </c>
      <c r="BP17" s="1">
        <v>1.05855883112284E-10</v>
      </c>
      <c r="BQ17" s="1">
        <v>4.4792548921635499E-11</v>
      </c>
      <c r="BR17" s="1">
        <v>5.8901037297708197E-10</v>
      </c>
      <c r="BS17" s="85">
        <v>4.3889435734492001E-11</v>
      </c>
      <c r="BT17">
        <v>5.5999999999999999E-5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9C56-C237-4C79-B624-5A25FD59542B}">
  <dimension ref="A1:BV9"/>
  <sheetViews>
    <sheetView workbookViewId="0">
      <selection activeCell="G14" sqref="G14"/>
    </sheetView>
  </sheetViews>
  <sheetFormatPr defaultRowHeight="14.4" x14ac:dyDescent="0.3"/>
  <sheetData>
    <row r="1" spans="1:74" x14ac:dyDescent="0.3">
      <c r="A1" t="s">
        <v>29</v>
      </c>
      <c r="B1" t="s">
        <v>21</v>
      </c>
      <c r="C1" t="s">
        <v>119</v>
      </c>
      <c r="D1" t="s">
        <v>120</v>
      </c>
      <c r="E1" t="s">
        <v>116</v>
      </c>
      <c r="F1" t="s">
        <v>121</v>
      </c>
      <c r="G1" t="s">
        <v>88</v>
      </c>
      <c r="H1" t="s">
        <v>122</v>
      </c>
      <c r="I1" t="s">
        <v>88</v>
      </c>
      <c r="J1" t="s">
        <v>117</v>
      </c>
      <c r="K1" t="s">
        <v>88</v>
      </c>
      <c r="L1" t="s">
        <v>86</v>
      </c>
      <c r="M1" t="s">
        <v>88</v>
      </c>
      <c r="N1" t="s">
        <v>91</v>
      </c>
      <c r="O1" t="s">
        <v>88</v>
      </c>
      <c r="P1" t="s">
        <v>90</v>
      </c>
      <c r="Q1" t="s">
        <v>88</v>
      </c>
      <c r="R1" t="s">
        <v>123</v>
      </c>
      <c r="S1" t="s">
        <v>88</v>
      </c>
      <c r="T1" t="s">
        <v>118</v>
      </c>
      <c r="U1" t="s">
        <v>88</v>
      </c>
      <c r="V1" t="s">
        <v>92</v>
      </c>
      <c r="W1" t="s">
        <v>88</v>
      </c>
      <c r="X1" t="s">
        <v>93</v>
      </c>
      <c r="Y1" t="s">
        <v>88</v>
      </c>
      <c r="Z1" t="s">
        <v>94</v>
      </c>
      <c r="AA1" t="s">
        <v>88</v>
      </c>
      <c r="AB1" t="s">
        <v>18</v>
      </c>
      <c r="AC1" t="s">
        <v>88</v>
      </c>
      <c r="AD1" t="s">
        <v>19</v>
      </c>
      <c r="AE1" t="s">
        <v>88</v>
      </c>
      <c r="AF1" t="s">
        <v>20</v>
      </c>
      <c r="AG1" t="s">
        <v>88</v>
      </c>
      <c r="AH1" t="s">
        <v>61</v>
      </c>
      <c r="AI1" t="s">
        <v>88</v>
      </c>
      <c r="AJ1" t="s">
        <v>62</v>
      </c>
      <c r="AK1" t="s">
        <v>88</v>
      </c>
      <c r="AL1" t="s">
        <v>63</v>
      </c>
      <c r="AM1" t="s">
        <v>88</v>
      </c>
      <c r="AN1" t="s">
        <v>64</v>
      </c>
      <c r="AO1" t="s">
        <v>88</v>
      </c>
      <c r="AP1" t="s">
        <v>65</v>
      </c>
      <c r="AQ1" t="s">
        <v>88</v>
      </c>
      <c r="AR1" t="s">
        <v>81</v>
      </c>
      <c r="AS1" t="s">
        <v>88</v>
      </c>
      <c r="AT1" t="s">
        <v>82</v>
      </c>
      <c r="AU1" t="s">
        <v>125</v>
      </c>
      <c r="AV1" t="s">
        <v>88</v>
      </c>
      <c r="AW1" t="s">
        <v>127</v>
      </c>
      <c r="AX1" t="s">
        <v>124</v>
      </c>
      <c r="AY1" t="s">
        <v>15</v>
      </c>
      <c r="AZ1" t="s">
        <v>88</v>
      </c>
      <c r="BA1" t="s">
        <v>16</v>
      </c>
      <c r="BB1" t="s">
        <v>88</v>
      </c>
      <c r="BC1" t="s">
        <v>17</v>
      </c>
      <c r="BD1" t="s">
        <v>88</v>
      </c>
      <c r="BE1" t="s">
        <v>55</v>
      </c>
      <c r="BF1" t="s">
        <v>88</v>
      </c>
      <c r="BG1" t="s">
        <v>56</v>
      </c>
      <c r="BH1" t="s">
        <v>88</v>
      </c>
      <c r="BI1" t="s">
        <v>57</v>
      </c>
      <c r="BJ1" t="s">
        <v>88</v>
      </c>
      <c r="BK1" t="s">
        <v>58</v>
      </c>
      <c r="BL1" t="s">
        <v>88</v>
      </c>
      <c r="BM1" t="s">
        <v>59</v>
      </c>
      <c r="BN1" t="s">
        <v>88</v>
      </c>
      <c r="BO1" t="s">
        <v>60</v>
      </c>
      <c r="BP1" t="s">
        <v>88</v>
      </c>
      <c r="BR1" t="s">
        <v>87</v>
      </c>
      <c r="BS1" t="s">
        <v>88</v>
      </c>
    </row>
    <row r="2" spans="1:74" x14ac:dyDescent="0.3">
      <c r="A2" t="s">
        <v>96</v>
      </c>
      <c r="B2">
        <v>1.03</v>
      </c>
      <c r="C2">
        <v>219.5304359223301</v>
      </c>
      <c r="D2">
        <v>2.7481403796315749</v>
      </c>
      <c r="E2">
        <v>2.3528531254563472</v>
      </c>
      <c r="F2">
        <v>765.121323508665</v>
      </c>
      <c r="G2">
        <v>81.305826784950895</v>
      </c>
      <c r="H2">
        <v>226.11634900000001</v>
      </c>
      <c r="I2">
        <v>2.666E-3</v>
      </c>
      <c r="J2">
        <v>7.8919999999999995</v>
      </c>
      <c r="K2">
        <v>0.35</v>
      </c>
      <c r="L2">
        <v>7.662135922330096</v>
      </c>
      <c r="N2">
        <v>2.3276000000000002E-2</v>
      </c>
      <c r="O2">
        <v>1.119E-3</v>
      </c>
      <c r="P2">
        <v>5.6776978417266184</v>
      </c>
      <c r="Q2">
        <v>0.25179856115107913</v>
      </c>
      <c r="R2">
        <v>220.43865115827339</v>
      </c>
      <c r="S2">
        <v>0.25446456115107913</v>
      </c>
      <c r="T2">
        <v>747.30568327849699</v>
      </c>
      <c r="U2">
        <v>79.011307580136503</v>
      </c>
      <c r="V2">
        <v>1.2358420000000001</v>
      </c>
      <c r="W2">
        <v>8.8944999999999996E-2</v>
      </c>
      <c r="X2">
        <v>4.5941939517564689</v>
      </c>
      <c r="Y2">
        <v>0.38838354301603989</v>
      </c>
      <c r="Z2">
        <v>221.52215504824355</v>
      </c>
      <c r="AA2">
        <v>0.39104954301603989</v>
      </c>
      <c r="AB2">
        <v>751.37660231191501</v>
      </c>
      <c r="AC2">
        <v>81.227997061540194</v>
      </c>
      <c r="AD2">
        <v>2.498422889358308</v>
      </c>
      <c r="AE2">
        <v>0.30906250721846817</v>
      </c>
      <c r="AF2">
        <v>1.0404895428052789</v>
      </c>
      <c r="AG2">
        <v>8.5007404286468802E-2</v>
      </c>
      <c r="AH2">
        <v>0.29291677638081992</v>
      </c>
      <c r="AI2">
        <v>6.6102224229247136E-2</v>
      </c>
      <c r="AJ2">
        <v>173.62676052968135</v>
      </c>
      <c r="AK2">
        <v>26.230057772070332</v>
      </c>
      <c r="AL2">
        <v>3328.6363997836247</v>
      </c>
      <c r="AM2">
        <v>233.02143984236213</v>
      </c>
      <c r="AN2">
        <v>10.857960833094497</v>
      </c>
      <c r="AO2">
        <v>5.6741603467824815</v>
      </c>
      <c r="AP2">
        <v>0</v>
      </c>
      <c r="AQ2">
        <v>0</v>
      </c>
      <c r="AR2">
        <v>152.59642021846838</v>
      </c>
      <c r="AS2">
        <v>3.8439939898753019</v>
      </c>
      <c r="AX2">
        <v>1.6034060938892678</v>
      </c>
      <c r="AY2">
        <v>4.5102505634572521E-2</v>
      </c>
      <c r="AZ2">
        <v>0.57340609388926778</v>
      </c>
      <c r="BA2">
        <v>3.4283340342484868E-3</v>
      </c>
      <c r="BB2">
        <v>8.6354885101981792E-12</v>
      </c>
      <c r="BC2">
        <v>1.06823618266786E-12</v>
      </c>
      <c r="BD2">
        <v>3.6702199626350599E-12</v>
      </c>
      <c r="BE2">
        <v>2.9985488498309202E-13</v>
      </c>
      <c r="BF2">
        <v>2.0113618644816302E-12</v>
      </c>
      <c r="BG2">
        <v>4.5390193970749698E-13</v>
      </c>
      <c r="BH2">
        <v>1.33481993465036E-5</v>
      </c>
      <c r="BI2">
        <v>3.7547396042181497E-7</v>
      </c>
      <c r="BJ2">
        <v>2.8140922635023099E-9</v>
      </c>
      <c r="BK2">
        <v>4.25129181828992E-10</v>
      </c>
      <c r="BL2">
        <v>4.5762086115551703E-8</v>
      </c>
      <c r="BM2">
        <v>3.2035782573095702E-9</v>
      </c>
      <c r="BN2">
        <v>1.22601399452832E-10</v>
      </c>
      <c r="BO2">
        <v>6.4069120337491306E-11</v>
      </c>
      <c r="BP2">
        <v>0</v>
      </c>
      <c r="BQ2">
        <v>0</v>
      </c>
      <c r="BR2">
        <v>1.2908534233329701E-9</v>
      </c>
      <c r="BS2">
        <v>3.2517360459687598E-11</v>
      </c>
      <c r="BU2">
        <v>7.8919999999999997E-3</v>
      </c>
      <c r="BV2">
        <v>3.5E-4</v>
      </c>
    </row>
    <row r="3" spans="1:74" x14ac:dyDescent="0.3">
      <c r="A3" t="s">
        <v>97</v>
      </c>
      <c r="B3">
        <v>0.95</v>
      </c>
      <c r="C3">
        <v>47.824854736842106</v>
      </c>
      <c r="D3">
        <v>0.60476160000000001</v>
      </c>
      <c r="E3">
        <v>3.3088235294117645</v>
      </c>
      <c r="F3">
        <v>754.20014378174801</v>
      </c>
      <c r="G3">
        <v>21.555518825512902</v>
      </c>
      <c r="H3">
        <v>45.433611999999997</v>
      </c>
      <c r="I3">
        <v>5.6099999999999998E-4</v>
      </c>
      <c r="J3">
        <v>2.653</v>
      </c>
      <c r="K3">
        <v>0.1</v>
      </c>
      <c r="L3">
        <v>2.7926315789473688</v>
      </c>
      <c r="N3">
        <v>4.0825E-2</v>
      </c>
      <c r="O3">
        <v>1.433E-3</v>
      </c>
      <c r="P3">
        <v>1.9086330935251796</v>
      </c>
      <c r="Q3">
        <v>7.1942446043165478E-2</v>
      </c>
      <c r="R3">
        <v>43.524978906474814</v>
      </c>
      <c r="S3">
        <v>7.2503446043165484E-2</v>
      </c>
      <c r="T3">
        <v>724.89309582541898</v>
      </c>
      <c r="U3">
        <v>19.934398319680099</v>
      </c>
      <c r="V3">
        <v>0.58468299999999995</v>
      </c>
      <c r="W3">
        <v>1.2674E-2</v>
      </c>
      <c r="X3">
        <v>3.2643895812349251</v>
      </c>
      <c r="Y3">
        <v>0.14194109096202717</v>
      </c>
      <c r="Z3">
        <v>42.169222418765074</v>
      </c>
      <c r="AA3">
        <v>0.14250209096202718</v>
      </c>
      <c r="AB3">
        <v>704.23544042792798</v>
      </c>
      <c r="AC3">
        <v>20.227135920294799</v>
      </c>
      <c r="AD3">
        <v>0.56463157894736848</v>
      </c>
      <c r="AE3">
        <v>1.5496000000000001E-2</v>
      </c>
      <c r="AF3">
        <v>0.16720842105263159</v>
      </c>
      <c r="AG3">
        <v>4.5183157894736842E-2</v>
      </c>
      <c r="AH3">
        <v>5.2736842105263158E-2</v>
      </c>
      <c r="AI3">
        <v>5.0052631578947362E-2</v>
      </c>
      <c r="AJ3">
        <v>105.69368421052631</v>
      </c>
      <c r="AK3">
        <v>27.359947368421054</v>
      </c>
      <c r="AL3">
        <v>391.94989473684205</v>
      </c>
      <c r="AM3">
        <v>59.383957894736845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X3">
        <v>0.94561284629600018</v>
      </c>
      <c r="AY3">
        <v>2.2800309745715737E-2</v>
      </c>
      <c r="AZ3">
        <v>-4.3871537039997799E-3</v>
      </c>
      <c r="BA3">
        <v>6.3071065989847705E-4</v>
      </c>
      <c r="BB3">
        <v>1.8E-12</v>
      </c>
      <c r="BC3">
        <v>4.9400000000000003E-14</v>
      </c>
      <c r="BD3">
        <v>5.44E-13</v>
      </c>
      <c r="BE3">
        <v>1.47E-13</v>
      </c>
      <c r="BF3">
        <v>3.3399999999999999E-13</v>
      </c>
      <c r="BG3">
        <v>3.1700000000000001E-13</v>
      </c>
      <c r="BH3">
        <v>7.8800000000000008E-6</v>
      </c>
      <c r="BI3">
        <v>1.9000000000000001E-7</v>
      </c>
      <c r="BJ3">
        <v>1.5799999999999999E-9</v>
      </c>
      <c r="BK3">
        <v>4.0899999999999998E-10</v>
      </c>
      <c r="BL3">
        <v>4.97E-9</v>
      </c>
      <c r="BM3">
        <v>7.5299999999999998E-10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U3">
        <v>2.653E-3</v>
      </c>
      <c r="BV3">
        <v>1E-4</v>
      </c>
    </row>
    <row r="4" spans="1:74" x14ac:dyDescent="0.3">
      <c r="A4" t="s">
        <v>98</v>
      </c>
      <c r="B4">
        <v>0.53</v>
      </c>
      <c r="C4">
        <v>133.61789245283018</v>
      </c>
      <c r="D4">
        <v>2.6297720754716978</v>
      </c>
      <c r="E4">
        <v>0.86792452830188682</v>
      </c>
      <c r="F4">
        <v>502.45782059737098</v>
      </c>
      <c r="G4">
        <v>56.324903184248299</v>
      </c>
      <c r="H4">
        <v>70.817482999999996</v>
      </c>
      <c r="I4">
        <v>6.8099999999999996E-4</v>
      </c>
      <c r="J4">
        <v>2.5170000000000003</v>
      </c>
      <c r="K4">
        <v>7.3999999999999996E-2</v>
      </c>
      <c r="L4">
        <v>4.7490566037735853</v>
      </c>
      <c r="N4">
        <v>2.5023E-2</v>
      </c>
      <c r="O4">
        <v>8.2700000000000004E-4</v>
      </c>
      <c r="P4">
        <v>1.810791366906475</v>
      </c>
      <c r="Q4">
        <v>5.3237410071942444E-2</v>
      </c>
      <c r="R4">
        <v>69.006691633093524</v>
      </c>
      <c r="S4">
        <v>5.3918410071942445E-2</v>
      </c>
      <c r="T4">
        <v>490.27681772846103</v>
      </c>
      <c r="U4">
        <v>52.828385377966299</v>
      </c>
      <c r="V4">
        <v>0.58468299999999995</v>
      </c>
      <c r="W4">
        <v>1.2674E-2</v>
      </c>
      <c r="X4">
        <v>3.0970480874362263</v>
      </c>
      <c r="Y4">
        <v>0.11312682576552562</v>
      </c>
      <c r="Z4">
        <v>67.720434912563775</v>
      </c>
      <c r="AA4">
        <v>0.11380782576552562</v>
      </c>
      <c r="AB4">
        <v>481.07134007463497</v>
      </c>
      <c r="AC4">
        <v>52.604814308497801</v>
      </c>
      <c r="AD4">
        <v>2.069132075471698</v>
      </c>
      <c r="AE4">
        <v>0.27719622641509434</v>
      </c>
      <c r="AF4">
        <v>2.3359999999999999</v>
      </c>
      <c r="AG4">
        <v>0.40990188679245282</v>
      </c>
      <c r="AH4">
        <v>0.76981132075471714</v>
      </c>
      <c r="AI4">
        <v>0.45</v>
      </c>
      <c r="AJ4">
        <v>484.41886792452834</v>
      </c>
      <c r="AK4">
        <v>455.64150943396226</v>
      </c>
      <c r="AL4">
        <v>22900.075471698114</v>
      </c>
      <c r="AM4">
        <v>4862.7320754716975</v>
      </c>
      <c r="AN4">
        <v>130.28969811320755</v>
      </c>
      <c r="AO4">
        <v>59.206943396226414</v>
      </c>
      <c r="AP4">
        <v>0</v>
      </c>
      <c r="AQ4">
        <v>0</v>
      </c>
      <c r="AR4">
        <v>680.01811320754723</v>
      </c>
      <c r="AS4">
        <v>100.62430188679245</v>
      </c>
      <c r="AX4">
        <v>0.50003840759999996</v>
      </c>
      <c r="AY4">
        <v>4.8057219221897804E-2</v>
      </c>
      <c r="AZ4">
        <v>-2.996159240000007E-2</v>
      </c>
      <c r="BA4">
        <v>3.9416058394160583E-2</v>
      </c>
      <c r="BB4">
        <v>3.6799999999999997E-12</v>
      </c>
      <c r="BC4">
        <v>4.9300000000000002E-13</v>
      </c>
      <c r="BD4">
        <v>4.2399999999999997E-12</v>
      </c>
      <c r="BE4">
        <v>7.4399999999999996E-13</v>
      </c>
      <c r="BF4">
        <v>2.7200000000000001E-12</v>
      </c>
      <c r="BG4">
        <v>1.5900000000000001E-12</v>
      </c>
      <c r="BH4">
        <v>4.1099999999999996E-6</v>
      </c>
      <c r="BI4">
        <v>3.9499999999999998E-7</v>
      </c>
      <c r="BJ4">
        <v>4.0400000000000001E-9</v>
      </c>
      <c r="BK4">
        <v>3.8000000000000001E-9</v>
      </c>
      <c r="BL4">
        <v>1.6199999999999999E-7</v>
      </c>
      <c r="BM4">
        <v>3.4399999999999997E-8</v>
      </c>
      <c r="BN4">
        <v>7.5699999999999997E-10</v>
      </c>
      <c r="BO4">
        <v>3.44E-10</v>
      </c>
      <c r="BP4">
        <v>0</v>
      </c>
      <c r="BQ4">
        <v>0</v>
      </c>
      <c r="BR4">
        <v>2.9600000000000001E-9</v>
      </c>
      <c r="BS4">
        <v>4.3799999999999999E-10</v>
      </c>
      <c r="BU4">
        <v>2.5170000000000001E-3</v>
      </c>
      <c r="BV4">
        <v>7.3999999999999996E-5</v>
      </c>
    </row>
    <row r="5" spans="1:74" x14ac:dyDescent="0.3">
      <c r="A5" t="s">
        <v>77</v>
      </c>
      <c r="B5">
        <v>1.22</v>
      </c>
      <c r="C5">
        <v>197.69758524590165</v>
      </c>
      <c r="D5">
        <v>3.326044556662858</v>
      </c>
      <c r="E5">
        <v>3.7999993627733653</v>
      </c>
      <c r="F5">
        <v>578.55805136564595</v>
      </c>
      <c r="G5">
        <v>19.405587282710599</v>
      </c>
      <c r="H5">
        <v>241.19105400000001</v>
      </c>
      <c r="I5">
        <v>4.9309999999999996E-3</v>
      </c>
      <c r="J5">
        <v>3.9940000000000002</v>
      </c>
      <c r="K5">
        <v>9.6000000000000002E-2</v>
      </c>
      <c r="L5">
        <v>3.2737704918032788</v>
      </c>
      <c r="N5">
        <v>1.1904E-2</v>
      </c>
      <c r="O5">
        <v>3.1399999999999999E-4</v>
      </c>
      <c r="P5">
        <v>2.8733812949640289</v>
      </c>
      <c r="Q5">
        <v>6.9064748201438847E-2</v>
      </c>
      <c r="R5">
        <v>238.31767270503599</v>
      </c>
      <c r="S5">
        <v>7.3995748201438852E-2</v>
      </c>
      <c r="T5">
        <v>571.54421222365602</v>
      </c>
      <c r="U5">
        <v>19.169818219925901</v>
      </c>
      <c r="V5">
        <v>0.87469399999999997</v>
      </c>
      <c r="W5">
        <v>1.2834E-2</v>
      </c>
      <c r="X5">
        <v>3.2850131531301563</v>
      </c>
      <c r="Y5">
        <v>9.2507738061547787E-2</v>
      </c>
      <c r="Z5">
        <v>237.90604084686984</v>
      </c>
      <c r="AA5">
        <v>9.7438738061547792E-2</v>
      </c>
      <c r="AB5">
        <v>570.38952628013703</v>
      </c>
      <c r="AC5">
        <v>18.918015363963502</v>
      </c>
      <c r="AD5">
        <v>3.1322041274332841</v>
      </c>
      <c r="AE5">
        <v>0.11654383287371102</v>
      </c>
      <c r="AF5">
        <v>0.80766845512322394</v>
      </c>
      <c r="AG5">
        <v>7.4540863450446873E-2</v>
      </c>
      <c r="AH5">
        <v>0.25463914962593609</v>
      </c>
      <c r="AI5">
        <v>1.3107571885148977E-2</v>
      </c>
      <c r="AJ5">
        <v>95.869840071951756</v>
      </c>
      <c r="AK5">
        <v>10.251480615836105</v>
      </c>
      <c r="AL5">
        <v>582.37788747944728</v>
      </c>
      <c r="AM5">
        <v>13.148226198883215</v>
      </c>
      <c r="AN5">
        <v>12.174212880786547</v>
      </c>
      <c r="AO5">
        <v>2.1482034847417086</v>
      </c>
      <c r="AP5">
        <v>2.4295946909542896</v>
      </c>
      <c r="AQ5">
        <v>0.96662933009724394</v>
      </c>
      <c r="AR5">
        <v>10.065314452873306</v>
      </c>
      <c r="AS5">
        <v>0.41894948875977972</v>
      </c>
      <c r="AX5">
        <v>1.3992935975690519</v>
      </c>
      <c r="AY5">
        <v>2.3772236047476334E-2</v>
      </c>
      <c r="AZ5">
        <v>0.17929359756905194</v>
      </c>
      <c r="BA5">
        <v>8.1334268174606042E-4</v>
      </c>
      <c r="BB5">
        <v>1.28231175686866E-11</v>
      </c>
      <c r="BC5">
        <v>4.7712575874472299E-13</v>
      </c>
      <c r="BD5">
        <v>3.3745051892134699E-12</v>
      </c>
      <c r="BE5">
        <v>3.1143785414227802E-13</v>
      </c>
      <c r="BF5">
        <v>2.0710650836242799E-12</v>
      </c>
      <c r="BG5">
        <v>1.06608251332545E-13</v>
      </c>
      <c r="BH5">
        <v>1.16598610598109E-5</v>
      </c>
      <c r="BI5">
        <v>1.98086355769897E-7</v>
      </c>
      <c r="BJ5">
        <v>1.84045955763621E-9</v>
      </c>
      <c r="BK5">
        <v>1.9680261764469E-10</v>
      </c>
      <c r="BL5">
        <v>9.4834626631730604E-9</v>
      </c>
      <c r="BM5">
        <v>2.1410619277412599E-10</v>
      </c>
      <c r="BN5">
        <v>1.6282108873667601E-10</v>
      </c>
      <c r="BO5">
        <v>2.8730632003780801E-11</v>
      </c>
      <c r="BP5">
        <v>2.7478497478114701E-11</v>
      </c>
      <c r="BQ5">
        <v>1.09324908011369E-11</v>
      </c>
      <c r="BR5">
        <v>1.0085154100283699E-10</v>
      </c>
      <c r="BS5">
        <v>4.1977527618834697E-12</v>
      </c>
      <c r="BU5">
        <v>3.9940000000000002E-3</v>
      </c>
      <c r="BV5">
        <v>9.6000000000000002E-5</v>
      </c>
    </row>
    <row r="6" spans="1:74" x14ac:dyDescent="0.3">
      <c r="A6" t="s">
        <v>78</v>
      </c>
      <c r="B6">
        <v>0.53</v>
      </c>
      <c r="C6">
        <v>1973.7060811320755</v>
      </c>
      <c r="D6">
        <v>1.5206748979173039</v>
      </c>
      <c r="E6">
        <v>5.614497341273724</v>
      </c>
      <c r="F6">
        <v>5118.7815400629097</v>
      </c>
      <c r="G6">
        <v>58.555299647633802</v>
      </c>
      <c r="H6">
        <v>1046.0642230000001</v>
      </c>
      <c r="I6">
        <v>5.53E-4</v>
      </c>
      <c r="J6">
        <v>6.681</v>
      </c>
      <c r="K6">
        <v>0.128</v>
      </c>
      <c r="L6">
        <v>12.60566037735849</v>
      </c>
      <c r="N6">
        <v>4.6670000000000001E-3</v>
      </c>
      <c r="O6">
        <v>9.1000000000000003E-5</v>
      </c>
      <c r="P6">
        <v>4.8064748201438849</v>
      </c>
      <c r="Q6">
        <v>9.2086330935251801E-2</v>
      </c>
      <c r="R6">
        <v>1041.2577481798562</v>
      </c>
      <c r="S6">
        <v>9.2639330935251799E-2</v>
      </c>
      <c r="T6">
        <v>5109.7514838041598</v>
      </c>
      <c r="U6">
        <v>58.254552680196497</v>
      </c>
      <c r="V6">
        <v>0.87469399999999997</v>
      </c>
      <c r="W6">
        <v>1.2834E-2</v>
      </c>
      <c r="X6">
        <v>5.4950357726746555</v>
      </c>
      <c r="Y6">
        <v>0.13260512527845184</v>
      </c>
      <c r="Z6">
        <v>1040.5691872273255</v>
      </c>
      <c r="AA6">
        <v>0.13315812527845183</v>
      </c>
      <c r="AB6">
        <v>5109.9280334530504</v>
      </c>
      <c r="AC6">
        <v>57.856967850126402</v>
      </c>
      <c r="AD6">
        <v>1.4595408432198924</v>
      </c>
      <c r="AE6">
        <v>4.8842307346739125E-2</v>
      </c>
      <c r="AF6">
        <v>0.25472522790588142</v>
      </c>
      <c r="AG6">
        <v>0.17812776874592182</v>
      </c>
      <c r="AH6">
        <v>0.1632693440118835</v>
      </c>
      <c r="AI6">
        <v>1.3530439476852256E-2</v>
      </c>
      <c r="AJ6">
        <v>102.76117781167697</v>
      </c>
      <c r="AK6">
        <v>11.045764123323908</v>
      </c>
      <c r="AL6">
        <v>1499.3056922533701</v>
      </c>
      <c r="AM6">
        <v>44.510874666826886</v>
      </c>
      <c r="AN6">
        <v>7.8921857744617725</v>
      </c>
      <c r="AO6">
        <v>4.045953901544415</v>
      </c>
      <c r="AP6">
        <v>3.2973949813477477</v>
      </c>
      <c r="AQ6">
        <v>1.3663238250371015</v>
      </c>
      <c r="AR6">
        <v>10.476339866928772</v>
      </c>
      <c r="AS6">
        <v>0.71568928746458405</v>
      </c>
      <c r="AX6">
        <v>0.66621924480117256</v>
      </c>
      <c r="AY6">
        <v>9.1358693811896558E-3</v>
      </c>
      <c r="AZ6">
        <v>0.13621924480117253</v>
      </c>
      <c r="BA6">
        <v>1.9113351414890951E-3</v>
      </c>
      <c r="BB6">
        <v>2.59582767418303E-12</v>
      </c>
      <c r="BC6">
        <v>8.6867190918697099E-14</v>
      </c>
      <c r="BD6">
        <v>4.6234373558259298E-13</v>
      </c>
      <c r="BE6">
        <v>3.2331410080595398E-13</v>
      </c>
      <c r="BF6">
        <v>5.7688501550865504E-13</v>
      </c>
      <c r="BG6">
        <v>4.7807552818211301E-14</v>
      </c>
      <c r="BH6">
        <v>5.5492136513487597E-6</v>
      </c>
      <c r="BI6">
        <v>7.6096407425406696E-8</v>
      </c>
      <c r="BJ6">
        <v>8.5701690385820297E-10</v>
      </c>
      <c r="BK6">
        <v>9.2120456103252102E-11</v>
      </c>
      <c r="BL6">
        <v>1.0606407059453899E-8</v>
      </c>
      <c r="BM6">
        <v>3.14879385656944E-10</v>
      </c>
      <c r="BN6">
        <v>4.5854620263809902E-11</v>
      </c>
      <c r="BO6">
        <v>2.3507515542847399E-11</v>
      </c>
      <c r="BP6">
        <v>1.6201161955263799E-11</v>
      </c>
      <c r="BQ6">
        <v>6.7131883495843497E-12</v>
      </c>
      <c r="BR6">
        <v>4.5601676490409401E-11</v>
      </c>
      <c r="BS6">
        <v>3.1152703872883501E-12</v>
      </c>
      <c r="BU6">
        <v>6.6810000000000003E-3</v>
      </c>
      <c r="BV6">
        <v>1.2799999999999999E-4</v>
      </c>
    </row>
    <row r="7" spans="1:74" x14ac:dyDescent="0.3">
      <c r="A7" t="s">
        <v>79</v>
      </c>
      <c r="B7">
        <v>0.75</v>
      </c>
      <c r="C7">
        <v>311.552616</v>
      </c>
      <c r="D7">
        <v>2.2470698172800385</v>
      </c>
      <c r="E7">
        <v>5.0061722640179509</v>
      </c>
      <c r="F7">
        <v>1253.6213794000601</v>
      </c>
      <c r="G7">
        <v>39.104845199204597</v>
      </c>
      <c r="H7">
        <v>233.66446199999999</v>
      </c>
      <c r="I7">
        <v>1.449E-3</v>
      </c>
      <c r="J7">
        <v>2.8890000000000002</v>
      </c>
      <c r="K7">
        <v>7.5999999999999998E-2</v>
      </c>
      <c r="L7">
        <v>3.8520000000000003</v>
      </c>
      <c r="N7">
        <v>9.0320000000000001E-3</v>
      </c>
      <c r="O7">
        <v>2.5999999999999998E-4</v>
      </c>
      <c r="P7">
        <v>2.0784172661870506</v>
      </c>
      <c r="Q7">
        <v>5.4676258992805746E-2</v>
      </c>
      <c r="R7">
        <v>231.58604473381294</v>
      </c>
      <c r="S7">
        <v>5.6125258992805745E-2</v>
      </c>
      <c r="T7">
        <v>1244.0976420792899</v>
      </c>
      <c r="U7">
        <v>39.209329135952103</v>
      </c>
      <c r="V7">
        <v>0.67700099999999996</v>
      </c>
      <c r="W7">
        <v>1.6670000000000001E-2</v>
      </c>
      <c r="X7">
        <v>3.0700357402530432</v>
      </c>
      <c r="Y7">
        <v>0.11062137716610461</v>
      </c>
      <c r="Z7">
        <v>230.59442625974694</v>
      </c>
      <c r="AA7">
        <v>0.11207037716610461</v>
      </c>
      <c r="AB7">
        <v>1239.6068680723599</v>
      </c>
      <c r="AC7">
        <v>39.345304980680297</v>
      </c>
      <c r="AD7">
        <v>2.146248571714553</v>
      </c>
      <c r="AE7">
        <v>7.4799979367180108E-2</v>
      </c>
      <c r="AF7">
        <v>0.42008852318952383</v>
      </c>
      <c r="AG7">
        <v>0.12870631694037801</v>
      </c>
      <c r="AH7">
        <v>0.14498489572807821</v>
      </c>
      <c r="AI7">
        <v>1.6677710364384739E-2</v>
      </c>
      <c r="AJ7">
        <v>64.340122758263774</v>
      </c>
      <c r="AK7">
        <v>12.077811947384683</v>
      </c>
      <c r="AL7">
        <v>996.12779376069761</v>
      </c>
      <c r="AM7">
        <v>55.989256336032163</v>
      </c>
      <c r="AN7">
        <v>0</v>
      </c>
      <c r="AO7">
        <v>3.7480106671486078</v>
      </c>
      <c r="AP7">
        <v>3.0910097940917929</v>
      </c>
      <c r="AQ7">
        <v>1.3912334134201356</v>
      </c>
      <c r="AR7">
        <v>3.542087656198067</v>
      </c>
      <c r="AS7">
        <v>0.31706091623042892</v>
      </c>
      <c r="AX7">
        <v>0.72689500476014335</v>
      </c>
      <c r="AY7">
        <v>1.7020022445213424E-2</v>
      </c>
      <c r="AZ7">
        <v>-2.3104995239856652E-2</v>
      </c>
      <c r="BA7">
        <v>1.6468406910496516E-3</v>
      </c>
      <c r="BB7">
        <v>5.4016323113621303E-12</v>
      </c>
      <c r="BC7">
        <v>1.8825498162880899E-13</v>
      </c>
      <c r="BD7">
        <v>1.07899449449364E-12</v>
      </c>
      <c r="BE7">
        <v>3.3058129351124498E-13</v>
      </c>
      <c r="BF7">
        <v>7.2492447864039104E-13</v>
      </c>
      <c r="BG7">
        <v>8.3388551821923695E-14</v>
      </c>
      <c r="BH7">
        <v>6.0551786828921997E-6</v>
      </c>
      <c r="BI7">
        <v>1.41780142135672E-7</v>
      </c>
      <c r="BJ7">
        <v>7.5932481618722004E-10</v>
      </c>
      <c r="BK7">
        <v>1.4253908671185701E-10</v>
      </c>
      <c r="BL7">
        <v>9.9719146465633094E-9</v>
      </c>
      <c r="BM7">
        <v>5.6049041980811695E-10</v>
      </c>
      <c r="BN7">
        <v>0</v>
      </c>
      <c r="BO7">
        <v>3.0815698315736198E-11</v>
      </c>
      <c r="BP7">
        <v>2.1491214847212799E-11</v>
      </c>
      <c r="BQ7">
        <v>9.6729865584972799E-12</v>
      </c>
      <c r="BR7">
        <v>2.1818049787685201E-11</v>
      </c>
      <c r="BS7">
        <v>1.95298691830504E-12</v>
      </c>
      <c r="BU7">
        <v>2.8890000000000001E-3</v>
      </c>
      <c r="BV7">
        <v>7.6000000000000004E-5</v>
      </c>
    </row>
    <row r="8" spans="1:74" x14ac:dyDescent="0.3">
      <c r="A8" t="s">
        <v>80</v>
      </c>
      <c r="B8">
        <v>1.1100000000000001</v>
      </c>
      <c r="C8">
        <v>651.54193423423419</v>
      </c>
      <c r="D8">
        <v>0.53020679552584637</v>
      </c>
      <c r="E8">
        <v>3.9462378116685644</v>
      </c>
      <c r="F8">
        <v>5051.7872118846099</v>
      </c>
      <c r="G8">
        <v>426.13109275986301</v>
      </c>
      <c r="H8">
        <v>723.211547</v>
      </c>
      <c r="I8">
        <v>2.5279999999999999E-3</v>
      </c>
      <c r="J8">
        <v>3.5430000000000001</v>
      </c>
      <c r="K8">
        <v>0.10500000000000001</v>
      </c>
      <c r="L8">
        <v>3.1918918918918919</v>
      </c>
      <c r="N8">
        <v>3.4680000000000002E-3</v>
      </c>
      <c r="O8">
        <v>9.8999999999999994E-5</v>
      </c>
      <c r="P8">
        <v>2.5489208633093527</v>
      </c>
      <c r="Q8">
        <v>7.5539568345323743E-2</v>
      </c>
      <c r="R8">
        <v>720.66262613669062</v>
      </c>
      <c r="S8">
        <v>7.8067568345323746E-2</v>
      </c>
      <c r="T8">
        <v>5050.8046529486601</v>
      </c>
      <c r="U8">
        <v>429.571879056321</v>
      </c>
      <c r="V8">
        <v>0.67700099999999996</v>
      </c>
      <c r="W8">
        <v>1.6670000000000001E-2</v>
      </c>
      <c r="X8">
        <v>3.765017870445321</v>
      </c>
      <c r="Y8">
        <v>0.14506773962301833</v>
      </c>
      <c r="Z8">
        <v>719.44652912955462</v>
      </c>
      <c r="AA8">
        <v>0.14759573962301833</v>
      </c>
      <c r="AB8">
        <v>5044.42139963311</v>
      </c>
      <c r="AC8">
        <v>426.00629778491901</v>
      </c>
      <c r="AD8">
        <v>0.50038726356926133</v>
      </c>
      <c r="AE8">
        <v>0.12622017332863786</v>
      </c>
      <c r="AF8">
        <v>0.12424804981910437</v>
      </c>
      <c r="AG8">
        <v>9.0042465708924241E-2</v>
      </c>
      <c r="AH8">
        <v>9.3200518737195814E-2</v>
      </c>
      <c r="AI8">
        <v>1.7350603482767023E-2</v>
      </c>
      <c r="AJ8">
        <v>979.31100453140743</v>
      </c>
      <c r="AK8">
        <v>62.601441180829092</v>
      </c>
      <c r="AL8">
        <v>1028.863954626825</v>
      </c>
      <c r="AM8">
        <v>34.427637678128413</v>
      </c>
      <c r="AN8">
        <v>0</v>
      </c>
      <c r="AO8">
        <v>4.8123870916835783</v>
      </c>
      <c r="AP8">
        <v>7.6265444803978335</v>
      </c>
      <c r="AQ8">
        <v>3.3439518425530501</v>
      </c>
      <c r="AR8">
        <v>4.602552617926472</v>
      </c>
      <c r="AS8">
        <v>0.28581673517706052</v>
      </c>
      <c r="AX8">
        <v>1.1187518659661801</v>
      </c>
      <c r="AY8">
        <v>2.6910475507725126E-2</v>
      </c>
      <c r="AZ8">
        <v>8.7518659661800502E-3</v>
      </c>
      <c r="BA8">
        <v>1.6356575284708307E-3</v>
      </c>
      <c r="BB8">
        <v>1.86385859920094E-12</v>
      </c>
      <c r="BC8">
        <v>4.7014896776774502E-13</v>
      </c>
      <c r="BD8">
        <v>4.7231279212056802E-13</v>
      </c>
      <c r="BE8">
        <v>3.4228471553734902E-13</v>
      </c>
      <c r="BF8">
        <v>6.8968383865524905E-13</v>
      </c>
      <c r="BG8">
        <v>1.2839446577247599E-13</v>
      </c>
      <c r="BH8">
        <v>9.3194607912081906E-6</v>
      </c>
      <c r="BI8">
        <v>2.2417046084693999E-7</v>
      </c>
      <c r="BJ8">
        <v>1.7105196145237801E-8</v>
      </c>
      <c r="BK8">
        <v>1.09343193879969E-9</v>
      </c>
      <c r="BL8">
        <v>1.52434462044284E-8</v>
      </c>
      <c r="BM8">
        <v>5.1007311562630197E-10</v>
      </c>
      <c r="BN8">
        <v>0</v>
      </c>
      <c r="BO8">
        <v>5.8558974695996196E-11</v>
      </c>
      <c r="BP8">
        <v>7.84783941155242E-11</v>
      </c>
      <c r="BQ8">
        <v>3.4409813156891498E-11</v>
      </c>
      <c r="BR8">
        <v>4.1958224424263998E-11</v>
      </c>
      <c r="BS8">
        <v>2.6055894878986301E-12</v>
      </c>
      <c r="BU8">
        <v>3.5430000000000001E-3</v>
      </c>
      <c r="BV8">
        <v>1.05E-4</v>
      </c>
    </row>
    <row r="9" spans="1:74" x14ac:dyDescent="0.3">
      <c r="A9" t="s">
        <v>80</v>
      </c>
      <c r="B9">
        <v>0.6</v>
      </c>
      <c r="C9">
        <v>1469.2285183333333</v>
      </c>
      <c r="D9">
        <v>30.3184499980763</v>
      </c>
      <c r="E9">
        <v>5.2216686619327417</v>
      </c>
      <c r="F9">
        <v>474.73577108002797</v>
      </c>
      <c r="G9">
        <v>6.0087613819295402</v>
      </c>
      <c r="H9">
        <v>881.53711099999998</v>
      </c>
      <c r="I9">
        <v>3.6280000000000001E-3</v>
      </c>
      <c r="J9">
        <v>2.0709999999999997</v>
      </c>
      <c r="K9">
        <v>8.5000000000000006E-2</v>
      </c>
      <c r="L9">
        <v>3.4516666666666662</v>
      </c>
      <c r="N9">
        <v>1.5820000000000001E-3</v>
      </c>
      <c r="O9">
        <v>7.1000000000000005E-5</v>
      </c>
      <c r="P9">
        <v>1.4899280575539566</v>
      </c>
      <c r="Q9">
        <v>6.1151079136690649E-2</v>
      </c>
      <c r="R9">
        <v>880.04718294244606</v>
      </c>
      <c r="S9">
        <v>6.4779079136690648E-2</v>
      </c>
      <c r="T9">
        <v>474.14199034533999</v>
      </c>
      <c r="U9">
        <v>5.9825156866678002</v>
      </c>
      <c r="V9">
        <v>0.67700099999999996</v>
      </c>
      <c r="W9">
        <v>1.6670000000000001E-2</v>
      </c>
      <c r="X9">
        <v>2.2007767456088789</v>
      </c>
      <c r="Y9">
        <v>0.10533499512592948</v>
      </c>
      <c r="Z9">
        <v>879.33633425439109</v>
      </c>
      <c r="AA9">
        <v>0.10896299512592948</v>
      </c>
      <c r="AB9">
        <v>473.57443824898297</v>
      </c>
      <c r="AC9">
        <v>6.1182451739521602</v>
      </c>
      <c r="AD9">
        <v>29.011846289712746</v>
      </c>
      <c r="AE9">
        <v>0.40388208627541949</v>
      </c>
      <c r="AF9">
        <v>5.4441821181814758</v>
      </c>
      <c r="AG9">
        <v>0.33481142404891984</v>
      </c>
      <c r="AH9">
        <v>2.0054281221374533</v>
      </c>
      <c r="AI9">
        <v>0.1702824610227045</v>
      </c>
      <c r="AJ9">
        <v>138.47521087618574</v>
      </c>
      <c r="AK9">
        <v>15.534870022247862</v>
      </c>
      <c r="AL9">
        <v>728.93214535967957</v>
      </c>
      <c r="AM9">
        <v>53.844806400494377</v>
      </c>
      <c r="AN9">
        <v>202.96964234420864</v>
      </c>
      <c r="AO9">
        <v>10.187266074079586</v>
      </c>
      <c r="AP9">
        <v>11.798626068202008</v>
      </c>
      <c r="AQ9">
        <v>4.7664013278608639</v>
      </c>
      <c r="AR9">
        <v>10.593300776606025</v>
      </c>
      <c r="AS9">
        <v>0.76017643667404344</v>
      </c>
      <c r="AX9">
        <v>0.57474512405871503</v>
      </c>
      <c r="AY9">
        <v>1.4904933915945266E-2</v>
      </c>
      <c r="AZ9">
        <v>-2.5254875941284949E-2</v>
      </c>
      <c r="BA9">
        <v>1.2191122282323376E-3</v>
      </c>
      <c r="BB9">
        <v>5.8413113334992098E-11</v>
      </c>
      <c r="BC9">
        <v>8.1318540860822696E-13</v>
      </c>
      <c r="BD9">
        <v>1.1186675585304401E-11</v>
      </c>
      <c r="BE9">
        <v>6.8796867955257499E-13</v>
      </c>
      <c r="BF9">
        <v>8.0217124885498105E-12</v>
      </c>
      <c r="BG9">
        <v>6.8112984409081796E-13</v>
      </c>
      <c r="BH9">
        <v>4.7884713897938099E-6</v>
      </c>
      <c r="BI9">
        <v>1.24180000204717E-7</v>
      </c>
      <c r="BJ9">
        <v>1.3073977423400701E-9</v>
      </c>
      <c r="BK9">
        <v>1.46670684710444E-10</v>
      </c>
      <c r="BL9">
        <v>5.8376840258383299E-9</v>
      </c>
      <c r="BM9">
        <v>4.31218417515972E-10</v>
      </c>
      <c r="BN9">
        <v>1.3350338237944E-9</v>
      </c>
      <c r="BO9">
        <v>6.7006792857353104E-11</v>
      </c>
      <c r="BP9">
        <v>6.5626917965339803E-11</v>
      </c>
      <c r="BQ9">
        <v>2.65119198731484E-11</v>
      </c>
      <c r="BR9">
        <v>5.2200890817703799E-11</v>
      </c>
      <c r="BS9">
        <v>3.7459417050297798E-12</v>
      </c>
      <c r="BU9">
        <v>2.0709999999999999E-3</v>
      </c>
      <c r="BV9">
        <v>8.5000000000000006E-5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plots</vt:lpstr>
      <vt:lpstr>Sheet1</vt:lpstr>
      <vt:lpstr>KiddCreekDistilled</vt:lpstr>
      <vt:lpstr>FranklinDistilled</vt:lpstr>
      <vt:lpstr>FranklinFluoriteDistilled</vt:lpstr>
      <vt:lpstr>DurangoDistilled</vt:lpstr>
      <vt:lpstr>GympieDistilled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Thyer</dc:creator>
  <cp:lastModifiedBy>Thyer, Benjamin J.</cp:lastModifiedBy>
  <dcterms:created xsi:type="dcterms:W3CDTF">2023-01-06T21:39:05Z</dcterms:created>
  <dcterms:modified xsi:type="dcterms:W3CDTF">2026-08-04T23:38:35Z</dcterms:modified>
</cp:coreProperties>
</file>