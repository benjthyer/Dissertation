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otagged Stratigraphy" sheetId="1" r:id="rId5"/>
    <sheet state="visible" name="Geotagged Structure Only" sheetId="2" r:id="rId6"/>
    <sheet state="visible" name="Geotagged Notes only" sheetId="3" r:id="rId7"/>
    <sheet state="visible" name="Non-geological Markers" sheetId="4" r:id="rId8"/>
  </sheets>
  <definedNames/>
  <calcPr/>
</workbook>
</file>

<file path=xl/sharedStrings.xml><?xml version="1.0" encoding="utf-8"?>
<sst xmlns="http://schemas.openxmlformats.org/spreadsheetml/2006/main" count="3332" uniqueCount="967">
  <si>
    <t>name</t>
  </si>
  <si>
    <t>Grave site</t>
  </si>
  <si>
    <t>Stratigraphic height (Relative to MR)</t>
  </si>
  <si>
    <t>lat</t>
  </si>
  <si>
    <t>lon</t>
  </si>
  <si>
    <t>elevation (meters)</t>
  </si>
  <si>
    <t>2023-07-25T11:23:56Z</t>
  </si>
  <si>
    <t>datetime</t>
  </si>
  <si>
    <t>Final Interpreted Mappable Unit</t>
  </si>
  <si>
    <t>In-Field Interpreted Unit</t>
  </si>
  <si>
    <t>Lithology Code</t>
  </si>
  <si>
    <t>Position Relative to Draaikraal Lineament</t>
  </si>
  <si>
    <t>2D Projected Coordinates</t>
  </si>
  <si>
    <t>1D projection distance (meters)</t>
  </si>
  <si>
    <t>Elevation corrected projection distance</t>
  </si>
  <si>
    <t xml:space="preserve">Vertical Traverse Height (m) </t>
  </si>
  <si>
    <t>Lithology Description</t>
  </si>
  <si>
    <t>Notes</t>
  </si>
  <si>
    <t>Photos</t>
  </si>
  <si>
    <t>Strike where W = 0</t>
  </si>
  <si>
    <t>Dip</t>
  </si>
  <si>
    <t>strike with N = 0</t>
  </si>
  <si>
    <t>Structure Type</t>
  </si>
  <si>
    <t>Plag</t>
  </si>
  <si>
    <t>OPX</t>
  </si>
  <si>
    <t>GRAVES</t>
  </si>
  <si>
    <t>CPX</t>
  </si>
  <si>
    <t>2023-07-27T08:44:45Z</t>
  </si>
  <si>
    <t>Olivine</t>
  </si>
  <si>
    <t>Amphibole</t>
  </si>
  <si>
    <t>Quartz</t>
  </si>
  <si>
    <t>Accessory</t>
  </si>
  <si>
    <t>Magnetic? 0-3</t>
  </si>
  <si>
    <t>RUINS</t>
  </si>
  <si>
    <t>2023-07-27T10:53:44Z</t>
  </si>
  <si>
    <t>RZ22</t>
  </si>
  <si>
    <t>RUINS1</t>
  </si>
  <si>
    <t>2023-07-27T12:57:15Z</t>
  </si>
  <si>
    <t>D3NB</t>
  </si>
  <si>
    <t>CONT MARG E Q W?</t>
  </si>
  <si>
    <t>2023-07-20T10:28:08Z</t>
  </si>
  <si>
    <t>Rz</t>
  </si>
  <si>
    <t>Msp</t>
  </si>
  <si>
    <t>2023-07-19T11:23:01Z</t>
  </si>
  <si>
    <t>2023-07-19T09:53:49Z</t>
  </si>
  <si>
    <t>Qz</t>
  </si>
  <si>
    <t>PointZ (30.12742559106300888 -25.22477722852196536 0)</t>
  </si>
  <si>
    <t>PointZ (30.11968666162705333 -25.21893742727851517 1959.88699999999994361)</t>
  </si>
  <si>
    <t>PointZ (30.12009167836239243 -25.21924305317343951 1959.53099999999994907)</t>
  </si>
  <si>
    <t>Flag, Blue</t>
  </si>
  <si>
    <t>user</t>
  </si>
  <si>
    <t>SymbolAndName</t>
  </si>
  <si>
    <t>2023-07-23T09:29:37Z</t>
  </si>
  <si>
    <t>QZ27</t>
  </si>
  <si>
    <t>2023-07-23T09:50:35Z</t>
  </si>
  <si>
    <t>Bedding</t>
  </si>
  <si>
    <t>PointZ (30.1211324229626598 -25.22002839973346155 2076.06899999999995998)</t>
  </si>
  <si>
    <t>Quartzite</t>
  </si>
  <si>
    <t>Quartzite follows topo line locally here</t>
  </si>
  <si>
    <t>D3NA</t>
  </si>
  <si>
    <t>2023-07-19T10:34:43Z</t>
  </si>
  <si>
    <t>2023-07-26T15:55:12Z</t>
  </si>
  <si>
    <t>QZ7</t>
  </si>
  <si>
    <t>PointZ (30.11934723754659871 -25.21868129764411037 1929.35999999999989996)</t>
  </si>
  <si>
    <t>2023-07-19T09:46:14Z</t>
  </si>
  <si>
    <t>PointZ (30.12033790970320624 -25.21942885950520363 1957.69800000000009277)</t>
  </si>
  <si>
    <t>compass trouble, resolved</t>
  </si>
  <si>
    <t>2023-07-21T12:28:14Z</t>
  </si>
  <si>
    <t>RZ54</t>
  </si>
  <si>
    <t>D7NA</t>
  </si>
  <si>
    <t>2023-07-23T09:47:24Z</t>
  </si>
  <si>
    <t>2023-07-23T08:25:21Z</t>
  </si>
  <si>
    <t>Rz-ScP</t>
  </si>
  <si>
    <t>QzMsp</t>
  </si>
  <si>
    <t>PointZ (30.12033419261242884 -25.21942605458605868 2043.69900000000006912)</t>
  </si>
  <si>
    <t>PointZ (30.11573193704406393 -25.21595318950656051 1923.73499999999989996)</t>
  </si>
  <si>
    <t>Fine marginal gabbronorite with shearing pegmatite veins</t>
  </si>
  <si>
    <t>sheared pegmatite veins in pockets/pipes orthogonal to bedding, paleoup. This layer is just above migmatized quartzite and just below fine magnetic marginal zone. Represents fluid transport from migmatized sedimentary rocks, origin of resistance banding? Strike and Dip are for migmatized Qz</t>
  </si>
  <si>
    <t>2023-07-19T14:55:39Z</t>
  </si>
  <si>
    <t>Beddin</t>
  </si>
  <si>
    <t>D7NC</t>
  </si>
  <si>
    <t>euhedral</t>
  </si>
  <si>
    <t>Biotite: 15%</t>
  </si>
  <si>
    <t>D2ND</t>
  </si>
  <si>
    <t>2023-07-23T09:36:31Z</t>
  </si>
  <si>
    <t>2023-07-18T11:34:57Z</t>
  </si>
  <si>
    <t>PointZ (30.11914032611646874 -25.21852516214281792 2009.64499999999998181)</t>
  </si>
  <si>
    <t>PointZ (30.11263749087553165 -25.21361811839209466 2019.62200000000007094)</t>
  </si>
  <si>
    <t>Measureable bedding planes at top of ridge: Strike: 265, Dip: 25. Also, One bedding plane preserved lovely sedimentary ripples striking E-W</t>
  </si>
  <si>
    <t>Alternating quartzite-marginal zone photo, not very good one</t>
  </si>
  <si>
    <t>D2NE</t>
  </si>
  <si>
    <t>2023-07-18T12:01:57Z</t>
  </si>
  <si>
    <t>D3NC</t>
  </si>
  <si>
    <t>PointZ (30.11223485797931687 -25.21331429134373892 2030.75199999999995271)</t>
  </si>
  <si>
    <t>2023-07-19T12:11:54Z</t>
  </si>
  <si>
    <t>Different strike, same dip. Strike: 315, dip: 25. Quartzites are rotated around the top of the ridge. NW-SE vertical fault or E-W South dipping fault can neatly explain rotation.</t>
  </si>
  <si>
    <t>Qz-Rz</t>
  </si>
  <si>
    <t>PointZ (30.11862488217253286 -25.21813620780363863 1940.36999999999989086)</t>
  </si>
  <si>
    <t>D4NB</t>
  </si>
  <si>
    <t>QZ1</t>
  </si>
  <si>
    <t>2023-07-20T09:15:30Z</t>
  </si>
  <si>
    <t>No faulting; the quartz and marginal zone is interbedded</t>
  </si>
  <si>
    <t>Rz-Qz</t>
  </si>
  <si>
    <t>2023-07-19T11:13:05Z</t>
  </si>
  <si>
    <t>PointZ (30.1119252512336999 -25.21308066188981911 1932.26299999999991996)</t>
  </si>
  <si>
    <t>PointZ (30.11947291412439753 -25.21877613327239587 1955.95499999999992724)</t>
  </si>
  <si>
    <t>Contact between floor quartzite and marginal zone</t>
  </si>
  <si>
    <t>Bed plane of quartzite measured</t>
  </si>
  <si>
    <t>D3SF</t>
  </si>
  <si>
    <t>2023-07-19T14:35:36Z</t>
  </si>
  <si>
    <t>D10NK</t>
  </si>
  <si>
    <t>ScP</t>
  </si>
  <si>
    <t>2023-07-21T12:43:10Z</t>
  </si>
  <si>
    <t>2023-07-26T16:00:51Z</t>
  </si>
  <si>
    <t>PointZ (30.11827736615132167 -25.21787397198541569 1929.21399999999994179)</t>
  </si>
  <si>
    <t>PointZ (30.11169125453330508 -25.2129040878257662 1917.48499999999989996)</t>
  </si>
  <si>
    <t>Qz-Px Pegmatite</t>
  </si>
  <si>
    <t>Hosted in migmatitmatic quartzite. Schist banding deformed around pegmatite</t>
  </si>
  <si>
    <t>37,38</t>
  </si>
  <si>
    <t>huge, 3 cm</t>
  </si>
  <si>
    <t>huge, 5 cm</t>
  </si>
  <si>
    <t>D9NE</t>
  </si>
  <si>
    <t>D3SE</t>
  </si>
  <si>
    <t>2023-07-25T11:48:11Z</t>
  </si>
  <si>
    <t>2023-07-19T13:58:12Z</t>
  </si>
  <si>
    <t>PointZ (30.10973660266209961 -25.21142910623787969 1928.71800000000007458)</t>
  </si>
  <si>
    <t>RZ43</t>
  </si>
  <si>
    <t>PointZ (30.11783650262360368 -25.21754129607737482 1949.86899999999991451)</t>
  </si>
  <si>
    <t>2023-07-23T09:42:59Z</t>
  </si>
  <si>
    <t>PointZ (30.11938303973618147 -25.21870831399992241 2015.14599999999995816)</t>
  </si>
  <si>
    <t>Fine grained, light rock. Dacite?</t>
  </si>
  <si>
    <t>Silicified. Pockmarks weathering proud in paleovertical pipes</t>
  </si>
  <si>
    <t>36,40</t>
  </si>
  <si>
    <t>D5NC</t>
  </si>
  <si>
    <t>2023-07-21T12:51:55Z</t>
  </si>
  <si>
    <t>2023-07-18T15:40:11Z</t>
  </si>
  <si>
    <t>D3SD</t>
  </si>
  <si>
    <t>PointZ (30.10831918837606835 -25.21035952448519168 1946.43599999999992178)</t>
  </si>
  <si>
    <t>2023-07-19T13:04:05Z</t>
  </si>
  <si>
    <t>Cleavage</t>
  </si>
  <si>
    <t>ScQz</t>
  </si>
  <si>
    <t>PointZ (30.11776293410312988 -25.21748578122343076 1946.44100000000003092)</t>
  </si>
  <si>
    <t>D9NH</t>
  </si>
  <si>
    <t>Migmatized quartzite</t>
  </si>
  <si>
    <t>Banded. Light bands of quartz preserve original sedimentary texture. Grains rounded and 2 mm. Some bands pink (feldspar) spme green (chlorite, epidote?)</t>
  </si>
  <si>
    <t>2023-07-25T12:26:05Z</t>
  </si>
  <si>
    <t>PointZ (30.10658070062726921 -25.20904766048627721 1895.22900000000004184)</t>
  </si>
  <si>
    <t>RZ8</t>
  </si>
  <si>
    <t>2023-07-19T11:08:39Z</t>
  </si>
  <si>
    <t>D7SE</t>
  </si>
  <si>
    <t>PointZ (30.11878069744108188 -25.21825378610778756 1945.43599999999992178)</t>
  </si>
  <si>
    <t>2023-07-23T11:50:19Z</t>
  </si>
  <si>
    <t>D7NF</t>
  </si>
  <si>
    <t>PointZ (30.11629554571533163 -25.21637848898066991 1946.21100000000001273)</t>
  </si>
  <si>
    <t>2023-07-23T13:06:05Z</t>
  </si>
  <si>
    <t>Cz</t>
  </si>
  <si>
    <t>2023-07-26T15:31:38Z</t>
  </si>
  <si>
    <t>Dcg</t>
  </si>
  <si>
    <t>Silicate Pegmatite</t>
  </si>
  <si>
    <t>PointZ (30.10584096192845394 -25.20848945317751344 1905.5340000000001055)</t>
  </si>
  <si>
    <t>within migmatized qzite very close to magnesite skarn. Mymerkitic quartz-K-spar, huge OPX, small vibrant rare green and blue crystals: apatite, CPX, beryl?</t>
  </si>
  <si>
    <t>70,71</t>
  </si>
  <si>
    <t>pegmatitic gabbronorite</t>
  </si>
  <si>
    <t>large (5 cm) oikocrystic pyroxene</t>
  </si>
  <si>
    <t>D7SD</t>
  </si>
  <si>
    <t>2023-07-23T10:49:05Z</t>
  </si>
  <si>
    <t>RZ21</t>
  </si>
  <si>
    <t>PointZ (30.11596249340679066 -25.21612716748954952 1936.26099999999996726)</t>
  </si>
  <si>
    <t>D7NG</t>
  </si>
  <si>
    <t>2023-07-19T12:03:48Z</t>
  </si>
  <si>
    <t>PointZ (30.1185067112486351 -25.21804703594672503 1947.07699999999999818)</t>
  </si>
  <si>
    <t>2023-07-23T13:15:13Z</t>
  </si>
  <si>
    <t>Magnesite Skarn</t>
  </si>
  <si>
    <t>within migmatized qzite. In ground, hard to tell if dike or concordant with schist host</t>
  </si>
  <si>
    <t xml:space="preserve"> </t>
  </si>
  <si>
    <t>PointZ (30.10522864684581634 -25.20802739981333929 1904.92499999999995453)</t>
  </si>
  <si>
    <t>block</t>
  </si>
  <si>
    <t>qz jacketed &lt;2mm</t>
  </si>
  <si>
    <t>2023-07-21T11:55:27Z</t>
  </si>
  <si>
    <t>equant, smoky grey, 3-4mm</t>
  </si>
  <si>
    <t>Magnesite: 50%, &lt;4cm. Siderite: 3% 1mm</t>
  </si>
  <si>
    <t>RZ24</t>
  </si>
  <si>
    <t>Here magnetic, slightly upsection (~2 m) rocks non-magnetic. Large (30 cm) blobs of pyroxenite rimmed by anorthosite. Pyroxene/Anorthosite ranging from 1/4 to 4. Included blocks with preserve reistance banding</t>
  </si>
  <si>
    <t>72,73,74,75</t>
  </si>
  <si>
    <t>D2NC</t>
  </si>
  <si>
    <t>2023-07-18T11:09:07Z</t>
  </si>
  <si>
    <t>PointZ (30.11856686664389571 -25.21809242924756234 1996.87200000000007094)</t>
  </si>
  <si>
    <t>D5NE</t>
  </si>
  <si>
    <t>PointZ (30.11596887108979459 -25.21613198009333701 1993.08600000000001273)</t>
  </si>
  <si>
    <t>2023-07-21T13:27:00Z</t>
  </si>
  <si>
    <t>Contact</t>
  </si>
  <si>
    <t>PointZ (30.10407848102159534 -25.2071594839257429 1883.12200000000007094)</t>
  </si>
  <si>
    <t>On this ridge, there are multiple bands of quartzites with Marginal Zone between them. Is the marginal zone a sill between layers of quartzite, or is there a fault? (Update, I think it’s a strike-slip(?) fault striking E-W dipping to the South with a component of left-lateral shear along the ridge)</t>
  </si>
  <si>
    <t>14,23,28</t>
  </si>
  <si>
    <t>2023-07-25T12:45:09Z</t>
  </si>
  <si>
    <t>RZ36</t>
  </si>
  <si>
    <t>2023-07-23T09:31:48Z</t>
  </si>
  <si>
    <t>PointZ (30.11853383521061645 -25.21806750370627981 1995.07199999999988904)</t>
  </si>
  <si>
    <t>D6NK</t>
  </si>
  <si>
    <t>2023-07-22T14:25:37Z</t>
  </si>
  <si>
    <t>Mz</t>
  </si>
  <si>
    <t>Pg</t>
  </si>
  <si>
    <t>PointZ (30.1036502836542823 -25.20683636591067511 1887.97800000000006548)</t>
  </si>
  <si>
    <t>2023-07-18T15:34:42Z</t>
  </si>
  <si>
    <t>QZ112</t>
  </si>
  <si>
    <t>2023-07-23T09:31:06Z</t>
  </si>
  <si>
    <t>porphyritic gabbronorite</t>
  </si>
  <si>
    <t>PointZ (30.11843825863185486 -25.21799538155707054 1995.28500000000008185)</t>
  </si>
  <si>
    <t>D6NJ</t>
  </si>
  <si>
    <t>2023-07-21T12:44:52Z</t>
  </si>
  <si>
    <t>2023-07-22T14:18:53Z</t>
  </si>
  <si>
    <t>Rz(Cz)</t>
  </si>
  <si>
    <t>PointZ (30.10324366282526398 -25.20652952956560355 1880.45499999999992724)</t>
  </si>
  <si>
    <t>D1ND</t>
  </si>
  <si>
    <t>Pegmatite gabbronorite</t>
  </si>
  <si>
    <t>2023-07-17T15:16:22Z</t>
  </si>
  <si>
    <t>PointZ (30.11439793025763834 -25.21494654710794237 1926.24900000000002365)</t>
  </si>
  <si>
    <t>SCHIS</t>
  </si>
  <si>
    <t>D6NM</t>
  </si>
  <si>
    <t>2023-07-19T14:07:32Z</t>
  </si>
  <si>
    <t>Hf</t>
  </si>
  <si>
    <t>Sc</t>
  </si>
  <si>
    <t>2023-07-22T15:43:56Z</t>
  </si>
  <si>
    <t>PointZ (30.11824144197550268 -25.21784686357871053 1937.27500000000009095)</t>
  </si>
  <si>
    <t>Ln</t>
  </si>
  <si>
    <t>PointZ (30.10208325928256912 -25.20565388828891074 1867.59200000000009823)</t>
  </si>
  <si>
    <t>Fine Layered Anorthosite-norite</t>
  </si>
  <si>
    <t>2023-07-26T15:28:30Z</t>
  </si>
  <si>
    <t>QZ2</t>
  </si>
  <si>
    <t>D4ND</t>
  </si>
  <si>
    <t>Bladed iridescent white crystals (Plagioclase) in 2 cm thick planar features intersect orthogonally in outcrop. The plagioclase planes are surrounded by 10 cm zone of oikocrystic augite. The southwestern limb pinches in and out and occasionally overlaps itself in parallel, a la boudinage.</t>
  </si>
  <si>
    <t>2023-07-19T11:56:42Z</t>
  </si>
  <si>
    <t>2023-07-20T15:04:15Z</t>
  </si>
  <si>
    <t>PointZ (30.11813425573489056 -25.21776598077103415 1950.03800000000001091)</t>
  </si>
  <si>
    <t>PointZ (30.10140980377846276 -25.20514569832247886 1847.43000000000006366)</t>
  </si>
  <si>
    <t>D1NC</t>
  </si>
  <si>
    <t>Coarse Gabbronorite</t>
  </si>
  <si>
    <t>Indirect measurement, bedding planes in a marsh</t>
  </si>
  <si>
    <t>2023-07-17T14:35:04Z</t>
  </si>
  <si>
    <t>2023-07-21T13:31:37Z</t>
  </si>
  <si>
    <t>QZ3</t>
  </si>
  <si>
    <t>D11NH</t>
  </si>
  <si>
    <t>2023-07-19T12:01:45Z</t>
  </si>
  <si>
    <t>2023-07-27T12:27:56Z</t>
  </si>
  <si>
    <t>PointZ (30.11812960413180562 -25.21776247066828347 1953.64000000000010004)</t>
  </si>
  <si>
    <t>MMA</t>
  </si>
  <si>
    <t>Ma</t>
  </si>
  <si>
    <t>PointZ (30.11420329807073415 -25.21479967753166562 1924.32999999999992724)</t>
  </si>
  <si>
    <t>PointZ (30.08960147291084652 -25.19623512408162469 1916.52099999999995816)</t>
  </si>
  <si>
    <t xml:space="preserve">Large cliffside mottled anorthosite outcrop. </t>
  </si>
  <si>
    <t>Modal Layering</t>
  </si>
  <si>
    <t>Note that all marginal zone rocks are characterized by dark resistance bands, perhaps cataclastic, reflecting warm-brittle deformation with finely recrystallized zones. They stand proud. They frequently strike E-W, secondarily, NE-SW, tertiarily.  NW-SE, but can vary and appear pretty random. This feature is diagnostic of the marginal zone.</t>
  </si>
  <si>
    <t>2023-07-19T13:09:39Z</t>
  </si>
  <si>
    <t>RZ11</t>
  </si>
  <si>
    <t>2023-07-19T11:59:53Z</t>
  </si>
  <si>
    <t>PointZ (30.11807632350078379 -25.21772226506906378 1952.01500000000010004)</t>
  </si>
  <si>
    <t>D1Sb</t>
  </si>
  <si>
    <t>2023-07-17T13:00:35Z</t>
  </si>
  <si>
    <t>2023-07-21T13:15:26Z</t>
  </si>
  <si>
    <t>PointZ (30.11351108138741495 -25.21427733036705732 1890.91200000000003456)</t>
  </si>
  <si>
    <t>QZ6</t>
  </si>
  <si>
    <t>2023-07-19T14:04:57Z</t>
  </si>
  <si>
    <t>Fractures</t>
  </si>
  <si>
    <t>Common Marginal zone Medium-fine grained gabbronorite</t>
  </si>
  <si>
    <t>PointZ (30.11804215818551356 -25.2176964838996831 1946.28600000000005821)</t>
  </si>
  <si>
    <t>elongate</t>
  </si>
  <si>
    <t>equant</t>
  </si>
  <si>
    <t>D5NF</t>
  </si>
  <si>
    <t>blocky</t>
  </si>
  <si>
    <t>Phlogopite 5%</t>
  </si>
  <si>
    <t>D1A</t>
  </si>
  <si>
    <t>QZ5</t>
  </si>
  <si>
    <t>2023-07-19T14:03:55Z</t>
  </si>
  <si>
    <t>MspTB</t>
  </si>
  <si>
    <t>PointZ (30.11795815257688247 -25.21763309321215019 1950.0180000000000291)</t>
  </si>
  <si>
    <t>2023-07-21T13:51:08Z</t>
  </si>
  <si>
    <t>UD</t>
  </si>
  <si>
    <t>Fine-grained Magnetite Gabbro with gabbronoritic blocks</t>
  </si>
  <si>
    <t>Fine-grained magnetite gabbro includes rounded, elongate blocks of oikocrystic gabbronorite preferentially horizontally imbricated, ~6-10 cm along axis. Also a bunch of rounded gabbronorite inclusions that may represent the spherical aggregates of the TBM</t>
  </si>
  <si>
    <t>1,4</t>
  </si>
  <si>
    <t>FGMG: 40, Anorthosite: 55</t>
  </si>
  <si>
    <t>Included in CPX oikocrysts</t>
  </si>
  <si>
    <t>FGMG 20 Anorthosite:15</t>
  </si>
  <si>
    <t>RZ31</t>
  </si>
  <si>
    <t>FGMG 20 Anorthosite 30</t>
  </si>
  <si>
    <t>Oikocrystic, up to 3 cm</t>
  </si>
  <si>
    <t>Maybe in FGMG</t>
  </si>
  <si>
    <t>2023-07-19T14:45:10Z</t>
  </si>
  <si>
    <t>D2SB</t>
  </si>
  <si>
    <t>PointZ (30.11788520903497712 -25.21757804996744312 1925.84799999999995634)</t>
  </si>
  <si>
    <t>2023-07-18T09:47:30Z</t>
  </si>
  <si>
    <t>PointZ (30.08852353644436306 -25.19542171251489293 1803.47000000000002728)</t>
  </si>
  <si>
    <t>PointZ (30.11367671467664309 -25.21440231735607185 2004.17399999999997817)</t>
  </si>
  <si>
    <t>2023-07-19T13:04:35Z</t>
  </si>
  <si>
    <t>RZ33</t>
  </si>
  <si>
    <t>Sampled because quartzite here all have iron stained interiors. The weathered exteriors are clear. Quartzites served as a conduit for mobilized iron-rich fluids?</t>
  </si>
  <si>
    <t>PointZ (30.11784287439552088 -25.21754610422065923 1946.42000000000007276)</t>
  </si>
  <si>
    <t>D2SH</t>
  </si>
  <si>
    <t>2023-07-18T14:04:19Z</t>
  </si>
  <si>
    <t>2023-07-21T12:26:57Z</t>
  </si>
  <si>
    <t>PointZ (30.11333615671420105 -25.214145332093576 1949.50299999999992906)</t>
  </si>
  <si>
    <t>Schist with Skarn</t>
  </si>
  <si>
    <t>D10SJ</t>
  </si>
  <si>
    <t>Swirled and deformed schist with marginal zone, with thin clear banding. Non-magnetic. Xenolith? Associated with skarn pegmatite veins: 60% Feldspar, 40% amphibole? Big very dark crystals that I think I see 120 degree cleavage on… Likely devolatilizing xenolith.</t>
  </si>
  <si>
    <t>29,30</t>
  </si>
  <si>
    <t>2023-07-26T11:59:28Z</t>
  </si>
  <si>
    <t>MaBap</t>
  </si>
  <si>
    <t>8 mm</t>
  </si>
  <si>
    <t>PointZ (30.08820205510595613 -25.19517912248544178 1807.56099999999992178)</t>
  </si>
  <si>
    <t>Mottled anorthosite with blebby/blocky recrystalized pyroxenite</t>
  </si>
  <si>
    <t>Big Outcrop, undulating contacts of MA, often dipping east. Sometimes appear discordant, though others appear concordant: Can be explained by thermal erosion, deposition of surface with meter-scale hummocks and swales</t>
  </si>
  <si>
    <t>103-110</t>
  </si>
  <si>
    <t>D8SI</t>
  </si>
  <si>
    <t>2023-07-24T12:31:08Z</t>
  </si>
  <si>
    <t>UMA</t>
  </si>
  <si>
    <t>MA</t>
  </si>
  <si>
    <t>MaFgog</t>
  </si>
  <si>
    <t>RZ71</t>
  </si>
  <si>
    <t>PointZ (30.08783149226117715 -25.19489949551899599 1981.07999999999992724)</t>
  </si>
  <si>
    <t>2023-07-19T15:06:47Z</t>
  </si>
  <si>
    <t>Mottled Anorthosite</t>
  </si>
  <si>
    <t>Interpreted as LMA. Magnetic mottles. Includes fine-grained gabbronorite with large anhedral CPX phenocrysts (&lt;5 cm)</t>
  </si>
  <si>
    <t>PointZ (30.11762341879122928 -25.21738050287729038 1910.52299999999991087)</t>
  </si>
  <si>
    <t>D8SH</t>
  </si>
  <si>
    <t>2023-07-24T12:04:16Z</t>
  </si>
  <si>
    <t>Dl</t>
  </si>
  <si>
    <t>D11SA</t>
  </si>
  <si>
    <t>PointZ (30.08737909645503805 -25.19455811734607309 1984.39699999999993452)</t>
  </si>
  <si>
    <t>SCHIST</t>
  </si>
  <si>
    <t>2023-07-27T07:07:12Z</t>
  </si>
  <si>
    <t>Dolerite Sill</t>
  </si>
  <si>
    <t>2023-07-19T13:24:27Z</t>
  </si>
  <si>
    <t>Strongly magnetic, with well-developed fine blocky cleavage from stress field. Inherited phenocrystic blocky 1 cm plagioclase with strong ocillitory zoning. Likely later intrusive, not necesarily concordant</t>
  </si>
  <si>
    <t>PointZ (30.11237287936159746 -25.21341844236960483 1898.63899999999989632)</t>
  </si>
  <si>
    <t>PointZ (30.11764476317923211 -25.21739660936651717 1943.53299999999990177)</t>
  </si>
  <si>
    <t>Coarse grained gabbronorite</t>
  </si>
  <si>
    <t>Is it critical-margin zone? Are resistance bands chromite bearing?</t>
  </si>
  <si>
    <t>D11NF</t>
  </si>
  <si>
    <t>2023-07-27T11:02:56Z</t>
  </si>
  <si>
    <t>Lg</t>
  </si>
  <si>
    <t>2023-07-23T11:34:11Z</t>
  </si>
  <si>
    <t>PointZ (30.08712996646060489 -25.19437012368838325 1896.01099999999996726)</t>
  </si>
  <si>
    <t>QZ4</t>
  </si>
  <si>
    <t>Layered/porhpyritic gabbronorite</t>
  </si>
  <si>
    <t>Fine modal layering, near "peace" rock</t>
  </si>
  <si>
    <t>PointZ (30.11762854060601313 -25.21738436780209369 1945.18499999999994543)</t>
  </si>
  <si>
    <t>D8NJ</t>
  </si>
  <si>
    <t>2023-07-24T12:57:45Z</t>
  </si>
  <si>
    <t>Hg</t>
  </si>
  <si>
    <t>RZ41</t>
  </si>
  <si>
    <t>PointZ (30.08639612341092473 -25.19381636524033397 1979.04999999999995453)</t>
  </si>
  <si>
    <t>2023-07-19T13:10:46Z</t>
  </si>
  <si>
    <t>PointZ (30.11761521077532322 -25.2173743091030893 1947.52099999999995816)</t>
  </si>
  <si>
    <t>D11NI</t>
  </si>
  <si>
    <t>2023-07-27T13:16:47Z</t>
  </si>
  <si>
    <t>PointZ (30.08096189778595075 -25.18971569500880747 1865.44599999999991269)</t>
  </si>
  <si>
    <t>RZ110</t>
  </si>
  <si>
    <t>2023-07-23T09:17:19Z</t>
  </si>
  <si>
    <t>Finely Layered Gabbronorite</t>
  </si>
  <si>
    <t>Good cleavage, Mottled Anorthosite Nearby?</t>
  </si>
  <si>
    <t>PointZ (30.11766668794299306 -25.21741315380767645 1976.01900000000000546)</t>
  </si>
  <si>
    <t>D8SC</t>
  </si>
  <si>
    <t>2023-07-24T10:02:55Z</t>
  </si>
  <si>
    <t>2023-07-25T12:40:11Z</t>
  </si>
  <si>
    <t>Sa</t>
  </si>
  <si>
    <t>RZ51</t>
  </si>
  <si>
    <t>PointZ (30.06913362725434169 -25.18079007428438487 1967.92000000000007276)</t>
  </si>
  <si>
    <t>2023-07-19T13:13:41Z</t>
  </si>
  <si>
    <t>D4SA</t>
  </si>
  <si>
    <t>Spotted Anorthosite</t>
  </si>
  <si>
    <t>PointZ (30.11759894951039129 -25.21736203834187151 1944.87200000000007094)</t>
  </si>
  <si>
    <t>~8cm thick, with prominent igneouss layering and including small amounts of pyroxenite below. Interpreted as UMA. I would not call this a mottled anorthosite, the pyroxenes are  do not immediately appear oikocrystic</t>
  </si>
  <si>
    <t>2023-07-20T08:13:01Z</t>
  </si>
  <si>
    <t>PointZ (30.11156030137385642 -25.21280527048550013 1895.29400000000009641)</t>
  </si>
  <si>
    <t>D8NE</t>
  </si>
  <si>
    <t>2023-07-20T13:47:08Z</t>
  </si>
  <si>
    <t>RZ61</t>
  </si>
  <si>
    <t>2023-07-24T09:53:55Z</t>
  </si>
  <si>
    <t>Contact between marginal zone and migmatized quartzite</t>
  </si>
  <si>
    <t>Migmatitic quartzite ~10m thick. At contact is non-magnetic leucocratic gneiss, then fine magnetic marginal zone: 10cm, then coarse grained marginal zone: 30 cm, then common fine marginal zone</t>
  </si>
  <si>
    <t>PointZ (30.06897437164811748 -25.18066989989916138 1954.5180000000000291)</t>
  </si>
  <si>
    <t>50,51</t>
  </si>
  <si>
    <t>PointZ (30.11710320125796514 -25.21698794638446373 1907.29199999999991633)</t>
  </si>
  <si>
    <t>D2SA</t>
  </si>
  <si>
    <t>D8ND</t>
  </si>
  <si>
    <t>2023-07-18T08:07:10Z</t>
  </si>
  <si>
    <t>2023-07-24T09:39:37Z</t>
  </si>
  <si>
    <t>PgTB</t>
  </si>
  <si>
    <t>2023-07-18T15:48:10Z</t>
  </si>
  <si>
    <t>RZ32</t>
  </si>
  <si>
    <t>PointZ (30.06891417165004299 -25.18062447294101247 1936.49099999999998545)</t>
  </si>
  <si>
    <t>2023-07-19T15:03:37Z</t>
  </si>
  <si>
    <t>PointZ (30.11052479466352594 -25.21202387644067144 1859.97600000000011278)</t>
  </si>
  <si>
    <t>PointZ (30.11674755460428798 -25.2167195751856319 1899.92699999999990723)</t>
  </si>
  <si>
    <t>Layered Gabbronorite</t>
  </si>
  <si>
    <t>Common Main Zone Coarse Grained Gabbronorite (Office interp: Leucogabbronorite; porphyritic gabbronorite)</t>
  </si>
  <si>
    <t>Centimeter-scale igneous layering with variable color and grain size</t>
  </si>
  <si>
    <t xml:space="preserve">On Dirt road to Klipriver Farms, Boulder piles outcropping of main zone. These rocks are the building materials for much of the structures in the area. Weathering is quite distinct from Marginal zone. Both have exfoliation/onion skin weathering. Main Zone is prouder, forming impressive rounded boulders like a granite. Weathered faces have distinct dalmatian pattern. A large boulder (float) at this outcrop contains a characteristic pyroxene “tennisball”, a well-known marker at the base of the Main Zone. </t>
  </si>
  <si>
    <t>elongate, cumulus 1cm</t>
  </si>
  <si>
    <t>blocky &lt;1cm</t>
  </si>
  <si>
    <t>F</t>
  </si>
  <si>
    <t>2023-07-20T15:20:06Z</t>
  </si>
  <si>
    <t>D2SF</t>
  </si>
  <si>
    <t>QZ26</t>
  </si>
  <si>
    <t>2023-07-23T09:05:15Z</t>
  </si>
  <si>
    <t>PointZ (30.11646007790320212 -25.21650264507787753 1947.79199999999991633)</t>
  </si>
  <si>
    <t>2023-07-18T12:16:24Z</t>
  </si>
  <si>
    <t>PointZ (30.11077220448912328 -25.21221057205782756 1994.19699999999988904)</t>
  </si>
  <si>
    <t>Coarse Grained Magnetite Gabbro</t>
  </si>
  <si>
    <t>2023-07-25T12:22:45Z</t>
  </si>
  <si>
    <t>Actually I am now thinking this sample is similar to the magnetite gabbro D1Sa, but coarser grained. That sample too had zones of coarse grains, and this one also had blocks of oikocrystic augite.</t>
  </si>
  <si>
    <t>Sugary and interstitial</t>
  </si>
  <si>
    <t>equant, honeybrown</t>
  </si>
  <si>
    <t>block &lt; 3mm</t>
  </si>
  <si>
    <t>equant, rounded</t>
  </si>
  <si>
    <t>Magnetite 5%</t>
  </si>
  <si>
    <t>Homogeneous gabbronorite</t>
  </si>
  <si>
    <t>Different bedding in nearby unlayered rocks...</t>
  </si>
  <si>
    <t>D2SG</t>
  </si>
  <si>
    <t>2023-07-18T13:26:04Z</t>
  </si>
  <si>
    <t>PointZ (30.10988820966972312 -25.21154350898556729 1955.88599999999996726)</t>
  </si>
  <si>
    <t>D10NC</t>
  </si>
  <si>
    <t>Norite</t>
  </si>
  <si>
    <t>Weathering more closely resembles main zone than nearby marginal zone, but this rock does not look like main zone to me. Non-magnetic.</t>
  </si>
  <si>
    <t>SHIST</t>
  </si>
  <si>
    <t>2023-07-26T09:22:12Z</t>
  </si>
  <si>
    <t>cumulus</t>
  </si>
  <si>
    <t>Equant, small</t>
  </si>
  <si>
    <t>PointZ (30.05579261305560479 -25.17072293619359158 1754.85999999999989996)</t>
  </si>
  <si>
    <t>Maybe not there</t>
  </si>
  <si>
    <t>Copper sulfide 1mm</t>
  </si>
  <si>
    <t>PointZ (30.11627643039957647 -25.21636406455082735 1946.67699999999990723)</t>
  </si>
  <si>
    <t>D9SD</t>
  </si>
  <si>
    <t>D10NB</t>
  </si>
  <si>
    <t>2023-07-24T09:59:27Z</t>
  </si>
  <si>
    <t>2023-07-26T09:08:07Z</t>
  </si>
  <si>
    <t>RZUP</t>
  </si>
  <si>
    <t>PointZ (30.05561995023526833 -25.17059264471577862 1781.4090000000001055)</t>
  </si>
  <si>
    <t>2023-07-23T09:00:15Z</t>
  </si>
  <si>
    <t>RzRz</t>
  </si>
  <si>
    <t>HfRz</t>
  </si>
  <si>
    <t>PointZ (30.10946320275649768 -25.21122279848925629 1912)</t>
  </si>
  <si>
    <t>ScPMsp</t>
  </si>
  <si>
    <t>Included a range of measured strikes from 250-315, on fault?</t>
  </si>
  <si>
    <t>PointZ (30.11614090302047941 -25.21626179550140279 1934.82500000000004547)</t>
  </si>
  <si>
    <t>Fine Grained Marginal Norite</t>
  </si>
  <si>
    <t>Sampled for prominent resistance band for later analyses</t>
  </si>
  <si>
    <t>D6NB</t>
  </si>
  <si>
    <t>2023-07-23T08:56:27Z</t>
  </si>
  <si>
    <t>D9NC</t>
  </si>
  <si>
    <t>2023-07-22T10:07:25Z</t>
  </si>
  <si>
    <t>PointZ (30.05347617490910395 -25.16897495044436539 1815.58899999999994179)</t>
  </si>
  <si>
    <t>2023-07-25T11:32:26Z</t>
  </si>
  <si>
    <t>PointZ (30.10929523023095555 -25.21109604631098122 1907.78299999999990177)</t>
  </si>
  <si>
    <t>Measured another dip (slump?) indirectly from road: 050:30</t>
  </si>
  <si>
    <t>D10ND</t>
  </si>
  <si>
    <t>Chloritized Norite</t>
  </si>
  <si>
    <t>Plag, OPX, abundant phlogopite, alteration grade lessens up section</t>
  </si>
  <si>
    <t>2023-07-26T09:30:37Z</t>
  </si>
  <si>
    <t>PointZ (30.05307409551911491 -25.1686715410721682 1772.40300000000002001)</t>
  </si>
  <si>
    <t>D9NF</t>
  </si>
  <si>
    <t>2023-07-25T11:56:50Z</t>
  </si>
  <si>
    <t>PointZ (30.10926274639280109 -25.21107153398533995 1918.38599999999996726)</t>
  </si>
  <si>
    <t>Fine Grained Marginal norite</t>
  </si>
  <si>
    <t>D10NA</t>
  </si>
  <si>
    <t>Droplet forms of coarse pyroxenite xenoliths, pegmatite inclusions?</t>
  </si>
  <si>
    <t>2023-07-26T08:58:59Z</t>
  </si>
  <si>
    <t>PointZ (30.0524542747825727 -25.1682038239366257 1767.2580000000000382)</t>
  </si>
  <si>
    <t>D9NG</t>
  </si>
  <si>
    <t>2023-07-25T12:14:25Z</t>
  </si>
  <si>
    <t>PointZ (30.108626703083047 -25.21059157528537753 1909.60400000000004184)</t>
  </si>
  <si>
    <t>D10NE</t>
  </si>
  <si>
    <t>Paleovertical Pegmatite Dike Photograph, Marginal zone coarsens upsection towards quartzite</t>
  </si>
  <si>
    <t>97, 98</t>
  </si>
  <si>
    <t>2023-07-26T09:58:23Z</t>
  </si>
  <si>
    <t>PointZ (30.03843560272989421 -25.15762532478344227 1757.43699999999989814)</t>
  </si>
  <si>
    <t>D10NF</t>
  </si>
  <si>
    <t>2023-07-26T10:32:32Z</t>
  </si>
  <si>
    <t>PointZ (30.03465718067457857 -25.15477412501485688 1729.76299999999991996)</t>
  </si>
  <si>
    <t>SCH1</t>
  </si>
  <si>
    <t>PointZ (30.11572556527214672 -25.21594838136327965 1930.21499999999991815)</t>
  </si>
  <si>
    <t>D5SB</t>
  </si>
  <si>
    <t>2023-07-21T11:33:42Z</t>
  </si>
  <si>
    <t>Cz? (Rz?)</t>
  </si>
  <si>
    <t>A</t>
  </si>
  <si>
    <t>2023-07-26T15:30:25Z</t>
  </si>
  <si>
    <t>D6ND</t>
  </si>
  <si>
    <t>PointZ (30.10674172691621564 -25.20916917102984911 1918.95900000000006003)</t>
  </si>
  <si>
    <t>RZMAG</t>
  </si>
  <si>
    <t>2023-07-22T10:59:46Z</t>
  </si>
  <si>
    <t>2023-07-23T08:20:57Z</t>
  </si>
  <si>
    <t>Amphibole Gabbro</t>
  </si>
  <si>
    <t>Weakly magnetic, amphibole bearing? Rock clearly rotten</t>
  </si>
  <si>
    <t>PointZ (30.0194901226166877 -25.14332905302667243 1526.24700000000007094)</t>
  </si>
  <si>
    <t>PointZ (30.11564562497975217 -25.21588805836605118 1919.18599999999992178)</t>
  </si>
  <si>
    <t>Dark and Light Facies</t>
  </si>
  <si>
    <t>RZ</t>
  </si>
  <si>
    <t>D6NC</t>
  </si>
  <si>
    <t>2023-07-18T09:19:00Z</t>
  </si>
  <si>
    <t>2023-07-22T10:49:04Z</t>
  </si>
  <si>
    <t>PointZ (30.11512326166876719 -25.21549388266794267 1908.55600000000004002)</t>
  </si>
  <si>
    <t>PointZ (30.00216477178088326 -25.13025533188843852 1475.55899999999996908)</t>
  </si>
  <si>
    <t>Dark Facies</t>
  </si>
  <si>
    <t>2023-07-21T13:04:15Z</t>
  </si>
  <si>
    <t>D9NI</t>
  </si>
  <si>
    <t>2023-07-25T12:36:34Z</t>
  </si>
  <si>
    <t>ScMsp</t>
  </si>
  <si>
    <t>PointZ (30.10535208252919048 -25.20812054446121664 1865.21399999999994179)</t>
  </si>
  <si>
    <t>Schist (Pebble marker?)</t>
  </si>
  <si>
    <t>well mixed clasts of schists, zones of pink felsic melt</t>
  </si>
  <si>
    <t>RZ3</t>
  </si>
  <si>
    <t>2023-07-18T14:39:04Z</t>
  </si>
  <si>
    <t>PointZ (30.11373011138281441 -25.21444261054567448 1910.28500000000008185)</t>
  </si>
  <si>
    <t>D5SA</t>
  </si>
  <si>
    <t>RLS</t>
  </si>
  <si>
    <t>2023-07-21T11:05:57Z</t>
  </si>
  <si>
    <t>2023-07-18T09:01:48Z</t>
  </si>
  <si>
    <t>PointZ (30.10429500519163426 -25.2073228732068948 1902.63499999999999091)</t>
  </si>
  <si>
    <t>PointZ (30.11357374851912994 -25.21432461902587718 1889.94499999999993634)</t>
  </si>
  <si>
    <t>thought it looked like the "dark facies" main zone in the field,</t>
  </si>
  <si>
    <t>Compare to D25g (porhpyitic gabbronorite), Quartzite in float (alluvial)</t>
  </si>
  <si>
    <t>D6SL</t>
  </si>
  <si>
    <t>2023-07-20T15:31:35Z</t>
  </si>
  <si>
    <t>RZ1</t>
  </si>
  <si>
    <t>2023-07-22T14:30:11Z</t>
  </si>
  <si>
    <t>2023-07-18T09:37:58Z</t>
  </si>
  <si>
    <t>PointZ (30.10425212295705322 -25.20729051424446965 1891.86500000000000909)</t>
  </si>
  <si>
    <t>PointZ (30.11373003399938497 -25.21444255215208585 1973.19000000000005457)</t>
  </si>
  <si>
    <t>In notes, described as main zone porphyritic gabbronorite. However these rocks are struturally beneath chrome layers. Closer inspection reveals that pyroxenes are often oikocrystic and large... Incompletely formed Mottled Anorthosite?</t>
  </si>
  <si>
    <t>groundmass, cumulus, euhedral, elongate &lt;1 cm</t>
  </si>
  <si>
    <t>&lt;1.5 cm</t>
  </si>
  <si>
    <t>Oikocrystic</t>
  </si>
  <si>
    <t>&lt;2 cm</t>
  </si>
  <si>
    <t>D6SG</t>
  </si>
  <si>
    <t>2023-07-22T13:11:25Z</t>
  </si>
  <si>
    <t>PointZ (30.10364113521497487 -25.20682946249235812 1872.21199999999998909)</t>
  </si>
  <si>
    <t>magnetite pegmatite</t>
  </si>
  <si>
    <t>Host rock magnetic. Pegmatite weathers proud, cutting the rock paleo-up, "sandy" texture in host rock</t>
  </si>
  <si>
    <t>&lt;1 cm</t>
  </si>
  <si>
    <t>1 cm</t>
  </si>
  <si>
    <t>&lt; 3 cm</t>
  </si>
  <si>
    <t>magnetite 10 %</t>
  </si>
  <si>
    <t>&lt; 6mm</t>
  </si>
  <si>
    <t>MZ3</t>
  </si>
  <si>
    <t>2023-07-18T14:35:03Z</t>
  </si>
  <si>
    <t>D7SH</t>
  </si>
  <si>
    <t>PointZ (30.1135019001674813 -25.21427040221245619 1902.21499999999991815)</t>
  </si>
  <si>
    <t>2023-07-23T14:11:47Z</t>
  </si>
  <si>
    <t>Px</t>
  </si>
  <si>
    <t>PointZ (30.10363621276987089 -25.20682574801204368 1898.28500000000008185)</t>
  </si>
  <si>
    <t>2023-07-21T07:29:27Z</t>
  </si>
  <si>
    <t>Sulfide-pyroxenite</t>
  </si>
  <si>
    <t>Sulfides: 5</t>
  </si>
  <si>
    <t>D6SH</t>
  </si>
  <si>
    <t>2023-07-22T13:29:58Z</t>
  </si>
  <si>
    <t>PointZ (30.10357855137778671 -25.20678223668764417 1871.4839999999999236)</t>
  </si>
  <si>
    <t>RZ2</t>
  </si>
  <si>
    <t>Coarse-grained Feldspatic Pyroxenite</t>
  </si>
  <si>
    <t>Non-magnetic, Floor of critical zone? "Flatreef"?</t>
  </si>
  <si>
    <t>2023-07-18T14:42:21Z</t>
  </si>
  <si>
    <t>&lt;1 m</t>
  </si>
  <si>
    <t>PointZ (30.11327830186352728 -25.21410167478519782 1900.65200000000004366)</t>
  </si>
  <si>
    <t>D6SI</t>
  </si>
  <si>
    <t>Coarser grained rocks here are more rotten</t>
  </si>
  <si>
    <t>RQCONT</t>
  </si>
  <si>
    <t>2023-07-18T10:24:08Z</t>
  </si>
  <si>
    <t>QzRz</t>
  </si>
  <si>
    <t>PointZ (30.1133540607645358 -25.21415884250173534 2013.75099999999997635)</t>
  </si>
  <si>
    <t>D7NI</t>
  </si>
  <si>
    <t>RZ20</t>
  </si>
  <si>
    <t>2023-07-23T08:11:14Z</t>
  </si>
  <si>
    <t>PointZ (30.10230524389510975 -25.20582139802356636 1875.82400000000006912)</t>
  </si>
  <si>
    <t>PointZ (30.11285357761450143 -25.2137811775874745 1902.83999999999991815)</t>
  </si>
  <si>
    <t>Pyroxene tennisballs in Gabbronorite</t>
  </si>
  <si>
    <t>Structurally below chromite?</t>
  </si>
  <si>
    <t>D7SJ</t>
  </si>
  <si>
    <t>RZ5</t>
  </si>
  <si>
    <t>2023-07-23T14:28:04Z</t>
  </si>
  <si>
    <t>PointZ (30.10228477214480947 -25.20580595002732238 1875.82400000000006912)</t>
  </si>
  <si>
    <t>PointZ (30.1124394898233021 -25.21346870666782891 1917.82099999999991269)</t>
  </si>
  <si>
    <t>gabbronorite</t>
  </si>
  <si>
    <t>small amount of interstitial CPX. Transitional zone?</t>
  </si>
  <si>
    <t>2023-07-21T12:36:42Z</t>
  </si>
  <si>
    <t>MZ5</t>
  </si>
  <si>
    <t>2023-07-25T12:59:31Z</t>
  </si>
  <si>
    <t>PointZ (30.10181731451698184 -25.2054532061938481 1829.23000000000001819)</t>
  </si>
  <si>
    <t>QZ FOOLLOW TOPO</t>
  </si>
  <si>
    <t>No field notes. Assigned Cz because it is stratigraphically below my modeled TU</t>
  </si>
  <si>
    <t>2023-07-18T13:42:43Z</t>
  </si>
  <si>
    <t>PointZ (30.11235947805856483 -25.213408329737522 1989.61300000000005639)</t>
  </si>
  <si>
    <t>2023-07-22T10:01:26Z</t>
  </si>
  <si>
    <t>D6SN</t>
  </si>
  <si>
    <t>2023-07-21T12:41:53Z</t>
  </si>
  <si>
    <t>RZ4</t>
  </si>
  <si>
    <t>2023-07-22T15:37:36Z</t>
  </si>
  <si>
    <t>UG2</t>
  </si>
  <si>
    <t>PointZ (30.10185907469176314 -25.20548471844920613 1862.625)</t>
  </si>
  <si>
    <t>PointZ (30.11212551413880334 -25.21323178040975677 1905.54099999999993997)</t>
  </si>
  <si>
    <t>magnetic chromite seam w/ oikocrystic pyroxenite and anorthosite</t>
  </si>
  <si>
    <t>abundant blocks. chromite hosted with pure anorthosite and in massive layer with oikocrystic pyroxene. Top layers are magnetic (magnetite-bearing?)</t>
  </si>
  <si>
    <t>65,66</t>
  </si>
  <si>
    <t>2023-07-21T12:29:44Z</t>
  </si>
  <si>
    <t>RZ6</t>
  </si>
  <si>
    <t>2023-07-18T15:44:39Z</t>
  </si>
  <si>
    <t>PointZ (30.11212383266168757 -25.21323051156601736 1923.06400000000007822)</t>
  </si>
  <si>
    <t>2023-07-21T12:39:05Z</t>
  </si>
  <si>
    <t>MZ2</t>
  </si>
  <si>
    <t>2023-07-20T14:55:28Z</t>
  </si>
  <si>
    <t>PointZ (30.1007836499617234 -25.20467320224044627 1846.86300000000005639)</t>
  </si>
  <si>
    <t>No Field Notes. Assigned Mz because it is undeformed / overlying Kliprivier synform</t>
  </si>
  <si>
    <t>D7SK</t>
  </si>
  <si>
    <t>2023-07-23T15:13:51Z</t>
  </si>
  <si>
    <t>TU</t>
  </si>
  <si>
    <t>PointZ (30.10041252769963549 -25.20439315313733175 1919.46000000000003638)</t>
  </si>
  <si>
    <t>Non-magnetic. Interpreted as proximal Merensky Footwall based distance from UG2</t>
  </si>
  <si>
    <t>QZ51</t>
  </si>
  <si>
    <t>D11SB</t>
  </si>
  <si>
    <t>2023-07-21T12:04:43Z</t>
  </si>
  <si>
    <t>2023-07-27T07:27:05Z</t>
  </si>
  <si>
    <t>PointZ (30.11188100887791208 -25.21304727657903655 1993.10300000000006548)</t>
  </si>
  <si>
    <t>PointZ (30.09442731496099199 -25.19987670766736088 1803.42499999999995453)</t>
  </si>
  <si>
    <t>Porphyritic Gabbronorite</t>
  </si>
  <si>
    <t>Rotten. Initially confused for mottled anorthosite</t>
  </si>
  <si>
    <t>2023-07-21T12:22:39Z</t>
  </si>
  <si>
    <t>D11SC</t>
  </si>
  <si>
    <t>2023-07-27T07:38:46Z</t>
  </si>
  <si>
    <t>LMA</t>
  </si>
  <si>
    <t>PointZ (30.09310194771045133 -25.19887658466820568 1806.18200000000001637)</t>
  </si>
  <si>
    <t>Lower Mottled anorthosite; outcrop source of James' favorite boulder</t>
  </si>
  <si>
    <t>RZ7</t>
  </si>
  <si>
    <t>Large cliffside mottled anorthosite outcrop, measurable cleavage and modal layering that disagree</t>
  </si>
  <si>
    <t>PointZ (30.11163031348151264 -25.21285810166799379 1915.40399999999999636)</t>
  </si>
  <si>
    <t>2023-07-21T12:45:49Z</t>
  </si>
  <si>
    <t>SCHI</t>
  </si>
  <si>
    <t>2023-07-20T08:08:35Z</t>
  </si>
  <si>
    <t>PointZ (30.11124980471873513 -25.21257096950528265 1882.12100000000009459)</t>
  </si>
  <si>
    <t>QZ61</t>
  </si>
  <si>
    <t>PointZ (30.11143209210115756 -25.21270852368397897 1980.1089999999999236)</t>
  </si>
  <si>
    <t>2023-07-21T12:24:38Z</t>
  </si>
  <si>
    <t>QZ41</t>
  </si>
  <si>
    <t>2023-07-21T12:02:51Z</t>
  </si>
  <si>
    <t>PointZ (30.11143150581430206 -25.21270808127153273 1986.77800000000002001)</t>
  </si>
  <si>
    <t>QZ</t>
  </si>
  <si>
    <t>2023-07-18T13:38:28Z</t>
  </si>
  <si>
    <t>PointZ (30.11126345590533404 -25.21258127069967259 2000.76199999999994361)</t>
  </si>
  <si>
    <t>QZ29</t>
  </si>
  <si>
    <t>PointZ (30.11102221848197402 -25.2123992327813049 1906.86200000000008004)</t>
  </si>
  <si>
    <t>2023-07-21T11:47:41Z</t>
  </si>
  <si>
    <t>QZ71</t>
  </si>
  <si>
    <t>PointZ (30.11107875190316463 -25.2124418929381271 1975.32799999999997453)</t>
  </si>
  <si>
    <t>2023-07-21T12:40:58Z</t>
  </si>
  <si>
    <t>RZ28</t>
  </si>
  <si>
    <t>2023-07-26T15:51:56Z</t>
  </si>
  <si>
    <t>PointZ (30.1108721886984938 -25.21228602020799414 1906.11999999999989086)</t>
  </si>
  <si>
    <t>SCH</t>
  </si>
  <si>
    <t>2023-07-20T08:06:32Z</t>
  </si>
  <si>
    <t>PointZ (30.11076785650869425 -25.21220729106893543 1869.73800000000005639)</t>
  </si>
  <si>
    <t>2023-07-26T15:34:47Z</t>
  </si>
  <si>
    <t>RZ12</t>
  </si>
  <si>
    <t>D10SI</t>
  </si>
  <si>
    <t>2023-07-20T08:05:31Z</t>
  </si>
  <si>
    <t>PointZ (30.11056337352048118 -25.21205298807150896 1866.15799999999990177)</t>
  </si>
  <si>
    <t>2023-07-26T11:45:19Z</t>
  </si>
  <si>
    <t>PointZ (30.08640400415982086 -25.19382231205863576 1801.14699999999993452)</t>
  </si>
  <si>
    <t>2023-07-21T13:18:13Z</t>
  </si>
  <si>
    <t>D11SG</t>
  </si>
  <si>
    <t>2023-07-27T11:41:17Z</t>
  </si>
  <si>
    <t>PointZ (30.0861016886510626 -25.19359418457684541 1911.3930000000000291)</t>
  </si>
  <si>
    <t>RZ35</t>
  </si>
  <si>
    <t>Very large magnetic mottles (&lt;10 cm) with large (&lt; 0.5 cm) magnetite</t>
  </si>
  <si>
    <t>PointZ (30.11073119719024049 -25.2121796279231134 1964.66100000000005821)</t>
  </si>
  <si>
    <t>D5SG</t>
  </si>
  <si>
    <t>2023-07-25T12:48:55Z</t>
  </si>
  <si>
    <t>2023-07-21T14:00:30Z</t>
  </si>
  <si>
    <t>MaPxFgog</t>
  </si>
  <si>
    <t>PointZ (30.08415977441260125 -25.19212881481501043 1789.49900000000002365)</t>
  </si>
  <si>
    <t>Float, outcrop in sight. Didn't want to trespass, Also found green fine grained rock with large anhedral CPX</t>
  </si>
  <si>
    <t>D3SG (D4NC)</t>
  </si>
  <si>
    <t>RZ42</t>
  </si>
  <si>
    <t>2023-07-19T15:56:43Z</t>
  </si>
  <si>
    <t>PointZ (30.08250049181355834 -25.19087671907420756 1780.45100000000002183)</t>
  </si>
  <si>
    <t>PointZ (30.11067213107415341 -25.21213505659305554 1949.57300000000009277)</t>
  </si>
  <si>
    <t>Mottled Anorthosite over strongly graded pyroxenite-anorthosite over fine grained Gabbronorite with large (&lt;5 cm) anhedral CPX</t>
  </si>
  <si>
    <t>Gave a ride to an african man walking home from work at klipriver farms who spoke no english. Stopped by an outcrop and sampled in the dark. Vantongeren maps as Upper Mottled anorthosite</t>
  </si>
  <si>
    <t>49,53,54</t>
  </si>
  <si>
    <t>2023-07-25T13:38:01Z</t>
  </si>
  <si>
    <t>QZ8</t>
  </si>
  <si>
    <t>PointZ (30.11063968592770834 -25.21211057346420503 1954.41399999999998727)</t>
  </si>
  <si>
    <t>2023-07-18T16:00:06Z</t>
  </si>
  <si>
    <t>RZ9</t>
  </si>
  <si>
    <t>D8SG</t>
  </si>
  <si>
    <t>2023-07-20T08:01:44Z</t>
  </si>
  <si>
    <t>2023-07-24T11:02:18Z</t>
  </si>
  <si>
    <t>PointZ (30.11020768817509463 -25.21178458767589348 1849.76399999999989632)</t>
  </si>
  <si>
    <t>PointZ (30.07875347613940065 -25.18804921858150081 2021.63100000000008549)</t>
  </si>
  <si>
    <t>Sheared Spotted Anorthosite</t>
  </si>
  <si>
    <t>Strongy foliated, suggesting co-crystalization shearing. Biggest mottles: ~3cm x 0.5 cm. Interpreted as MMA by RL et al., 2022</t>
  </si>
  <si>
    <t>2023-07-21T12:33:57Z</t>
  </si>
  <si>
    <t>RAT</t>
  </si>
  <si>
    <t>D11SE</t>
  </si>
  <si>
    <t>PointZ (30.11022785998939355 -25.21179980934023135 1882.88799999999991996)</t>
  </si>
  <si>
    <t>2023-07-27T09:50:11Z</t>
  </si>
  <si>
    <t>PointZ (30.0737992464053292 -25.18431075356501481 1886.39699999999993452)</t>
  </si>
  <si>
    <t>2023-07-22T14:07:13Z</t>
  </si>
  <si>
    <t>RZ511</t>
  </si>
  <si>
    <t>finely layered gabbronorite</t>
  </si>
  <si>
    <t>Mottled anorthosite itself is in float here, but graded rocks with blocks are in place.. Mottles are small (&lt;3mm) and non-magnetic</t>
  </si>
  <si>
    <t>PointZ (30.11032574893492608 -25.2118736764029272 1934.52800000000002001)</t>
  </si>
  <si>
    <t>D11ND</t>
  </si>
  <si>
    <t>2023-07-27T09:15:03Z</t>
  </si>
  <si>
    <t>2023-07-21T12:31:30Z</t>
  </si>
  <si>
    <t>SaLg</t>
  </si>
  <si>
    <t>RZLQZR</t>
  </si>
  <si>
    <t>PointZ (30.0730392466866121 -25.18373725727730061 1890.63899999999989632)</t>
  </si>
  <si>
    <t>PointZ (30.11026492395828313 -25.21182777783553774 1938.18299999999999272)</t>
  </si>
  <si>
    <t>~20 cm Graded spotted anorthosite with irregular contacts and variably recrystalized pyroxenite blocks/blebs. Proper mottled anorthosite in float; non-magnetic</t>
  </si>
  <si>
    <t>In field interpreted as Upper/main mottled anorthosite (and related package).</t>
  </si>
  <si>
    <t>2023-07-20T14:02:48Z</t>
  </si>
  <si>
    <t>RZ53</t>
  </si>
  <si>
    <t>PointZ (30.11017165383520222 -25.21175739613930489 1945.23900000000003274)</t>
  </si>
  <si>
    <t>RZ113</t>
  </si>
  <si>
    <t>2023-07-26T15:37:49Z</t>
  </si>
  <si>
    <t>XENOLITH</t>
  </si>
  <si>
    <t>PointZ (30.10994421645422747 -25.21158577174200133 1876.00999999999999091)</t>
  </si>
  <si>
    <t>2023-07-24T13:47:07Z</t>
  </si>
  <si>
    <t>PointZ (30.06895760147976304 -25.18065724511909309 1946.39400000000000546)</t>
  </si>
  <si>
    <t>2023-07-21T13:16:57Z</t>
  </si>
  <si>
    <t>IS1</t>
  </si>
  <si>
    <t>A second xenolith near photo 91</t>
  </si>
  <si>
    <t>2023-07-25T15:45:37Z</t>
  </si>
  <si>
    <t>IS</t>
  </si>
  <si>
    <t>PointZ (30.10991079810376903 -25.21156055423276143 1868.08699999999998909)</t>
  </si>
  <si>
    <t>2023-07-25T09:44:38Z</t>
  </si>
  <si>
    <t>RZ62</t>
  </si>
  <si>
    <t>PointZ (30.10994633536241238 -25.21158737067150923 1934.41499999999996362)</t>
  </si>
  <si>
    <t>D8NA</t>
  </si>
  <si>
    <t>2023-07-24T08:40:44Z</t>
  </si>
  <si>
    <t>QZ9</t>
  </si>
  <si>
    <t>PointZ (30.06251429665552877 -25.17579512305997724 1814.12899999999990541)</t>
  </si>
  <si>
    <t>Porphyritic gabbronorite</t>
  </si>
  <si>
    <t>PointZ (30.10983281604159956 -25.21150170891734632 1929.30999999999994543)</t>
  </si>
  <si>
    <t>Blebby Xenolith noted and photographed</t>
  </si>
  <si>
    <t>D6SE</t>
  </si>
  <si>
    <t>2023-07-24T11:50:43Z</t>
  </si>
  <si>
    <t>2023-07-22T11:26:07Z</t>
  </si>
  <si>
    <t>Mz (MA?)</t>
  </si>
  <si>
    <t>SCI</t>
  </si>
  <si>
    <t>PointZ (30.05732996303716931 -25.17188302150103141 1770.80999999999994543)</t>
  </si>
  <si>
    <t>PointZ (30.10971647545060392 -25.21141391823084632 1888.33600000000001273)</t>
  </si>
  <si>
    <t>green gabbronorite with amphibole "mottles"</t>
  </si>
  <si>
    <t>Amphibole mottles (&lt;5 cm) are strongly imbricated, undulose shine, not perfectly optically continuous</t>
  </si>
  <si>
    <t>cumulus, &lt;1 cm</t>
  </si>
  <si>
    <t>D6SF</t>
  </si>
  <si>
    <t>Ironstone concretion</t>
  </si>
  <si>
    <t>&lt;2 cm Goethite nodules enclosing limonite cores with Hematite-Limonite matrix. Rounded clastic quarts &lt;2 mm, in float</t>
  </si>
  <si>
    <t>QZ10</t>
  </si>
  <si>
    <t>PointZ (30.10969263705941401 -25.21139592976517108 1927.83300000000008367)</t>
  </si>
  <si>
    <t>2023-07-21T11:22:23Z</t>
  </si>
  <si>
    <t>SCH11</t>
  </si>
  <si>
    <t>PointZ (30.10948251744192561 -25.21123737336358772 1880.65000000000009095)</t>
  </si>
  <si>
    <t>D10NH1</t>
  </si>
  <si>
    <t>RZ27</t>
  </si>
  <si>
    <t>2023-07-26T10:52:47Z</t>
  </si>
  <si>
    <t>2023-07-26T15:34:18Z</t>
  </si>
  <si>
    <t>PointZ (30.03859966470606935 -25.1577491260585937 1745.94200000000000728)</t>
  </si>
  <si>
    <t>PointZ (30.10943443600911706 -25.21120109108275642 1881.70100000000002183)</t>
  </si>
  <si>
    <t>Ironstone Concretion in place</t>
  </si>
  <si>
    <t>D10NH</t>
  </si>
  <si>
    <t>2023-07-26T10:44:20Z</t>
  </si>
  <si>
    <t>PointZ (30.03602883180565897 -25.15580917386071391 1728.68299999999999272)</t>
  </si>
  <si>
    <t>Ironstone Concretion in float</t>
  </si>
  <si>
    <t>D10NG</t>
  </si>
  <si>
    <t>2023-07-26T10:38:34Z</t>
  </si>
  <si>
    <t>PointZ (30.03486103868421964 -25.15492795640303925 1726.03800000000001091)</t>
  </si>
  <si>
    <t>Amphibole 'mottled' gabbronorite in float. Fault?</t>
  </si>
  <si>
    <t>QZ11</t>
  </si>
  <si>
    <t>PointZ (30.10947193149798906 -25.21122938520332823 1937.74800000000004729)</t>
  </si>
  <si>
    <t>2023-07-22T13:29:15Z</t>
  </si>
  <si>
    <t>SCH2</t>
  </si>
  <si>
    <t>PointZ (30.10934808525308881 -25.21113593074545633 1887.49299999999993815)</t>
  </si>
  <si>
    <t>2023-07-25T12:42:22Z</t>
  </si>
  <si>
    <t>RZ82</t>
  </si>
  <si>
    <t>PointZ (30.10932955622418916 -25.21112194872805645 1885.74800000000004729)</t>
  </si>
  <si>
    <t>2023-07-21T13:00:47Z</t>
  </si>
  <si>
    <t>QZ12</t>
  </si>
  <si>
    <t>PointZ (30.10932538074388987 -25.21111879790787569 1938.80199999999990723)</t>
  </si>
  <si>
    <t>2023-07-21T13:13:16Z</t>
  </si>
  <si>
    <t>RZ23</t>
  </si>
  <si>
    <t>PointZ (30.10927663564079637 -25.21108201482101308 1957.07199999999988904)</t>
  </si>
  <si>
    <t>2023-07-25T12:08:04Z</t>
  </si>
  <si>
    <t>RZ72</t>
  </si>
  <si>
    <t>PointZ (30.10921936707698165 -25.21103879992508467 1940.47700000000008913)</t>
  </si>
  <si>
    <t>2023-07-21T12:47:21Z</t>
  </si>
  <si>
    <t>RZ81</t>
  </si>
  <si>
    <t>PointZ (30.10884921801891423 -25.21075948520236665 1939.6169999999999618)</t>
  </si>
  <si>
    <t>RZ19</t>
  </si>
  <si>
    <t>2023-07-21T11:53:51Z</t>
  </si>
  <si>
    <t>PointZ (30.10882365354780887 -25.21074019423564749 1948.24900000000002365)</t>
  </si>
  <si>
    <t>RZ25</t>
  </si>
  <si>
    <t>PointZ (30.10863596759749683 -25.21059856629407392 1910.05899999999996908)</t>
  </si>
  <si>
    <t>RZ44</t>
  </si>
  <si>
    <t>PointZ (30.10783742771353033 -25.20999598757231297 1844.18000000000006366)</t>
  </si>
  <si>
    <t>RZ18</t>
  </si>
  <si>
    <t>2023-07-21T11:50:33Z</t>
  </si>
  <si>
    <t>PointZ (30.10791655547985712 -25.21005569743683594 1939.68499999999994543)</t>
  </si>
  <si>
    <t>RZ91</t>
  </si>
  <si>
    <t>PointZ (30.10772082810268557 -25.20990800142926247 1928.27999999999997272)</t>
  </si>
  <si>
    <t>QZ31</t>
  </si>
  <si>
    <t>PointZ (30.10725443879557162 -25.20955606375130031 1933.08200000000010732)</t>
  </si>
  <si>
    <t>QZ28</t>
  </si>
  <si>
    <t>PointZ (30.10683267876142821 -25.20923780335207809 1893.49900000000002365)</t>
  </si>
  <si>
    <t>RZ10</t>
  </si>
  <si>
    <t>PointZ (30.10689828323848616 -25.20928730853362509 1928.74499999999989086)</t>
  </si>
  <si>
    <t>QZ13</t>
  </si>
  <si>
    <t>2023-07-21T13:12:25Z</t>
  </si>
  <si>
    <t>PointZ (30.10671873974281354 -25.20915182489367368 1907.01700000000005275)</t>
  </si>
  <si>
    <t>2023-07-21T13:14:32Z</t>
  </si>
  <si>
    <t>QZ23</t>
  </si>
  <si>
    <t>2023-07-21T11:26:39Z</t>
  </si>
  <si>
    <t>PointZ (30.10659408097184553 -25.20905775730309628 1932.03800000000001091)</t>
  </si>
  <si>
    <t>2023-07-22T13:49:09Z</t>
  </si>
  <si>
    <t>QZ14</t>
  </si>
  <si>
    <t>PointZ (30.10651832207084055 -25.20900058958655876 1906.73900000000003274)</t>
  </si>
  <si>
    <t>2023-07-21T13:16:18Z</t>
  </si>
  <si>
    <t>QZ15</t>
  </si>
  <si>
    <t>PointZ (30.10627967376736436 -25.20882050541976227 1906.52999999999997272)</t>
  </si>
  <si>
    <t>2023-07-21T13:17:36Z</t>
  </si>
  <si>
    <t>RPEG1</t>
  </si>
  <si>
    <t>2023-07-23T12:57:51Z</t>
  </si>
  <si>
    <t>PointZ (30.1061798384137802 -25.20874516959626988 1906.63100000000008549)</t>
  </si>
  <si>
    <t>RZ111</t>
  </si>
  <si>
    <t>PointZ (30.10599235774423121 -25.2086036965596918 1901.74299999999993815)</t>
  </si>
  <si>
    <t>QZ110</t>
  </si>
  <si>
    <t>PointZ (30.10579123771025323 -25.2084519312497477 1922.69800000000009277)</t>
  </si>
  <si>
    <t>QZ113</t>
  </si>
  <si>
    <t>2023-07-25T12:31:01Z</t>
  </si>
  <si>
    <t>PointZ (30.10566953724307382 -25.20836009599715055 1874.47100000000000364)</t>
  </si>
  <si>
    <t>RZ121</t>
  </si>
  <si>
    <t>PointZ (30.10571661269122856 -25.20839561916129767 1910.61799999999993815)</t>
  </si>
  <si>
    <t>2023-07-21T13:22:58Z</t>
  </si>
  <si>
    <t>QZ16</t>
  </si>
  <si>
    <t>PointZ (30.10571082720616332 -25.2083912534304595 1908.34400000000005093)</t>
  </si>
  <si>
    <t>2023-07-21T13:18:38Z</t>
  </si>
  <si>
    <t>QZ17</t>
  </si>
  <si>
    <t>PointZ (30.10566215948650992 -25.20835452873719618 1914.75199999999995271)</t>
  </si>
  <si>
    <t>2023-07-21T13:19:58Z</t>
  </si>
  <si>
    <t>RZ13</t>
  </si>
  <si>
    <t>PointZ (30.10557874016472724 -25.20829158046209884 1909.08099999999990359)</t>
  </si>
  <si>
    <t>2023-07-21T13:23:52Z</t>
  </si>
  <si>
    <t>QZ18</t>
  </si>
  <si>
    <t>PointZ (30.10547968455657752 -25.2082168330350278 1914.03099999999994907)</t>
  </si>
  <si>
    <t>QZ19</t>
  </si>
  <si>
    <t>PointZ (30.10533024105994571 -25.20810406287415617 1912.39599999999995816)</t>
  </si>
  <si>
    <t>2023-07-21T13:22:16Z</t>
  </si>
  <si>
    <t>RZ112</t>
  </si>
  <si>
    <t>PointZ (30.10518583017248062 -25.2079950903234753 1864.69499999999993634)</t>
  </si>
  <si>
    <t>SCHI1</t>
  </si>
  <si>
    <t>PointZ (30.10501609878639684 -25.20786701090787574 1863.10200000000008913)</t>
  </si>
  <si>
    <t>RZQZLEFT</t>
  </si>
  <si>
    <t>PointZ (30.10506438549996844 -25.20790344809370254 1886.76199999999994361)</t>
  </si>
  <si>
    <t>QZ20</t>
  </si>
  <si>
    <t>PointZ (30.10492940571599974 -25.20780159225992278 1901.06899999999995998)</t>
  </si>
  <si>
    <t>2023-07-21T10:57:13Z</t>
  </si>
  <si>
    <t>RZ14</t>
  </si>
  <si>
    <t>PointZ (30.10484309365169153 -25.20773646111941346 1899.83300000000008367)</t>
  </si>
  <si>
    <t>2023-07-21T13:25:44Z</t>
  </si>
  <si>
    <t>RZ15</t>
  </si>
  <si>
    <t>PointZ (30.10456504214300821 -25.20752664326804648 1895.48299999999994725)</t>
  </si>
  <si>
    <t>2023-07-21T13:31:56Z</t>
  </si>
  <si>
    <t>RZ26</t>
  </si>
  <si>
    <t>PointZ (30.10439917079239081 -25.20740147663775232 1856.01199999999994361)</t>
  </si>
  <si>
    <t>MZ11</t>
  </si>
  <si>
    <t>PointZ (30.10417901873718804 -25.20723534975206803 1836.65300000000002001)</t>
  </si>
  <si>
    <t>RZ16</t>
  </si>
  <si>
    <t>PointZ (30.10414857051268811 -25.20721237350182875 1886.7339999999999236)</t>
  </si>
  <si>
    <t>QZ22</t>
  </si>
  <si>
    <t>PointZ (30.1041340681083085 -25.20720142997794255 1897.90799999999990177)</t>
  </si>
  <si>
    <t>2023-07-22T13:18:49Z</t>
  </si>
  <si>
    <t>RZ17</t>
  </si>
  <si>
    <t>PointZ (30.1038769294676456 -25.2070073929905405 1874.99299999999993815)</t>
  </si>
  <si>
    <t>QZ21</t>
  </si>
  <si>
    <t>PointZ (30.10387055769572839 -25.20700258484725964 1874.99000000000000909)</t>
  </si>
  <si>
    <t>QZ25</t>
  </si>
  <si>
    <t>PointZ (30.1036996150442242 -25.20687359140998041 1876.60799999999994725)</t>
  </si>
  <si>
    <t>QZ111</t>
  </si>
  <si>
    <t>PointZ (30.10347949576964766 -25.20670748926057669 1869.27199999999993452)</t>
  </si>
  <si>
    <t>QZ24</t>
  </si>
  <si>
    <t>PointZ (30.10342332239608965 -25.20666510079593792 1869.23099999999999454)</t>
  </si>
  <si>
    <t>RPEQ</t>
  </si>
  <si>
    <t>2023-07-22T14:23:40Z</t>
  </si>
  <si>
    <t>PointZ (30.10335659585923196 -25.20661474890732734 1882.79899999999997817)</t>
  </si>
  <si>
    <t>PEG</t>
  </si>
  <si>
    <t>2023-07-22T14:58:47Z</t>
  </si>
  <si>
    <t>PointZ (30.10331477012318757 -25.20658318717939395 1892.67000000000007276)</t>
  </si>
  <si>
    <t>RPEG</t>
  </si>
  <si>
    <t>PointZ (30.10317357333417476 -25.20647663998951771 1876.68900000000007822)</t>
  </si>
  <si>
    <t>RZ34</t>
  </si>
  <si>
    <t>PointZ (30.1029773370535878 -25.20632855996309019 1857.83600000000001273)</t>
  </si>
  <si>
    <t>RZ37</t>
  </si>
  <si>
    <t>PointZ (30.10282991734843705 -25.20621731695660372 1839.625)</t>
  </si>
  <si>
    <t>RZ52</t>
  </si>
  <si>
    <t>PointZ (30.10276769355887794 -25.20617036284406964 1846.26099999999996726)</t>
  </si>
  <si>
    <t>79, 119</t>
  </si>
  <si>
    <t>MZPOR</t>
  </si>
  <si>
    <t>2023-07-22T15:08:28Z</t>
  </si>
  <si>
    <t>PointZ (30.10217703830906899 -25.2057246540040012 1873.1169999999999618)</t>
  </si>
  <si>
    <t>CZ3</t>
  </si>
  <si>
    <t>2023-07-23T14:31:40Z</t>
  </si>
  <si>
    <t>PointZ (30.10212837058941204 -25.20568792931073077 1877.05899999999996908)</t>
  </si>
  <si>
    <t>CZ2</t>
  </si>
  <si>
    <t>2023-07-22T15:30:41Z</t>
  </si>
  <si>
    <t>PointZ (30.10178898520067392 -25.20543182887312383 1865.34200000000009823)</t>
  </si>
  <si>
    <t>CZ1</t>
  </si>
  <si>
    <t>2023-07-22T15:27:23Z</t>
  </si>
  <si>
    <t>PointZ (30.10145761436924516 -25.20518177622573219 1862.06799999999998363)</t>
  </si>
  <si>
    <t>CZ</t>
  </si>
  <si>
    <t>2023-07-22T15:15:59Z</t>
  </si>
  <si>
    <t>PointZ (30.10107233792823678 -25.20489104636989097 1884.00299999999992906)</t>
  </si>
  <si>
    <t>2023-07-25T14:31:03Z</t>
  </si>
  <si>
    <t>PointZ (30.10080600033437648 -25.20469006784635724 1840.49499999999989086)</t>
  </si>
  <si>
    <t>2023-07-27T07:52:46Z</t>
  </si>
  <si>
    <t>Assigned Mz because it is undeformed / overlying Kliprivier synform</t>
  </si>
  <si>
    <t>CZ5</t>
  </si>
  <si>
    <t>2023-07-23T15:22:41Z</t>
  </si>
  <si>
    <t>PointZ (30.10080527110283199 -25.20468951756775056 1897.57300000000009277)</t>
  </si>
  <si>
    <t>MZ1</t>
  </si>
  <si>
    <t>2023-07-19T15:34:36Z</t>
  </si>
  <si>
    <t>PointZ (30.0880764172198738 -25.19508431605395415 1796.54999999999995453)</t>
  </si>
  <si>
    <t>2023-07-21T07:59:08Z</t>
  </si>
  <si>
    <t>PointZ (30.08798549224420071 -25.19501570400749557 1767.25700000000006185)</t>
  </si>
  <si>
    <t>2023-07-27T13:34:48Z</t>
  </si>
  <si>
    <t>DS</t>
  </si>
  <si>
    <t>2023-07-27T12:05:51Z</t>
  </si>
  <si>
    <t>PointZ (30.08823033068318509 -25.19520045925461815 1902.64200000000005275)</t>
  </si>
  <si>
    <t>MA1</t>
  </si>
  <si>
    <t>2023-07-26T11:35:06Z</t>
  </si>
  <si>
    <t>PointZ (30.0867336161306973 -25.19407103746869581 1805.30099999999993088)</t>
  </si>
  <si>
    <t>2023-07-24T13:17:46Z</t>
  </si>
  <si>
    <t>RESB1ND</t>
  </si>
  <si>
    <t>PointZ (30.08618178962141698 -25.19365462882177198 1982.62599999999997635)</t>
  </si>
  <si>
    <t>MODALLAYER</t>
  </si>
  <si>
    <t>PointZ (30.07945487995373313 -25.18857849836121687 2053.81700000000000728)</t>
  </si>
  <si>
    <t>MZD</t>
  </si>
  <si>
    <t>2023-07-22T09:48:13Z</t>
  </si>
  <si>
    <t>PointZ (30.07736742094582638 -25.18700330042060997 1789.64400000000000546)</t>
  </si>
  <si>
    <t>2023-07-22T10:34:30Z</t>
  </si>
  <si>
    <t>MODAL LAYER</t>
  </si>
  <si>
    <t>PointZ (30.07734214505000381 -25.18698422721299224 1828.36300000000005639)</t>
  </si>
  <si>
    <t>IS2</t>
  </si>
  <si>
    <t>PointZ (30.07361610189403578 -25.18417255259631204 1780.63899999999989632)</t>
  </si>
  <si>
    <t>UMA2</t>
  </si>
  <si>
    <t>PointZ (30.06898938295592671 -25.18068122744191228 1967.36799999999993815)</t>
  </si>
  <si>
    <t>MZ31</t>
  </si>
  <si>
    <t>2023-07-21T08:40:00Z</t>
  </si>
  <si>
    <t>PointZ (30.05564633314352818 -25.17061255327570635 1756.3830000000000382)</t>
  </si>
  <si>
    <t>MZD1</t>
  </si>
  <si>
    <t>PointZ (30.05307479197003317 -25.16867206661449075 1779.89899999999988722)</t>
  </si>
  <si>
    <t>MZD2</t>
  </si>
  <si>
    <t>PointZ (30.05131754895311147 -25.16734604987791357 1808.76299999999991996)</t>
  </si>
  <si>
    <t>2023-07-20T14:44:21Z</t>
  </si>
  <si>
    <t>MZ4</t>
  </si>
  <si>
    <t>PointZ (30.04660014310070792 -25.16378629231832775 1732.68599999999992178)</t>
  </si>
  <si>
    <t>MZ12</t>
  </si>
  <si>
    <t>PointZ (30.03837305758442255 -25.15757812817552264 1739.52899999999999636)</t>
  </si>
  <si>
    <t>2023-07-21T08:06:34Z</t>
  </si>
  <si>
    <t>MZ21</t>
  </si>
  <si>
    <t>PointZ (30.03590988113632321 -25.15571941360738251 1746.27700000000004366)</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</si>
</sst>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theme="1"/>
      <name val="Arial"/>
      <scheme val="minor"/>
    </font>
    <font>
      <sz val="11.0"/>
      <color rgb="FF000000"/>
      <name val="Calibri"/>
    </font>
    <font>
      <color theme="1"/>
      <name val="Arial"/>
    </font>
    <font>
      <sz val="11.0"/>
      <color theme="1"/>
      <name val="Calibri"/>
    </font>
    <font>
      <sz val="11.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24">
    <xf borderId="0" fillId="0" fontId="0" numFmtId="0" xfId="0" applyAlignment="1" applyFont="1">
      <alignment readingOrder="0" shrinkToFit="0" vertical="bottom" wrapText="0"/>
    </xf>
    <xf borderId="0" fillId="0" fontId="1" numFmtId="0" xfId="0" applyAlignment="1" applyFont="1">
      <alignment shrinkToFit="0" wrapText="1"/>
    </xf>
    <xf borderId="0" fillId="0" fontId="1" numFmtId="0" xfId="0" applyAlignment="1" applyFont="1">
      <alignment readingOrder="0" shrinkToFit="0" wrapText="1"/>
    </xf>
    <xf borderId="0" fillId="0" fontId="1" numFmtId="0" xfId="0" applyAlignment="1" applyFont="1">
      <alignment readingOrder="0"/>
    </xf>
    <xf borderId="0" fillId="0" fontId="2" numFmtId="0" xfId="0" applyAlignment="1" applyFont="1">
      <alignment horizontal="right" readingOrder="0" shrinkToFit="0" vertical="bottom" wrapText="0"/>
    </xf>
    <xf borderId="0" fillId="0" fontId="2" numFmtId="0" xfId="0" applyAlignment="1" applyFont="1">
      <alignment readingOrder="0" shrinkToFit="0" vertical="bottom" wrapText="0"/>
    </xf>
    <xf borderId="0" fillId="0" fontId="1" numFmtId="0" xfId="0" applyAlignment="1" applyFont="1">
      <alignment shrinkToFit="0" wrapText="1"/>
    </xf>
    <xf borderId="0" fillId="0" fontId="2" numFmtId="0" xfId="0" applyAlignment="1" applyFont="1">
      <alignment shrinkToFit="0" vertical="bottom" wrapText="0"/>
    </xf>
    <xf borderId="0" fillId="0" fontId="3" numFmtId="0" xfId="0" applyAlignment="1" applyFont="1">
      <alignment vertical="bottom"/>
    </xf>
    <xf borderId="0" fillId="0" fontId="3" numFmtId="0" xfId="0" applyAlignment="1" applyFont="1">
      <alignment shrinkToFit="0" vertical="bottom" wrapText="1"/>
    </xf>
    <xf borderId="0" fillId="0" fontId="3" numFmtId="0" xfId="0" applyAlignment="1" applyFont="1">
      <alignment horizontal="right" shrinkToFit="0" vertical="bottom" wrapText="1"/>
    </xf>
    <xf borderId="0" fillId="0" fontId="3" numFmtId="0" xfId="0" applyAlignment="1" applyFont="1">
      <alignment readingOrder="0" shrinkToFit="0" vertical="bottom" wrapText="1"/>
    </xf>
    <xf borderId="0" fillId="0" fontId="3" numFmtId="0" xfId="0" applyAlignment="1" applyFont="1">
      <alignment readingOrder="0" vertical="bottom"/>
    </xf>
    <xf borderId="0" fillId="0" fontId="4" numFmtId="0" xfId="0" applyAlignment="1" applyFont="1">
      <alignment vertical="bottom"/>
    </xf>
    <xf borderId="0" fillId="0" fontId="4" numFmtId="0" xfId="0" applyAlignment="1" applyFont="1">
      <alignment horizontal="right" vertical="bottom"/>
    </xf>
    <xf borderId="0" fillId="0" fontId="4" numFmtId="0" xfId="0" applyAlignment="1" applyFont="1">
      <alignment readingOrder="0" vertical="bottom"/>
    </xf>
    <xf borderId="0" fillId="0" fontId="3" numFmtId="0" xfId="0" applyAlignment="1" applyFont="1">
      <alignment horizontal="right" readingOrder="0" shrinkToFit="0" vertical="bottom" wrapText="1"/>
    </xf>
    <xf borderId="0" fillId="0" fontId="5" numFmtId="0" xfId="0" applyAlignment="1" applyFont="1">
      <alignment vertical="bottom"/>
    </xf>
    <xf borderId="0" fillId="0" fontId="4" numFmtId="0" xfId="0" applyAlignment="1" applyFont="1">
      <alignment shrinkToFit="0" vertical="bottom" wrapText="0"/>
    </xf>
    <xf borderId="0" fillId="0" fontId="5" numFmtId="0" xfId="0" applyAlignment="1" applyFont="1">
      <alignment shrinkToFit="0" vertical="bottom" wrapText="0"/>
    </xf>
    <xf borderId="0" fillId="0" fontId="3" numFmtId="0" xfId="0" applyAlignment="1" applyFont="1">
      <alignment horizontal="right" vertical="bottom"/>
    </xf>
    <xf borderId="0" fillId="0" fontId="4" numFmtId="0" xfId="0" applyAlignment="1" applyFont="1">
      <alignment horizontal="right" readingOrder="0" vertical="bottom"/>
    </xf>
    <xf borderId="0" fillId="0" fontId="3" numFmtId="3" xfId="0" applyAlignment="1" applyFont="1" applyNumberFormat="1">
      <alignment horizontal="right" shrinkToFit="0" vertical="bottom" wrapText="1"/>
    </xf>
    <xf borderId="0" fillId="0" fontId="3" numFmtId="0" xfId="0" applyAlignment="1" applyFont="1">
      <alignment shrinkToFit="0" vertical="bottom" wrapText="0"/>
    </xf>
  </cellXfs>
  <cellStyles count="1">
    <cellStyle xfId="0" name="Normal" builtinId="0"/>
  </cellStyles>
  <dxfs count="8">
    <dxf>
      <font/>
      <fill>
        <patternFill patternType="solid">
          <fgColor rgb="FFF4CCCC"/>
          <bgColor rgb="FFF4CCCC"/>
        </patternFill>
      </fill>
      <border/>
    </dxf>
    <dxf>
      <font/>
      <fill>
        <patternFill patternType="solid">
          <fgColor rgb="FFB4A7D6"/>
          <bgColor rgb="FFB4A7D6"/>
        </patternFill>
      </fill>
      <border/>
    </dxf>
    <dxf>
      <font/>
      <fill>
        <patternFill patternType="solid">
          <fgColor rgb="FF6AA84F"/>
          <bgColor rgb="FF6AA84F"/>
        </patternFill>
      </fill>
      <border/>
    </dxf>
    <dxf>
      <font/>
      <fill>
        <patternFill patternType="solid">
          <fgColor rgb="FF6D9EEB"/>
          <bgColor rgb="FF6D9EEB"/>
        </patternFill>
      </fill>
      <border/>
    </dxf>
    <dxf>
      <font/>
      <fill>
        <patternFill patternType="solid">
          <fgColor rgb="FFF6B26B"/>
          <bgColor rgb="FFF6B26B"/>
        </patternFill>
      </fill>
      <border/>
    </dxf>
    <dxf>
      <font/>
      <fill>
        <patternFill patternType="solid">
          <fgColor rgb="FFFFFF00"/>
          <bgColor rgb="FFFFFF00"/>
        </patternFill>
      </fill>
      <border/>
    </dxf>
    <dxf>
      <font/>
      <fill>
        <patternFill patternType="solid">
          <fgColor rgb="FFD9EAD3"/>
          <bgColor rgb="FFD9EAD3"/>
        </patternFill>
      </fill>
      <border/>
    </dxf>
    <dxf>
      <font/>
      <fill>
        <patternFill patternType="solid">
          <fgColor rgb="FF674EA7"/>
          <bgColor rgb="FF674EA7"/>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0.38"/>
    <col customWidth="1" min="10" max="15" width="20.38"/>
    <col customWidth="1" min="16" max="16" width="47.75"/>
  </cols>
  <sheetData>
    <row r="1">
      <c r="A1" s="1" t="s">
        <v>0</v>
      </c>
      <c r="B1" s="3" t="s">
        <v>2</v>
      </c>
      <c r="C1" s="1" t="s">
        <v>3</v>
      </c>
      <c r="D1" s="1" t="s">
        <v>4</v>
      </c>
      <c r="E1" s="2" t="s">
        <v>5</v>
      </c>
      <c r="F1" s="1" t="s">
        <v>7</v>
      </c>
      <c r="G1" s="2" t="s">
        <v>8</v>
      </c>
      <c r="H1" s="2" t="s">
        <v>9</v>
      </c>
      <c r="I1" s="2" t="s">
        <v>10</v>
      </c>
      <c r="J1" s="3" t="s">
        <v>11</v>
      </c>
      <c r="K1" s="3" t="s">
        <v>12</v>
      </c>
      <c r="L1" s="3" t="s">
        <v>13</v>
      </c>
      <c r="M1" s="2" t="s">
        <v>14</v>
      </c>
      <c r="N1" s="3" t="s">
        <v>15</v>
      </c>
      <c r="O1" s="2" t="s">
        <v>16</v>
      </c>
      <c r="P1" s="1" t="s">
        <v>17</v>
      </c>
      <c r="Q1" s="1" t="s">
        <v>18</v>
      </c>
      <c r="R1" s="2" t="s">
        <v>19</v>
      </c>
      <c r="S1" s="1" t="s">
        <v>20</v>
      </c>
      <c r="T1" s="2" t="s">
        <v>21</v>
      </c>
      <c r="U1" s="2" t="s">
        <v>22</v>
      </c>
      <c r="V1" s="1" t="s">
        <v>23</v>
      </c>
      <c r="W1" s="6"/>
      <c r="X1" s="1" t="s">
        <v>24</v>
      </c>
      <c r="Y1" s="6"/>
      <c r="Z1" s="1" t="s">
        <v>26</v>
      </c>
      <c r="AA1" s="6"/>
      <c r="AB1" s="1" t="s">
        <v>28</v>
      </c>
      <c r="AC1" s="6"/>
      <c r="AD1" s="2" t="s">
        <v>29</v>
      </c>
      <c r="AE1" s="2"/>
      <c r="AF1" s="2" t="s">
        <v>30</v>
      </c>
      <c r="AG1" s="1"/>
      <c r="AH1" s="1" t="s">
        <v>31</v>
      </c>
      <c r="AI1" s="6"/>
      <c r="AJ1" s="1" t="s">
        <v>32</v>
      </c>
      <c r="AK1" s="6"/>
      <c r="AL1" s="6"/>
      <c r="AM1" s="8"/>
      <c r="AN1" s="8"/>
    </row>
    <row r="2">
      <c r="A2" s="5" t="s">
        <v>35</v>
      </c>
      <c r="B2" s="3">
        <f t="shared" ref="B2:B187" si="1">N2-$N$176-86</f>
        <v>-932.7058958</v>
      </c>
      <c r="C2" s="4">
        <v>-25.2476</v>
      </c>
      <c r="D2" s="4">
        <v>30.11812</v>
      </c>
      <c r="E2" s="4">
        <v>2146.35</v>
      </c>
      <c r="F2" s="5" t="s">
        <v>40</v>
      </c>
      <c r="G2" s="5" t="s">
        <v>41</v>
      </c>
      <c r="H2" s="5" t="s">
        <v>41</v>
      </c>
      <c r="I2" s="5" t="s">
        <v>42</v>
      </c>
      <c r="J2" s="3" t="str">
        <f t="shared" ref="J2:J187" si="2">IF(((((-25.166768+25.233267)/(30.008173-30.128812))*(D2-30.128812))-25.233267)&lt;C2,"North","South")</f>
        <v>South</v>
      </c>
      <c r="K2" s="3" t="s">
        <v>46</v>
      </c>
      <c r="L2" s="3">
        <v>0.0792676402669054</v>
      </c>
      <c r="M2" s="1">
        <f t="shared" ref="M2:M187" si="3">((E2-2150)*tan(15*(PI()/180)))+L2</f>
        <v>-0.8987469121</v>
      </c>
      <c r="N2" s="3">
        <f t="shared" ref="N2:N187" si="4">M2*sin(15*PI()/180)</f>
        <v>-0.2326128176</v>
      </c>
      <c r="O2" s="5"/>
      <c r="P2" s="7"/>
      <c r="Q2" s="7"/>
      <c r="R2" s="7"/>
      <c r="S2" s="7"/>
      <c r="T2" s="5"/>
      <c r="U2" s="5"/>
      <c r="V2" s="5" t="s">
        <v>49</v>
      </c>
      <c r="W2" s="5" t="s">
        <v>50</v>
      </c>
      <c r="X2" s="7"/>
      <c r="Y2" s="7"/>
      <c r="Z2" s="7"/>
      <c r="AA2" s="7"/>
      <c r="AB2" s="7"/>
      <c r="AC2" s="7"/>
      <c r="AD2" s="7"/>
      <c r="AE2" s="7"/>
      <c r="AF2" s="7"/>
      <c r="AG2" s="7"/>
      <c r="AH2" s="5" t="s">
        <v>51</v>
      </c>
      <c r="AJ2" s="7"/>
      <c r="AK2" s="5" t="s">
        <v>52</v>
      </c>
      <c r="AL2" s="6"/>
      <c r="AM2" s="6"/>
      <c r="AN2" s="6"/>
    </row>
    <row r="3">
      <c r="A3" s="5" t="s">
        <v>53</v>
      </c>
      <c r="B3" s="3">
        <f t="shared" si="1"/>
        <v>-724.3285543</v>
      </c>
      <c r="C3" s="4">
        <v>-25.2404</v>
      </c>
      <c r="D3" s="4">
        <v>30.10576</v>
      </c>
      <c r="E3" s="4">
        <v>2076.069</v>
      </c>
      <c r="F3" s="5" t="s">
        <v>54</v>
      </c>
      <c r="G3" s="5" t="s">
        <v>41</v>
      </c>
      <c r="H3" s="5" t="s">
        <v>45</v>
      </c>
      <c r="I3" s="5" t="s">
        <v>45</v>
      </c>
      <c r="J3" s="3" t="str">
        <f t="shared" si="2"/>
        <v>South</v>
      </c>
      <c r="K3" s="3" t="s">
        <v>56</v>
      </c>
      <c r="L3" s="3">
        <v>824.019227572353</v>
      </c>
      <c r="M3" s="1">
        <f t="shared" si="3"/>
        <v>804.2094758</v>
      </c>
      <c r="N3" s="3">
        <f t="shared" si="4"/>
        <v>208.1447286</v>
      </c>
      <c r="O3" s="5"/>
      <c r="P3" s="7"/>
      <c r="Q3" s="7"/>
      <c r="R3" s="7"/>
      <c r="S3" s="7"/>
      <c r="T3" s="5"/>
      <c r="U3" s="5"/>
      <c r="V3" s="5" t="s">
        <v>49</v>
      </c>
      <c r="W3" s="5" t="s">
        <v>50</v>
      </c>
      <c r="X3" s="7"/>
      <c r="Y3" s="7"/>
      <c r="Z3" s="7"/>
      <c r="AA3" s="7"/>
      <c r="AB3" s="7"/>
      <c r="AC3" s="7"/>
      <c r="AD3" s="7"/>
      <c r="AE3" s="7"/>
      <c r="AF3" s="7"/>
      <c r="AG3" s="7"/>
      <c r="AH3" s="5" t="s">
        <v>51</v>
      </c>
      <c r="AJ3" s="7"/>
      <c r="AK3" s="5" t="s">
        <v>61</v>
      </c>
      <c r="AL3" s="6"/>
      <c r="AM3" s="6"/>
      <c r="AN3" s="6"/>
    </row>
    <row r="4">
      <c r="A4" s="5" t="s">
        <v>62</v>
      </c>
      <c r="B4" s="3">
        <f t="shared" si="1"/>
        <v>-705.6142336</v>
      </c>
      <c r="C4" s="4">
        <v>-25.2302</v>
      </c>
      <c r="D4" s="4">
        <v>30.11221</v>
      </c>
      <c r="E4" s="4">
        <v>1957.698</v>
      </c>
      <c r="F4" s="5" t="s">
        <v>64</v>
      </c>
      <c r="G4" s="5" t="s">
        <v>41</v>
      </c>
      <c r="H4" s="5" t="s">
        <v>45</v>
      </c>
      <c r="I4" s="5" t="s">
        <v>45</v>
      </c>
      <c r="J4" s="3" t="str">
        <f t="shared" si="2"/>
        <v>South</v>
      </c>
      <c r="K4" s="3" t="s">
        <v>65</v>
      </c>
      <c r="L4" s="3">
        <v>928.043224213311</v>
      </c>
      <c r="M4" s="1">
        <f t="shared" si="3"/>
        <v>876.5160586</v>
      </c>
      <c r="N4" s="3">
        <f t="shared" si="4"/>
        <v>226.8590493</v>
      </c>
      <c r="O4" s="5"/>
      <c r="P4" s="7"/>
      <c r="Q4" s="7"/>
      <c r="R4" s="7"/>
      <c r="S4" s="7"/>
      <c r="T4" s="5"/>
      <c r="U4" s="5"/>
      <c r="V4" s="5" t="s">
        <v>49</v>
      </c>
      <c r="W4" s="5" t="s">
        <v>50</v>
      </c>
      <c r="X4" s="7"/>
      <c r="Y4" s="7"/>
      <c r="Z4" s="7"/>
      <c r="AA4" s="7"/>
      <c r="AB4" s="7"/>
      <c r="AC4" s="7"/>
      <c r="AD4" s="7"/>
      <c r="AE4" s="7"/>
      <c r="AF4" s="7"/>
      <c r="AG4" s="7"/>
      <c r="AH4" s="5" t="s">
        <v>51</v>
      </c>
      <c r="AJ4" s="7"/>
      <c r="AK4" s="5" t="s">
        <v>67</v>
      </c>
      <c r="AL4" s="6"/>
      <c r="AM4" s="6"/>
      <c r="AN4" s="6"/>
    </row>
    <row r="5">
      <c r="A5" s="5" t="s">
        <v>68</v>
      </c>
      <c r="B5" s="3">
        <f t="shared" si="1"/>
        <v>-699.5240739</v>
      </c>
      <c r="C5" s="4">
        <v>-25.2398</v>
      </c>
      <c r="D5" s="4">
        <v>30.10496</v>
      </c>
      <c r="E5" s="4">
        <v>2043.699</v>
      </c>
      <c r="F5" s="5" t="s">
        <v>70</v>
      </c>
      <c r="G5" s="5" t="s">
        <v>41</v>
      </c>
      <c r="H5" s="5" t="s">
        <v>41</v>
      </c>
      <c r="I5" s="5" t="s">
        <v>42</v>
      </c>
      <c r="J5" s="3" t="str">
        <f t="shared" si="2"/>
        <v>South</v>
      </c>
      <c r="K5" s="3" t="s">
        <v>74</v>
      </c>
      <c r="L5" s="3">
        <v>928.529896010067</v>
      </c>
      <c r="M5" s="1">
        <f t="shared" si="3"/>
        <v>900.0466289</v>
      </c>
      <c r="N5" s="3">
        <f t="shared" si="4"/>
        <v>232.949209</v>
      </c>
      <c r="O5" s="5"/>
      <c r="P5" s="7"/>
      <c r="Q5" s="7"/>
      <c r="R5" s="7"/>
      <c r="S5" s="7"/>
      <c r="T5" s="5"/>
      <c r="U5" s="5"/>
      <c r="V5" s="5" t="s">
        <v>49</v>
      </c>
      <c r="W5" s="5" t="s">
        <v>50</v>
      </c>
      <c r="X5" s="7"/>
      <c r="Y5" s="7"/>
      <c r="Z5" s="7"/>
      <c r="AA5" s="7"/>
      <c r="AB5" s="7"/>
      <c r="AC5" s="7"/>
      <c r="AD5" s="7"/>
      <c r="AE5" s="7"/>
      <c r="AF5" s="7"/>
      <c r="AG5" s="7"/>
      <c r="AH5" s="5" t="s">
        <v>51</v>
      </c>
      <c r="AJ5" s="7"/>
      <c r="AK5" s="5" t="s">
        <v>78</v>
      </c>
      <c r="AL5" s="6"/>
      <c r="AM5" s="6"/>
      <c r="AN5" s="6"/>
    </row>
    <row r="6">
      <c r="A6" s="1" t="s">
        <v>39</v>
      </c>
      <c r="B6" s="3">
        <f t="shared" si="1"/>
        <v>-697.1431439</v>
      </c>
      <c r="C6" s="1">
        <v>-25.2288</v>
      </c>
      <c r="D6" s="1">
        <v>30.11288</v>
      </c>
      <c r="E6" s="1">
        <v>1959.531</v>
      </c>
      <c r="F6" s="1" t="s">
        <v>44</v>
      </c>
      <c r="G6" s="2" t="s">
        <v>41</v>
      </c>
      <c r="H6" s="1" t="s">
        <v>45</v>
      </c>
      <c r="I6" s="2" t="s">
        <v>45</v>
      </c>
      <c r="J6" s="3" t="str">
        <f t="shared" si="2"/>
        <v>South</v>
      </c>
      <c r="K6" s="3" t="s">
        <v>48</v>
      </c>
      <c r="L6" s="3">
        <v>960.28185083947</v>
      </c>
      <c r="M6" s="1">
        <f t="shared" si="3"/>
        <v>909.2458361</v>
      </c>
      <c r="N6" s="3">
        <f t="shared" si="4"/>
        <v>235.3301391</v>
      </c>
      <c r="O6" s="1" t="s">
        <v>57</v>
      </c>
      <c r="P6" s="1" t="s">
        <v>58</v>
      </c>
      <c r="Q6" s="1"/>
      <c r="R6" s="6"/>
      <c r="S6" s="6"/>
      <c r="T6" s="6"/>
      <c r="U6" s="6"/>
      <c r="V6" s="6"/>
      <c r="W6" s="6"/>
      <c r="X6" s="6"/>
      <c r="Y6" s="6"/>
      <c r="Z6" s="6"/>
      <c r="AA6" s="6"/>
      <c r="AB6" s="6"/>
      <c r="AC6" s="6"/>
      <c r="AD6" s="6"/>
      <c r="AE6" s="6"/>
      <c r="AF6" s="6"/>
      <c r="AG6" s="6"/>
      <c r="AH6" s="6"/>
      <c r="AI6" s="6"/>
      <c r="AJ6" s="6"/>
      <c r="AK6" s="6"/>
      <c r="AL6" s="6"/>
      <c r="AM6" s="6"/>
      <c r="AN6" s="6"/>
    </row>
    <row r="7">
      <c r="A7" s="9" t="s">
        <v>38</v>
      </c>
      <c r="B7" s="3">
        <f t="shared" si="1"/>
        <v>-683.3937535</v>
      </c>
      <c r="C7" s="10">
        <v>-25.2254</v>
      </c>
      <c r="D7" s="10">
        <v>30.11481</v>
      </c>
      <c r="E7" s="10">
        <v>1959.887</v>
      </c>
      <c r="F7" s="9" t="s">
        <v>43</v>
      </c>
      <c r="G7" s="11" t="s">
        <v>41</v>
      </c>
      <c r="H7" s="9" t="s">
        <v>45</v>
      </c>
      <c r="I7" s="9" t="s">
        <v>45</v>
      </c>
      <c r="J7" s="3" t="str">
        <f t="shared" si="2"/>
        <v>North</v>
      </c>
      <c r="K7" s="3" t="s">
        <v>47</v>
      </c>
      <c r="L7" s="3">
        <v>1013.31002598508</v>
      </c>
      <c r="M7" s="1">
        <f t="shared" si="3"/>
        <v>962.3694012</v>
      </c>
      <c r="N7" s="3">
        <f t="shared" si="4"/>
        <v>249.0795294</v>
      </c>
      <c r="O7" s="8"/>
      <c r="P7" s="8"/>
      <c r="Q7" s="8"/>
      <c r="R7" s="10">
        <v>235.0</v>
      </c>
      <c r="S7" s="10">
        <v>30.0</v>
      </c>
      <c r="T7" s="10">
        <f>R7-90</f>
        <v>145</v>
      </c>
      <c r="U7" s="12" t="s">
        <v>55</v>
      </c>
      <c r="V7" s="8"/>
      <c r="W7" s="8"/>
      <c r="X7" s="8"/>
      <c r="Y7" s="8"/>
      <c r="Z7" s="8"/>
      <c r="AA7" s="8"/>
      <c r="AB7" s="8"/>
      <c r="AC7" s="8"/>
      <c r="AD7" s="8"/>
      <c r="AE7" s="8"/>
      <c r="AF7" s="8"/>
      <c r="AG7" s="8"/>
      <c r="AH7" s="8"/>
      <c r="AI7" s="8"/>
      <c r="AJ7" s="8"/>
      <c r="AK7" s="8"/>
      <c r="AL7" s="8"/>
      <c r="AM7" s="6"/>
      <c r="AN7" s="6"/>
    </row>
    <row r="8">
      <c r="A8" s="5" t="s">
        <v>99</v>
      </c>
      <c r="B8" s="3">
        <f t="shared" si="1"/>
        <v>-676.4232224</v>
      </c>
      <c r="C8" s="4">
        <v>-25.2253</v>
      </c>
      <c r="D8" s="4">
        <v>30.11455</v>
      </c>
      <c r="E8" s="4">
        <v>1955.955</v>
      </c>
      <c r="F8" s="5" t="s">
        <v>103</v>
      </c>
      <c r="G8" s="5" t="s">
        <v>41</v>
      </c>
      <c r="H8" s="5" t="s">
        <v>45</v>
      </c>
      <c r="I8" s="5" t="s">
        <v>45</v>
      </c>
      <c r="J8" s="3" t="str">
        <f t="shared" si="2"/>
        <v>North</v>
      </c>
      <c r="K8" s="3" t="s">
        <v>105</v>
      </c>
      <c r="L8" s="3">
        <v>1041.29566629641</v>
      </c>
      <c r="M8" s="1">
        <f t="shared" si="3"/>
        <v>989.3014653</v>
      </c>
      <c r="N8" s="3">
        <f t="shared" si="4"/>
        <v>256.0500606</v>
      </c>
      <c r="O8" s="5"/>
      <c r="P8" s="7"/>
      <c r="Q8" s="7"/>
      <c r="R8" s="7"/>
      <c r="S8" s="7"/>
      <c r="T8" s="5"/>
      <c r="U8" s="5"/>
      <c r="V8" s="5" t="s">
        <v>49</v>
      </c>
      <c r="W8" s="5" t="s">
        <v>50</v>
      </c>
      <c r="X8" s="7"/>
      <c r="Y8" s="7"/>
      <c r="Z8" s="7"/>
      <c r="AA8" s="7"/>
      <c r="AB8" s="7"/>
      <c r="AC8" s="7"/>
      <c r="AD8" s="7"/>
      <c r="AE8" s="7"/>
      <c r="AF8" s="7"/>
      <c r="AG8" s="7"/>
      <c r="AH8" s="5" t="s">
        <v>51</v>
      </c>
      <c r="AJ8" s="7"/>
      <c r="AK8" s="5" t="s">
        <v>112</v>
      </c>
      <c r="AL8" s="6"/>
      <c r="AM8" s="6"/>
      <c r="AN8" s="6"/>
    </row>
    <row r="9">
      <c r="A9" s="9" t="s">
        <v>59</v>
      </c>
      <c r="B9" s="3">
        <f t="shared" si="1"/>
        <v>-674.0088167</v>
      </c>
      <c r="C9" s="10">
        <v>-25.2259</v>
      </c>
      <c r="D9" s="10">
        <v>30.1139</v>
      </c>
      <c r="E9" s="10">
        <v>1929.36</v>
      </c>
      <c r="F9" s="9" t="s">
        <v>60</v>
      </c>
      <c r="G9" s="11" t="s">
        <v>41</v>
      </c>
      <c r="H9" s="9" t="s">
        <v>45</v>
      </c>
      <c r="I9" s="9" t="s">
        <v>45</v>
      </c>
      <c r="J9" s="3" t="str">
        <f t="shared" si="2"/>
        <v>South</v>
      </c>
      <c r="K9" s="3" t="s">
        <v>63</v>
      </c>
      <c r="L9" s="3">
        <v>1057.750322443</v>
      </c>
      <c r="M9" s="1">
        <f t="shared" si="3"/>
        <v>998.6300126</v>
      </c>
      <c r="N9" s="3">
        <f t="shared" si="4"/>
        <v>258.4644663</v>
      </c>
      <c r="O9" s="9"/>
      <c r="P9" s="9" t="s">
        <v>66</v>
      </c>
      <c r="Q9" s="8"/>
      <c r="R9" s="10">
        <v>210.0</v>
      </c>
      <c r="S9" s="10">
        <v>30.0</v>
      </c>
      <c r="T9" s="10">
        <f>R9-90</f>
        <v>120</v>
      </c>
      <c r="U9" s="12" t="s">
        <v>55</v>
      </c>
      <c r="V9" s="8"/>
      <c r="W9" s="8"/>
      <c r="X9" s="8"/>
      <c r="Y9" s="8"/>
      <c r="Z9" s="8"/>
      <c r="AA9" s="8"/>
      <c r="AB9" s="8"/>
      <c r="AC9" s="8"/>
      <c r="AD9" s="8"/>
      <c r="AE9" s="8"/>
      <c r="AF9" s="8"/>
      <c r="AG9" s="8"/>
      <c r="AH9" s="8"/>
      <c r="AI9" s="8"/>
      <c r="AJ9" s="8"/>
      <c r="AK9" s="8"/>
      <c r="AL9" s="8"/>
      <c r="AM9" s="6"/>
      <c r="AN9" s="6"/>
    </row>
    <row r="10">
      <c r="A10" s="5" t="s">
        <v>126</v>
      </c>
      <c r="B10" s="3">
        <f t="shared" si="1"/>
        <v>-669.2727494</v>
      </c>
      <c r="C10" s="4">
        <v>-25.2392</v>
      </c>
      <c r="D10" s="4">
        <v>30.10392</v>
      </c>
      <c r="E10" s="4">
        <v>2015.146</v>
      </c>
      <c r="F10" s="5" t="s">
        <v>128</v>
      </c>
      <c r="G10" s="5" t="s">
        <v>41</v>
      </c>
      <c r="H10" s="5" t="s">
        <v>41</v>
      </c>
      <c r="I10" s="5" t="s">
        <v>42</v>
      </c>
      <c r="J10" s="3" t="str">
        <f t="shared" si="2"/>
        <v>South</v>
      </c>
      <c r="K10" s="3" t="s">
        <v>129</v>
      </c>
      <c r="L10" s="3">
        <v>1053.06279176093</v>
      </c>
      <c r="M10" s="1">
        <f t="shared" si="3"/>
        <v>1016.928771</v>
      </c>
      <c r="N10" s="3">
        <f t="shared" si="4"/>
        <v>263.2005335</v>
      </c>
      <c r="O10" s="5"/>
      <c r="P10" s="7"/>
      <c r="Q10" s="7"/>
      <c r="R10" s="7"/>
      <c r="S10" s="7"/>
      <c r="T10" s="5"/>
      <c r="U10" s="5"/>
      <c r="V10" s="5" t="s">
        <v>49</v>
      </c>
      <c r="W10" s="5" t="s">
        <v>50</v>
      </c>
      <c r="X10" s="7"/>
      <c r="Y10" s="7"/>
      <c r="Z10" s="7"/>
      <c r="AA10" s="7"/>
      <c r="AB10" s="7"/>
      <c r="AC10" s="7"/>
      <c r="AD10" s="7"/>
      <c r="AE10" s="7"/>
      <c r="AF10" s="7"/>
      <c r="AG10" s="7"/>
      <c r="AH10" s="5" t="s">
        <v>51</v>
      </c>
      <c r="AJ10" s="7"/>
      <c r="AK10" s="5" t="s">
        <v>135</v>
      </c>
      <c r="AL10" s="6"/>
      <c r="AM10" s="6"/>
      <c r="AN10" s="6"/>
    </row>
    <row r="11">
      <c r="A11" s="13" t="s">
        <v>80</v>
      </c>
      <c r="B11" s="3">
        <f t="shared" si="1"/>
        <v>-661.4294508</v>
      </c>
      <c r="C11" s="14">
        <v>-25.239</v>
      </c>
      <c r="D11" s="14">
        <v>30.10369</v>
      </c>
      <c r="E11" s="14">
        <v>2009.645</v>
      </c>
      <c r="F11" s="13" t="s">
        <v>84</v>
      </c>
      <c r="G11" s="15" t="s">
        <v>41</v>
      </c>
      <c r="H11" s="13" t="s">
        <v>45</v>
      </c>
      <c r="I11" s="13" t="s">
        <v>45</v>
      </c>
      <c r="J11" s="3" t="str">
        <f t="shared" si="2"/>
        <v>South</v>
      </c>
      <c r="K11" s="3" t="s">
        <v>86</v>
      </c>
      <c r="L11" s="3">
        <v>1084.84095890229</v>
      </c>
      <c r="M11" s="1">
        <f t="shared" si="3"/>
        <v>1047.23295</v>
      </c>
      <c r="N11" s="3">
        <f t="shared" si="4"/>
        <v>271.0438321</v>
      </c>
      <c r="O11" s="18" t="s">
        <v>89</v>
      </c>
      <c r="P11" s="8"/>
      <c r="Q11" s="8"/>
      <c r="R11" s="8"/>
      <c r="S11" s="8"/>
      <c r="T11" s="8"/>
      <c r="U11" s="8"/>
      <c r="V11" s="8"/>
      <c r="W11" s="8"/>
      <c r="X11" s="8"/>
      <c r="Y11" s="8"/>
      <c r="Z11" s="8"/>
      <c r="AA11" s="8"/>
      <c r="AB11" s="8"/>
      <c r="AC11" s="8"/>
      <c r="AD11" s="8"/>
      <c r="AE11" s="8"/>
      <c r="AF11" s="8"/>
      <c r="AG11" s="8"/>
      <c r="AH11" s="8"/>
      <c r="AI11" s="8"/>
      <c r="AJ11" s="8"/>
      <c r="AK11" s="8"/>
      <c r="AL11" s="8"/>
      <c r="AM11" s="6"/>
      <c r="AN11" s="6"/>
    </row>
    <row r="12">
      <c r="A12" s="5" t="s">
        <v>147</v>
      </c>
      <c r="B12" s="3">
        <f t="shared" si="1"/>
        <v>-653.6956791</v>
      </c>
      <c r="C12" s="4">
        <v>-25.225</v>
      </c>
      <c r="D12" s="4">
        <v>30.11369</v>
      </c>
      <c r="E12" s="4">
        <v>1945.436</v>
      </c>
      <c r="F12" s="5" t="s">
        <v>148</v>
      </c>
      <c r="G12" s="5" t="s">
        <v>41</v>
      </c>
      <c r="H12" s="5" t="s">
        <v>41</v>
      </c>
      <c r="I12" s="5" t="s">
        <v>42</v>
      </c>
      <c r="J12" s="3" t="str">
        <f t="shared" si="2"/>
        <v>South</v>
      </c>
      <c r="K12" s="3" t="s">
        <v>150</v>
      </c>
      <c r="L12" s="3">
        <v>1131.92670795203</v>
      </c>
      <c r="M12" s="1">
        <f t="shared" si="3"/>
        <v>1077.113949</v>
      </c>
      <c r="N12" s="3">
        <f t="shared" si="4"/>
        <v>278.7776038</v>
      </c>
      <c r="O12" s="5"/>
      <c r="P12" s="7"/>
      <c r="Q12" s="7"/>
      <c r="R12" s="7"/>
      <c r="S12" s="7"/>
      <c r="T12" s="5"/>
      <c r="U12" s="5"/>
      <c r="V12" s="5" t="s">
        <v>49</v>
      </c>
      <c r="W12" s="5" t="s">
        <v>50</v>
      </c>
      <c r="X12" s="7"/>
      <c r="Y12" s="7"/>
      <c r="Z12" s="7"/>
      <c r="AA12" s="7"/>
      <c r="AB12" s="7"/>
      <c r="AC12" s="7"/>
      <c r="AD12" s="7"/>
      <c r="AE12" s="7"/>
      <c r="AF12" s="7"/>
      <c r="AG12" s="7"/>
      <c r="AH12" s="5" t="s">
        <v>51</v>
      </c>
      <c r="AJ12" s="7"/>
      <c r="AK12" s="5" t="s">
        <v>156</v>
      </c>
      <c r="AL12" s="6"/>
      <c r="AM12" s="6"/>
      <c r="AN12" s="6"/>
    </row>
    <row r="13">
      <c r="A13" s="9" t="s">
        <v>92</v>
      </c>
      <c r="B13" s="3">
        <f t="shared" si="1"/>
        <v>-648.766912</v>
      </c>
      <c r="C13" s="10">
        <v>-25.2251</v>
      </c>
      <c r="D13" s="10">
        <v>30.11337</v>
      </c>
      <c r="E13" s="10">
        <v>1940.37</v>
      </c>
      <c r="F13" s="9" t="s">
        <v>94</v>
      </c>
      <c r="G13" s="11" t="s">
        <v>41</v>
      </c>
      <c r="H13" s="9" t="s">
        <v>96</v>
      </c>
      <c r="I13" s="11" t="s">
        <v>73</v>
      </c>
      <c r="J13" s="3" t="str">
        <f t="shared" si="2"/>
        <v>South</v>
      </c>
      <c r="K13" s="3" t="s">
        <v>97</v>
      </c>
      <c r="L13" s="3">
        <v>1152.32743226903</v>
      </c>
      <c r="M13" s="1">
        <f t="shared" si="3"/>
        <v>1096.157243</v>
      </c>
      <c r="N13" s="3">
        <f t="shared" si="4"/>
        <v>283.7063709</v>
      </c>
      <c r="O13" s="8"/>
      <c r="P13" s="9" t="s">
        <v>101</v>
      </c>
      <c r="Q13" s="10">
        <v>34.0</v>
      </c>
      <c r="R13" s="8"/>
      <c r="S13" s="8"/>
      <c r="T13" s="8"/>
      <c r="U13" s="8"/>
      <c r="V13" s="8"/>
      <c r="W13" s="8"/>
      <c r="X13" s="8"/>
      <c r="Y13" s="8"/>
      <c r="Z13" s="8"/>
      <c r="AA13" s="8"/>
      <c r="AB13" s="8"/>
      <c r="AC13" s="8"/>
      <c r="AD13" s="8"/>
      <c r="AE13" s="8"/>
      <c r="AF13" s="8"/>
      <c r="AG13" s="8"/>
      <c r="AH13" s="8"/>
      <c r="AI13" s="8"/>
      <c r="AJ13" s="8"/>
      <c r="AK13" s="8"/>
      <c r="AL13" s="8"/>
      <c r="AM13" s="6"/>
      <c r="AN13" s="6"/>
    </row>
    <row r="14">
      <c r="A14" s="5" t="s">
        <v>166</v>
      </c>
      <c r="B14" s="3">
        <f t="shared" si="1"/>
        <v>-644.2973313</v>
      </c>
      <c r="C14" s="4">
        <v>-25.225</v>
      </c>
      <c r="D14" s="4">
        <v>30.11326</v>
      </c>
      <c r="E14" s="4">
        <v>1947.077</v>
      </c>
      <c r="F14" s="5" t="s">
        <v>169</v>
      </c>
      <c r="G14" s="5" t="s">
        <v>41</v>
      </c>
      <c r="H14" s="5" t="s">
        <v>41</v>
      </c>
      <c r="I14" s="5" t="s">
        <v>42</v>
      </c>
      <c r="J14" s="3" t="str">
        <f t="shared" si="2"/>
        <v>South</v>
      </c>
      <c r="K14" s="3" t="s">
        <v>170</v>
      </c>
      <c r="L14" s="3">
        <v>1167.79943097767</v>
      </c>
      <c r="M14" s="1">
        <f t="shared" si="3"/>
        <v>1113.426377</v>
      </c>
      <c r="N14" s="3">
        <f t="shared" si="4"/>
        <v>288.1759517</v>
      </c>
      <c r="O14" s="5"/>
      <c r="P14" s="7"/>
      <c r="Q14" s="7"/>
      <c r="R14" s="7"/>
      <c r="S14" s="7"/>
      <c r="T14" s="5"/>
      <c r="U14" s="5"/>
      <c r="V14" s="5" t="s">
        <v>49</v>
      </c>
      <c r="W14" s="5" t="s">
        <v>50</v>
      </c>
      <c r="X14" s="7"/>
      <c r="Y14" s="7"/>
      <c r="Z14" s="7"/>
      <c r="AA14" s="7"/>
      <c r="AB14" s="7"/>
      <c r="AC14" s="7"/>
      <c r="AD14" s="7"/>
      <c r="AE14" s="7"/>
      <c r="AF14" s="7"/>
      <c r="AG14" s="7"/>
      <c r="AH14" s="5" t="s">
        <v>51</v>
      </c>
      <c r="AJ14" s="7"/>
      <c r="AK14" s="5" t="s">
        <v>178</v>
      </c>
      <c r="AL14" s="6"/>
      <c r="AM14" s="6"/>
      <c r="AN14" s="6"/>
    </row>
    <row r="15">
      <c r="A15" s="5" t="s">
        <v>181</v>
      </c>
      <c r="B15" s="3">
        <f t="shared" si="1"/>
        <v>-642.8825113</v>
      </c>
      <c r="C15" s="4">
        <v>-25.239</v>
      </c>
      <c r="D15" s="4">
        <v>30.10279</v>
      </c>
      <c r="E15" s="4">
        <v>1996.872</v>
      </c>
      <c r="F15" s="5" t="s">
        <v>52</v>
      </c>
      <c r="G15" s="5" t="s">
        <v>41</v>
      </c>
      <c r="H15" s="5" t="s">
        <v>41</v>
      </c>
      <c r="I15" s="5" t="s">
        <v>42</v>
      </c>
      <c r="J15" s="3" t="str">
        <f t="shared" si="2"/>
        <v>South</v>
      </c>
      <c r="K15" s="3" t="s">
        <v>186</v>
      </c>
      <c r="L15" s="3">
        <v>1159.92334551889</v>
      </c>
      <c r="M15" s="1">
        <f t="shared" si="3"/>
        <v>1118.892822</v>
      </c>
      <c r="N15" s="3">
        <f t="shared" si="4"/>
        <v>289.5907717</v>
      </c>
      <c r="O15" s="5"/>
      <c r="P15" s="7"/>
      <c r="Q15" s="7"/>
      <c r="R15" s="7"/>
      <c r="S15" s="7"/>
      <c r="T15" s="5"/>
      <c r="U15" s="5"/>
      <c r="V15" s="5" t="s">
        <v>49</v>
      </c>
      <c r="W15" s="5" t="s">
        <v>50</v>
      </c>
      <c r="X15" s="7"/>
      <c r="Y15" s="7"/>
      <c r="Z15" s="7"/>
      <c r="AA15" s="7"/>
      <c r="AB15" s="7"/>
      <c r="AC15" s="7"/>
      <c r="AD15" s="7"/>
      <c r="AE15" s="7"/>
      <c r="AF15" s="7"/>
      <c r="AG15" s="7"/>
      <c r="AH15" s="5" t="s">
        <v>51</v>
      </c>
      <c r="AJ15" s="7"/>
      <c r="AK15" s="5" t="s">
        <v>194</v>
      </c>
      <c r="AL15" s="6"/>
      <c r="AM15" s="6"/>
      <c r="AN15" s="6"/>
    </row>
    <row r="16">
      <c r="A16" s="5" t="s">
        <v>195</v>
      </c>
      <c r="B16" s="3">
        <f t="shared" si="1"/>
        <v>-641.8880085</v>
      </c>
      <c r="C16" s="4">
        <v>-25.2386</v>
      </c>
      <c r="D16" s="4">
        <v>30.10304</v>
      </c>
      <c r="E16" s="4">
        <v>1995.072</v>
      </c>
      <c r="F16" s="5" t="s">
        <v>196</v>
      </c>
      <c r="G16" s="5" t="s">
        <v>41</v>
      </c>
      <c r="H16" s="5" t="s">
        <v>41</v>
      </c>
      <c r="I16" s="5" t="s">
        <v>42</v>
      </c>
      <c r="J16" s="3" t="str">
        <f t="shared" si="2"/>
        <v>South</v>
      </c>
      <c r="K16" s="3" t="s">
        <v>197</v>
      </c>
      <c r="L16" s="3">
        <v>1164.24811767767</v>
      </c>
      <c r="M16" s="1">
        <f t="shared" si="3"/>
        <v>1122.735285</v>
      </c>
      <c r="N16" s="3">
        <f t="shared" si="4"/>
        <v>290.5852744</v>
      </c>
      <c r="O16" s="5"/>
      <c r="P16" s="7"/>
      <c r="Q16" s="7"/>
      <c r="R16" s="7"/>
      <c r="S16" s="7"/>
      <c r="T16" s="5"/>
      <c r="U16" s="5"/>
      <c r="V16" s="5" t="s">
        <v>49</v>
      </c>
      <c r="W16" s="5" t="s">
        <v>50</v>
      </c>
      <c r="X16" s="7"/>
      <c r="Y16" s="7"/>
      <c r="Z16" s="7"/>
      <c r="AA16" s="7"/>
      <c r="AB16" s="7"/>
      <c r="AC16" s="7"/>
      <c r="AD16" s="7"/>
      <c r="AE16" s="7"/>
      <c r="AF16" s="7"/>
      <c r="AG16" s="7"/>
      <c r="AH16" s="5" t="s">
        <v>51</v>
      </c>
      <c r="AJ16" s="7"/>
      <c r="AK16" s="5" t="s">
        <v>203</v>
      </c>
      <c r="AL16" s="6"/>
      <c r="AM16" s="6"/>
      <c r="AN16" s="6"/>
    </row>
    <row r="17">
      <c r="A17" s="5" t="s">
        <v>204</v>
      </c>
      <c r="B17" s="3">
        <f t="shared" si="1"/>
        <v>-638.6344407</v>
      </c>
      <c r="C17" s="4">
        <v>-25.2386</v>
      </c>
      <c r="D17" s="4">
        <v>30.10289</v>
      </c>
      <c r="E17" s="4">
        <v>1995.285</v>
      </c>
      <c r="F17" s="5" t="s">
        <v>205</v>
      </c>
      <c r="G17" s="5" t="s">
        <v>41</v>
      </c>
      <c r="H17" s="5" t="s">
        <v>45</v>
      </c>
      <c r="I17" s="5" t="s">
        <v>45</v>
      </c>
      <c r="J17" s="3" t="str">
        <f t="shared" si="2"/>
        <v>South</v>
      </c>
      <c r="K17" s="3" t="s">
        <v>207</v>
      </c>
      <c r="L17" s="3">
        <v>1176.76186539354</v>
      </c>
      <c r="M17" s="1">
        <f t="shared" si="3"/>
        <v>1135.306106</v>
      </c>
      <c r="N17" s="3">
        <f t="shared" si="4"/>
        <v>293.8388423</v>
      </c>
      <c r="O17" s="5"/>
      <c r="P17" s="7"/>
      <c r="Q17" s="7"/>
      <c r="R17" s="7"/>
      <c r="S17" s="7"/>
      <c r="T17" s="5"/>
      <c r="U17" s="5"/>
      <c r="V17" s="5" t="s">
        <v>49</v>
      </c>
      <c r="W17" s="5" t="s">
        <v>50</v>
      </c>
      <c r="X17" s="7"/>
      <c r="Y17" s="7"/>
      <c r="Z17" s="7"/>
      <c r="AA17" s="7"/>
      <c r="AB17" s="7"/>
      <c r="AC17" s="7"/>
      <c r="AD17" s="7"/>
      <c r="AE17" s="7"/>
      <c r="AF17" s="7"/>
      <c r="AG17" s="7"/>
      <c r="AH17" s="5" t="s">
        <v>51</v>
      </c>
      <c r="AJ17" s="7"/>
      <c r="AK17" s="5" t="s">
        <v>209</v>
      </c>
      <c r="AL17" s="6"/>
      <c r="AM17" s="6"/>
      <c r="AN17" s="6"/>
    </row>
    <row r="18">
      <c r="A18" s="9" t="s">
        <v>108</v>
      </c>
      <c r="B18" s="3">
        <f t="shared" si="1"/>
        <v>-637.7643342</v>
      </c>
      <c r="C18" s="10">
        <v>-25.2261</v>
      </c>
      <c r="D18" s="10">
        <v>30.11207</v>
      </c>
      <c r="E18" s="10">
        <v>1929.214</v>
      </c>
      <c r="F18" s="9" t="s">
        <v>109</v>
      </c>
      <c r="G18" s="11" t="s">
        <v>41</v>
      </c>
      <c r="H18" s="9" t="s">
        <v>111</v>
      </c>
      <c r="I18" s="9" t="s">
        <v>111</v>
      </c>
      <c r="J18" s="3" t="str">
        <f t="shared" si="2"/>
        <v>South</v>
      </c>
      <c r="K18" s="3" t="s">
        <v>114</v>
      </c>
      <c r="L18" s="3">
        <v>1197.82736982799</v>
      </c>
      <c r="M18" s="1">
        <f t="shared" si="3"/>
        <v>1138.667939</v>
      </c>
      <c r="N18" s="3">
        <f t="shared" si="4"/>
        <v>294.7089488</v>
      </c>
      <c r="O18" s="9" t="s">
        <v>116</v>
      </c>
      <c r="P18" s="9" t="s">
        <v>117</v>
      </c>
      <c r="Q18" s="9" t="s">
        <v>118</v>
      </c>
      <c r="R18" s="8"/>
      <c r="S18" s="8"/>
      <c r="T18" s="8"/>
      <c r="U18" s="8"/>
      <c r="V18" s="8"/>
      <c r="W18" s="8"/>
      <c r="X18" s="10">
        <v>60.0</v>
      </c>
      <c r="Y18" s="9" t="s">
        <v>119</v>
      </c>
      <c r="Z18" s="10">
        <v>10.0</v>
      </c>
      <c r="AA18" s="8"/>
      <c r="AB18" s="8"/>
      <c r="AC18" s="8"/>
      <c r="AD18" s="8"/>
      <c r="AE18" s="8"/>
      <c r="AF18" s="10">
        <v>30.0</v>
      </c>
      <c r="AG18" s="9" t="s">
        <v>120</v>
      </c>
      <c r="AH18" s="8"/>
      <c r="AI18" s="8"/>
      <c r="AJ18" s="10">
        <v>0.0</v>
      </c>
      <c r="AK18" s="8"/>
      <c r="AL18" s="8"/>
      <c r="AM18" s="6"/>
      <c r="AN18" s="6"/>
    </row>
    <row r="19">
      <c r="A19" s="5" t="s">
        <v>217</v>
      </c>
      <c r="B19" s="3">
        <f t="shared" si="1"/>
        <v>-635.9879402</v>
      </c>
      <c r="C19" s="4">
        <v>-25.2258</v>
      </c>
      <c r="D19" s="4">
        <v>30.11224</v>
      </c>
      <c r="E19" s="4">
        <v>1937.275</v>
      </c>
      <c r="F19" s="5" t="s">
        <v>219</v>
      </c>
      <c r="G19" s="5" t="s">
        <v>41</v>
      </c>
      <c r="H19" s="5" t="s">
        <v>220</v>
      </c>
      <c r="I19" s="5" t="s">
        <v>221</v>
      </c>
      <c r="J19" s="3" t="str">
        <f t="shared" si="2"/>
        <v>South</v>
      </c>
      <c r="K19" s="3" t="s">
        <v>223</v>
      </c>
      <c r="L19" s="3">
        <v>1202.53089078449</v>
      </c>
      <c r="M19" s="1">
        <f t="shared" si="3"/>
        <v>1145.531399</v>
      </c>
      <c r="N19" s="3">
        <f t="shared" si="4"/>
        <v>296.4853428</v>
      </c>
      <c r="O19" s="5"/>
      <c r="P19" s="7"/>
      <c r="Q19" s="7"/>
      <c r="R19" s="7"/>
      <c r="S19" s="7"/>
      <c r="T19" s="5"/>
      <c r="U19" s="5"/>
      <c r="V19" s="5" t="s">
        <v>49</v>
      </c>
      <c r="W19" s="5" t="s">
        <v>50</v>
      </c>
      <c r="X19" s="7"/>
      <c r="Y19" s="7"/>
      <c r="Z19" s="7"/>
      <c r="AA19" s="7"/>
      <c r="AB19" s="7"/>
      <c r="AC19" s="7"/>
      <c r="AD19" s="7"/>
      <c r="AE19" s="7"/>
      <c r="AF19" s="7"/>
      <c r="AG19" s="7"/>
      <c r="AH19" s="5" t="s">
        <v>51</v>
      </c>
      <c r="AJ19" s="7"/>
      <c r="AK19" s="5" t="s">
        <v>227</v>
      </c>
      <c r="AL19" s="6"/>
      <c r="AM19" s="6"/>
      <c r="AN19" s="6"/>
    </row>
    <row r="20">
      <c r="A20" s="5" t="s">
        <v>228</v>
      </c>
      <c r="B20" s="3">
        <f t="shared" si="1"/>
        <v>-631.4706057</v>
      </c>
      <c r="C20" s="4">
        <v>-25.2251</v>
      </c>
      <c r="D20" s="4">
        <v>30.1126</v>
      </c>
      <c r="E20" s="4">
        <v>1950.038</v>
      </c>
      <c r="F20" s="5" t="s">
        <v>231</v>
      </c>
      <c r="G20" s="5" t="s">
        <v>41</v>
      </c>
      <c r="H20" s="5" t="s">
        <v>45</v>
      </c>
      <c r="I20" s="5" t="s">
        <v>45</v>
      </c>
      <c r="J20" s="3" t="str">
        <f t="shared" si="2"/>
        <v>South</v>
      </c>
      <c r="K20" s="3" t="s">
        <v>233</v>
      </c>
      <c r="L20" s="3">
        <v>1216.56469525763</v>
      </c>
      <c r="M20" s="1">
        <f t="shared" si="3"/>
        <v>1162.985039</v>
      </c>
      <c r="N20" s="3">
        <f t="shared" si="4"/>
        <v>301.0026772</v>
      </c>
      <c r="O20" s="5"/>
      <c r="P20" s="7"/>
      <c r="Q20" s="7"/>
      <c r="R20" s="7"/>
      <c r="S20" s="7"/>
      <c r="T20" s="5"/>
      <c r="U20" s="5"/>
      <c r="V20" s="5" t="s">
        <v>49</v>
      </c>
      <c r="W20" s="5" t="s">
        <v>50</v>
      </c>
      <c r="X20" s="7"/>
      <c r="Y20" s="7"/>
      <c r="Z20" s="7"/>
      <c r="AA20" s="7"/>
      <c r="AB20" s="7"/>
      <c r="AC20" s="7"/>
      <c r="AD20" s="7"/>
      <c r="AE20" s="7"/>
      <c r="AF20" s="7"/>
      <c r="AG20" s="7"/>
      <c r="AH20" s="5" t="s">
        <v>51</v>
      </c>
      <c r="AJ20" s="7"/>
      <c r="AK20" s="5" t="s">
        <v>239</v>
      </c>
      <c r="AL20" s="6"/>
      <c r="AM20" s="6"/>
      <c r="AN20" s="6"/>
    </row>
    <row r="21">
      <c r="A21" s="5" t="s">
        <v>240</v>
      </c>
      <c r="B21" s="3">
        <f t="shared" si="1"/>
        <v>-631.063177</v>
      </c>
      <c r="C21" s="4">
        <v>-25.2246</v>
      </c>
      <c r="D21" s="4">
        <v>30.11297</v>
      </c>
      <c r="E21" s="4">
        <v>1953.64</v>
      </c>
      <c r="F21" s="5" t="s">
        <v>242</v>
      </c>
      <c r="G21" s="5" t="s">
        <v>41</v>
      </c>
      <c r="H21" s="5" t="s">
        <v>45</v>
      </c>
      <c r="I21" s="5" t="s">
        <v>45</v>
      </c>
      <c r="J21" s="3" t="str">
        <f t="shared" si="2"/>
        <v>South</v>
      </c>
      <c r="K21" s="3" t="s">
        <v>244</v>
      </c>
      <c r="L21" s="3">
        <v>1217.17372586647</v>
      </c>
      <c r="M21" s="1">
        <f t="shared" si="3"/>
        <v>1164.559222</v>
      </c>
      <c r="N21" s="3">
        <f t="shared" si="4"/>
        <v>301.4101059</v>
      </c>
      <c r="O21" s="5"/>
      <c r="P21" s="7"/>
      <c r="Q21" s="7"/>
      <c r="R21" s="7"/>
      <c r="S21" s="7"/>
      <c r="T21" s="5"/>
      <c r="U21" s="5"/>
      <c r="V21" s="5" t="s">
        <v>49</v>
      </c>
      <c r="W21" s="5" t="s">
        <v>50</v>
      </c>
      <c r="X21" s="7"/>
      <c r="Y21" s="7"/>
      <c r="Z21" s="7"/>
      <c r="AA21" s="7"/>
      <c r="AB21" s="7"/>
      <c r="AC21" s="7"/>
      <c r="AD21" s="7"/>
      <c r="AE21" s="7"/>
      <c r="AF21" s="7"/>
      <c r="AG21" s="7"/>
      <c r="AH21" s="5" t="s">
        <v>51</v>
      </c>
      <c r="AJ21" s="7"/>
      <c r="AK21" s="5" t="s">
        <v>252</v>
      </c>
      <c r="AL21" s="6"/>
      <c r="AM21" s="6"/>
      <c r="AN21" s="6"/>
    </row>
    <row r="22">
      <c r="A22" s="5" t="s">
        <v>253</v>
      </c>
      <c r="B22" s="3">
        <f t="shared" si="1"/>
        <v>-629.3703522</v>
      </c>
      <c r="C22" s="4">
        <v>-25.2249</v>
      </c>
      <c r="D22" s="4">
        <v>30.11266</v>
      </c>
      <c r="E22" s="4">
        <v>1952.015</v>
      </c>
      <c r="F22" s="5" t="s">
        <v>254</v>
      </c>
      <c r="G22" s="5" t="s">
        <v>41</v>
      </c>
      <c r="H22" s="5" t="s">
        <v>41</v>
      </c>
      <c r="I22" s="5" t="s">
        <v>42</v>
      </c>
      <c r="J22" s="3" t="str">
        <f t="shared" si="2"/>
        <v>South</v>
      </c>
      <c r="K22" s="3" t="s">
        <v>255</v>
      </c>
      <c r="L22" s="3">
        <v>1224.14971628288</v>
      </c>
      <c r="M22" s="1">
        <f t="shared" si="3"/>
        <v>1171.099795</v>
      </c>
      <c r="N22" s="3">
        <f t="shared" si="4"/>
        <v>303.1029308</v>
      </c>
      <c r="O22" s="5"/>
      <c r="P22" s="7"/>
      <c r="Q22" s="7"/>
      <c r="R22" s="7"/>
      <c r="S22" s="7"/>
      <c r="T22" s="5"/>
      <c r="U22" s="5"/>
      <c r="V22" s="5" t="s">
        <v>49</v>
      </c>
      <c r="W22" s="5" t="s">
        <v>50</v>
      </c>
      <c r="X22" s="7"/>
      <c r="Y22" s="7"/>
      <c r="Z22" s="7"/>
      <c r="AA22" s="7"/>
      <c r="AB22" s="7"/>
      <c r="AC22" s="7"/>
      <c r="AD22" s="7"/>
      <c r="AE22" s="7"/>
      <c r="AF22" s="7"/>
      <c r="AG22" s="7"/>
      <c r="AH22" s="5" t="s">
        <v>51</v>
      </c>
      <c r="AJ22" s="7"/>
      <c r="AK22" s="5" t="s">
        <v>258</v>
      </c>
      <c r="AL22" s="6"/>
      <c r="AM22" s="6"/>
      <c r="AN22" s="6"/>
    </row>
    <row r="23">
      <c r="A23" s="5" t="s">
        <v>260</v>
      </c>
      <c r="B23" s="3">
        <f t="shared" si="1"/>
        <v>-628.6099011</v>
      </c>
      <c r="C23" s="4">
        <v>-25.2252</v>
      </c>
      <c r="D23" s="4">
        <v>30.11238</v>
      </c>
      <c r="E23" s="4">
        <v>1946.286</v>
      </c>
      <c r="F23" s="5" t="s">
        <v>261</v>
      </c>
      <c r="G23" s="5" t="s">
        <v>41</v>
      </c>
      <c r="H23" s="5" t="s">
        <v>45</v>
      </c>
      <c r="I23" s="5" t="s">
        <v>45</v>
      </c>
      <c r="J23" s="3" t="str">
        <f t="shared" si="2"/>
        <v>South</v>
      </c>
      <c r="K23" s="3" t="s">
        <v>264</v>
      </c>
      <c r="L23" s="3">
        <v>1228.62295439853</v>
      </c>
      <c r="M23" s="1">
        <f t="shared" si="3"/>
        <v>1174.037953</v>
      </c>
      <c r="N23" s="3">
        <f t="shared" si="4"/>
        <v>303.8633818</v>
      </c>
      <c r="O23" s="5"/>
      <c r="P23" s="7"/>
      <c r="Q23" s="7"/>
      <c r="R23" s="7"/>
      <c r="S23" s="7"/>
      <c r="T23" s="5"/>
      <c r="U23" s="5"/>
      <c r="V23" s="5" t="s">
        <v>49</v>
      </c>
      <c r="W23" s="5" t="s">
        <v>50</v>
      </c>
      <c r="X23" s="7"/>
      <c r="Y23" s="7"/>
      <c r="Z23" s="7"/>
      <c r="AA23" s="7"/>
      <c r="AB23" s="7"/>
      <c r="AC23" s="7"/>
      <c r="AD23" s="7"/>
      <c r="AE23" s="7"/>
      <c r="AF23" s="7"/>
      <c r="AG23" s="7"/>
      <c r="AH23" s="5" t="s">
        <v>51</v>
      </c>
      <c r="AJ23" s="7"/>
      <c r="AK23" s="5" t="s">
        <v>64</v>
      </c>
      <c r="AL23" s="6"/>
      <c r="AM23" s="6"/>
      <c r="AN23" s="6"/>
    </row>
    <row r="24">
      <c r="A24" s="5" t="s">
        <v>271</v>
      </c>
      <c r="B24" s="3">
        <f t="shared" si="1"/>
        <v>-625.504389</v>
      </c>
      <c r="C24" s="4">
        <v>-25.2248</v>
      </c>
      <c r="D24" s="4">
        <v>30.11255</v>
      </c>
      <c r="E24" s="4">
        <v>1950.018</v>
      </c>
      <c r="F24" s="5" t="s">
        <v>272</v>
      </c>
      <c r="G24" s="5" t="s">
        <v>41</v>
      </c>
      <c r="H24" s="5" t="s">
        <v>45</v>
      </c>
      <c r="I24" s="5" t="s">
        <v>45</v>
      </c>
      <c r="J24" s="3" t="str">
        <f t="shared" si="2"/>
        <v>South</v>
      </c>
      <c r="K24" s="3" t="s">
        <v>274</v>
      </c>
      <c r="L24" s="3">
        <v>1239.62174564962</v>
      </c>
      <c r="M24" s="1">
        <f t="shared" si="3"/>
        <v>1186.03673</v>
      </c>
      <c r="N24" s="3">
        <f t="shared" si="4"/>
        <v>306.968894</v>
      </c>
      <c r="O24" s="5"/>
      <c r="P24" s="7"/>
      <c r="Q24" s="7"/>
      <c r="R24" s="7"/>
      <c r="S24" s="7"/>
      <c r="T24" s="5"/>
      <c r="U24" s="5"/>
      <c r="V24" s="5" t="s">
        <v>49</v>
      </c>
      <c r="W24" s="5" t="s">
        <v>50</v>
      </c>
      <c r="X24" s="7"/>
      <c r="Y24" s="7"/>
      <c r="Z24" s="7"/>
      <c r="AA24" s="7"/>
      <c r="AB24" s="7"/>
      <c r="AC24" s="7"/>
      <c r="AD24" s="7"/>
      <c r="AE24" s="7"/>
      <c r="AF24" s="7"/>
      <c r="AG24" s="7"/>
      <c r="AH24" s="5" t="s">
        <v>51</v>
      </c>
      <c r="AJ24" s="7"/>
      <c r="AK24" s="5" t="s">
        <v>261</v>
      </c>
      <c r="AL24" s="6"/>
      <c r="AM24" s="6"/>
      <c r="AN24" s="6"/>
    </row>
    <row r="25">
      <c r="A25" s="5" t="s">
        <v>283</v>
      </c>
      <c r="B25" s="3">
        <f t="shared" si="1"/>
        <v>-624.7087497</v>
      </c>
      <c r="C25" s="4">
        <v>-25.226</v>
      </c>
      <c r="D25" s="4">
        <v>30.11153</v>
      </c>
      <c r="E25" s="4">
        <v>1925.848</v>
      </c>
      <c r="F25" s="5" t="s">
        <v>287</v>
      </c>
      <c r="G25" s="5" t="s">
        <v>41</v>
      </c>
      <c r="H25" s="5" t="s">
        <v>41</v>
      </c>
      <c r="I25" s="5" t="s">
        <v>42</v>
      </c>
      <c r="J25" s="3" t="str">
        <f t="shared" si="2"/>
        <v>South</v>
      </c>
      <c r="K25" s="3" t="s">
        <v>289</v>
      </c>
      <c r="L25" s="3">
        <v>1249.17219151895</v>
      </c>
      <c r="M25" s="1">
        <f t="shared" si="3"/>
        <v>1189.110844</v>
      </c>
      <c r="N25" s="3">
        <f t="shared" si="4"/>
        <v>307.7645332</v>
      </c>
      <c r="O25" s="5"/>
      <c r="P25" s="7"/>
      <c r="Q25" s="7"/>
      <c r="R25" s="7"/>
      <c r="S25" s="7"/>
      <c r="T25" s="5"/>
      <c r="U25" s="5"/>
      <c r="V25" s="5" t="s">
        <v>49</v>
      </c>
      <c r="W25" s="5" t="s">
        <v>50</v>
      </c>
      <c r="X25" s="7"/>
      <c r="Y25" s="7"/>
      <c r="Z25" s="7"/>
      <c r="AA25" s="7"/>
      <c r="AB25" s="7"/>
      <c r="AC25" s="7"/>
      <c r="AD25" s="7"/>
      <c r="AE25" s="7"/>
      <c r="AF25" s="7"/>
      <c r="AG25" s="7"/>
      <c r="AH25" s="5" t="s">
        <v>51</v>
      </c>
      <c r="AJ25" s="7"/>
      <c r="AK25" s="5" t="s">
        <v>293</v>
      </c>
      <c r="AL25" s="6"/>
      <c r="AM25" s="6"/>
      <c r="AN25" s="6"/>
    </row>
    <row r="26">
      <c r="A26" s="5" t="s">
        <v>294</v>
      </c>
      <c r="B26" s="3">
        <f t="shared" si="1"/>
        <v>-621.8474803</v>
      </c>
      <c r="C26" s="4">
        <v>-25.2246</v>
      </c>
      <c r="D26" s="4">
        <v>30.11252</v>
      </c>
      <c r="E26" s="4">
        <v>1946.42</v>
      </c>
      <c r="F26" s="5" t="s">
        <v>293</v>
      </c>
      <c r="G26" s="5" t="s">
        <v>41</v>
      </c>
      <c r="H26" s="5" t="s">
        <v>41</v>
      </c>
      <c r="I26" s="5" t="s">
        <v>42</v>
      </c>
      <c r="J26" s="3" t="str">
        <f t="shared" si="2"/>
        <v>South</v>
      </c>
      <c r="K26" s="3" t="s">
        <v>296</v>
      </c>
      <c r="L26" s="3">
        <v>1254.71503679547</v>
      </c>
      <c r="M26" s="1">
        <f t="shared" si="3"/>
        <v>1200.16594</v>
      </c>
      <c r="N26" s="3">
        <f t="shared" si="4"/>
        <v>310.6258026</v>
      </c>
      <c r="O26" s="5"/>
      <c r="P26" s="7"/>
      <c r="Q26" s="7"/>
      <c r="R26" s="7"/>
      <c r="S26" s="7"/>
      <c r="T26" s="5"/>
      <c r="U26" s="5"/>
      <c r="V26" s="5" t="s">
        <v>49</v>
      </c>
      <c r="W26" s="5" t="s">
        <v>50</v>
      </c>
      <c r="X26" s="7"/>
      <c r="Y26" s="7"/>
      <c r="Z26" s="7"/>
      <c r="AA26" s="7"/>
      <c r="AB26" s="7"/>
      <c r="AC26" s="7"/>
      <c r="AD26" s="7"/>
      <c r="AE26" s="7"/>
      <c r="AF26" s="7"/>
      <c r="AG26" s="7"/>
      <c r="AH26" s="5" t="s">
        <v>51</v>
      </c>
      <c r="AJ26" s="7"/>
      <c r="AK26" s="5" t="s">
        <v>299</v>
      </c>
      <c r="AL26" s="6"/>
      <c r="AM26" s="6"/>
      <c r="AN26" s="6"/>
    </row>
    <row r="27">
      <c r="A27" s="9" t="s">
        <v>122</v>
      </c>
      <c r="B27" s="3">
        <f t="shared" si="1"/>
        <v>-621.3923707</v>
      </c>
      <c r="C27" s="10">
        <v>-25.2246</v>
      </c>
      <c r="D27" s="10">
        <v>30.11251</v>
      </c>
      <c r="E27" s="10">
        <v>1949.869</v>
      </c>
      <c r="F27" s="9" t="s">
        <v>124</v>
      </c>
      <c r="G27" s="9" t="s">
        <v>41</v>
      </c>
      <c r="H27" s="9" t="s">
        <v>41</v>
      </c>
      <c r="I27" s="11" t="s">
        <v>42</v>
      </c>
      <c r="J27" s="3" t="str">
        <f t="shared" si="2"/>
        <v>South</v>
      </c>
      <c r="K27" s="3" t="s">
        <v>127</v>
      </c>
      <c r="L27" s="3">
        <v>1255.54928859179</v>
      </c>
      <c r="M27" s="1">
        <f t="shared" si="3"/>
        <v>1201.924349</v>
      </c>
      <c r="N27" s="3">
        <f t="shared" si="4"/>
        <v>311.0809122</v>
      </c>
      <c r="O27" s="9" t="s">
        <v>130</v>
      </c>
      <c r="P27" s="9" t="s">
        <v>131</v>
      </c>
      <c r="Q27" s="9" t="s">
        <v>132</v>
      </c>
      <c r="R27" s="8"/>
      <c r="S27" s="8"/>
      <c r="T27" s="8"/>
      <c r="U27" s="8"/>
      <c r="V27" s="8"/>
      <c r="W27" s="8"/>
      <c r="X27" s="8"/>
      <c r="Y27" s="8"/>
      <c r="Z27" s="8"/>
      <c r="AA27" s="8"/>
      <c r="AB27" s="8"/>
      <c r="AC27" s="8"/>
      <c r="AD27" s="8"/>
      <c r="AE27" s="8"/>
      <c r="AF27" s="8"/>
      <c r="AG27" s="8"/>
      <c r="AH27" s="8"/>
      <c r="AI27" s="8"/>
      <c r="AJ27" s="8"/>
      <c r="AK27" s="8"/>
      <c r="AL27" s="8"/>
      <c r="AM27" s="6"/>
      <c r="AN27" s="6"/>
    </row>
    <row r="28">
      <c r="A28" s="9" t="s">
        <v>136</v>
      </c>
      <c r="B28" s="3">
        <f t="shared" si="1"/>
        <v>-619.1370867</v>
      </c>
      <c r="C28" s="10">
        <v>-25.2245</v>
      </c>
      <c r="D28" s="10">
        <v>30.11247</v>
      </c>
      <c r="E28" s="10">
        <v>1946.441</v>
      </c>
      <c r="F28" s="9" t="s">
        <v>138</v>
      </c>
      <c r="G28" s="11" t="s">
        <v>41</v>
      </c>
      <c r="H28" s="9" t="s">
        <v>111</v>
      </c>
      <c r="I28" s="9" t="s">
        <v>140</v>
      </c>
      <c r="J28" s="3" t="str">
        <f t="shared" si="2"/>
        <v>South</v>
      </c>
      <c r="K28" s="3" t="s">
        <v>141</v>
      </c>
      <c r="L28" s="3">
        <v>1265.18156670207</v>
      </c>
      <c r="M28" s="1">
        <f t="shared" si="3"/>
        <v>1210.638097</v>
      </c>
      <c r="N28" s="3">
        <f t="shared" si="4"/>
        <v>313.3361962</v>
      </c>
      <c r="O28" s="9" t="s">
        <v>143</v>
      </c>
      <c r="P28" s="9" t="s">
        <v>144</v>
      </c>
      <c r="Q28" s="10">
        <v>35.0</v>
      </c>
      <c r="R28" s="8"/>
      <c r="S28" s="8"/>
      <c r="T28" s="8"/>
      <c r="U28" s="8"/>
      <c r="V28" s="8"/>
      <c r="W28" s="8"/>
      <c r="X28" s="8"/>
      <c r="Y28" s="8"/>
      <c r="Z28" s="8"/>
      <c r="AA28" s="8"/>
      <c r="AB28" s="8"/>
      <c r="AC28" s="8"/>
      <c r="AD28" s="8"/>
      <c r="AE28" s="8"/>
      <c r="AF28" s="8"/>
      <c r="AG28" s="8"/>
      <c r="AH28" s="8"/>
      <c r="AI28" s="8"/>
      <c r="AJ28" s="8"/>
      <c r="AK28" s="8"/>
      <c r="AL28" s="8"/>
      <c r="AM28" s="6"/>
      <c r="AN28" s="6"/>
    </row>
    <row r="29">
      <c r="A29" s="5" t="s">
        <v>317</v>
      </c>
      <c r="B29" s="3">
        <f t="shared" si="1"/>
        <v>-616.9002544</v>
      </c>
      <c r="C29" s="4">
        <v>-25.2269</v>
      </c>
      <c r="D29" s="4">
        <v>30.11044</v>
      </c>
      <c r="E29" s="4">
        <v>1910.523</v>
      </c>
      <c r="F29" s="5" t="s">
        <v>319</v>
      </c>
      <c r="G29" s="5" t="s">
        <v>41</v>
      </c>
      <c r="H29" s="5" t="s">
        <v>41</v>
      </c>
      <c r="I29" s="5" t="s">
        <v>42</v>
      </c>
      <c r="J29" s="3" t="str">
        <f t="shared" si="2"/>
        <v>South</v>
      </c>
      <c r="K29" s="3" t="s">
        <v>322</v>
      </c>
      <c r="L29" s="3">
        <v>1283.44822196979</v>
      </c>
      <c r="M29" s="1">
        <f t="shared" si="3"/>
        <v>1219.280553</v>
      </c>
      <c r="N29" s="3">
        <f t="shared" si="4"/>
        <v>315.5730285</v>
      </c>
      <c r="O29" s="5"/>
      <c r="P29" s="7"/>
      <c r="Q29" s="7"/>
      <c r="R29" s="7"/>
      <c r="S29" s="7"/>
      <c r="T29" s="5"/>
      <c r="U29" s="5"/>
      <c r="V29" s="5" t="s">
        <v>49</v>
      </c>
      <c r="W29" s="5" t="s">
        <v>50</v>
      </c>
      <c r="X29" s="7"/>
      <c r="Y29" s="7"/>
      <c r="Z29" s="7"/>
      <c r="AA29" s="7"/>
      <c r="AB29" s="7"/>
      <c r="AC29" s="7"/>
      <c r="AD29" s="7"/>
      <c r="AE29" s="7"/>
      <c r="AF29" s="7"/>
      <c r="AG29" s="7"/>
      <c r="AH29" s="5" t="s">
        <v>51</v>
      </c>
      <c r="AJ29" s="7"/>
      <c r="AK29" s="5" t="s">
        <v>148</v>
      </c>
      <c r="AL29" s="6"/>
      <c r="AM29" s="6"/>
      <c r="AN29" s="6"/>
    </row>
    <row r="30">
      <c r="A30" s="5" t="s">
        <v>328</v>
      </c>
      <c r="B30" s="3">
        <f t="shared" si="1"/>
        <v>-615.3342971</v>
      </c>
      <c r="C30" s="4">
        <v>-25.2244</v>
      </c>
      <c r="D30" s="4">
        <v>30.11236</v>
      </c>
      <c r="E30" s="4">
        <v>1943.533</v>
      </c>
      <c r="F30" s="5" t="s">
        <v>331</v>
      </c>
      <c r="G30" s="5" t="s">
        <v>41</v>
      </c>
      <c r="H30" s="5" t="s">
        <v>220</v>
      </c>
      <c r="I30" s="5" t="s">
        <v>221</v>
      </c>
      <c r="J30" s="3" t="str">
        <f t="shared" si="2"/>
        <v>South</v>
      </c>
      <c r="K30" s="3" t="s">
        <v>334</v>
      </c>
      <c r="L30" s="3">
        <v>1280.65361358304</v>
      </c>
      <c r="M30" s="1">
        <f t="shared" si="3"/>
        <v>1225.330948</v>
      </c>
      <c r="N30" s="3">
        <f t="shared" si="4"/>
        <v>317.1389858</v>
      </c>
      <c r="O30" s="5"/>
      <c r="P30" s="7"/>
      <c r="Q30" s="7"/>
      <c r="R30" s="7"/>
      <c r="S30" s="7"/>
      <c r="T30" s="5"/>
      <c r="U30" s="5"/>
      <c r="V30" s="5" t="s">
        <v>49</v>
      </c>
      <c r="W30" s="5" t="s">
        <v>50</v>
      </c>
      <c r="X30" s="7"/>
      <c r="Y30" s="7"/>
      <c r="Z30" s="7"/>
      <c r="AA30" s="7"/>
      <c r="AB30" s="7"/>
      <c r="AC30" s="7"/>
      <c r="AD30" s="7"/>
      <c r="AE30" s="7"/>
      <c r="AF30" s="7"/>
      <c r="AG30" s="7"/>
      <c r="AH30" s="5" t="s">
        <v>51</v>
      </c>
      <c r="AJ30" s="7"/>
      <c r="AK30" s="5" t="s">
        <v>340</v>
      </c>
      <c r="AL30" s="6"/>
      <c r="AM30" s="6"/>
      <c r="AN30" s="6"/>
    </row>
    <row r="31">
      <c r="A31" s="5" t="s">
        <v>342</v>
      </c>
      <c r="B31" s="3">
        <f t="shared" si="1"/>
        <v>-614.6699956</v>
      </c>
      <c r="C31" s="4">
        <v>-25.2243</v>
      </c>
      <c r="D31" s="4">
        <v>30.11241</v>
      </c>
      <c r="E31" s="4">
        <v>1945.185</v>
      </c>
      <c r="F31" s="5" t="s">
        <v>252</v>
      </c>
      <c r="G31" s="5" t="s">
        <v>41</v>
      </c>
      <c r="H31" s="5" t="s">
        <v>45</v>
      </c>
      <c r="I31" s="5" t="s">
        <v>45</v>
      </c>
      <c r="J31" s="3" t="str">
        <f t="shared" si="2"/>
        <v>South</v>
      </c>
      <c r="K31" s="3" t="s">
        <v>345</v>
      </c>
      <c r="L31" s="3">
        <v>1282.77762570056</v>
      </c>
      <c r="M31" s="1">
        <f t="shared" si="3"/>
        <v>1227.897612</v>
      </c>
      <c r="N31" s="3">
        <f t="shared" si="4"/>
        <v>317.8032874</v>
      </c>
      <c r="O31" s="5"/>
      <c r="P31" s="7"/>
      <c r="Q31" s="7"/>
      <c r="R31" s="7"/>
      <c r="S31" s="7"/>
      <c r="T31" s="5"/>
      <c r="U31" s="5"/>
      <c r="V31" s="5" t="s">
        <v>49</v>
      </c>
      <c r="W31" s="5" t="s">
        <v>50</v>
      </c>
      <c r="X31" s="7"/>
      <c r="Y31" s="7"/>
      <c r="Z31" s="7"/>
      <c r="AA31" s="7"/>
      <c r="AB31" s="7"/>
      <c r="AC31" s="7"/>
      <c r="AD31" s="7"/>
      <c r="AE31" s="7"/>
      <c r="AF31" s="7"/>
      <c r="AG31" s="7"/>
      <c r="AH31" s="5" t="s">
        <v>51</v>
      </c>
      <c r="AJ31" s="7"/>
      <c r="AK31" s="5" t="s">
        <v>272</v>
      </c>
      <c r="AL31" s="6"/>
      <c r="AM31" s="6"/>
      <c r="AN31" s="6"/>
    </row>
    <row r="32">
      <c r="A32" s="5" t="s">
        <v>349</v>
      </c>
      <c r="B32" s="3">
        <f t="shared" si="1"/>
        <v>-614.0562848</v>
      </c>
      <c r="C32" s="4">
        <v>-25.2241</v>
      </c>
      <c r="D32" s="4">
        <v>30.11254</v>
      </c>
      <c r="E32" s="4">
        <v>1947.521</v>
      </c>
      <c r="F32" s="5" t="s">
        <v>351</v>
      </c>
      <c r="G32" s="5" t="s">
        <v>41</v>
      </c>
      <c r="H32" s="5" t="s">
        <v>41</v>
      </c>
      <c r="I32" s="5" t="s">
        <v>42</v>
      </c>
      <c r="J32" s="3" t="str">
        <f t="shared" si="2"/>
        <v>North</v>
      </c>
      <c r="K32" s="3" t="s">
        <v>352</v>
      </c>
      <c r="L32" s="3">
        <v>1284.52289280764</v>
      </c>
      <c r="M32" s="1">
        <f t="shared" si="3"/>
        <v>1230.268808</v>
      </c>
      <c r="N32" s="3">
        <f t="shared" si="4"/>
        <v>318.4169982</v>
      </c>
      <c r="O32" s="5"/>
      <c r="P32" s="7"/>
      <c r="Q32" s="7"/>
      <c r="R32" s="7"/>
      <c r="S32" s="7"/>
      <c r="T32" s="5"/>
      <c r="U32" s="5"/>
      <c r="V32" s="5" t="s">
        <v>49</v>
      </c>
      <c r="W32" s="5" t="s">
        <v>50</v>
      </c>
      <c r="X32" s="7"/>
      <c r="Y32" s="7"/>
      <c r="Z32" s="7"/>
      <c r="AA32" s="7"/>
      <c r="AB32" s="7"/>
      <c r="AC32" s="7"/>
      <c r="AD32" s="7"/>
      <c r="AE32" s="7"/>
      <c r="AF32" s="7"/>
      <c r="AG32" s="7"/>
      <c r="AH32" s="5" t="s">
        <v>51</v>
      </c>
      <c r="AJ32" s="7"/>
      <c r="AK32" s="5" t="s">
        <v>128</v>
      </c>
      <c r="AL32" s="6"/>
      <c r="AM32" s="6"/>
      <c r="AN32" s="6"/>
    </row>
    <row r="33">
      <c r="A33" s="5" t="s">
        <v>356</v>
      </c>
      <c r="B33" s="3">
        <f t="shared" si="1"/>
        <v>-613.8243465</v>
      </c>
      <c r="C33" s="4">
        <v>-25.2384</v>
      </c>
      <c r="D33" s="4">
        <v>30.10183</v>
      </c>
      <c r="E33" s="4">
        <v>1976.019</v>
      </c>
      <c r="F33" s="5" t="s">
        <v>357</v>
      </c>
      <c r="G33" s="5" t="s">
        <v>41</v>
      </c>
      <c r="H33" s="5" t="s">
        <v>41</v>
      </c>
      <c r="I33" s="5" t="s">
        <v>42</v>
      </c>
      <c r="J33" s="3" t="str">
        <f t="shared" si="2"/>
        <v>South</v>
      </c>
      <c r="K33" s="3" t="s">
        <v>360</v>
      </c>
      <c r="L33" s="3">
        <v>1277.7830171574</v>
      </c>
      <c r="M33" s="1">
        <f t="shared" si="3"/>
        <v>1231.164949</v>
      </c>
      <c r="N33" s="3">
        <f t="shared" si="4"/>
        <v>318.6489364</v>
      </c>
      <c r="O33" s="5"/>
      <c r="P33" s="7"/>
      <c r="Q33" s="7"/>
      <c r="R33" s="7"/>
      <c r="S33" s="7"/>
      <c r="T33" s="5"/>
      <c r="U33" s="5"/>
      <c r="V33" s="5" t="s">
        <v>49</v>
      </c>
      <c r="W33" s="5" t="s">
        <v>50</v>
      </c>
      <c r="X33" s="7"/>
      <c r="Y33" s="7"/>
      <c r="Z33" s="7"/>
      <c r="AA33" s="7"/>
      <c r="AB33" s="7"/>
      <c r="AC33" s="7"/>
      <c r="AD33" s="7"/>
      <c r="AE33" s="7"/>
      <c r="AF33" s="7"/>
      <c r="AG33" s="7"/>
      <c r="AH33" s="5" t="s">
        <v>51</v>
      </c>
      <c r="AJ33" s="7"/>
      <c r="AK33" s="5" t="s">
        <v>363</v>
      </c>
      <c r="AL33" s="6"/>
      <c r="AM33" s="6"/>
      <c r="AN33" s="6"/>
    </row>
    <row r="34">
      <c r="A34" s="5" t="s">
        <v>365</v>
      </c>
      <c r="B34" s="3">
        <f t="shared" si="1"/>
        <v>-613.6889479</v>
      </c>
      <c r="C34" s="4">
        <v>-25.2229</v>
      </c>
      <c r="D34" s="4">
        <v>30.11342</v>
      </c>
      <c r="E34" s="4">
        <v>1944.872</v>
      </c>
      <c r="F34" s="5" t="s">
        <v>367</v>
      </c>
      <c r="G34" s="5" t="s">
        <v>41</v>
      </c>
      <c r="H34" s="5" t="s">
        <v>41</v>
      </c>
      <c r="I34" s="5" t="s">
        <v>42</v>
      </c>
      <c r="J34" s="3" t="str">
        <f t="shared" si="2"/>
        <v>North</v>
      </c>
      <c r="K34" s="3" t="s">
        <v>370</v>
      </c>
      <c r="L34" s="3">
        <v>1286.65197103583</v>
      </c>
      <c r="M34" s="1">
        <f t="shared" si="3"/>
        <v>1231.688089</v>
      </c>
      <c r="N34" s="3">
        <f t="shared" si="4"/>
        <v>318.7843351</v>
      </c>
      <c r="O34" s="5"/>
      <c r="P34" s="7"/>
      <c r="Q34" s="7"/>
      <c r="R34" s="7"/>
      <c r="S34" s="7"/>
      <c r="T34" s="5"/>
      <c r="U34" s="5"/>
      <c r="V34" s="5" t="s">
        <v>49</v>
      </c>
      <c r="W34" s="5" t="s">
        <v>50</v>
      </c>
      <c r="X34" s="7"/>
      <c r="Y34" s="7"/>
      <c r="Z34" s="7"/>
      <c r="AA34" s="7"/>
      <c r="AB34" s="7"/>
      <c r="AC34" s="7"/>
      <c r="AD34" s="7"/>
      <c r="AE34" s="7"/>
      <c r="AF34" s="7"/>
      <c r="AG34" s="7"/>
      <c r="AH34" s="5" t="s">
        <v>51</v>
      </c>
      <c r="AJ34" s="7"/>
      <c r="AK34" s="5" t="s">
        <v>375</v>
      </c>
      <c r="AL34" s="6"/>
      <c r="AM34" s="6"/>
      <c r="AN34" s="6"/>
    </row>
    <row r="35">
      <c r="A35" s="5" t="s">
        <v>376</v>
      </c>
      <c r="B35" s="3">
        <f t="shared" si="1"/>
        <v>-599.4956821</v>
      </c>
      <c r="C35" s="4">
        <v>-25.2255</v>
      </c>
      <c r="D35" s="4">
        <v>30.11068</v>
      </c>
      <c r="E35" s="4">
        <v>1907.292</v>
      </c>
      <c r="F35" s="5" t="s">
        <v>78</v>
      </c>
      <c r="G35" s="5" t="s">
        <v>41</v>
      </c>
      <c r="H35" s="5" t="s">
        <v>41</v>
      </c>
      <c r="I35" s="5" t="s">
        <v>42</v>
      </c>
      <c r="J35" s="3" t="str">
        <f t="shared" si="2"/>
        <v>South</v>
      </c>
      <c r="K35" s="3" t="s">
        <v>382</v>
      </c>
      <c r="L35" s="3">
        <v>1351.56006960743</v>
      </c>
      <c r="M35" s="1">
        <f t="shared" si="3"/>
        <v>1286.526657</v>
      </c>
      <c r="N35" s="3">
        <f t="shared" si="4"/>
        <v>332.9776009</v>
      </c>
      <c r="O35" s="5"/>
      <c r="P35" s="7"/>
      <c r="Q35" s="7"/>
      <c r="R35" s="7"/>
      <c r="S35" s="7"/>
      <c r="T35" s="5"/>
      <c r="U35" s="5"/>
      <c r="V35" s="5" t="s">
        <v>49</v>
      </c>
      <c r="W35" s="5" t="s">
        <v>50</v>
      </c>
      <c r="X35" s="7"/>
      <c r="Y35" s="7"/>
      <c r="Z35" s="7"/>
      <c r="AA35" s="7"/>
      <c r="AB35" s="7"/>
      <c r="AC35" s="7"/>
      <c r="AD35" s="7"/>
      <c r="AE35" s="7"/>
      <c r="AF35" s="7"/>
      <c r="AG35" s="7"/>
      <c r="AH35" s="5" t="s">
        <v>51</v>
      </c>
      <c r="AJ35" s="7"/>
      <c r="AK35" s="5" t="s">
        <v>388</v>
      </c>
      <c r="AL35" s="6"/>
      <c r="AM35" s="6"/>
      <c r="AN35" s="6"/>
    </row>
    <row r="36">
      <c r="A36" s="5" t="s">
        <v>389</v>
      </c>
      <c r="B36" s="3">
        <f t="shared" si="1"/>
        <v>-587.9546085</v>
      </c>
      <c r="C36" s="4">
        <v>-25.2259</v>
      </c>
      <c r="D36" s="4">
        <v>30.10982</v>
      </c>
      <c r="E36" s="4">
        <v>1899.927</v>
      </c>
      <c r="F36" s="5" t="s">
        <v>391</v>
      </c>
      <c r="G36" s="5" t="s">
        <v>41</v>
      </c>
      <c r="H36" s="5" t="s">
        <v>41</v>
      </c>
      <c r="I36" s="5" t="s">
        <v>42</v>
      </c>
      <c r="J36" s="3" t="str">
        <f t="shared" si="2"/>
        <v>South</v>
      </c>
      <c r="K36" s="3" t="s">
        <v>393</v>
      </c>
      <c r="L36" s="3">
        <v>1398.12479966315</v>
      </c>
      <c r="M36" s="1">
        <f t="shared" si="3"/>
        <v>1331.117941</v>
      </c>
      <c r="N36" s="3">
        <f t="shared" si="4"/>
        <v>344.5186745</v>
      </c>
      <c r="O36" s="5"/>
      <c r="P36" s="7"/>
      <c r="Q36" s="7"/>
      <c r="R36" s="7"/>
      <c r="S36" s="7"/>
      <c r="T36" s="5"/>
      <c r="U36" s="5"/>
      <c r="V36" s="5" t="s">
        <v>49</v>
      </c>
      <c r="W36" s="5" t="s">
        <v>50</v>
      </c>
      <c r="X36" s="7"/>
      <c r="Y36" s="7"/>
      <c r="Z36" s="7"/>
      <c r="AA36" s="7"/>
      <c r="AB36" s="7"/>
      <c r="AC36" s="7"/>
      <c r="AD36" s="7"/>
      <c r="AE36" s="7"/>
      <c r="AF36" s="7"/>
      <c r="AG36" s="7"/>
      <c r="AH36" s="5" t="s">
        <v>51</v>
      </c>
      <c r="AJ36" s="7"/>
      <c r="AK36" s="5" t="s">
        <v>401</v>
      </c>
      <c r="AL36" s="6"/>
      <c r="AM36" s="6"/>
      <c r="AN36" s="6"/>
    </row>
    <row r="37">
      <c r="A37" s="5" t="s">
        <v>403</v>
      </c>
      <c r="B37" s="3">
        <f t="shared" si="1"/>
        <v>-574.8933865</v>
      </c>
      <c r="C37" s="4">
        <v>-25.2376</v>
      </c>
      <c r="D37" s="4">
        <v>30.10054</v>
      </c>
      <c r="E37" s="4">
        <v>1947.792</v>
      </c>
      <c r="F37" s="5" t="s">
        <v>404</v>
      </c>
      <c r="G37" s="5" t="s">
        <v>41</v>
      </c>
      <c r="H37" s="5" t="s">
        <v>45</v>
      </c>
      <c r="I37" s="5" t="s">
        <v>45</v>
      </c>
      <c r="J37" s="3" t="str">
        <f t="shared" si="2"/>
        <v>South</v>
      </c>
      <c r="K37" s="3" t="s">
        <v>405</v>
      </c>
      <c r="L37" s="3">
        <v>1435.76409808706</v>
      </c>
      <c r="M37" s="1">
        <f t="shared" si="3"/>
        <v>1381.582628</v>
      </c>
      <c r="N37" s="3">
        <f t="shared" si="4"/>
        <v>357.5798965</v>
      </c>
      <c r="O37" s="5"/>
      <c r="P37" s="7"/>
      <c r="Q37" s="7"/>
      <c r="R37" s="7"/>
      <c r="S37" s="7"/>
      <c r="T37" s="5"/>
      <c r="U37" s="5"/>
      <c r="V37" s="5" t="s">
        <v>49</v>
      </c>
      <c r="W37" s="5" t="s">
        <v>50</v>
      </c>
      <c r="X37" s="7"/>
      <c r="Y37" s="7"/>
      <c r="Z37" s="7"/>
      <c r="AA37" s="7"/>
      <c r="AB37" s="7"/>
      <c r="AC37" s="7"/>
      <c r="AD37" s="7"/>
      <c r="AE37" s="7"/>
      <c r="AF37" s="7"/>
      <c r="AG37" s="7"/>
      <c r="AH37" s="5" t="s">
        <v>51</v>
      </c>
      <c r="AJ37" s="7"/>
      <c r="AK37" s="5" t="s">
        <v>409</v>
      </c>
      <c r="AL37" s="6"/>
      <c r="AM37" s="6"/>
      <c r="AN37" s="6"/>
    </row>
    <row r="38">
      <c r="A38" s="13" t="s">
        <v>149</v>
      </c>
      <c r="B38" s="3">
        <f t="shared" si="1"/>
        <v>-569.4274972</v>
      </c>
      <c r="C38" s="14">
        <v>-25.2369</v>
      </c>
      <c r="D38" s="14">
        <v>30.10081</v>
      </c>
      <c r="E38" s="14">
        <v>1946.211</v>
      </c>
      <c r="F38" s="13" t="s">
        <v>151</v>
      </c>
      <c r="G38" s="15" t="s">
        <v>41</v>
      </c>
      <c r="H38" s="13" t="s">
        <v>111</v>
      </c>
      <c r="I38" s="13" t="s">
        <v>111</v>
      </c>
      <c r="J38" s="3" t="str">
        <f t="shared" si="2"/>
        <v>South</v>
      </c>
      <c r="K38" s="3" t="s">
        <v>153</v>
      </c>
      <c r="L38" s="3">
        <v>1457.30630012023</v>
      </c>
      <c r="M38" s="1">
        <f t="shared" si="3"/>
        <v>1402.701202</v>
      </c>
      <c r="N38" s="3">
        <f t="shared" si="4"/>
        <v>363.0457857</v>
      </c>
      <c r="O38" s="13" t="s">
        <v>158</v>
      </c>
      <c r="P38" s="9" t="s">
        <v>160</v>
      </c>
      <c r="Q38" s="9" t="s">
        <v>161</v>
      </c>
      <c r="R38" s="8"/>
      <c r="S38" s="8"/>
      <c r="T38" s="8"/>
      <c r="U38" s="8"/>
      <c r="V38" s="8"/>
      <c r="W38" s="8"/>
      <c r="X38" s="8"/>
      <c r="Y38" s="8"/>
      <c r="Z38" s="8"/>
      <c r="AA38" s="8"/>
      <c r="AB38" s="8"/>
      <c r="AC38" s="8"/>
      <c r="AD38" s="8"/>
      <c r="AE38" s="8"/>
      <c r="AF38" s="8"/>
      <c r="AG38" s="8"/>
      <c r="AH38" s="8"/>
      <c r="AI38" s="8"/>
      <c r="AJ38" s="10">
        <v>0.0</v>
      </c>
      <c r="AK38" s="8"/>
      <c r="AL38" s="8"/>
      <c r="AM38" s="6"/>
      <c r="AN38" s="6"/>
    </row>
    <row r="39">
      <c r="A39" s="5" t="s">
        <v>424</v>
      </c>
      <c r="B39" s="3">
        <f t="shared" si="1"/>
        <v>-568.7474156</v>
      </c>
      <c r="C39" s="4">
        <v>-25.2369</v>
      </c>
      <c r="D39" s="4">
        <v>30.10078</v>
      </c>
      <c r="E39" s="4">
        <v>1946.677</v>
      </c>
      <c r="F39" s="5" t="s">
        <v>340</v>
      </c>
      <c r="G39" s="5" t="s">
        <v>41</v>
      </c>
      <c r="H39" s="5" t="s">
        <v>220</v>
      </c>
      <c r="I39" s="5" t="s">
        <v>111</v>
      </c>
      <c r="J39" s="3" t="str">
        <f t="shared" si="2"/>
        <v>South</v>
      </c>
      <c r="K39" s="3" t="s">
        <v>431</v>
      </c>
      <c r="L39" s="3">
        <v>1459.80906955409</v>
      </c>
      <c r="M39" s="1">
        <f t="shared" si="3"/>
        <v>1405.328836</v>
      </c>
      <c r="N39" s="3">
        <f t="shared" si="4"/>
        <v>363.7258674</v>
      </c>
      <c r="O39" s="5"/>
      <c r="P39" s="7"/>
      <c r="Q39" s="7"/>
      <c r="R39" s="7"/>
      <c r="S39" s="7"/>
      <c r="T39" s="5"/>
      <c r="U39" s="5"/>
      <c r="V39" s="5" t="s">
        <v>49</v>
      </c>
      <c r="W39" s="5" t="s">
        <v>50</v>
      </c>
      <c r="X39" s="7"/>
      <c r="Y39" s="7"/>
      <c r="Z39" s="7"/>
      <c r="AA39" s="7"/>
      <c r="AB39" s="7"/>
      <c r="AC39" s="7"/>
      <c r="AD39" s="7"/>
      <c r="AE39" s="7"/>
      <c r="AF39" s="7"/>
      <c r="AG39" s="7"/>
      <c r="AH39" s="5" t="s">
        <v>51</v>
      </c>
      <c r="AJ39" s="7"/>
      <c r="AK39" s="5" t="s">
        <v>434</v>
      </c>
      <c r="AL39" s="6"/>
      <c r="AM39" s="6"/>
      <c r="AN39" s="6"/>
    </row>
    <row r="40">
      <c r="A40" s="5" t="s">
        <v>436</v>
      </c>
      <c r="B40" s="3">
        <f t="shared" si="1"/>
        <v>-564.9767122</v>
      </c>
      <c r="C40" s="4">
        <v>-25.2374</v>
      </c>
      <c r="D40" s="4">
        <v>30.10019</v>
      </c>
      <c r="E40" s="4">
        <v>1934.825</v>
      </c>
      <c r="F40" s="5" t="s">
        <v>438</v>
      </c>
      <c r="G40" s="5" t="s">
        <v>439</v>
      </c>
      <c r="H40" s="5" t="s">
        <v>440</v>
      </c>
      <c r="I40" s="5" t="s">
        <v>442</v>
      </c>
      <c r="J40" s="3" t="str">
        <f t="shared" si="2"/>
        <v>South</v>
      </c>
      <c r="K40" s="3" t="s">
        <v>444</v>
      </c>
      <c r="L40" s="3">
        <v>1477.55368234464</v>
      </c>
      <c r="M40" s="1">
        <f t="shared" si="3"/>
        <v>1419.897715</v>
      </c>
      <c r="N40" s="3">
        <f t="shared" si="4"/>
        <v>367.4965707</v>
      </c>
      <c r="O40" s="5"/>
      <c r="P40" s="7"/>
      <c r="Q40" s="7"/>
      <c r="R40" s="7"/>
      <c r="S40" s="7"/>
      <c r="T40" s="5"/>
      <c r="U40" s="5"/>
      <c r="V40" s="5" t="s">
        <v>49</v>
      </c>
      <c r="W40" s="5" t="s">
        <v>50</v>
      </c>
      <c r="X40" s="7"/>
      <c r="Y40" s="7"/>
      <c r="Z40" s="7"/>
      <c r="AA40" s="7"/>
      <c r="AB40" s="7"/>
      <c r="AC40" s="7"/>
      <c r="AD40" s="7"/>
      <c r="AE40" s="7"/>
      <c r="AF40" s="7"/>
      <c r="AG40" s="7"/>
      <c r="AH40" s="5" t="s">
        <v>51</v>
      </c>
      <c r="AJ40" s="7"/>
      <c r="AK40" s="5" t="s">
        <v>448</v>
      </c>
      <c r="AL40" s="6"/>
      <c r="AM40" s="6"/>
      <c r="AN40" s="6"/>
    </row>
    <row r="41">
      <c r="A41" s="13" t="s">
        <v>164</v>
      </c>
      <c r="B41" s="3">
        <f t="shared" si="1"/>
        <v>-558.831319</v>
      </c>
      <c r="C41" s="14">
        <v>-25.2374</v>
      </c>
      <c r="D41" s="14">
        <v>30.09991</v>
      </c>
      <c r="E41" s="14">
        <v>1936.261</v>
      </c>
      <c r="F41" s="13" t="s">
        <v>165</v>
      </c>
      <c r="G41" s="15" t="s">
        <v>41</v>
      </c>
      <c r="H41" s="13" t="s">
        <v>111</v>
      </c>
      <c r="I41" s="13" t="s">
        <v>111</v>
      </c>
      <c r="J41" s="3" t="str">
        <f t="shared" si="2"/>
        <v>South</v>
      </c>
      <c r="K41" s="3" t="s">
        <v>167</v>
      </c>
      <c r="L41" s="3">
        <v>1500.91288348198</v>
      </c>
      <c r="M41" s="1">
        <f t="shared" si="3"/>
        <v>1443.641691</v>
      </c>
      <c r="N41" s="3">
        <f t="shared" si="4"/>
        <v>373.6419639</v>
      </c>
      <c r="O41" s="13" t="s">
        <v>172</v>
      </c>
      <c r="P41" s="9" t="s">
        <v>173</v>
      </c>
      <c r="Q41" s="10">
        <v>69.0</v>
      </c>
      <c r="R41" s="9" t="s">
        <v>174</v>
      </c>
      <c r="S41" s="8"/>
      <c r="T41" s="8"/>
      <c r="U41" s="8"/>
      <c r="V41" s="8"/>
      <c r="W41" s="8"/>
      <c r="X41" s="8"/>
      <c r="Y41" s="8"/>
      <c r="Z41" s="10">
        <v>5.0</v>
      </c>
      <c r="AA41" s="9" t="s">
        <v>176</v>
      </c>
      <c r="AB41" s="10">
        <v>2.0</v>
      </c>
      <c r="AC41" s="9" t="s">
        <v>177</v>
      </c>
      <c r="AD41" s="8"/>
      <c r="AE41" s="8"/>
      <c r="AF41" s="10">
        <v>40.0</v>
      </c>
      <c r="AG41" s="9" t="s">
        <v>179</v>
      </c>
      <c r="AH41" s="9" t="s">
        <v>180</v>
      </c>
      <c r="AI41" s="8"/>
      <c r="AJ41" s="10">
        <v>0.0</v>
      </c>
      <c r="AK41" s="8"/>
      <c r="AL41" s="8"/>
      <c r="AM41" s="6"/>
      <c r="AN41" s="6"/>
    </row>
    <row r="42">
      <c r="A42" s="9" t="s">
        <v>184</v>
      </c>
      <c r="B42" s="3">
        <f t="shared" si="1"/>
        <v>-555.1066071</v>
      </c>
      <c r="C42" s="10">
        <v>-25.2211</v>
      </c>
      <c r="D42" s="10">
        <v>30.11222</v>
      </c>
      <c r="E42" s="10">
        <v>1993.086</v>
      </c>
      <c r="F42" s="9" t="s">
        <v>185</v>
      </c>
      <c r="G42" s="12" t="s">
        <v>41</v>
      </c>
      <c r="H42" s="8" t="s">
        <v>96</v>
      </c>
      <c r="I42" s="12" t="s">
        <v>73</v>
      </c>
      <c r="J42" s="3" t="str">
        <f t="shared" si="2"/>
        <v>North</v>
      </c>
      <c r="K42" s="3" t="s">
        <v>188</v>
      </c>
      <c r="L42" s="3">
        <v>1500.07785209909</v>
      </c>
      <c r="M42" s="1">
        <f t="shared" si="3"/>
        <v>1458.032873</v>
      </c>
      <c r="N42" s="3">
        <f t="shared" si="4"/>
        <v>377.3666758</v>
      </c>
      <c r="O42" s="8" t="s">
        <v>190</v>
      </c>
      <c r="P42" s="17" t="s">
        <v>192</v>
      </c>
      <c r="Q42" s="8" t="s">
        <v>193</v>
      </c>
      <c r="R42" s="8"/>
      <c r="S42" s="8"/>
      <c r="T42" s="8"/>
      <c r="U42" s="8"/>
      <c r="V42" s="8"/>
      <c r="W42" s="8"/>
      <c r="X42" s="8"/>
      <c r="Y42" s="8"/>
      <c r="Z42" s="8"/>
      <c r="AA42" s="8"/>
      <c r="AB42" s="8"/>
      <c r="AC42" s="8"/>
      <c r="AD42" s="8"/>
      <c r="AE42" s="8"/>
      <c r="AF42" s="8"/>
      <c r="AG42" s="8"/>
      <c r="AH42" s="8"/>
      <c r="AI42" s="8"/>
      <c r="AJ42" s="8"/>
      <c r="AK42" s="8"/>
      <c r="AL42" s="8"/>
      <c r="AM42" s="6"/>
      <c r="AN42" s="6"/>
    </row>
    <row r="43">
      <c r="A43" s="13" t="s">
        <v>69</v>
      </c>
      <c r="B43" s="3">
        <f t="shared" si="1"/>
        <v>-551.8870812</v>
      </c>
      <c r="C43" s="14">
        <v>-25.237</v>
      </c>
      <c r="D43" s="14">
        <v>30.09985</v>
      </c>
      <c r="E43" s="14">
        <v>1923.735</v>
      </c>
      <c r="F43" s="13" t="s">
        <v>71</v>
      </c>
      <c r="G43" s="15" t="s">
        <v>41</v>
      </c>
      <c r="H43" s="13" t="s">
        <v>72</v>
      </c>
      <c r="I43" s="15" t="s">
        <v>73</v>
      </c>
      <c r="J43" s="3" t="str">
        <f t="shared" si="2"/>
        <v>South</v>
      </c>
      <c r="K43" s="3" t="s">
        <v>75</v>
      </c>
      <c r="L43" s="3">
        <v>1531.09968965563</v>
      </c>
      <c r="M43" s="1">
        <f t="shared" si="3"/>
        <v>1470.472166</v>
      </c>
      <c r="N43" s="3">
        <f t="shared" si="4"/>
        <v>380.5862018</v>
      </c>
      <c r="O43" s="13" t="s">
        <v>76</v>
      </c>
      <c r="P43" s="9" t="s">
        <v>77</v>
      </c>
      <c r="Q43" s="10">
        <v>67.0</v>
      </c>
      <c r="R43" s="10">
        <v>310.0</v>
      </c>
      <c r="S43" s="10">
        <v>25.0</v>
      </c>
      <c r="T43" s="10">
        <f>R43-90</f>
        <v>220</v>
      </c>
      <c r="U43" s="16" t="s">
        <v>79</v>
      </c>
      <c r="V43" s="10">
        <v>70.0</v>
      </c>
      <c r="W43" s="9" t="s">
        <v>81</v>
      </c>
      <c r="X43" s="8"/>
      <c r="Y43" s="8"/>
      <c r="Z43" s="8"/>
      <c r="AA43" s="8"/>
      <c r="AB43" s="8"/>
      <c r="AC43" s="8"/>
      <c r="AD43" s="8"/>
      <c r="AE43" s="8"/>
      <c r="AF43" s="10">
        <v>15.0</v>
      </c>
      <c r="AG43" s="8"/>
      <c r="AH43" s="9" t="s">
        <v>82</v>
      </c>
      <c r="AI43" s="8"/>
      <c r="AJ43" s="10">
        <v>1.0</v>
      </c>
      <c r="AK43" s="8"/>
      <c r="AL43" s="8"/>
      <c r="AM43" s="6"/>
      <c r="AN43" s="6"/>
    </row>
    <row r="44">
      <c r="A44" s="5" t="s">
        <v>479</v>
      </c>
      <c r="B44" s="3">
        <f t="shared" si="1"/>
        <v>-551.221769</v>
      </c>
      <c r="C44" s="4">
        <v>-25.237</v>
      </c>
      <c r="D44" s="4">
        <v>30.09984</v>
      </c>
      <c r="E44" s="4">
        <v>1930.215</v>
      </c>
      <c r="F44" s="5" t="s">
        <v>448</v>
      </c>
      <c r="G44" s="5" t="s">
        <v>41</v>
      </c>
      <c r="H44" s="5" t="s">
        <v>220</v>
      </c>
      <c r="I44" s="5" t="s">
        <v>111</v>
      </c>
      <c r="J44" s="3" t="str">
        <f t="shared" si="2"/>
        <v>South</v>
      </c>
      <c r="K44" s="3" t="s">
        <v>480</v>
      </c>
      <c r="L44" s="3">
        <v>1531.9339478127</v>
      </c>
      <c r="M44" s="1">
        <f t="shared" si="3"/>
        <v>1473.042735</v>
      </c>
      <c r="N44" s="3">
        <f t="shared" si="4"/>
        <v>381.251514</v>
      </c>
      <c r="O44" s="5"/>
      <c r="P44" s="7"/>
      <c r="Q44" s="7"/>
      <c r="R44" s="7"/>
      <c r="S44" s="7"/>
      <c r="T44" s="5"/>
      <c r="U44" s="5"/>
      <c r="V44" s="5" t="s">
        <v>49</v>
      </c>
      <c r="W44" s="5" t="s">
        <v>50</v>
      </c>
      <c r="X44" s="7"/>
      <c r="Y44" s="7"/>
      <c r="Z44" s="7"/>
      <c r="AA44" s="7"/>
      <c r="AB44" s="7"/>
      <c r="AC44" s="7"/>
      <c r="AD44" s="7"/>
      <c r="AE44" s="7"/>
      <c r="AF44" s="7"/>
      <c r="AG44" s="7"/>
      <c r="AH44" s="5" t="s">
        <v>51</v>
      </c>
      <c r="AJ44" s="7"/>
      <c r="AK44" s="5" t="s">
        <v>485</v>
      </c>
      <c r="AL44" s="6"/>
      <c r="AM44" s="6"/>
      <c r="AN44" s="6"/>
    </row>
    <row r="45">
      <c r="A45" s="5" t="s">
        <v>488</v>
      </c>
      <c r="B45" s="3">
        <f t="shared" si="1"/>
        <v>-549.277676</v>
      </c>
      <c r="C45" s="4">
        <v>-25.2369</v>
      </c>
      <c r="D45" s="4">
        <v>30.09979</v>
      </c>
      <c r="E45" s="4">
        <v>1919.186</v>
      </c>
      <c r="F45" s="5" t="s">
        <v>490</v>
      </c>
      <c r="G45" s="5" t="s">
        <v>41</v>
      </c>
      <c r="H45" s="5" t="s">
        <v>41</v>
      </c>
      <c r="I45" s="5" t="s">
        <v>42</v>
      </c>
      <c r="J45" s="3" t="str">
        <f t="shared" si="2"/>
        <v>South</v>
      </c>
      <c r="K45" s="3" t="s">
        <v>494</v>
      </c>
      <c r="L45" s="3">
        <v>1542.40055776572</v>
      </c>
      <c r="M45" s="1">
        <f t="shared" si="3"/>
        <v>1480.554133</v>
      </c>
      <c r="N45" s="3">
        <f t="shared" si="4"/>
        <v>383.1956069</v>
      </c>
      <c r="O45" s="5"/>
      <c r="P45" s="7"/>
      <c r="Q45" s="7"/>
      <c r="R45" s="7"/>
      <c r="S45" s="7"/>
      <c r="T45" s="5"/>
      <c r="U45" s="5"/>
      <c r="V45" s="5" t="s">
        <v>49</v>
      </c>
      <c r="W45" s="5" t="s">
        <v>50</v>
      </c>
      <c r="X45" s="7"/>
      <c r="Y45" s="7"/>
      <c r="Z45" s="7"/>
      <c r="AA45" s="7"/>
      <c r="AB45" s="7"/>
      <c r="AC45" s="7"/>
      <c r="AD45" s="7"/>
      <c r="AE45" s="7"/>
      <c r="AF45" s="7"/>
      <c r="AG45" s="7"/>
      <c r="AH45" s="5" t="s">
        <v>51</v>
      </c>
      <c r="AJ45" s="7"/>
      <c r="AK45" s="5" t="s">
        <v>438</v>
      </c>
      <c r="AL45" s="6"/>
      <c r="AM45" s="6"/>
      <c r="AN45" s="6"/>
    </row>
    <row r="46">
      <c r="A46" s="5" t="s">
        <v>496</v>
      </c>
      <c r="B46" s="3">
        <f t="shared" si="1"/>
        <v>-532.3133863</v>
      </c>
      <c r="C46" s="4">
        <v>-25.2239</v>
      </c>
      <c r="D46" s="4">
        <v>30.10878</v>
      </c>
      <c r="E46" s="4">
        <v>1908.556</v>
      </c>
      <c r="F46" s="5" t="s">
        <v>498</v>
      </c>
      <c r="G46" s="5" t="s">
        <v>41</v>
      </c>
      <c r="H46" s="5" t="s">
        <v>41</v>
      </c>
      <c r="I46" s="5" t="s">
        <v>42</v>
      </c>
      <c r="J46" s="3" t="str">
        <f t="shared" si="2"/>
        <v>South</v>
      </c>
      <c r="K46" s="3" t="s">
        <v>500</v>
      </c>
      <c r="L46" s="3">
        <v>1610.79383996184</v>
      </c>
      <c r="M46" s="1">
        <f t="shared" si="3"/>
        <v>1546.099115</v>
      </c>
      <c r="N46" s="3">
        <f t="shared" si="4"/>
        <v>400.1598966</v>
      </c>
      <c r="O46" s="5"/>
      <c r="P46" s="7"/>
      <c r="Q46" s="7"/>
      <c r="R46" s="7"/>
      <c r="S46" s="7"/>
      <c r="T46" s="5"/>
      <c r="U46" s="5"/>
      <c r="V46" s="5" t="s">
        <v>49</v>
      </c>
      <c r="W46" s="5" t="s">
        <v>50</v>
      </c>
      <c r="X46" s="7"/>
      <c r="Y46" s="7"/>
      <c r="Z46" s="7"/>
      <c r="AA46" s="7"/>
      <c r="AB46" s="7"/>
      <c r="AC46" s="7"/>
      <c r="AD46" s="7"/>
      <c r="AE46" s="7"/>
      <c r="AF46" s="7"/>
      <c r="AG46" s="7"/>
      <c r="AH46" s="5" t="s">
        <v>51</v>
      </c>
      <c r="AJ46" s="7"/>
      <c r="AK46" s="5" t="s">
        <v>503</v>
      </c>
      <c r="AL46" s="6"/>
      <c r="AM46" s="6"/>
      <c r="AN46" s="6"/>
    </row>
    <row r="47">
      <c r="A47" s="9" t="s">
        <v>213</v>
      </c>
      <c r="B47" s="3">
        <f t="shared" si="1"/>
        <v>-506.5067896</v>
      </c>
      <c r="C47" s="10">
        <v>-25.2373</v>
      </c>
      <c r="D47" s="10">
        <v>30.09753</v>
      </c>
      <c r="E47" s="10">
        <v>1926.249</v>
      </c>
      <c r="F47" s="9" t="s">
        <v>215</v>
      </c>
      <c r="G47" s="9" t="s">
        <v>41</v>
      </c>
      <c r="H47" s="9" t="s">
        <v>41</v>
      </c>
      <c r="I47" s="11" t="s">
        <v>42</v>
      </c>
      <c r="J47" s="3" t="str">
        <f t="shared" si="2"/>
        <v>South</v>
      </c>
      <c r="K47" s="3" t="s">
        <v>216</v>
      </c>
      <c r="L47" s="3">
        <v>1705.7620481423</v>
      </c>
      <c r="M47" s="1">
        <f t="shared" si="3"/>
        <v>1645.808148</v>
      </c>
      <c r="N47" s="3">
        <f t="shared" si="4"/>
        <v>425.9664934</v>
      </c>
      <c r="O47" s="8"/>
      <c r="P47" s="17" t="s">
        <v>230</v>
      </c>
      <c r="Q47" s="10">
        <v>6.0</v>
      </c>
      <c r="R47" s="8"/>
      <c r="S47" s="8"/>
      <c r="T47" s="8"/>
      <c r="U47" s="8"/>
      <c r="V47" s="8"/>
      <c r="W47" s="8"/>
      <c r="X47" s="8"/>
      <c r="Y47" s="8"/>
      <c r="Z47" s="8"/>
      <c r="AA47" s="8"/>
      <c r="AB47" s="8"/>
      <c r="AC47" s="8"/>
      <c r="AD47" s="8"/>
      <c r="AE47" s="8"/>
      <c r="AF47" s="8"/>
      <c r="AG47" s="8"/>
      <c r="AH47" s="8"/>
      <c r="AI47" s="8"/>
      <c r="AJ47" s="8"/>
      <c r="AK47" s="8"/>
      <c r="AL47" s="8"/>
      <c r="AM47" s="6"/>
      <c r="AN47" s="6"/>
    </row>
    <row r="48">
      <c r="A48" s="9" t="s">
        <v>235</v>
      </c>
      <c r="B48" s="3">
        <f t="shared" si="1"/>
        <v>-500.0442871</v>
      </c>
      <c r="C48" s="10">
        <v>-25.2372</v>
      </c>
      <c r="D48" s="10">
        <v>30.0973</v>
      </c>
      <c r="E48" s="10">
        <v>1924.33</v>
      </c>
      <c r="F48" s="9" t="s">
        <v>238</v>
      </c>
      <c r="G48" s="9" t="s">
        <v>41</v>
      </c>
      <c r="H48" s="9" t="s">
        <v>41</v>
      </c>
      <c r="I48" s="11" t="s">
        <v>42</v>
      </c>
      <c r="J48" s="3" t="str">
        <f t="shared" si="2"/>
        <v>South</v>
      </c>
      <c r="K48" s="3" t="s">
        <v>247</v>
      </c>
      <c r="L48" s="3">
        <v>1731.24543472727</v>
      </c>
      <c r="M48" s="1">
        <f t="shared" si="3"/>
        <v>1670.77734</v>
      </c>
      <c r="N48" s="3">
        <f t="shared" si="4"/>
        <v>432.4289958</v>
      </c>
      <c r="O48" s="8"/>
      <c r="P48" s="9" t="s">
        <v>251</v>
      </c>
      <c r="Q48" s="8"/>
      <c r="R48" s="8"/>
      <c r="S48" s="8"/>
      <c r="T48" s="8"/>
      <c r="U48" s="8"/>
      <c r="V48" s="8"/>
      <c r="W48" s="8"/>
      <c r="X48" s="8"/>
      <c r="Y48" s="8"/>
      <c r="Z48" s="8"/>
      <c r="AA48" s="8"/>
      <c r="AB48" s="8"/>
      <c r="AC48" s="8"/>
      <c r="AD48" s="8"/>
      <c r="AE48" s="8"/>
      <c r="AF48" s="8"/>
      <c r="AG48" s="8"/>
      <c r="AH48" s="8"/>
      <c r="AI48" s="8"/>
      <c r="AJ48" s="8"/>
      <c r="AK48" s="8"/>
      <c r="AL48" s="8"/>
      <c r="AM48" s="6"/>
      <c r="AN48" s="6"/>
    </row>
    <row r="49">
      <c r="A49" s="5" t="s">
        <v>510</v>
      </c>
      <c r="B49" s="3">
        <f t="shared" si="1"/>
        <v>-484.9832099</v>
      </c>
      <c r="C49" s="4">
        <v>-25.2225</v>
      </c>
      <c r="D49" s="4">
        <v>30.10765</v>
      </c>
      <c r="E49" s="4">
        <v>1910.285</v>
      </c>
      <c r="F49" s="5" t="s">
        <v>511</v>
      </c>
      <c r="G49" s="5" t="s">
        <v>41</v>
      </c>
      <c r="H49" s="5" t="s">
        <v>41</v>
      </c>
      <c r="I49" s="5" t="s">
        <v>42</v>
      </c>
      <c r="J49" s="3" t="str">
        <f t="shared" si="2"/>
        <v>South</v>
      </c>
      <c r="K49" s="3" t="s">
        <v>512</v>
      </c>
      <c r="L49" s="3">
        <v>1793.20031500319</v>
      </c>
      <c r="M49" s="1">
        <f t="shared" si="3"/>
        <v>1728.968874</v>
      </c>
      <c r="N49" s="3">
        <f t="shared" si="4"/>
        <v>447.4900731</v>
      </c>
      <c r="O49" s="5"/>
      <c r="P49" s="7"/>
      <c r="Q49" s="7"/>
      <c r="R49" s="7"/>
      <c r="S49" s="7"/>
      <c r="T49" s="5"/>
      <c r="U49" s="5"/>
      <c r="V49" s="5" t="s">
        <v>49</v>
      </c>
      <c r="W49" s="5" t="s">
        <v>50</v>
      </c>
      <c r="X49" s="7"/>
      <c r="Y49" s="7"/>
      <c r="Z49" s="7"/>
      <c r="AA49" s="7"/>
      <c r="AB49" s="7"/>
      <c r="AC49" s="7"/>
      <c r="AD49" s="7"/>
      <c r="AE49" s="7"/>
      <c r="AF49" s="7"/>
      <c r="AG49" s="7"/>
      <c r="AH49" s="5" t="s">
        <v>51</v>
      </c>
      <c r="AJ49" s="7"/>
      <c r="AK49" s="5" t="s">
        <v>391</v>
      </c>
      <c r="AL49" s="6"/>
      <c r="AM49" s="6"/>
      <c r="AN49" s="6"/>
    </row>
    <row r="50">
      <c r="A50" s="5" t="s">
        <v>514</v>
      </c>
      <c r="B50" s="3">
        <f t="shared" si="1"/>
        <v>-481.0950471</v>
      </c>
      <c r="C50" s="4">
        <v>-25.2235</v>
      </c>
      <c r="D50" s="4">
        <v>30.10665</v>
      </c>
      <c r="E50" s="4">
        <v>1889.945</v>
      </c>
      <c r="F50" s="5" t="s">
        <v>516</v>
      </c>
      <c r="G50" s="5" t="s">
        <v>155</v>
      </c>
      <c r="H50" s="5" t="s">
        <v>200</v>
      </c>
      <c r="I50" s="5" t="s">
        <v>201</v>
      </c>
      <c r="J50" s="3" t="str">
        <f t="shared" si="2"/>
        <v>South</v>
      </c>
      <c r="K50" s="3" t="s">
        <v>518</v>
      </c>
      <c r="L50" s="3">
        <v>1813.67310884795</v>
      </c>
      <c r="M50" s="1">
        <f t="shared" si="3"/>
        <v>1743.991582</v>
      </c>
      <c r="N50" s="3">
        <f t="shared" si="4"/>
        <v>451.3782358</v>
      </c>
      <c r="O50" s="5"/>
      <c r="P50" s="7"/>
      <c r="Q50" s="7"/>
      <c r="R50" s="7"/>
      <c r="S50" s="7"/>
      <c r="T50" s="5"/>
      <c r="U50" s="5"/>
      <c r="V50" s="5" t="s">
        <v>49</v>
      </c>
      <c r="W50" s="5" t="s">
        <v>50</v>
      </c>
      <c r="X50" s="7"/>
      <c r="Y50" s="7"/>
      <c r="Z50" s="7"/>
      <c r="AA50" s="7"/>
      <c r="AB50" s="7"/>
      <c r="AC50" s="7"/>
      <c r="AD50" s="7"/>
      <c r="AE50" s="7"/>
      <c r="AF50" s="7"/>
      <c r="AG50" s="7"/>
      <c r="AH50" s="5" t="s">
        <v>51</v>
      </c>
      <c r="AJ50" s="7"/>
      <c r="AK50" s="5" t="s">
        <v>522</v>
      </c>
      <c r="AL50" s="6"/>
      <c r="AM50" s="6"/>
      <c r="AN50" s="6"/>
    </row>
    <row r="51">
      <c r="A51" s="5" t="s">
        <v>523</v>
      </c>
      <c r="B51" s="3">
        <f t="shared" si="1"/>
        <v>-480.6181035</v>
      </c>
      <c r="C51" s="4">
        <v>-25.2203</v>
      </c>
      <c r="D51" s="4">
        <v>30.10931</v>
      </c>
      <c r="E51" s="4">
        <v>1973.19</v>
      </c>
      <c r="F51" s="5" t="s">
        <v>525</v>
      </c>
      <c r="G51" s="5" t="s">
        <v>41</v>
      </c>
      <c r="H51" s="5" t="s">
        <v>41</v>
      </c>
      <c r="I51" s="5" t="s">
        <v>42</v>
      </c>
      <c r="J51" s="3" t="str">
        <f t="shared" si="2"/>
        <v>North</v>
      </c>
      <c r="K51" s="3" t="s">
        <v>527</v>
      </c>
      <c r="L51" s="3">
        <v>1793.21044691361</v>
      </c>
      <c r="M51" s="1">
        <f t="shared" si="3"/>
        <v>1745.83435</v>
      </c>
      <c r="N51" s="3">
        <f t="shared" si="4"/>
        <v>451.8551794</v>
      </c>
      <c r="O51" s="5"/>
      <c r="P51" s="7"/>
      <c r="Q51" s="7"/>
      <c r="R51" s="7"/>
      <c r="S51" s="7"/>
      <c r="T51" s="5"/>
      <c r="U51" s="5"/>
      <c r="V51" s="5" t="s">
        <v>49</v>
      </c>
      <c r="W51" s="5" t="s">
        <v>50</v>
      </c>
      <c r="X51" s="7"/>
      <c r="Y51" s="7"/>
      <c r="Z51" s="7"/>
      <c r="AA51" s="7"/>
      <c r="AB51" s="7"/>
      <c r="AC51" s="7"/>
      <c r="AD51" s="7"/>
      <c r="AE51" s="7"/>
      <c r="AF51" s="7"/>
      <c r="AG51" s="7"/>
      <c r="AH51" s="5" t="s">
        <v>51</v>
      </c>
      <c r="AJ51" s="7"/>
      <c r="AK51" s="5" t="s">
        <v>254</v>
      </c>
      <c r="AL51" s="6"/>
      <c r="AM51" s="6"/>
      <c r="AN51" s="6"/>
    </row>
    <row r="52">
      <c r="A52" s="9" t="s">
        <v>256</v>
      </c>
      <c r="B52" s="3">
        <f t="shared" si="1"/>
        <v>-478.9043511</v>
      </c>
      <c r="C52" s="10">
        <v>-25.2369</v>
      </c>
      <c r="D52" s="10">
        <v>30.09644</v>
      </c>
      <c r="E52" s="10">
        <v>1890.912</v>
      </c>
      <c r="F52" s="9" t="s">
        <v>257</v>
      </c>
      <c r="G52" s="9" t="s">
        <v>41</v>
      </c>
      <c r="H52" s="9" t="s">
        <v>41</v>
      </c>
      <c r="I52" s="11" t="s">
        <v>42</v>
      </c>
      <c r="J52" s="3" t="str">
        <f t="shared" si="2"/>
        <v>South</v>
      </c>
      <c r="K52" s="3" t="s">
        <v>259</v>
      </c>
      <c r="L52" s="3">
        <v>1821.87820145047</v>
      </c>
      <c r="M52" s="1">
        <f t="shared" si="3"/>
        <v>1752.455781</v>
      </c>
      <c r="N52" s="3">
        <f t="shared" si="4"/>
        <v>453.5689318</v>
      </c>
      <c r="O52" s="9" t="s">
        <v>263</v>
      </c>
      <c r="P52" s="9"/>
      <c r="Q52" s="10">
        <v>19.0</v>
      </c>
      <c r="R52" s="8"/>
      <c r="S52" s="8"/>
      <c r="T52" s="9"/>
      <c r="U52" s="10"/>
      <c r="V52" s="10">
        <v>50.0</v>
      </c>
      <c r="W52" s="9" t="s">
        <v>265</v>
      </c>
      <c r="X52" s="10">
        <v>30.0</v>
      </c>
      <c r="Y52" s="9" t="s">
        <v>266</v>
      </c>
      <c r="Z52" s="10">
        <v>15.0</v>
      </c>
      <c r="AA52" s="9" t="s">
        <v>268</v>
      </c>
      <c r="AB52" s="9"/>
      <c r="AC52" s="8"/>
      <c r="AD52" s="9"/>
      <c r="AE52" s="9"/>
      <c r="AF52" s="9"/>
      <c r="AG52" s="9"/>
      <c r="AH52" s="9" t="s">
        <v>269</v>
      </c>
      <c r="AI52" s="8"/>
      <c r="AJ52" s="10">
        <v>2.0</v>
      </c>
      <c r="AK52" s="8"/>
      <c r="AL52" s="8"/>
      <c r="AM52" s="6"/>
      <c r="AN52" s="6"/>
    </row>
    <row r="53">
      <c r="A53" s="9" t="s">
        <v>270</v>
      </c>
      <c r="B53" s="3">
        <f t="shared" si="1"/>
        <v>-478.9043511</v>
      </c>
      <c r="C53" s="10">
        <v>-25.2369</v>
      </c>
      <c r="D53" s="10">
        <v>30.09644</v>
      </c>
      <c r="E53" s="10">
        <v>1890.912</v>
      </c>
      <c r="F53" s="9" t="s">
        <v>257</v>
      </c>
      <c r="G53" s="9" t="s">
        <v>41</v>
      </c>
      <c r="H53" s="9" t="s">
        <v>41</v>
      </c>
      <c r="I53" s="11" t="s">
        <v>273</v>
      </c>
      <c r="J53" s="3" t="str">
        <f t="shared" si="2"/>
        <v>South</v>
      </c>
      <c r="K53" s="3" t="s">
        <v>259</v>
      </c>
      <c r="L53" s="3">
        <v>1821.87820145047</v>
      </c>
      <c r="M53" s="1">
        <f t="shared" si="3"/>
        <v>1752.455781</v>
      </c>
      <c r="N53" s="3">
        <f t="shared" si="4"/>
        <v>453.5689318</v>
      </c>
      <c r="O53" s="9" t="s">
        <v>277</v>
      </c>
      <c r="P53" s="9" t="s">
        <v>278</v>
      </c>
      <c r="Q53" s="9" t="s">
        <v>279</v>
      </c>
      <c r="R53" s="8"/>
      <c r="S53" s="8"/>
      <c r="T53" s="9"/>
      <c r="U53" s="9"/>
      <c r="V53" s="9" t="s">
        <v>280</v>
      </c>
      <c r="W53" s="9" t="s">
        <v>281</v>
      </c>
      <c r="X53" s="9" t="s">
        <v>282</v>
      </c>
      <c r="Y53" s="8"/>
      <c r="Z53" s="9" t="s">
        <v>284</v>
      </c>
      <c r="AA53" s="9" t="s">
        <v>285</v>
      </c>
      <c r="AB53" s="9" t="s">
        <v>286</v>
      </c>
      <c r="AC53" s="8"/>
      <c r="AD53" s="8"/>
      <c r="AE53" s="8"/>
      <c r="AF53" s="8"/>
      <c r="AG53" s="8"/>
      <c r="AH53" s="8"/>
      <c r="AI53" s="8"/>
      <c r="AJ53" s="10">
        <v>3.0</v>
      </c>
      <c r="AK53" s="8"/>
      <c r="AL53" s="8"/>
      <c r="AM53" s="6"/>
      <c r="AN53" s="6"/>
    </row>
    <row r="54">
      <c r="A54" s="5" t="s">
        <v>543</v>
      </c>
      <c r="B54" s="3">
        <f t="shared" si="1"/>
        <v>-477.8093551</v>
      </c>
      <c r="C54" s="4">
        <v>-25.2229</v>
      </c>
      <c r="D54" s="4">
        <v>30.10699</v>
      </c>
      <c r="E54" s="4">
        <v>1902.215</v>
      </c>
      <c r="F54" s="5" t="s">
        <v>544</v>
      </c>
      <c r="G54" s="5" t="s">
        <v>155</v>
      </c>
      <c r="H54" s="5" t="s">
        <v>200</v>
      </c>
      <c r="I54" s="5" t="s">
        <v>201</v>
      </c>
      <c r="J54" s="3" t="str">
        <f t="shared" si="2"/>
        <v>South</v>
      </c>
      <c r="K54" s="3" t="s">
        <v>546</v>
      </c>
      <c r="L54" s="3">
        <v>1823.08031119248</v>
      </c>
      <c r="M54" s="1">
        <f t="shared" si="3"/>
        <v>1756.686521</v>
      </c>
      <c r="N54" s="3">
        <f t="shared" si="4"/>
        <v>454.6639278</v>
      </c>
      <c r="O54" s="5"/>
      <c r="P54" s="7"/>
      <c r="Q54" s="7"/>
      <c r="R54" s="7"/>
      <c r="S54" s="7"/>
      <c r="T54" s="5"/>
      <c r="U54" s="5"/>
      <c r="V54" s="5" t="s">
        <v>49</v>
      </c>
      <c r="W54" s="5" t="s">
        <v>50</v>
      </c>
      <c r="X54" s="7"/>
      <c r="Y54" s="7"/>
      <c r="Z54" s="7"/>
      <c r="AA54" s="7"/>
      <c r="AB54" s="7"/>
      <c r="AC54" s="7"/>
      <c r="AD54" s="7"/>
      <c r="AE54" s="7"/>
      <c r="AF54" s="7"/>
      <c r="AG54" s="7"/>
      <c r="AH54" s="5" t="s">
        <v>51</v>
      </c>
      <c r="AJ54" s="7"/>
      <c r="AK54" s="5" t="s">
        <v>550</v>
      </c>
      <c r="AL54" s="6"/>
      <c r="AM54" s="6"/>
      <c r="AN54" s="6"/>
    </row>
    <row r="55">
      <c r="A55" s="9" t="s">
        <v>288</v>
      </c>
      <c r="B55" s="3">
        <f t="shared" si="1"/>
        <v>-476.6624931</v>
      </c>
      <c r="C55" s="10">
        <v>-25.2195</v>
      </c>
      <c r="D55" s="10">
        <v>30.10983</v>
      </c>
      <c r="E55" s="10">
        <v>2004.174</v>
      </c>
      <c r="F55" s="9" t="s">
        <v>290</v>
      </c>
      <c r="G55" s="12" t="s">
        <v>41</v>
      </c>
      <c r="H55" s="8" t="s">
        <v>45</v>
      </c>
      <c r="I55" s="8" t="s">
        <v>45</v>
      </c>
      <c r="J55" s="3" t="str">
        <f t="shared" si="2"/>
        <v>North</v>
      </c>
      <c r="K55" s="3" t="s">
        <v>292</v>
      </c>
      <c r="L55" s="3">
        <v>1800.19161414164</v>
      </c>
      <c r="M55" s="1">
        <f t="shared" si="3"/>
        <v>1761.117655</v>
      </c>
      <c r="N55" s="3">
        <f t="shared" si="4"/>
        <v>455.8107898</v>
      </c>
      <c r="O55" s="8"/>
      <c r="P55" s="19" t="s">
        <v>295</v>
      </c>
      <c r="Q55" s="8"/>
      <c r="R55" s="8"/>
      <c r="S55" s="8"/>
      <c r="T55" s="8"/>
      <c r="U55" s="8"/>
      <c r="V55" s="8"/>
      <c r="W55" s="8"/>
      <c r="X55" s="8"/>
      <c r="Y55" s="8"/>
      <c r="Z55" s="8"/>
      <c r="AA55" s="8"/>
      <c r="AB55" s="8"/>
      <c r="AC55" s="8"/>
      <c r="AD55" s="8"/>
      <c r="AE55" s="8"/>
      <c r="AF55" s="8"/>
      <c r="AG55" s="8"/>
      <c r="AH55" s="8"/>
      <c r="AI55" s="8"/>
      <c r="AJ55" s="8"/>
      <c r="AK55" s="8"/>
      <c r="AL55" s="8"/>
      <c r="AM55" s="6"/>
      <c r="AN55" s="6"/>
    </row>
    <row r="56">
      <c r="A56" s="5" t="s">
        <v>556</v>
      </c>
      <c r="B56" s="3">
        <f t="shared" si="1"/>
        <v>-470.3405516</v>
      </c>
      <c r="C56" s="4">
        <v>-25.2227</v>
      </c>
      <c r="D56" s="4">
        <v>30.10679</v>
      </c>
      <c r="E56" s="4">
        <v>1900.652</v>
      </c>
      <c r="F56" s="5" t="s">
        <v>559</v>
      </c>
      <c r="G56" s="5" t="s">
        <v>41</v>
      </c>
      <c r="H56" s="5" t="s">
        <v>41</v>
      </c>
      <c r="I56" s="5" t="s">
        <v>42</v>
      </c>
      <c r="J56" s="3" t="str">
        <f t="shared" si="2"/>
        <v>South</v>
      </c>
      <c r="K56" s="3" t="s">
        <v>561</v>
      </c>
      <c r="L56" s="3">
        <v>1852.35635667963</v>
      </c>
      <c r="M56" s="1">
        <f t="shared" si="3"/>
        <v>1785.543761</v>
      </c>
      <c r="N56" s="3">
        <f t="shared" si="4"/>
        <v>462.1327313</v>
      </c>
      <c r="O56" s="5"/>
      <c r="P56" s="7"/>
      <c r="Q56" s="7"/>
      <c r="R56" s="7"/>
      <c r="S56" s="7"/>
      <c r="T56" s="5"/>
      <c r="U56" s="5"/>
      <c r="V56" s="5" t="s">
        <v>49</v>
      </c>
      <c r="W56" s="5" t="s">
        <v>50</v>
      </c>
      <c r="X56" s="7"/>
      <c r="Y56" s="7"/>
      <c r="Z56" s="7"/>
      <c r="AA56" s="7"/>
      <c r="AB56" s="7"/>
      <c r="AC56" s="7"/>
      <c r="AD56" s="7"/>
      <c r="AE56" s="7"/>
      <c r="AF56" s="7"/>
      <c r="AG56" s="7"/>
      <c r="AH56" s="5" t="s">
        <v>51</v>
      </c>
      <c r="AJ56" s="7"/>
      <c r="AK56" s="5" t="s">
        <v>169</v>
      </c>
      <c r="AL56" s="6"/>
      <c r="AM56" s="6"/>
      <c r="AN56" s="6"/>
    </row>
    <row r="57">
      <c r="A57" s="9" t="s">
        <v>297</v>
      </c>
      <c r="B57" s="3">
        <f t="shared" si="1"/>
        <v>-468.913277</v>
      </c>
      <c r="C57" s="10">
        <v>-25.2207</v>
      </c>
      <c r="D57" s="10">
        <v>30.10839</v>
      </c>
      <c r="E57" s="10">
        <v>1949.503</v>
      </c>
      <c r="F57" s="9" t="s">
        <v>298</v>
      </c>
      <c r="G57" s="11" t="s">
        <v>41</v>
      </c>
      <c r="H57" s="9" t="s">
        <v>111</v>
      </c>
      <c r="I57" s="9" t="s">
        <v>111</v>
      </c>
      <c r="J57" s="3" t="str">
        <f t="shared" si="2"/>
        <v>North</v>
      </c>
      <c r="K57" s="3" t="s">
        <v>300</v>
      </c>
      <c r="L57" s="3">
        <v>1844.7813361315</v>
      </c>
      <c r="M57" s="1">
        <f t="shared" si="3"/>
        <v>1791.058327</v>
      </c>
      <c r="N57" s="3">
        <f t="shared" si="4"/>
        <v>463.5600059</v>
      </c>
      <c r="O57" s="9" t="s">
        <v>301</v>
      </c>
      <c r="P57" s="17" t="s">
        <v>303</v>
      </c>
      <c r="Q57" s="9" t="s">
        <v>304</v>
      </c>
      <c r="R57" s="8"/>
      <c r="S57" s="8"/>
      <c r="T57" s="8"/>
      <c r="U57" s="10"/>
      <c r="V57" s="10">
        <v>60.0</v>
      </c>
      <c r="W57" s="8"/>
      <c r="X57" s="8"/>
      <c r="Y57" s="8"/>
      <c r="Z57" s="8"/>
      <c r="AA57" s="8"/>
      <c r="AB57" s="8"/>
      <c r="AC57" s="8"/>
      <c r="AD57" s="10">
        <v>40.0</v>
      </c>
      <c r="AE57" s="9" t="s">
        <v>307</v>
      </c>
      <c r="AF57" s="8"/>
      <c r="AG57" s="8"/>
      <c r="AH57" s="8"/>
      <c r="AI57" s="8"/>
      <c r="AJ57" s="10">
        <v>0.0</v>
      </c>
      <c r="AK57" s="8"/>
      <c r="AL57" s="8"/>
      <c r="AM57" s="6"/>
      <c r="AN57" s="6"/>
    </row>
    <row r="58">
      <c r="A58" s="5" t="s">
        <v>564</v>
      </c>
      <c r="B58" s="3">
        <f t="shared" si="1"/>
        <v>-465.06438</v>
      </c>
      <c r="C58" s="4">
        <v>-25.2192</v>
      </c>
      <c r="D58" s="4">
        <v>30.10955</v>
      </c>
      <c r="E58" s="4">
        <v>2013.751</v>
      </c>
      <c r="F58" s="5" t="s">
        <v>565</v>
      </c>
      <c r="G58" s="5" t="s">
        <v>41</v>
      </c>
      <c r="H58" s="5" t="s">
        <v>566</v>
      </c>
      <c r="I58" s="5" t="s">
        <v>73</v>
      </c>
      <c r="J58" s="3" t="str">
        <f t="shared" si="2"/>
        <v>North</v>
      </c>
      <c r="K58" s="3" t="s">
        <v>567</v>
      </c>
      <c r="L58" s="3">
        <v>1842.43713285269</v>
      </c>
      <c r="M58" s="1">
        <f t="shared" si="3"/>
        <v>1805.929323</v>
      </c>
      <c r="N58" s="3">
        <f t="shared" si="4"/>
        <v>467.408903</v>
      </c>
      <c r="O58" s="5"/>
      <c r="P58" s="7"/>
      <c r="Q58" s="7"/>
      <c r="R58" s="7"/>
      <c r="S58" s="7"/>
      <c r="T58" s="5"/>
      <c r="U58" s="5"/>
      <c r="V58" s="5" t="s">
        <v>49</v>
      </c>
      <c r="W58" s="5" t="s">
        <v>50</v>
      </c>
      <c r="X58" s="7"/>
      <c r="Y58" s="7"/>
      <c r="Z58" s="7"/>
      <c r="AA58" s="7"/>
      <c r="AB58" s="7"/>
      <c r="AC58" s="7"/>
      <c r="AD58" s="7"/>
      <c r="AE58" s="7"/>
      <c r="AF58" s="7"/>
      <c r="AG58" s="7"/>
      <c r="AH58" s="5" t="s">
        <v>51</v>
      </c>
      <c r="AJ58" s="7"/>
      <c r="AK58" s="5" t="s">
        <v>37</v>
      </c>
      <c r="AL58" s="6"/>
      <c r="AM58" s="6"/>
      <c r="AN58" s="6"/>
    </row>
    <row r="59">
      <c r="A59" s="5" t="s">
        <v>569</v>
      </c>
      <c r="B59" s="3">
        <f t="shared" si="1"/>
        <v>-455.795933</v>
      </c>
      <c r="C59" s="4">
        <v>-25.2354</v>
      </c>
      <c r="D59" s="4">
        <v>30.09654</v>
      </c>
      <c r="E59" s="4">
        <v>1902.84</v>
      </c>
      <c r="F59" s="5" t="s">
        <v>570</v>
      </c>
      <c r="G59" s="5" t="s">
        <v>41</v>
      </c>
      <c r="H59" s="5" t="s">
        <v>41</v>
      </c>
      <c r="I59" s="5" t="s">
        <v>42</v>
      </c>
      <c r="J59" s="3" t="str">
        <f t="shared" si="2"/>
        <v>South</v>
      </c>
      <c r="K59" s="3" t="s">
        <v>572</v>
      </c>
      <c r="L59" s="3">
        <v>1907.966174694</v>
      </c>
      <c r="M59" s="1">
        <f t="shared" si="3"/>
        <v>1841.739852</v>
      </c>
      <c r="N59" s="3">
        <f t="shared" si="4"/>
        <v>476.6773499</v>
      </c>
      <c r="O59" s="5"/>
      <c r="P59" s="7"/>
      <c r="Q59" s="7"/>
      <c r="R59" s="7"/>
      <c r="S59" s="7"/>
      <c r="T59" s="5"/>
      <c r="U59" s="5"/>
      <c r="V59" s="5" t="s">
        <v>49</v>
      </c>
      <c r="W59" s="5" t="s">
        <v>50</v>
      </c>
      <c r="X59" s="7"/>
      <c r="Y59" s="7"/>
      <c r="Z59" s="7"/>
      <c r="AA59" s="7"/>
      <c r="AB59" s="7"/>
      <c r="AC59" s="7"/>
      <c r="AD59" s="7"/>
      <c r="AE59" s="7"/>
      <c r="AF59" s="7"/>
      <c r="AG59" s="7"/>
      <c r="AH59" s="5" t="s">
        <v>51</v>
      </c>
      <c r="AJ59" s="7"/>
      <c r="AK59" s="5" t="s">
        <v>40</v>
      </c>
      <c r="AL59" s="6"/>
      <c r="AM59" s="6"/>
      <c r="AN59" s="6"/>
    </row>
    <row r="60">
      <c r="A60" s="5" t="s">
        <v>576</v>
      </c>
      <c r="B60" s="3">
        <f t="shared" si="1"/>
        <v>-440.724538</v>
      </c>
      <c r="C60" s="4">
        <v>-25.2376</v>
      </c>
      <c r="D60" s="4">
        <v>30.09423</v>
      </c>
      <c r="E60" s="4">
        <v>1917.821</v>
      </c>
      <c r="F60" s="5" t="s">
        <v>135</v>
      </c>
      <c r="G60" s="5" t="s">
        <v>41</v>
      </c>
      <c r="H60" s="5" t="s">
        <v>41</v>
      </c>
      <c r="I60" s="5" t="s">
        <v>42</v>
      </c>
      <c r="J60" s="3" t="str">
        <f t="shared" si="2"/>
        <v>South</v>
      </c>
      <c r="K60" s="3" t="s">
        <v>579</v>
      </c>
      <c r="L60" s="3">
        <v>1962.18342657596</v>
      </c>
      <c r="M60" s="1">
        <f t="shared" si="3"/>
        <v>1899.971251</v>
      </c>
      <c r="N60" s="3">
        <f t="shared" si="4"/>
        <v>491.7487449</v>
      </c>
      <c r="O60" s="5"/>
      <c r="P60" s="7"/>
      <c r="Q60" s="7"/>
      <c r="R60" s="7"/>
      <c r="S60" s="7"/>
      <c r="T60" s="5"/>
      <c r="U60" s="5"/>
      <c r="V60" s="5" t="s">
        <v>49</v>
      </c>
      <c r="W60" s="5" t="s">
        <v>50</v>
      </c>
      <c r="X60" s="7"/>
      <c r="Y60" s="7"/>
      <c r="Z60" s="7"/>
      <c r="AA60" s="7"/>
      <c r="AB60" s="7"/>
      <c r="AC60" s="7"/>
      <c r="AD60" s="7"/>
      <c r="AE60" s="7"/>
      <c r="AF60" s="7"/>
      <c r="AG60" s="7"/>
      <c r="AH60" s="5" t="s">
        <v>51</v>
      </c>
      <c r="AJ60" s="7"/>
      <c r="AK60" s="5" t="s">
        <v>582</v>
      </c>
      <c r="AL60" s="6"/>
      <c r="AM60" s="6"/>
      <c r="AN60" s="6"/>
    </row>
    <row r="61">
      <c r="A61" s="9" t="s">
        <v>83</v>
      </c>
      <c r="B61" s="3">
        <f t="shared" si="1"/>
        <v>-440.3743933</v>
      </c>
      <c r="C61" s="10">
        <v>-25.2182</v>
      </c>
      <c r="D61" s="10">
        <v>30.10918</v>
      </c>
      <c r="E61" s="10">
        <v>2019.622</v>
      </c>
      <c r="F61" s="9" t="s">
        <v>85</v>
      </c>
      <c r="G61" s="11" t="s">
        <v>41</v>
      </c>
      <c r="H61" s="9" t="s">
        <v>45</v>
      </c>
      <c r="I61" s="9" t="s">
        <v>45</v>
      </c>
      <c r="J61" s="3" t="str">
        <f t="shared" si="2"/>
        <v>North</v>
      </c>
      <c r="K61" s="3" t="s">
        <v>87</v>
      </c>
      <c r="L61" s="3">
        <v>1936.25878610549</v>
      </c>
      <c r="M61" s="1">
        <f t="shared" si="3"/>
        <v>1901.324106</v>
      </c>
      <c r="N61" s="3">
        <f t="shared" si="4"/>
        <v>492.0988896</v>
      </c>
      <c r="O61" s="8"/>
      <c r="P61" s="17" t="s">
        <v>88</v>
      </c>
      <c r="Q61" s="10">
        <v>20.0</v>
      </c>
      <c r="R61" s="10">
        <v>265.0</v>
      </c>
      <c r="S61" s="10">
        <v>25.0</v>
      </c>
      <c r="T61" s="10">
        <f>R61-90</f>
        <v>175</v>
      </c>
      <c r="U61" s="12" t="s">
        <v>55</v>
      </c>
      <c r="V61" s="8"/>
      <c r="W61" s="8"/>
      <c r="X61" s="8"/>
      <c r="Y61" s="8"/>
      <c r="Z61" s="8"/>
      <c r="AA61" s="8"/>
      <c r="AB61" s="8"/>
      <c r="AC61" s="8"/>
      <c r="AD61" s="8"/>
      <c r="AE61" s="8"/>
      <c r="AF61" s="8"/>
      <c r="AG61" s="8"/>
      <c r="AH61" s="8"/>
      <c r="AI61" s="8"/>
      <c r="AJ61" s="8"/>
      <c r="AK61" s="8"/>
      <c r="AL61" s="8"/>
      <c r="AM61" s="6"/>
      <c r="AN61" s="6"/>
    </row>
    <row r="62">
      <c r="A62" s="13" t="s">
        <v>326</v>
      </c>
      <c r="B62" s="3">
        <f t="shared" si="1"/>
        <v>-439.7975433</v>
      </c>
      <c r="C62" s="14">
        <v>-25.2377</v>
      </c>
      <c r="D62" s="14">
        <v>30.09405</v>
      </c>
      <c r="E62" s="14">
        <v>1898.639</v>
      </c>
      <c r="F62" s="13" t="s">
        <v>329</v>
      </c>
      <c r="G62" s="9" t="s">
        <v>41</v>
      </c>
      <c r="H62" s="9" t="s">
        <v>41</v>
      </c>
      <c r="I62" s="11" t="s">
        <v>42</v>
      </c>
      <c r="J62" s="3" t="str">
        <f t="shared" si="2"/>
        <v>South</v>
      </c>
      <c r="K62" s="3" t="s">
        <v>333</v>
      </c>
      <c r="L62" s="3">
        <v>1970.90486051379</v>
      </c>
      <c r="M62" s="1">
        <f t="shared" si="3"/>
        <v>1903.552884</v>
      </c>
      <c r="N62" s="3">
        <f t="shared" si="4"/>
        <v>492.6757396</v>
      </c>
      <c r="O62" s="9" t="s">
        <v>335</v>
      </c>
      <c r="P62" s="9" t="s">
        <v>336</v>
      </c>
      <c r="Q62" s="8"/>
      <c r="R62" s="8"/>
      <c r="S62" s="8"/>
      <c r="T62" s="8"/>
      <c r="U62" s="8"/>
      <c r="V62" s="8"/>
      <c r="W62" s="8"/>
      <c r="X62" s="8"/>
      <c r="Y62" s="8"/>
      <c r="Z62" s="8"/>
      <c r="AA62" s="8"/>
      <c r="AB62" s="8"/>
      <c r="AC62" s="8"/>
      <c r="AD62" s="8"/>
      <c r="AE62" s="8"/>
      <c r="AF62" s="8"/>
      <c r="AG62" s="8"/>
      <c r="AH62" s="8"/>
      <c r="AI62" s="8"/>
      <c r="AJ62" s="8"/>
      <c r="AK62" s="8"/>
      <c r="AL62" s="8"/>
      <c r="AM62" s="6"/>
      <c r="AN62" s="6"/>
    </row>
    <row r="63">
      <c r="A63" s="5" t="s">
        <v>586</v>
      </c>
      <c r="B63" s="3">
        <f t="shared" si="1"/>
        <v>-433.0343252</v>
      </c>
      <c r="C63" s="4">
        <v>-25.219</v>
      </c>
      <c r="D63" s="4">
        <v>30.10814</v>
      </c>
      <c r="E63" s="4">
        <v>1989.613</v>
      </c>
      <c r="F63" s="5" t="s">
        <v>588</v>
      </c>
      <c r="G63" s="5" t="s">
        <v>41</v>
      </c>
      <c r="H63" s="5" t="s">
        <v>45</v>
      </c>
      <c r="I63" s="5" t="s">
        <v>45</v>
      </c>
      <c r="J63" s="3" t="str">
        <f t="shared" si="2"/>
        <v>North</v>
      </c>
      <c r="K63" s="3" t="s">
        <v>589</v>
      </c>
      <c r="L63" s="3">
        <v>1972.65951875911</v>
      </c>
      <c r="M63" s="1">
        <f t="shared" si="3"/>
        <v>1929.683952</v>
      </c>
      <c r="N63" s="3">
        <f t="shared" si="4"/>
        <v>499.4389577</v>
      </c>
      <c r="O63" s="5"/>
      <c r="P63" s="7"/>
      <c r="Q63" s="7"/>
      <c r="R63" s="7"/>
      <c r="S63" s="7"/>
      <c r="T63" s="5"/>
      <c r="U63" s="5"/>
      <c r="V63" s="5" t="s">
        <v>49</v>
      </c>
      <c r="W63" s="5" t="s">
        <v>50</v>
      </c>
      <c r="X63" s="7"/>
      <c r="Y63" s="7"/>
      <c r="Z63" s="7"/>
      <c r="AA63" s="7"/>
      <c r="AB63" s="7"/>
      <c r="AC63" s="7"/>
      <c r="AD63" s="7"/>
      <c r="AE63" s="7"/>
      <c r="AF63" s="7"/>
      <c r="AG63" s="7"/>
      <c r="AH63" s="5" t="s">
        <v>51</v>
      </c>
      <c r="AJ63" s="7"/>
      <c r="AK63" s="5" t="s">
        <v>592</v>
      </c>
      <c r="AL63" s="6"/>
      <c r="AM63" s="6"/>
      <c r="AN63" s="6"/>
    </row>
    <row r="64">
      <c r="A64" s="5" t="s">
        <v>593</v>
      </c>
      <c r="B64" s="3">
        <f t="shared" si="1"/>
        <v>-430.9362519</v>
      </c>
      <c r="C64" s="4">
        <v>-25.237</v>
      </c>
      <c r="D64" s="4">
        <v>30.09419</v>
      </c>
      <c r="E64" s="4">
        <v>1905.541</v>
      </c>
      <c r="F64" s="5" t="s">
        <v>203</v>
      </c>
      <c r="G64" s="5" t="s">
        <v>41</v>
      </c>
      <c r="H64" s="5" t="s">
        <v>41</v>
      </c>
      <c r="I64" s="5" t="s">
        <v>42</v>
      </c>
      <c r="J64" s="3" t="str">
        <f t="shared" si="2"/>
        <v>South</v>
      </c>
      <c r="K64" s="3" t="s">
        <v>597</v>
      </c>
      <c r="L64" s="3">
        <v>2003.2928761007</v>
      </c>
      <c r="M64" s="1">
        <f t="shared" si="3"/>
        <v>1937.790284</v>
      </c>
      <c r="N64" s="3">
        <f t="shared" si="4"/>
        <v>501.537031</v>
      </c>
      <c r="O64" s="5"/>
      <c r="P64" s="7"/>
      <c r="Q64" s="7"/>
      <c r="R64" s="7"/>
      <c r="S64" s="7"/>
      <c r="T64" s="5"/>
      <c r="U64" s="5"/>
      <c r="V64" s="5" t="s">
        <v>49</v>
      </c>
      <c r="W64" s="5" t="s">
        <v>50</v>
      </c>
      <c r="X64" s="7"/>
      <c r="Y64" s="7"/>
      <c r="Z64" s="7"/>
      <c r="AA64" s="7"/>
      <c r="AB64" s="7"/>
      <c r="AC64" s="7"/>
      <c r="AD64" s="7"/>
      <c r="AE64" s="7"/>
      <c r="AF64" s="7"/>
      <c r="AG64" s="7"/>
      <c r="AH64" s="5" t="s">
        <v>51</v>
      </c>
      <c r="AJ64" s="7"/>
      <c r="AK64" s="5" t="s">
        <v>601</v>
      </c>
      <c r="AL64" s="6"/>
      <c r="AM64" s="6"/>
      <c r="AN64" s="6"/>
    </row>
    <row r="65">
      <c r="A65" s="5" t="s">
        <v>602</v>
      </c>
      <c r="B65" s="3">
        <f t="shared" si="1"/>
        <v>-429.6640443</v>
      </c>
      <c r="C65" s="4">
        <v>-25.2386</v>
      </c>
      <c r="D65" s="4">
        <v>30.09298</v>
      </c>
      <c r="E65" s="4">
        <v>1923.064</v>
      </c>
      <c r="F65" s="5" t="s">
        <v>603</v>
      </c>
      <c r="G65" s="5" t="s">
        <v>41</v>
      </c>
      <c r="H65" s="5" t="s">
        <v>41</v>
      </c>
      <c r="I65" s="5" t="s">
        <v>42</v>
      </c>
      <c r="J65" s="3" t="str">
        <f t="shared" si="2"/>
        <v>South</v>
      </c>
      <c r="K65" s="3" t="s">
        <v>604</v>
      </c>
      <c r="L65" s="3">
        <v>2003.51303530906</v>
      </c>
      <c r="M65" s="1">
        <f t="shared" si="3"/>
        <v>1942.705717</v>
      </c>
      <c r="N65" s="3">
        <f t="shared" si="4"/>
        <v>502.8092387</v>
      </c>
      <c r="O65" s="5"/>
      <c r="P65" s="7"/>
      <c r="Q65" s="7"/>
      <c r="R65" s="7"/>
      <c r="S65" s="7"/>
      <c r="T65" s="5"/>
      <c r="U65" s="5"/>
      <c r="V65" s="5" t="s">
        <v>49</v>
      </c>
      <c r="W65" s="5" t="s">
        <v>50</v>
      </c>
      <c r="X65" s="7"/>
      <c r="Y65" s="7"/>
      <c r="Z65" s="7"/>
      <c r="AA65" s="7"/>
      <c r="AB65" s="7"/>
      <c r="AC65" s="7"/>
      <c r="AD65" s="7"/>
      <c r="AE65" s="7"/>
      <c r="AF65" s="7"/>
      <c r="AG65" s="7"/>
      <c r="AH65" s="5" t="s">
        <v>51</v>
      </c>
      <c r="AJ65" s="7"/>
      <c r="AK65" s="5" t="s">
        <v>605</v>
      </c>
      <c r="AL65" s="6"/>
      <c r="AM65" s="6"/>
      <c r="AN65" s="6"/>
    </row>
    <row r="66">
      <c r="A66" s="9" t="s">
        <v>90</v>
      </c>
      <c r="B66" s="3">
        <f t="shared" si="1"/>
        <v>-425.9582355</v>
      </c>
      <c r="C66" s="10">
        <v>-25.2167</v>
      </c>
      <c r="D66" s="10">
        <v>30.10968</v>
      </c>
      <c r="E66" s="10">
        <v>2030.752</v>
      </c>
      <c r="F66" s="9" t="s">
        <v>91</v>
      </c>
      <c r="G66" s="11" t="s">
        <v>41</v>
      </c>
      <c r="H66" s="9" t="s">
        <v>45</v>
      </c>
      <c r="I66" s="9" t="s">
        <v>45</v>
      </c>
      <c r="J66" s="3" t="str">
        <f t="shared" si="2"/>
        <v>North</v>
      </c>
      <c r="K66" s="3" t="s">
        <v>93</v>
      </c>
      <c r="L66" s="3">
        <v>1988.97626823782</v>
      </c>
      <c r="M66" s="1">
        <f t="shared" si="3"/>
        <v>1957.023863</v>
      </c>
      <c r="N66" s="3">
        <f t="shared" si="4"/>
        <v>506.5150474</v>
      </c>
      <c r="O66" s="8"/>
      <c r="P66" s="19" t="s">
        <v>95</v>
      </c>
      <c r="Q66" s="8"/>
      <c r="R66" s="10">
        <v>315.0</v>
      </c>
      <c r="S66" s="10">
        <v>25.0</v>
      </c>
      <c r="T66" s="10">
        <f t="shared" ref="T66:T67" si="5">R66-90</f>
        <v>225</v>
      </c>
      <c r="U66" s="12" t="s">
        <v>55</v>
      </c>
      <c r="V66" s="8"/>
      <c r="W66" s="8"/>
      <c r="X66" s="8"/>
      <c r="Y66" s="8"/>
      <c r="Z66" s="8"/>
      <c r="AA66" s="8"/>
      <c r="AB66" s="8"/>
      <c r="AC66" s="8"/>
      <c r="AD66" s="8"/>
      <c r="AE66" s="8"/>
      <c r="AF66" s="8"/>
      <c r="AG66" s="8"/>
      <c r="AH66" s="8"/>
      <c r="AI66" s="8"/>
      <c r="AJ66" s="8"/>
      <c r="AK66" s="8"/>
      <c r="AL66" s="8"/>
      <c r="AM66" s="6"/>
      <c r="AN66" s="6"/>
    </row>
    <row r="67">
      <c r="A67" s="13" t="s">
        <v>98</v>
      </c>
      <c r="B67" s="3">
        <f t="shared" si="1"/>
        <v>-422.2966196</v>
      </c>
      <c r="C67" s="14">
        <v>-25.2415</v>
      </c>
      <c r="D67" s="14">
        <v>30.09048</v>
      </c>
      <c r="E67" s="14">
        <v>1932.263</v>
      </c>
      <c r="F67" s="13" t="s">
        <v>100</v>
      </c>
      <c r="G67" s="15" t="s">
        <v>41</v>
      </c>
      <c r="H67" s="13" t="s">
        <v>102</v>
      </c>
      <c r="I67" s="15" t="s">
        <v>73</v>
      </c>
      <c r="J67" s="3" t="str">
        <f t="shared" si="2"/>
        <v>South</v>
      </c>
      <c r="K67" s="3" t="s">
        <v>104</v>
      </c>
      <c r="L67" s="3">
        <v>2029.51371370143</v>
      </c>
      <c r="M67" s="1">
        <f t="shared" si="3"/>
        <v>1971.17126</v>
      </c>
      <c r="N67" s="3">
        <f t="shared" si="4"/>
        <v>510.1766633</v>
      </c>
      <c r="O67" s="13" t="s">
        <v>106</v>
      </c>
      <c r="P67" s="9" t="s">
        <v>107</v>
      </c>
      <c r="Q67" s="10">
        <v>52.0</v>
      </c>
      <c r="R67" s="10">
        <v>330.0</v>
      </c>
      <c r="S67" s="10">
        <v>25.0</v>
      </c>
      <c r="T67" s="10">
        <f t="shared" si="5"/>
        <v>240</v>
      </c>
      <c r="U67" s="12" t="s">
        <v>55</v>
      </c>
      <c r="V67" s="8"/>
      <c r="W67" s="8"/>
      <c r="X67" s="8"/>
      <c r="Y67" s="8"/>
      <c r="Z67" s="8"/>
      <c r="AA67" s="8"/>
      <c r="AB67" s="8"/>
      <c r="AC67" s="8"/>
      <c r="AD67" s="8"/>
      <c r="AE67" s="8"/>
      <c r="AF67" s="8"/>
      <c r="AG67" s="8"/>
      <c r="AH67" s="8"/>
      <c r="AI67" s="8"/>
      <c r="AJ67" s="8"/>
      <c r="AK67" s="8"/>
      <c r="AL67" s="8"/>
      <c r="AM67" s="6"/>
      <c r="AN67" s="6"/>
    </row>
    <row r="68">
      <c r="A68" s="5" t="s">
        <v>615</v>
      </c>
      <c r="B68" s="3">
        <f t="shared" si="1"/>
        <v>-416.5780711</v>
      </c>
      <c r="C68" s="4">
        <v>-25.2188</v>
      </c>
      <c r="D68" s="4">
        <v>30.10754</v>
      </c>
      <c r="E68" s="4">
        <v>1993.103</v>
      </c>
      <c r="F68" s="5" t="s">
        <v>617</v>
      </c>
      <c r="G68" s="5" t="s">
        <v>41</v>
      </c>
      <c r="H68" s="5" t="s">
        <v>45</v>
      </c>
      <c r="I68" s="5" t="s">
        <v>45</v>
      </c>
      <c r="J68" s="3" t="str">
        <f t="shared" si="2"/>
        <v>North</v>
      </c>
      <c r="K68" s="3" t="s">
        <v>619</v>
      </c>
      <c r="L68" s="3">
        <v>2035.30645967973</v>
      </c>
      <c r="M68" s="1">
        <f t="shared" si="3"/>
        <v>1993.266035</v>
      </c>
      <c r="N68" s="3">
        <f t="shared" si="4"/>
        <v>515.8952119</v>
      </c>
      <c r="O68" s="5"/>
      <c r="P68" s="7"/>
      <c r="Q68" s="7"/>
      <c r="R68" s="7"/>
      <c r="S68" s="7"/>
      <c r="T68" s="5"/>
      <c r="U68" s="5"/>
      <c r="V68" s="5" t="s">
        <v>49</v>
      </c>
      <c r="W68" s="5" t="s">
        <v>50</v>
      </c>
      <c r="X68" s="7"/>
      <c r="Y68" s="7"/>
      <c r="Z68" s="7"/>
      <c r="AA68" s="7"/>
      <c r="AB68" s="7"/>
      <c r="AC68" s="7"/>
      <c r="AD68" s="7"/>
      <c r="AE68" s="7"/>
      <c r="AF68" s="7"/>
      <c r="AG68" s="7"/>
      <c r="AH68" s="5" t="s">
        <v>51</v>
      </c>
      <c r="AJ68" s="7"/>
      <c r="AK68" s="5" t="s">
        <v>623</v>
      </c>
      <c r="AL68" s="6"/>
      <c r="AM68" s="6"/>
      <c r="AN68" s="6"/>
    </row>
    <row r="69">
      <c r="A69" s="13" t="s">
        <v>110</v>
      </c>
      <c r="B69" s="3">
        <f t="shared" si="1"/>
        <v>-415.3918595</v>
      </c>
      <c r="C69" s="14">
        <v>-25.2421</v>
      </c>
      <c r="D69" s="14">
        <v>30.08966</v>
      </c>
      <c r="E69" s="14">
        <v>1917.485</v>
      </c>
      <c r="F69" s="13" t="s">
        <v>113</v>
      </c>
      <c r="G69" s="11" t="s">
        <v>41</v>
      </c>
      <c r="H69" s="9" t="s">
        <v>45</v>
      </c>
      <c r="I69" s="9" t="s">
        <v>45</v>
      </c>
      <c r="J69" s="3" t="str">
        <f t="shared" si="2"/>
        <v>South</v>
      </c>
      <c r="K69" s="3" t="s">
        <v>115</v>
      </c>
      <c r="L69" s="3">
        <v>2060.1514111215</v>
      </c>
      <c r="M69" s="1">
        <f t="shared" si="3"/>
        <v>1997.849205</v>
      </c>
      <c r="N69" s="3">
        <f t="shared" si="4"/>
        <v>517.0814234</v>
      </c>
      <c r="O69" s="8"/>
      <c r="P69" s="8"/>
      <c r="Q69" s="8"/>
      <c r="R69" s="10">
        <v>325.0</v>
      </c>
      <c r="S69" s="10">
        <v>25.0</v>
      </c>
      <c r="T69" s="10">
        <f>R69-90</f>
        <v>235</v>
      </c>
      <c r="U69" s="12" t="s">
        <v>55</v>
      </c>
      <c r="V69" s="8"/>
      <c r="W69" s="8"/>
      <c r="X69" s="8"/>
      <c r="Y69" s="8"/>
      <c r="Z69" s="8"/>
      <c r="AA69" s="8"/>
      <c r="AB69" s="8"/>
      <c r="AC69" s="8"/>
      <c r="AD69" s="8"/>
      <c r="AE69" s="8"/>
      <c r="AF69" s="8"/>
      <c r="AG69" s="8"/>
      <c r="AH69" s="8"/>
      <c r="AI69" s="8"/>
      <c r="AJ69" s="8"/>
      <c r="AK69" s="8"/>
      <c r="AL69" s="8"/>
      <c r="AM69" s="6"/>
      <c r="AN69" s="6"/>
    </row>
    <row r="70">
      <c r="A70" s="5" t="s">
        <v>629</v>
      </c>
      <c r="B70" s="3">
        <f t="shared" si="1"/>
        <v>-413.4710219</v>
      </c>
      <c r="C70" s="4">
        <v>-25.2387</v>
      </c>
      <c r="D70" s="4">
        <v>30.09213</v>
      </c>
      <c r="E70" s="4">
        <v>1915.404</v>
      </c>
      <c r="F70" s="5" t="s">
        <v>388</v>
      </c>
      <c r="G70" s="5" t="s">
        <v>41</v>
      </c>
      <c r="H70" s="5" t="s">
        <v>41</v>
      </c>
      <c r="I70" s="5" t="s">
        <v>42</v>
      </c>
      <c r="J70" s="3" t="str">
        <f t="shared" si="2"/>
        <v>South</v>
      </c>
      <c r="K70" s="3" t="s">
        <v>631</v>
      </c>
      <c r="L70" s="3">
        <v>2068.13055995816</v>
      </c>
      <c r="M70" s="1">
        <f t="shared" si="3"/>
        <v>2005.270751</v>
      </c>
      <c r="N70" s="3">
        <f t="shared" si="4"/>
        <v>519.002261</v>
      </c>
      <c r="O70" s="5"/>
      <c r="P70" s="7"/>
      <c r="Q70" s="7"/>
      <c r="R70" s="7"/>
      <c r="S70" s="7"/>
      <c r="T70" s="5"/>
      <c r="U70" s="5"/>
      <c r="V70" s="5" t="s">
        <v>49</v>
      </c>
      <c r="W70" s="5" t="s">
        <v>50</v>
      </c>
      <c r="X70" s="7"/>
      <c r="Y70" s="7"/>
      <c r="Z70" s="7"/>
      <c r="AA70" s="7"/>
      <c r="AB70" s="7"/>
      <c r="AC70" s="7"/>
      <c r="AD70" s="7"/>
      <c r="AE70" s="7"/>
      <c r="AF70" s="7"/>
      <c r="AG70" s="7"/>
      <c r="AH70" s="5" t="s">
        <v>51</v>
      </c>
      <c r="AJ70" s="7"/>
      <c r="AK70" s="5" t="s">
        <v>632</v>
      </c>
      <c r="AL70" s="6"/>
      <c r="AM70" s="6"/>
      <c r="AN70" s="6"/>
    </row>
    <row r="71">
      <c r="A71" s="13" t="s">
        <v>368</v>
      </c>
      <c r="B71" s="3">
        <f t="shared" si="1"/>
        <v>-412.4931036</v>
      </c>
      <c r="C71" s="14">
        <v>-25.2409</v>
      </c>
      <c r="D71" s="14">
        <v>30.09036</v>
      </c>
      <c r="E71" s="14">
        <v>1895.294</v>
      </c>
      <c r="F71" s="13" t="s">
        <v>372</v>
      </c>
      <c r="G71" s="15" t="s">
        <v>41</v>
      </c>
      <c r="H71" s="13" t="s">
        <v>72</v>
      </c>
      <c r="I71" s="15" t="s">
        <v>73</v>
      </c>
      <c r="J71" s="3" t="str">
        <f t="shared" si="2"/>
        <v>South</v>
      </c>
      <c r="K71" s="3" t="s">
        <v>373</v>
      </c>
      <c r="L71" s="3">
        <v>2077.29740468702</v>
      </c>
      <c r="M71" s="1">
        <f t="shared" si="3"/>
        <v>2009.049138</v>
      </c>
      <c r="N71" s="3">
        <f t="shared" si="4"/>
        <v>519.9801794</v>
      </c>
      <c r="O71" s="13" t="s">
        <v>378</v>
      </c>
      <c r="P71" s="9" t="s">
        <v>379</v>
      </c>
      <c r="Q71" s="9" t="s">
        <v>381</v>
      </c>
      <c r="R71" s="8"/>
      <c r="S71" s="8"/>
      <c r="T71" s="8"/>
      <c r="U71" s="8"/>
      <c r="V71" s="8"/>
      <c r="W71" s="8"/>
      <c r="X71" s="8"/>
      <c r="Y71" s="8"/>
      <c r="Z71" s="8"/>
      <c r="AA71" s="8"/>
      <c r="AB71" s="8"/>
      <c r="AC71" s="8"/>
      <c r="AD71" s="8"/>
      <c r="AE71" s="8"/>
      <c r="AF71" s="8"/>
      <c r="AG71" s="8"/>
      <c r="AH71" s="8"/>
      <c r="AI71" s="8"/>
      <c r="AJ71" s="8"/>
      <c r="AK71" s="8"/>
      <c r="AL71" s="8"/>
      <c r="AM71" s="6"/>
      <c r="AN71" s="6"/>
    </row>
    <row r="72">
      <c r="A72" s="5" t="s">
        <v>633</v>
      </c>
      <c r="B72" s="3">
        <f t="shared" si="1"/>
        <v>-402.8846102</v>
      </c>
      <c r="C72" s="4">
        <v>-25.2404</v>
      </c>
      <c r="D72" s="4">
        <v>30.09025</v>
      </c>
      <c r="E72" s="4">
        <v>1882.121</v>
      </c>
      <c r="F72" s="5" t="s">
        <v>634</v>
      </c>
      <c r="G72" s="5" t="s">
        <v>41</v>
      </c>
      <c r="H72" s="5" t="s">
        <v>220</v>
      </c>
      <c r="I72" s="5" t="s">
        <v>221</v>
      </c>
      <c r="J72" s="3" t="str">
        <f t="shared" si="2"/>
        <v>South</v>
      </c>
      <c r="K72" s="3" t="s">
        <v>635</v>
      </c>
      <c r="L72" s="3">
        <v>2117.95146692434</v>
      </c>
      <c r="M72" s="1">
        <f t="shared" si="3"/>
        <v>2046.173505</v>
      </c>
      <c r="N72" s="3">
        <f t="shared" si="4"/>
        <v>529.5886727</v>
      </c>
      <c r="O72" s="5"/>
      <c r="P72" s="7"/>
      <c r="Q72" s="7"/>
      <c r="R72" s="7"/>
      <c r="S72" s="7"/>
      <c r="T72" s="5"/>
      <c r="U72" s="5"/>
      <c r="V72" s="5" t="s">
        <v>49</v>
      </c>
      <c r="W72" s="5" t="s">
        <v>50</v>
      </c>
      <c r="X72" s="7"/>
      <c r="Y72" s="7"/>
      <c r="Z72" s="7"/>
      <c r="AA72" s="7"/>
      <c r="AB72" s="7"/>
      <c r="AC72" s="7"/>
      <c r="AD72" s="7"/>
      <c r="AE72" s="7"/>
      <c r="AF72" s="7"/>
      <c r="AG72" s="7"/>
      <c r="AH72" s="5" t="s">
        <v>51</v>
      </c>
      <c r="AJ72" s="7"/>
      <c r="AK72" s="5" t="s">
        <v>219</v>
      </c>
      <c r="AL72" s="6"/>
      <c r="AM72" s="6"/>
      <c r="AN72" s="6"/>
    </row>
    <row r="73">
      <c r="A73" s="5" t="s">
        <v>636</v>
      </c>
      <c r="B73" s="3">
        <f t="shared" si="1"/>
        <v>-402.2664257</v>
      </c>
      <c r="C73" s="4">
        <v>-25.2189</v>
      </c>
      <c r="D73" s="4">
        <v>30.10676</v>
      </c>
      <c r="E73" s="4">
        <v>1980.109</v>
      </c>
      <c r="F73" s="5" t="s">
        <v>623</v>
      </c>
      <c r="G73" s="5" t="s">
        <v>41</v>
      </c>
      <c r="H73" s="5" t="s">
        <v>45</v>
      </c>
      <c r="I73" s="5" t="s">
        <v>45</v>
      </c>
      <c r="J73" s="3" t="str">
        <f t="shared" si="2"/>
        <v>North</v>
      </c>
      <c r="K73" s="3" t="s">
        <v>637</v>
      </c>
      <c r="L73" s="3">
        <v>2094.08414280528</v>
      </c>
      <c r="M73" s="1">
        <f t="shared" si="3"/>
        <v>2048.561987</v>
      </c>
      <c r="N73" s="3">
        <f t="shared" si="4"/>
        <v>530.2068572</v>
      </c>
      <c r="O73" s="5"/>
      <c r="P73" s="7"/>
      <c r="Q73" s="7"/>
      <c r="R73" s="7"/>
      <c r="S73" s="7"/>
      <c r="T73" s="5"/>
      <c r="U73" s="5"/>
      <c r="V73" s="5" t="s">
        <v>49</v>
      </c>
      <c r="W73" s="5" t="s">
        <v>50</v>
      </c>
      <c r="X73" s="7"/>
      <c r="Y73" s="7"/>
      <c r="Z73" s="7"/>
      <c r="AA73" s="7"/>
      <c r="AB73" s="7"/>
      <c r="AC73" s="7"/>
      <c r="AD73" s="7"/>
      <c r="AE73" s="7"/>
      <c r="AF73" s="7"/>
      <c r="AG73" s="7"/>
      <c r="AH73" s="5" t="s">
        <v>51</v>
      </c>
      <c r="AJ73" s="7"/>
      <c r="AK73" s="5" t="s">
        <v>638</v>
      </c>
      <c r="AL73" s="6"/>
      <c r="AM73" s="6"/>
      <c r="AN73" s="6"/>
    </row>
    <row r="74">
      <c r="A74" s="5" t="s">
        <v>639</v>
      </c>
      <c r="B74" s="3">
        <f t="shared" si="1"/>
        <v>-401.7840603</v>
      </c>
      <c r="C74" s="4">
        <v>-25.2187</v>
      </c>
      <c r="D74" s="4">
        <v>30.10691</v>
      </c>
      <c r="E74" s="4">
        <v>1986.778</v>
      </c>
      <c r="F74" s="5" t="s">
        <v>640</v>
      </c>
      <c r="G74" s="5" t="s">
        <v>41</v>
      </c>
      <c r="H74" s="5" t="s">
        <v>45</v>
      </c>
      <c r="I74" s="5" t="s">
        <v>45</v>
      </c>
      <c r="J74" s="3" t="str">
        <f t="shared" si="2"/>
        <v>North</v>
      </c>
      <c r="K74" s="3" t="s">
        <v>641</v>
      </c>
      <c r="L74" s="3">
        <v>2094.16090672343</v>
      </c>
      <c r="M74" s="1">
        <f t="shared" si="3"/>
        <v>2050.425704</v>
      </c>
      <c r="N74" s="3">
        <f t="shared" si="4"/>
        <v>530.6892227</v>
      </c>
      <c r="O74" s="5"/>
      <c r="P74" s="7"/>
      <c r="Q74" s="7"/>
      <c r="R74" s="7"/>
      <c r="S74" s="7"/>
      <c r="T74" s="5"/>
      <c r="U74" s="5"/>
      <c r="V74" s="5" t="s">
        <v>49</v>
      </c>
      <c r="W74" s="5" t="s">
        <v>50</v>
      </c>
      <c r="X74" s="7"/>
      <c r="Y74" s="7"/>
      <c r="Z74" s="7"/>
      <c r="AA74" s="7"/>
      <c r="AB74" s="7"/>
      <c r="AC74" s="7"/>
      <c r="AD74" s="7"/>
      <c r="AE74" s="7"/>
      <c r="AF74" s="7"/>
      <c r="AG74" s="7"/>
      <c r="AH74" s="5" t="s">
        <v>51</v>
      </c>
      <c r="AJ74" s="7"/>
      <c r="AK74" s="5" t="s">
        <v>617</v>
      </c>
      <c r="AL74" s="6"/>
      <c r="AM74" s="6"/>
      <c r="AN74" s="6"/>
    </row>
    <row r="75">
      <c r="A75" s="5" t="s">
        <v>642</v>
      </c>
      <c r="B75" s="3">
        <f t="shared" si="1"/>
        <v>-395.1194236</v>
      </c>
      <c r="C75" s="4">
        <v>-25.2168</v>
      </c>
      <c r="D75" s="4">
        <v>30.10808</v>
      </c>
      <c r="E75" s="4">
        <v>2000.762</v>
      </c>
      <c r="F75" s="5" t="s">
        <v>643</v>
      </c>
      <c r="G75" s="5" t="s">
        <v>41</v>
      </c>
      <c r="H75" s="5" t="s">
        <v>45</v>
      </c>
      <c r="I75" s="5" t="s">
        <v>45</v>
      </c>
      <c r="J75" s="3" t="str">
        <f t="shared" si="2"/>
        <v>North</v>
      </c>
      <c r="K75" s="3" t="s">
        <v>644</v>
      </c>
      <c r="L75" s="3">
        <v>2116.16408378286</v>
      </c>
      <c r="M75" s="1">
        <f t="shared" si="3"/>
        <v>2076.175882</v>
      </c>
      <c r="N75" s="3">
        <f t="shared" si="4"/>
        <v>537.3538593</v>
      </c>
      <c r="O75" s="5"/>
      <c r="P75" s="7"/>
      <c r="Q75" s="7"/>
      <c r="R75" s="7"/>
      <c r="S75" s="7"/>
      <c r="T75" s="5"/>
      <c r="U75" s="5"/>
      <c r="V75" s="5" t="s">
        <v>49</v>
      </c>
      <c r="W75" s="5" t="s">
        <v>50</v>
      </c>
      <c r="X75" s="7"/>
      <c r="Y75" s="7"/>
      <c r="Z75" s="7"/>
      <c r="AA75" s="7"/>
      <c r="AB75" s="7"/>
      <c r="AC75" s="7"/>
      <c r="AD75" s="7"/>
      <c r="AE75" s="7"/>
      <c r="AF75" s="7"/>
      <c r="AG75" s="7"/>
      <c r="AH75" s="5" t="s">
        <v>51</v>
      </c>
      <c r="AJ75" s="7"/>
      <c r="AK75" s="5" t="s">
        <v>103</v>
      </c>
      <c r="AL75" s="6"/>
      <c r="AM75" s="6"/>
      <c r="AN75" s="6"/>
    </row>
    <row r="76">
      <c r="A76" s="5" t="s">
        <v>645</v>
      </c>
      <c r="B76" s="3">
        <f t="shared" si="1"/>
        <v>-393.4564109</v>
      </c>
      <c r="C76" s="4">
        <v>-25.2421</v>
      </c>
      <c r="D76" s="4">
        <v>30.08861</v>
      </c>
      <c r="E76" s="4">
        <v>1906.862</v>
      </c>
      <c r="F76" s="5" t="s">
        <v>61</v>
      </c>
      <c r="G76" s="5" t="s">
        <v>41</v>
      </c>
      <c r="H76" s="5" t="s">
        <v>45</v>
      </c>
      <c r="I76" s="5" t="s">
        <v>45</v>
      </c>
      <c r="J76" s="3" t="str">
        <f t="shared" si="2"/>
        <v>South</v>
      </c>
      <c r="K76" s="3" t="s">
        <v>646</v>
      </c>
      <c r="L76" s="3">
        <v>2147.74990072616</v>
      </c>
      <c r="M76" s="1">
        <f t="shared" si="3"/>
        <v>2082.60127</v>
      </c>
      <c r="N76" s="3">
        <f t="shared" si="4"/>
        <v>539.016872</v>
      </c>
      <c r="O76" s="5"/>
      <c r="P76" s="7"/>
      <c r="Q76" s="7"/>
      <c r="R76" s="7"/>
      <c r="S76" s="7"/>
      <c r="T76" s="5"/>
      <c r="U76" s="5"/>
      <c r="V76" s="5" t="s">
        <v>49</v>
      </c>
      <c r="W76" s="5" t="s">
        <v>50</v>
      </c>
      <c r="X76" s="7"/>
      <c r="Y76" s="7"/>
      <c r="Z76" s="7"/>
      <c r="AA76" s="7"/>
      <c r="AB76" s="7"/>
      <c r="AC76" s="7"/>
      <c r="AD76" s="7"/>
      <c r="AE76" s="7"/>
      <c r="AF76" s="7"/>
      <c r="AG76" s="7"/>
      <c r="AH76" s="5" t="s">
        <v>51</v>
      </c>
      <c r="AJ76" s="7"/>
      <c r="AK76" s="5" t="s">
        <v>647</v>
      </c>
      <c r="AL76" s="6"/>
      <c r="AM76" s="6"/>
      <c r="AN76" s="6"/>
    </row>
    <row r="77">
      <c r="A77" s="5" t="s">
        <v>648</v>
      </c>
      <c r="B77" s="3">
        <f t="shared" si="1"/>
        <v>-390.6240647</v>
      </c>
      <c r="C77" s="4">
        <v>-25.219</v>
      </c>
      <c r="D77" s="4">
        <v>30.10613</v>
      </c>
      <c r="E77" s="4">
        <v>1975.328</v>
      </c>
      <c r="F77" s="5" t="s">
        <v>638</v>
      </c>
      <c r="G77" s="5" t="s">
        <v>41</v>
      </c>
      <c r="H77" s="5" t="s">
        <v>45</v>
      </c>
      <c r="I77" s="5" t="s">
        <v>45</v>
      </c>
      <c r="J77" s="3" t="str">
        <f t="shared" si="2"/>
        <v>North</v>
      </c>
      <c r="K77" s="3" t="s">
        <v>649</v>
      </c>
      <c r="L77" s="3">
        <v>2140.34783655431</v>
      </c>
      <c r="M77" s="1">
        <f t="shared" si="3"/>
        <v>2093.544615</v>
      </c>
      <c r="N77" s="3">
        <f t="shared" si="4"/>
        <v>541.8492182</v>
      </c>
      <c r="O77" s="5"/>
      <c r="P77" s="7"/>
      <c r="Q77" s="7"/>
      <c r="R77" s="7"/>
      <c r="S77" s="7"/>
      <c r="T77" s="5"/>
      <c r="U77" s="5"/>
      <c r="V77" s="5" t="s">
        <v>49</v>
      </c>
      <c r="W77" s="5" t="s">
        <v>50</v>
      </c>
      <c r="X77" s="7"/>
      <c r="Y77" s="7"/>
      <c r="Z77" s="7"/>
      <c r="AA77" s="7"/>
      <c r="AB77" s="7"/>
      <c r="AC77" s="7"/>
      <c r="AD77" s="7"/>
      <c r="AE77" s="7"/>
      <c r="AF77" s="7"/>
      <c r="AG77" s="7"/>
      <c r="AH77" s="5" t="s">
        <v>51</v>
      </c>
      <c r="AJ77" s="7"/>
      <c r="AK77" s="5" t="s">
        <v>650</v>
      </c>
      <c r="AL77" s="6"/>
      <c r="AM77" s="6"/>
      <c r="AN77" s="6"/>
    </row>
    <row r="78">
      <c r="A78" s="5" t="s">
        <v>651</v>
      </c>
      <c r="B78" s="3">
        <f t="shared" si="1"/>
        <v>-388.4236826</v>
      </c>
      <c r="C78" s="4">
        <v>-25.242</v>
      </c>
      <c r="D78" s="4">
        <v>30.08845</v>
      </c>
      <c r="E78" s="4">
        <v>1906.12</v>
      </c>
      <c r="F78" s="5" t="s">
        <v>652</v>
      </c>
      <c r="G78" s="5" t="s">
        <v>41</v>
      </c>
      <c r="H78" s="5" t="s">
        <v>41</v>
      </c>
      <c r="I78" s="5" t="s">
        <v>42</v>
      </c>
      <c r="J78" s="3" t="str">
        <f t="shared" si="2"/>
        <v>South</v>
      </c>
      <c r="K78" s="3" t="s">
        <v>653</v>
      </c>
      <c r="L78" s="3">
        <v>2167.39368799154</v>
      </c>
      <c r="M78" s="1">
        <f t="shared" si="3"/>
        <v>2102.046239</v>
      </c>
      <c r="N78" s="3">
        <f t="shared" si="4"/>
        <v>544.0496003</v>
      </c>
      <c r="O78" s="5"/>
      <c r="P78" s="7"/>
      <c r="Q78" s="7"/>
      <c r="R78" s="7"/>
      <c r="S78" s="7"/>
      <c r="T78" s="5"/>
      <c r="U78" s="5"/>
      <c r="V78" s="5" t="s">
        <v>49</v>
      </c>
      <c r="W78" s="5" t="s">
        <v>50</v>
      </c>
      <c r="X78" s="7"/>
      <c r="Y78" s="7"/>
      <c r="Z78" s="7"/>
      <c r="AA78" s="7"/>
      <c r="AB78" s="7"/>
      <c r="AC78" s="7"/>
      <c r="AD78" s="7"/>
      <c r="AE78" s="7"/>
      <c r="AF78" s="7"/>
      <c r="AG78" s="7"/>
      <c r="AH78" s="5" t="s">
        <v>51</v>
      </c>
      <c r="AJ78" s="7"/>
      <c r="AK78" s="5" t="s">
        <v>287</v>
      </c>
      <c r="AL78" s="6"/>
      <c r="AM78" s="6"/>
      <c r="AN78" s="6"/>
    </row>
    <row r="79">
      <c r="A79" s="5" t="s">
        <v>654</v>
      </c>
      <c r="B79" s="3">
        <f t="shared" si="1"/>
        <v>-387.4111923</v>
      </c>
      <c r="C79" s="4">
        <v>-25.2401</v>
      </c>
      <c r="D79" s="4">
        <v>30.08972</v>
      </c>
      <c r="E79" s="4">
        <v>1869.738</v>
      </c>
      <c r="F79" s="5" t="s">
        <v>655</v>
      </c>
      <c r="G79" s="5" t="s">
        <v>41</v>
      </c>
      <c r="H79" s="5" t="s">
        <v>220</v>
      </c>
      <c r="I79" s="5" t="s">
        <v>221</v>
      </c>
      <c r="J79" s="3" t="str">
        <f t="shared" si="2"/>
        <v>South</v>
      </c>
      <c r="K79" s="3" t="s">
        <v>656</v>
      </c>
      <c r="L79" s="3">
        <v>2181.0541774959</v>
      </c>
      <c r="M79" s="1">
        <f t="shared" si="3"/>
        <v>2105.958201</v>
      </c>
      <c r="N79" s="3">
        <f t="shared" si="4"/>
        <v>545.0620906</v>
      </c>
      <c r="O79" s="5"/>
      <c r="P79" s="7"/>
      <c r="Q79" s="7"/>
      <c r="R79" s="7"/>
      <c r="S79" s="7"/>
      <c r="T79" s="5"/>
      <c r="U79" s="5"/>
      <c r="V79" s="5" t="s">
        <v>49</v>
      </c>
      <c r="W79" s="5" t="s">
        <v>50</v>
      </c>
      <c r="X79" s="7"/>
      <c r="Y79" s="7"/>
      <c r="Z79" s="7"/>
      <c r="AA79" s="7"/>
      <c r="AB79" s="7"/>
      <c r="AC79" s="7"/>
      <c r="AD79" s="7"/>
      <c r="AE79" s="7"/>
      <c r="AF79" s="7"/>
      <c r="AG79" s="7"/>
      <c r="AH79" s="5" t="s">
        <v>51</v>
      </c>
      <c r="AJ79" s="7"/>
      <c r="AK79" s="5" t="s">
        <v>657</v>
      </c>
      <c r="AL79" s="6"/>
      <c r="AM79" s="6"/>
      <c r="AN79" s="6"/>
    </row>
    <row r="80">
      <c r="A80" s="5" t="s">
        <v>658</v>
      </c>
      <c r="B80" s="3">
        <f t="shared" si="1"/>
        <v>-380.7299715</v>
      </c>
      <c r="C80" s="4">
        <v>-25.2399</v>
      </c>
      <c r="D80" s="4">
        <v>30.08955</v>
      </c>
      <c r="E80" s="4">
        <v>1866.158</v>
      </c>
      <c r="F80" s="5" t="s">
        <v>660</v>
      </c>
      <c r="G80" s="5" t="s">
        <v>41</v>
      </c>
      <c r="H80" s="5" t="s">
        <v>41</v>
      </c>
      <c r="I80" s="5" t="s">
        <v>42</v>
      </c>
      <c r="J80" s="3" t="str">
        <f t="shared" si="2"/>
        <v>South</v>
      </c>
      <c r="K80" s="3" t="s">
        <v>661</v>
      </c>
      <c r="L80" s="3">
        <v>2207.82769080369</v>
      </c>
      <c r="M80" s="1">
        <f t="shared" si="3"/>
        <v>2131.772456</v>
      </c>
      <c r="N80" s="3">
        <f t="shared" si="4"/>
        <v>551.7433115</v>
      </c>
      <c r="O80" s="5"/>
      <c r="P80" s="7"/>
      <c r="Q80" s="7"/>
      <c r="R80" s="7"/>
      <c r="S80" s="7"/>
      <c r="T80" s="5"/>
      <c r="U80" s="5"/>
      <c r="V80" s="5" t="s">
        <v>49</v>
      </c>
      <c r="W80" s="5" t="s">
        <v>50</v>
      </c>
      <c r="X80" s="7"/>
      <c r="Y80" s="7"/>
      <c r="Z80" s="7"/>
      <c r="AA80" s="7"/>
      <c r="AB80" s="7"/>
      <c r="AC80" s="7"/>
      <c r="AD80" s="7"/>
      <c r="AE80" s="7"/>
      <c r="AF80" s="7"/>
      <c r="AG80" s="7"/>
      <c r="AH80" s="5" t="s">
        <v>51</v>
      </c>
      <c r="AJ80" s="7"/>
      <c r="AK80" s="5" t="s">
        <v>664</v>
      </c>
      <c r="AL80" s="6"/>
      <c r="AM80" s="6"/>
      <c r="AN80" s="6"/>
    </row>
    <row r="81">
      <c r="A81" s="9" t="s">
        <v>383</v>
      </c>
      <c r="B81" s="3">
        <f t="shared" si="1"/>
        <v>-379.8513391</v>
      </c>
      <c r="C81" s="10">
        <v>-25.23</v>
      </c>
      <c r="D81" s="10">
        <v>30.09696</v>
      </c>
      <c r="E81" s="10">
        <v>1859.976</v>
      </c>
      <c r="F81" s="9" t="s">
        <v>385</v>
      </c>
      <c r="G81" s="9" t="s">
        <v>155</v>
      </c>
      <c r="H81" s="9" t="s">
        <v>200</v>
      </c>
      <c r="I81" s="9" t="s">
        <v>387</v>
      </c>
      <c r="J81" s="3" t="str">
        <f t="shared" si="2"/>
        <v>South</v>
      </c>
      <c r="K81" s="3" t="s">
        <v>392</v>
      </c>
      <c r="L81" s="3">
        <v>2212.87892759638</v>
      </c>
      <c r="M81" s="1">
        <f t="shared" si="3"/>
        <v>2135.167231</v>
      </c>
      <c r="N81" s="3">
        <f t="shared" si="4"/>
        <v>552.6219439</v>
      </c>
      <c r="O81" s="11" t="s">
        <v>395</v>
      </c>
      <c r="P81" s="19" t="s">
        <v>397</v>
      </c>
      <c r="Q81" s="8"/>
      <c r="R81" s="8"/>
      <c r="S81" s="8"/>
      <c r="T81" s="9"/>
      <c r="U81" s="10"/>
      <c r="V81" s="10">
        <v>40.0</v>
      </c>
      <c r="W81" s="9" t="s">
        <v>398</v>
      </c>
      <c r="X81" s="10">
        <v>30.0</v>
      </c>
      <c r="Y81" s="9" t="s">
        <v>399</v>
      </c>
      <c r="Z81" s="10">
        <v>30.0</v>
      </c>
      <c r="AA81" s="9" t="s">
        <v>399</v>
      </c>
      <c r="AB81" s="8"/>
      <c r="AC81" s="9" t="s">
        <v>400</v>
      </c>
      <c r="AD81" s="8"/>
      <c r="AE81" s="8"/>
      <c r="AF81" s="8"/>
      <c r="AG81" s="8"/>
      <c r="AH81" s="8"/>
      <c r="AI81" s="8"/>
      <c r="AJ81" s="10">
        <v>0.0</v>
      </c>
      <c r="AK81" s="8"/>
      <c r="AL81" s="8"/>
      <c r="AM81" s="6"/>
      <c r="AN81" s="6"/>
    </row>
    <row r="82">
      <c r="A82" s="5" t="s">
        <v>668</v>
      </c>
      <c r="B82" s="3">
        <f t="shared" si="1"/>
        <v>-379.5859424</v>
      </c>
      <c r="C82" s="4">
        <v>-25.2189</v>
      </c>
      <c r="D82" s="4">
        <v>30.10566</v>
      </c>
      <c r="E82" s="4">
        <v>1964.661</v>
      </c>
      <c r="F82" s="5" t="s">
        <v>299</v>
      </c>
      <c r="G82" s="5" t="s">
        <v>41</v>
      </c>
      <c r="H82" s="5" t="s">
        <v>41</v>
      </c>
      <c r="I82" s="5" t="s">
        <v>42</v>
      </c>
      <c r="J82" s="3" t="str">
        <f t="shared" si="2"/>
        <v>North</v>
      </c>
      <c r="K82" s="3" t="s">
        <v>670</v>
      </c>
      <c r="L82" s="3">
        <v>2185.85408022494</v>
      </c>
      <c r="M82" s="1">
        <f t="shared" si="3"/>
        <v>2136.192645</v>
      </c>
      <c r="N82" s="3">
        <f t="shared" si="4"/>
        <v>552.8873405</v>
      </c>
      <c r="O82" s="5"/>
      <c r="P82" s="7"/>
      <c r="Q82" s="7"/>
      <c r="R82" s="7"/>
      <c r="S82" s="7"/>
      <c r="T82" s="5"/>
      <c r="U82" s="5"/>
      <c r="V82" s="5" t="s">
        <v>49</v>
      </c>
      <c r="W82" s="5" t="s">
        <v>50</v>
      </c>
      <c r="X82" s="7"/>
      <c r="Y82" s="7"/>
      <c r="Z82" s="7"/>
      <c r="AA82" s="7"/>
      <c r="AB82" s="7"/>
      <c r="AC82" s="7"/>
      <c r="AD82" s="7"/>
      <c r="AE82" s="7"/>
      <c r="AF82" s="7"/>
      <c r="AG82" s="7"/>
      <c r="AH82" s="5" t="s">
        <v>51</v>
      </c>
      <c r="AJ82" s="7"/>
      <c r="AK82" s="5" t="s">
        <v>672</v>
      </c>
      <c r="AL82" s="6"/>
      <c r="AM82" s="6"/>
      <c r="AN82" s="6"/>
    </row>
    <row r="83">
      <c r="A83" s="9" t="s">
        <v>402</v>
      </c>
      <c r="B83" s="3">
        <f t="shared" si="1"/>
        <v>-378.9272604</v>
      </c>
      <c r="C83" s="10">
        <v>-25.2155</v>
      </c>
      <c r="D83" s="10">
        <v>30.10829</v>
      </c>
      <c r="E83" s="10">
        <v>1994.197</v>
      </c>
      <c r="F83" s="9" t="s">
        <v>406</v>
      </c>
      <c r="G83" s="9" t="s">
        <v>41</v>
      </c>
      <c r="H83" s="9" t="s">
        <v>41</v>
      </c>
      <c r="I83" s="11" t="s">
        <v>42</v>
      </c>
      <c r="J83" s="3" t="str">
        <f t="shared" si="2"/>
        <v>North</v>
      </c>
      <c r="K83" s="3" t="s">
        <v>407</v>
      </c>
      <c r="L83" s="3">
        <v>2180.48488481824</v>
      </c>
      <c r="M83" s="1">
        <f t="shared" si="3"/>
        <v>2138.737597</v>
      </c>
      <c r="N83" s="3">
        <f t="shared" si="4"/>
        <v>553.5460225</v>
      </c>
      <c r="O83" s="9" t="s">
        <v>408</v>
      </c>
      <c r="P83" s="17" t="s">
        <v>410</v>
      </c>
      <c r="Q83" s="10">
        <v>24.0</v>
      </c>
      <c r="R83" s="8"/>
      <c r="S83" s="8"/>
      <c r="T83" s="8"/>
      <c r="U83" s="10"/>
      <c r="V83" s="10">
        <v>35.0</v>
      </c>
      <c r="W83" s="9" t="s">
        <v>411</v>
      </c>
      <c r="X83" s="10">
        <v>15.0</v>
      </c>
      <c r="Y83" s="9" t="s">
        <v>412</v>
      </c>
      <c r="Z83" s="10">
        <v>45.0</v>
      </c>
      <c r="AA83" s="9" t="s">
        <v>413</v>
      </c>
      <c r="AB83" s="10">
        <v>5.0</v>
      </c>
      <c r="AC83" s="9" t="s">
        <v>414</v>
      </c>
      <c r="AD83" s="8"/>
      <c r="AE83" s="8"/>
      <c r="AF83" s="8"/>
      <c r="AG83" s="8"/>
      <c r="AH83" s="9" t="s">
        <v>415</v>
      </c>
      <c r="AI83" s="8"/>
      <c r="AJ83" s="10">
        <v>2.0</v>
      </c>
      <c r="AK83" s="8"/>
      <c r="AL83" s="8"/>
      <c r="AM83" s="6"/>
      <c r="AN83" s="6"/>
    </row>
    <row r="84">
      <c r="A84" s="5" t="s">
        <v>678</v>
      </c>
      <c r="B84" s="3">
        <f t="shared" si="1"/>
        <v>-378.6306753</v>
      </c>
      <c r="C84" s="4">
        <v>-25.2194</v>
      </c>
      <c r="D84" s="4">
        <v>30.10519</v>
      </c>
      <c r="E84" s="4">
        <v>1949.573</v>
      </c>
      <c r="F84" s="5" t="s">
        <v>601</v>
      </c>
      <c r="G84" s="5" t="s">
        <v>41</v>
      </c>
      <c r="H84" s="5" t="s">
        <v>41</v>
      </c>
      <c r="I84" s="5" t="s">
        <v>42</v>
      </c>
      <c r="J84" s="3" t="str">
        <f t="shared" si="2"/>
        <v>North</v>
      </c>
      <c r="K84" s="3" t="s">
        <v>681</v>
      </c>
      <c r="L84" s="3">
        <v>2193.58776630367</v>
      </c>
      <c r="M84" s="1">
        <f t="shared" si="3"/>
        <v>2139.883514</v>
      </c>
      <c r="N84" s="3">
        <f t="shared" si="4"/>
        <v>553.8426076</v>
      </c>
      <c r="O84" s="5"/>
      <c r="P84" s="7"/>
      <c r="Q84" s="7"/>
      <c r="R84" s="7"/>
      <c r="S84" s="7"/>
      <c r="T84" s="5"/>
      <c r="U84" s="5"/>
      <c r="V84" s="5" t="s">
        <v>49</v>
      </c>
      <c r="W84" s="5" t="s">
        <v>50</v>
      </c>
      <c r="X84" s="7"/>
      <c r="Y84" s="7"/>
      <c r="Z84" s="7"/>
      <c r="AA84" s="7"/>
      <c r="AB84" s="7"/>
      <c r="AC84" s="7"/>
      <c r="AD84" s="7"/>
      <c r="AE84" s="7"/>
      <c r="AF84" s="7"/>
      <c r="AG84" s="7"/>
      <c r="AH84" s="5" t="s">
        <v>51</v>
      </c>
      <c r="AJ84" s="7"/>
      <c r="AK84" s="5" t="s">
        <v>685</v>
      </c>
      <c r="AL84" s="6"/>
      <c r="AM84" s="6"/>
      <c r="AN84" s="6"/>
    </row>
    <row r="85">
      <c r="A85" s="5" t="s">
        <v>686</v>
      </c>
      <c r="B85" s="3">
        <f t="shared" si="1"/>
        <v>-377.195453</v>
      </c>
      <c r="C85" s="4">
        <v>-25.2192</v>
      </c>
      <c r="D85" s="4">
        <v>30.10529</v>
      </c>
      <c r="E85" s="4">
        <v>1954.414</v>
      </c>
      <c r="F85" s="5" t="s">
        <v>67</v>
      </c>
      <c r="G85" s="5" t="s">
        <v>41</v>
      </c>
      <c r="H85" s="5" t="s">
        <v>45</v>
      </c>
      <c r="I85" s="5" t="s">
        <v>45</v>
      </c>
      <c r="J85" s="3" t="str">
        <f t="shared" si="2"/>
        <v>North</v>
      </c>
      <c r="K85" s="3" t="s">
        <v>687</v>
      </c>
      <c r="L85" s="3">
        <v>2197.83589764332</v>
      </c>
      <c r="M85" s="1">
        <f t="shared" si="3"/>
        <v>2145.428787</v>
      </c>
      <c r="N85" s="3">
        <f t="shared" si="4"/>
        <v>555.27783</v>
      </c>
      <c r="O85" s="5"/>
      <c r="P85" s="7"/>
      <c r="Q85" s="7"/>
      <c r="R85" s="7"/>
      <c r="S85" s="7"/>
      <c r="T85" s="5"/>
      <c r="U85" s="5"/>
      <c r="V85" s="5" t="s">
        <v>49</v>
      </c>
      <c r="W85" s="5" t="s">
        <v>50</v>
      </c>
      <c r="X85" s="7"/>
      <c r="Y85" s="7"/>
      <c r="Z85" s="7"/>
      <c r="AA85" s="7"/>
      <c r="AB85" s="7"/>
      <c r="AC85" s="7"/>
      <c r="AD85" s="7"/>
      <c r="AE85" s="7"/>
      <c r="AF85" s="7"/>
      <c r="AG85" s="7"/>
      <c r="AH85" s="5" t="s">
        <v>51</v>
      </c>
      <c r="AJ85" s="7"/>
      <c r="AK85" s="5" t="s">
        <v>688</v>
      </c>
      <c r="AL85" s="6"/>
      <c r="AM85" s="6"/>
      <c r="AN85" s="6"/>
    </row>
    <row r="86">
      <c r="A86" s="5" t="s">
        <v>689</v>
      </c>
      <c r="B86" s="3">
        <f t="shared" si="1"/>
        <v>-369.8134664</v>
      </c>
      <c r="C86" s="4">
        <v>-25.2392</v>
      </c>
      <c r="D86" s="4">
        <v>30.08952</v>
      </c>
      <c r="E86" s="4">
        <v>1849.764</v>
      </c>
      <c r="F86" s="5" t="s">
        <v>691</v>
      </c>
      <c r="G86" s="5" t="s">
        <v>41</v>
      </c>
      <c r="H86" s="5" t="s">
        <v>41</v>
      </c>
      <c r="I86" s="5" t="s">
        <v>42</v>
      </c>
      <c r="J86" s="3" t="str">
        <f t="shared" si="2"/>
        <v>South</v>
      </c>
      <c r="K86" s="3" t="s">
        <v>693</v>
      </c>
      <c r="L86" s="3">
        <v>2254.39858671616</v>
      </c>
      <c r="M86" s="1">
        <f t="shared" si="3"/>
        <v>2173.950593</v>
      </c>
      <c r="N86" s="3">
        <f t="shared" si="4"/>
        <v>562.6598166</v>
      </c>
      <c r="O86" s="5"/>
      <c r="P86" s="7"/>
      <c r="Q86" s="7"/>
      <c r="R86" s="7"/>
      <c r="S86" s="7"/>
      <c r="T86" s="5"/>
      <c r="U86" s="5"/>
      <c r="V86" s="5" t="s">
        <v>49</v>
      </c>
      <c r="W86" s="5" t="s">
        <v>50</v>
      </c>
      <c r="X86" s="7"/>
      <c r="Y86" s="7"/>
      <c r="Z86" s="7"/>
      <c r="AA86" s="7"/>
      <c r="AB86" s="7"/>
      <c r="AC86" s="7"/>
      <c r="AD86" s="7"/>
      <c r="AE86" s="7"/>
      <c r="AF86" s="7"/>
      <c r="AG86" s="7"/>
      <c r="AH86" s="5" t="s">
        <v>51</v>
      </c>
      <c r="AJ86" s="7"/>
      <c r="AK86" s="5" t="s">
        <v>697</v>
      </c>
      <c r="AL86" s="6"/>
      <c r="AM86" s="6"/>
      <c r="AN86" s="6"/>
    </row>
    <row r="87">
      <c r="A87" s="5" t="s">
        <v>698</v>
      </c>
      <c r="B87" s="3">
        <f t="shared" si="1"/>
        <v>-368.1998864</v>
      </c>
      <c r="C87" s="4">
        <v>-25.2363</v>
      </c>
      <c r="D87" s="4">
        <v>30.09174</v>
      </c>
      <c r="E87" s="4">
        <v>1882.888</v>
      </c>
      <c r="F87" s="5" t="s">
        <v>688</v>
      </c>
      <c r="G87" s="5" t="s">
        <v>41</v>
      </c>
      <c r="H87" s="5" t="s">
        <v>41</v>
      </c>
      <c r="I87" s="5" t="s">
        <v>42</v>
      </c>
      <c r="J87" s="3" t="str">
        <f t="shared" si="2"/>
        <v>South</v>
      </c>
      <c r="K87" s="3" t="s">
        <v>700</v>
      </c>
      <c r="L87" s="3">
        <v>2251.7574319839</v>
      </c>
      <c r="M87" s="1">
        <f t="shared" si="3"/>
        <v>2180.184987</v>
      </c>
      <c r="N87" s="3">
        <f t="shared" si="4"/>
        <v>564.2733966</v>
      </c>
      <c r="O87" s="5"/>
      <c r="P87" s="7"/>
      <c r="Q87" s="7"/>
      <c r="R87" s="7"/>
      <c r="S87" s="7"/>
      <c r="T87" s="5"/>
      <c r="U87" s="5"/>
      <c r="V87" s="5" t="s">
        <v>49</v>
      </c>
      <c r="W87" s="5" t="s">
        <v>50</v>
      </c>
      <c r="X87" s="7"/>
      <c r="Y87" s="7"/>
      <c r="Z87" s="7"/>
      <c r="AA87" s="7"/>
      <c r="AB87" s="7"/>
      <c r="AC87" s="7"/>
      <c r="AD87" s="7"/>
      <c r="AE87" s="7"/>
      <c r="AF87" s="7"/>
      <c r="AG87" s="7"/>
      <c r="AH87" s="5" t="s">
        <v>51</v>
      </c>
      <c r="AJ87" s="7"/>
      <c r="AK87" s="5" t="s">
        <v>703</v>
      </c>
      <c r="AL87" s="6"/>
      <c r="AM87" s="6"/>
      <c r="AN87" s="6"/>
    </row>
    <row r="88">
      <c r="A88" s="5" t="s">
        <v>704</v>
      </c>
      <c r="B88" s="3">
        <f t="shared" si="1"/>
        <v>-367.9358877</v>
      </c>
      <c r="C88" s="4">
        <v>-25.2197</v>
      </c>
      <c r="D88" s="4">
        <v>30.10442</v>
      </c>
      <c r="E88" s="4">
        <v>1934.528</v>
      </c>
      <c r="F88" s="5" t="s">
        <v>582</v>
      </c>
      <c r="G88" s="5" t="s">
        <v>41</v>
      </c>
      <c r="H88" s="5" t="s">
        <v>41</v>
      </c>
      <c r="I88" s="5" t="s">
        <v>42</v>
      </c>
      <c r="J88" s="3" t="str">
        <f t="shared" si="2"/>
        <v>North</v>
      </c>
      <c r="K88" s="3" t="s">
        <v>707</v>
      </c>
      <c r="L88" s="3">
        <v>2238.94054834595</v>
      </c>
      <c r="M88" s="1">
        <f t="shared" si="3"/>
        <v>2181.205</v>
      </c>
      <c r="N88" s="3">
        <f t="shared" si="4"/>
        <v>564.5373953</v>
      </c>
      <c r="O88" s="5"/>
      <c r="P88" s="7"/>
      <c r="Q88" s="7"/>
      <c r="R88" s="7"/>
      <c r="S88" s="7"/>
      <c r="T88" s="5"/>
      <c r="U88" s="5"/>
      <c r="V88" s="5" t="s">
        <v>49</v>
      </c>
      <c r="W88" s="5" t="s">
        <v>50</v>
      </c>
      <c r="X88" s="7"/>
      <c r="Y88" s="7"/>
      <c r="Z88" s="7"/>
      <c r="AA88" s="7"/>
      <c r="AB88" s="7"/>
      <c r="AC88" s="7"/>
      <c r="AD88" s="7"/>
      <c r="AE88" s="7"/>
      <c r="AF88" s="7"/>
      <c r="AG88" s="7"/>
      <c r="AH88" s="5" t="s">
        <v>51</v>
      </c>
      <c r="AJ88" s="7"/>
      <c r="AK88" s="5" t="s">
        <v>710</v>
      </c>
      <c r="AL88" s="6"/>
      <c r="AM88" s="6"/>
      <c r="AN88" s="6"/>
    </row>
    <row r="89">
      <c r="A89" s="5" t="s">
        <v>712</v>
      </c>
      <c r="B89" s="3">
        <f t="shared" si="1"/>
        <v>-365.6211798</v>
      </c>
      <c r="C89" s="4">
        <v>-25.2196</v>
      </c>
      <c r="D89" s="4">
        <v>30.1044</v>
      </c>
      <c r="E89" s="4">
        <v>1938.183</v>
      </c>
      <c r="F89" s="5" t="s">
        <v>697</v>
      </c>
      <c r="G89" s="5" t="s">
        <v>439</v>
      </c>
      <c r="H89" s="5" t="s">
        <v>566</v>
      </c>
      <c r="I89" s="5" t="s">
        <v>73</v>
      </c>
      <c r="J89" s="3" t="str">
        <f t="shared" si="2"/>
        <v>North</v>
      </c>
      <c r="K89" s="3" t="s">
        <v>714</v>
      </c>
      <c r="L89" s="3">
        <v>2246.90453847288</v>
      </c>
      <c r="M89" s="1">
        <f t="shared" si="3"/>
        <v>2190.148344</v>
      </c>
      <c r="N89" s="3">
        <f t="shared" si="4"/>
        <v>566.8521031</v>
      </c>
      <c r="O89" s="5"/>
      <c r="P89" s="7"/>
      <c r="Q89" s="7"/>
      <c r="R89" s="7"/>
      <c r="S89" s="7"/>
      <c r="T89" s="5"/>
      <c r="U89" s="5"/>
      <c r="V89" s="5" t="s">
        <v>49</v>
      </c>
      <c r="W89" s="5" t="s">
        <v>50</v>
      </c>
      <c r="X89" s="7"/>
      <c r="Y89" s="7"/>
      <c r="Z89" s="7"/>
      <c r="AA89" s="7"/>
      <c r="AB89" s="7"/>
      <c r="AC89" s="7"/>
      <c r="AD89" s="7"/>
      <c r="AE89" s="7"/>
      <c r="AF89" s="7"/>
      <c r="AG89" s="7"/>
      <c r="AH89" s="5" t="s">
        <v>51</v>
      </c>
      <c r="AJ89" s="7"/>
      <c r="AK89" s="5" t="s">
        <v>717</v>
      </c>
      <c r="AL89" s="6"/>
      <c r="AM89" s="6"/>
      <c r="AN89" s="6"/>
    </row>
    <row r="90">
      <c r="A90" s="5" t="s">
        <v>718</v>
      </c>
      <c r="B90" s="3">
        <f t="shared" si="1"/>
        <v>-361.9711118</v>
      </c>
      <c r="C90" s="4">
        <v>-25.2193</v>
      </c>
      <c r="D90" s="4">
        <v>30.10448</v>
      </c>
      <c r="E90" s="4">
        <v>1945.239</v>
      </c>
      <c r="F90" s="5" t="s">
        <v>710</v>
      </c>
      <c r="G90" s="5" t="s">
        <v>41</v>
      </c>
      <c r="H90" s="5" t="s">
        <v>41</v>
      </c>
      <c r="I90" s="5" t="s">
        <v>42</v>
      </c>
      <c r="J90" s="3" t="str">
        <f t="shared" si="2"/>
        <v>North</v>
      </c>
      <c r="K90" s="3" t="s">
        <v>719</v>
      </c>
      <c r="L90" s="3">
        <v>2259.11666886662</v>
      </c>
      <c r="M90" s="1">
        <f t="shared" si="3"/>
        <v>2204.251124</v>
      </c>
      <c r="N90" s="3">
        <f t="shared" si="4"/>
        <v>570.5021712</v>
      </c>
      <c r="O90" s="5"/>
      <c r="P90" s="7"/>
      <c r="Q90" s="7"/>
      <c r="R90" s="7"/>
      <c r="S90" s="7"/>
      <c r="T90" s="5"/>
      <c r="U90" s="5"/>
      <c r="V90" s="5" t="s">
        <v>49</v>
      </c>
      <c r="W90" s="5" t="s">
        <v>50</v>
      </c>
      <c r="X90" s="7"/>
      <c r="Y90" s="7"/>
      <c r="Z90" s="7"/>
      <c r="AA90" s="7"/>
      <c r="AB90" s="7"/>
      <c r="AC90" s="7"/>
      <c r="AD90" s="7"/>
      <c r="AE90" s="7"/>
      <c r="AF90" s="7"/>
      <c r="AG90" s="7"/>
      <c r="AH90" s="5" t="s">
        <v>51</v>
      </c>
      <c r="AJ90" s="7"/>
      <c r="AK90" s="5" t="s">
        <v>603</v>
      </c>
      <c r="AL90" s="6"/>
      <c r="AM90" s="6"/>
      <c r="AN90" s="6"/>
    </row>
    <row r="91">
      <c r="A91" s="5" t="s">
        <v>720</v>
      </c>
      <c r="B91" s="3">
        <f t="shared" si="1"/>
        <v>-359.0647797</v>
      </c>
      <c r="C91" s="4">
        <v>-25.2417</v>
      </c>
      <c r="D91" s="4">
        <v>30.08722</v>
      </c>
      <c r="E91" s="4">
        <v>1876.01</v>
      </c>
      <c r="F91" s="5" t="s">
        <v>721</v>
      </c>
      <c r="G91" s="5" t="s">
        <v>41</v>
      </c>
      <c r="H91" s="5" t="s">
        <v>41</v>
      </c>
      <c r="I91" s="5" t="s">
        <v>42</v>
      </c>
      <c r="J91" s="3" t="str">
        <f t="shared" si="2"/>
        <v>South</v>
      </c>
      <c r="K91" s="3" t="s">
        <v>723</v>
      </c>
      <c r="L91" s="3">
        <v>2288.89572854241</v>
      </c>
      <c r="M91" s="1">
        <f t="shared" si="3"/>
        <v>2215.480329</v>
      </c>
      <c r="N91" s="3">
        <f t="shared" si="4"/>
        <v>573.4085033</v>
      </c>
      <c r="O91" s="5"/>
      <c r="P91" s="7"/>
      <c r="Q91" s="7"/>
      <c r="R91" s="7"/>
      <c r="S91" s="7"/>
      <c r="T91" s="5"/>
      <c r="U91" s="5"/>
      <c r="V91" s="5" t="s">
        <v>49</v>
      </c>
      <c r="W91" s="5" t="s">
        <v>50</v>
      </c>
      <c r="X91" s="7"/>
      <c r="Y91" s="7"/>
      <c r="Z91" s="7"/>
      <c r="AA91" s="7"/>
      <c r="AB91" s="7"/>
      <c r="AC91" s="7"/>
      <c r="AD91" s="7"/>
      <c r="AE91" s="7"/>
      <c r="AF91" s="7"/>
      <c r="AG91" s="7"/>
      <c r="AH91" s="5" t="s">
        <v>51</v>
      </c>
      <c r="AJ91" s="7"/>
      <c r="AK91" s="5" t="s">
        <v>726</v>
      </c>
      <c r="AL91" s="6"/>
      <c r="AM91" s="6"/>
      <c r="AN91" s="6"/>
    </row>
    <row r="92">
      <c r="A92" s="5" t="s">
        <v>727</v>
      </c>
      <c r="B92" s="3">
        <f t="shared" si="1"/>
        <v>-358.4817624</v>
      </c>
      <c r="C92" s="4">
        <v>-25.2303</v>
      </c>
      <c r="D92" s="4">
        <v>30.09577</v>
      </c>
      <c r="E92" s="4">
        <v>1868.087</v>
      </c>
      <c r="F92" s="5" t="s">
        <v>729</v>
      </c>
      <c r="G92" s="5" t="s">
        <v>730</v>
      </c>
      <c r="H92" s="5" t="s">
        <v>730</v>
      </c>
      <c r="I92" s="5" t="s">
        <v>730</v>
      </c>
      <c r="J92" s="3" t="str">
        <f t="shared" si="2"/>
        <v>South</v>
      </c>
      <c r="K92" s="3" t="s">
        <v>731</v>
      </c>
      <c r="L92" s="3">
        <v>2293.27129564098</v>
      </c>
      <c r="M92" s="1">
        <f t="shared" si="3"/>
        <v>2217.732935</v>
      </c>
      <c r="N92" s="3">
        <f t="shared" si="4"/>
        <v>573.9915205</v>
      </c>
      <c r="O92" s="5"/>
      <c r="P92" s="7"/>
      <c r="Q92" s="7"/>
      <c r="R92" s="7"/>
      <c r="S92" s="7"/>
      <c r="T92" s="5"/>
      <c r="U92" s="5"/>
      <c r="V92" s="5" t="s">
        <v>49</v>
      </c>
      <c r="W92" s="5" t="s">
        <v>50</v>
      </c>
      <c r="X92" s="7"/>
      <c r="Y92" s="7"/>
      <c r="Z92" s="7"/>
      <c r="AA92" s="7"/>
      <c r="AB92" s="7"/>
      <c r="AC92" s="7"/>
      <c r="AD92" s="7"/>
      <c r="AE92" s="7"/>
      <c r="AF92" s="7"/>
      <c r="AG92" s="7"/>
      <c r="AH92" s="5" t="s">
        <v>51</v>
      </c>
      <c r="AJ92" s="7"/>
      <c r="AK92" s="5" t="s">
        <v>732</v>
      </c>
      <c r="AL92" s="6"/>
      <c r="AM92" s="6"/>
      <c r="AN92" s="6"/>
    </row>
    <row r="93">
      <c r="A93" s="5" t="s">
        <v>733</v>
      </c>
      <c r="B93" s="3">
        <f t="shared" si="1"/>
        <v>-355.0861777</v>
      </c>
      <c r="C93" s="4">
        <v>-25.2196</v>
      </c>
      <c r="D93" s="4">
        <v>30.1039</v>
      </c>
      <c r="E93" s="4">
        <v>1934.415</v>
      </c>
      <c r="F93" s="5" t="s">
        <v>605</v>
      </c>
      <c r="G93" s="5" t="s">
        <v>41</v>
      </c>
      <c r="H93" s="5" t="s">
        <v>41</v>
      </c>
      <c r="I93" s="5" t="s">
        <v>42</v>
      </c>
      <c r="J93" s="3" t="str">
        <f t="shared" si="2"/>
        <v>South</v>
      </c>
      <c r="K93" s="3" t="s">
        <v>734</v>
      </c>
      <c r="L93" s="3">
        <v>2288.61829341441</v>
      </c>
      <c r="M93" s="1">
        <f t="shared" si="3"/>
        <v>2230.852467</v>
      </c>
      <c r="N93" s="3">
        <f t="shared" si="4"/>
        <v>577.3871052</v>
      </c>
      <c r="O93" s="5"/>
      <c r="P93" s="7"/>
      <c r="Q93" s="7"/>
      <c r="R93" s="7"/>
      <c r="S93" s="7"/>
      <c r="T93" s="5"/>
      <c r="U93" s="5"/>
      <c r="V93" s="5" t="s">
        <v>49</v>
      </c>
      <c r="W93" s="5" t="s">
        <v>50</v>
      </c>
      <c r="X93" s="7"/>
      <c r="Y93" s="7"/>
      <c r="Z93" s="7"/>
      <c r="AA93" s="7"/>
      <c r="AB93" s="7"/>
      <c r="AC93" s="7"/>
      <c r="AD93" s="7"/>
      <c r="AE93" s="7"/>
      <c r="AF93" s="7"/>
      <c r="AG93" s="7"/>
      <c r="AH93" s="5" t="s">
        <v>51</v>
      </c>
      <c r="AJ93" s="7"/>
      <c r="AK93" s="5" t="s">
        <v>319</v>
      </c>
      <c r="AL93" s="6"/>
      <c r="AM93" s="6"/>
      <c r="AN93" s="6"/>
    </row>
    <row r="94">
      <c r="A94" s="9" t="s">
        <v>418</v>
      </c>
      <c r="B94" s="3">
        <f t="shared" si="1"/>
        <v>-351.6273944</v>
      </c>
      <c r="C94" s="10">
        <v>-25.2139</v>
      </c>
      <c r="D94" s="10">
        <v>30.10811</v>
      </c>
      <c r="E94" s="10">
        <v>1955.886</v>
      </c>
      <c r="F94" s="9" t="s">
        <v>419</v>
      </c>
      <c r="G94" s="9" t="s">
        <v>155</v>
      </c>
      <c r="H94" s="9" t="s">
        <v>155</v>
      </c>
      <c r="I94" s="9" t="s">
        <v>157</v>
      </c>
      <c r="J94" s="3" t="str">
        <f t="shared" si="2"/>
        <v>North</v>
      </c>
      <c r="K94" s="3" t="s">
        <v>420</v>
      </c>
      <c r="L94" s="3">
        <v>2296.22886887471</v>
      </c>
      <c r="M94" s="1">
        <f t="shared" si="3"/>
        <v>2244.216179</v>
      </c>
      <c r="N94" s="3">
        <f t="shared" si="4"/>
        <v>580.8458885</v>
      </c>
      <c r="O94" s="9" t="s">
        <v>422</v>
      </c>
      <c r="P94" s="17" t="s">
        <v>423</v>
      </c>
      <c r="Q94" s="10">
        <v>27.0</v>
      </c>
      <c r="R94" s="8"/>
      <c r="S94" s="8"/>
      <c r="T94" s="8"/>
      <c r="U94" s="10"/>
      <c r="V94" s="10">
        <v>45.0</v>
      </c>
      <c r="W94" s="9" t="s">
        <v>426</v>
      </c>
      <c r="X94" s="10">
        <v>50.0</v>
      </c>
      <c r="Y94" s="9" t="s">
        <v>427</v>
      </c>
      <c r="Z94" s="10">
        <v>5.0</v>
      </c>
      <c r="AA94" s="9" t="s">
        <v>429</v>
      </c>
      <c r="AB94" s="8"/>
      <c r="AC94" s="8"/>
      <c r="AD94" s="8"/>
      <c r="AE94" s="8"/>
      <c r="AF94" s="8"/>
      <c r="AG94" s="8"/>
      <c r="AH94" s="9" t="s">
        <v>430</v>
      </c>
      <c r="AI94" s="8"/>
      <c r="AJ94" s="10">
        <v>0.0</v>
      </c>
      <c r="AK94" s="8"/>
      <c r="AL94" s="8"/>
      <c r="AM94" s="6"/>
      <c r="AN94" s="6"/>
    </row>
    <row r="95">
      <c r="A95" s="5" t="s">
        <v>737</v>
      </c>
      <c r="B95" s="3">
        <f t="shared" si="1"/>
        <v>-351.5932713</v>
      </c>
      <c r="C95" s="4">
        <v>-25.22</v>
      </c>
      <c r="D95" s="4">
        <v>30.10342</v>
      </c>
      <c r="E95" s="4">
        <v>1929.31</v>
      </c>
      <c r="F95" s="5" t="s">
        <v>650</v>
      </c>
      <c r="G95" s="5" t="s">
        <v>41</v>
      </c>
      <c r="H95" s="5" t="s">
        <v>45</v>
      </c>
      <c r="I95" s="5" t="s">
        <v>45</v>
      </c>
      <c r="J95" s="3" t="str">
        <f t="shared" si="2"/>
        <v>South</v>
      </c>
      <c r="K95" s="3" t="s">
        <v>740</v>
      </c>
      <c r="L95" s="3">
        <v>2303.48172821754</v>
      </c>
      <c r="M95" s="1">
        <f t="shared" si="3"/>
        <v>2244.348021</v>
      </c>
      <c r="N95" s="3">
        <f t="shared" si="4"/>
        <v>580.8800117</v>
      </c>
      <c r="O95" s="5"/>
      <c r="P95" s="7"/>
      <c r="Q95" s="7"/>
      <c r="R95" s="7"/>
      <c r="S95" s="7"/>
      <c r="T95" s="5"/>
      <c r="U95" s="5"/>
      <c r="V95" s="5" t="s">
        <v>49</v>
      </c>
      <c r="W95" s="5" t="s">
        <v>50</v>
      </c>
      <c r="X95" s="7"/>
      <c r="Y95" s="7"/>
      <c r="Z95" s="7"/>
      <c r="AA95" s="7"/>
      <c r="AB95" s="7"/>
      <c r="AC95" s="7"/>
      <c r="AD95" s="7"/>
      <c r="AE95" s="7"/>
      <c r="AF95" s="7"/>
      <c r="AG95" s="7"/>
      <c r="AH95" s="5" t="s">
        <v>51</v>
      </c>
      <c r="AJ95" s="7"/>
      <c r="AK95" s="5" t="s">
        <v>743</v>
      </c>
      <c r="AL95" s="6"/>
      <c r="AM95" s="6"/>
      <c r="AN95" s="6"/>
    </row>
    <row r="96">
      <c r="A96" s="5" t="s">
        <v>746</v>
      </c>
      <c r="B96" s="3">
        <f t="shared" si="1"/>
        <v>-350.4922839</v>
      </c>
      <c r="C96" s="4">
        <v>-25.239</v>
      </c>
      <c r="D96" s="4">
        <v>30.0889</v>
      </c>
      <c r="E96" s="4">
        <v>1888.336</v>
      </c>
      <c r="F96" s="5" t="s">
        <v>227</v>
      </c>
      <c r="G96" s="5" t="s">
        <v>41</v>
      </c>
      <c r="H96" s="5" t="s">
        <v>220</v>
      </c>
      <c r="I96" s="5" t="s">
        <v>221</v>
      </c>
      <c r="J96" s="3" t="str">
        <f t="shared" si="2"/>
        <v>South</v>
      </c>
      <c r="K96" s="3" t="s">
        <v>748</v>
      </c>
      <c r="L96" s="3">
        <v>2318.71456695021</v>
      </c>
      <c r="M96" s="1">
        <f t="shared" si="3"/>
        <v>2248.601909</v>
      </c>
      <c r="N96" s="3">
        <f t="shared" si="4"/>
        <v>581.980999</v>
      </c>
      <c r="O96" s="5"/>
      <c r="P96" s="7"/>
      <c r="Q96" s="7"/>
      <c r="R96" s="7"/>
      <c r="S96" s="7"/>
      <c r="T96" s="5"/>
      <c r="U96" s="5"/>
      <c r="V96" s="5" t="s">
        <v>49</v>
      </c>
      <c r="W96" s="5" t="s">
        <v>50</v>
      </c>
      <c r="X96" s="7"/>
      <c r="Y96" s="7"/>
      <c r="Z96" s="7"/>
      <c r="AA96" s="7"/>
      <c r="AB96" s="7"/>
      <c r="AC96" s="7"/>
      <c r="AD96" s="7"/>
      <c r="AE96" s="7"/>
      <c r="AF96" s="7"/>
      <c r="AG96" s="7"/>
      <c r="AH96" s="5" t="s">
        <v>51</v>
      </c>
      <c r="AJ96" s="7"/>
      <c r="AK96" s="5" t="s">
        <v>594</v>
      </c>
      <c r="AL96" s="6"/>
      <c r="AM96" s="6"/>
      <c r="AN96" s="6"/>
    </row>
    <row r="97">
      <c r="A97" s="13" t="s">
        <v>121</v>
      </c>
      <c r="B97" s="3">
        <f t="shared" si="1"/>
        <v>-348.3738488</v>
      </c>
      <c r="C97" s="14">
        <v>-25.2513</v>
      </c>
      <c r="D97" s="14">
        <v>30.07965</v>
      </c>
      <c r="E97" s="14">
        <v>1928.718</v>
      </c>
      <c r="F97" s="13" t="s">
        <v>123</v>
      </c>
      <c r="G97" s="15" t="s">
        <v>41</v>
      </c>
      <c r="H97" s="13" t="s">
        <v>45</v>
      </c>
      <c r="I97" s="13" t="s">
        <v>45</v>
      </c>
      <c r="J97" s="3" t="str">
        <f t="shared" si="2"/>
        <v>South</v>
      </c>
      <c r="K97" s="3" t="s">
        <v>125</v>
      </c>
      <c r="L97" s="3">
        <v>2316.07924751841</v>
      </c>
      <c r="M97" s="1">
        <f t="shared" si="3"/>
        <v>2256.786914</v>
      </c>
      <c r="N97" s="3">
        <f t="shared" si="4"/>
        <v>584.0994342</v>
      </c>
      <c r="O97" s="13"/>
      <c r="P97" s="8"/>
      <c r="Q97" s="8"/>
      <c r="R97" s="10">
        <v>270.0</v>
      </c>
      <c r="S97" s="10">
        <v>15.0</v>
      </c>
      <c r="T97" s="10">
        <f>R97-90</f>
        <v>180</v>
      </c>
      <c r="U97" s="12" t="s">
        <v>55</v>
      </c>
      <c r="V97" s="8"/>
      <c r="W97" s="8"/>
      <c r="X97" s="8"/>
      <c r="Y97" s="8"/>
      <c r="Z97" s="8"/>
      <c r="AA97" s="8"/>
      <c r="AB97" s="8"/>
      <c r="AC97" s="8"/>
      <c r="AD97" s="8"/>
      <c r="AE97" s="8"/>
      <c r="AF97" s="8"/>
      <c r="AG97" s="8"/>
      <c r="AH97" s="8"/>
      <c r="AI97" s="8"/>
      <c r="AJ97" s="8"/>
      <c r="AK97" s="8"/>
      <c r="AL97" s="8"/>
      <c r="AM97" s="6"/>
      <c r="AN97" s="6"/>
    </row>
    <row r="98">
      <c r="A98" s="5" t="s">
        <v>755</v>
      </c>
      <c r="B98" s="3">
        <f t="shared" si="1"/>
        <v>-346.9453176</v>
      </c>
      <c r="C98" s="4">
        <v>-25.22</v>
      </c>
      <c r="D98" s="4">
        <v>30.1032</v>
      </c>
      <c r="E98" s="4">
        <v>1927.833</v>
      </c>
      <c r="F98" s="5" t="s">
        <v>592</v>
      </c>
      <c r="G98" s="5" t="s">
        <v>41</v>
      </c>
      <c r="H98" s="5" t="s">
        <v>45</v>
      </c>
      <c r="I98" s="5" t="s">
        <v>45</v>
      </c>
      <c r="J98" s="3" t="str">
        <f t="shared" si="2"/>
        <v>South</v>
      </c>
      <c r="K98" s="3" t="s">
        <v>756</v>
      </c>
      <c r="L98" s="3">
        <v>2321.83580311913</v>
      </c>
      <c r="M98" s="1">
        <f t="shared" si="3"/>
        <v>2262.306335</v>
      </c>
      <c r="N98" s="3">
        <f t="shared" si="4"/>
        <v>585.5279653</v>
      </c>
      <c r="O98" s="5"/>
      <c r="P98" s="7"/>
      <c r="Q98" s="7"/>
      <c r="R98" s="7"/>
      <c r="S98" s="7"/>
      <c r="T98" s="5"/>
      <c r="U98" s="5"/>
      <c r="V98" s="5" t="s">
        <v>49</v>
      </c>
      <c r="W98" s="5" t="s">
        <v>50</v>
      </c>
      <c r="X98" s="7"/>
      <c r="Y98" s="7"/>
      <c r="Z98" s="7"/>
      <c r="AA98" s="7"/>
      <c r="AB98" s="7"/>
      <c r="AC98" s="7"/>
      <c r="AD98" s="7"/>
      <c r="AE98" s="7"/>
      <c r="AF98" s="7"/>
      <c r="AG98" s="7"/>
      <c r="AH98" s="5" t="s">
        <v>51</v>
      </c>
      <c r="AJ98" s="7"/>
      <c r="AK98" s="5" t="s">
        <v>757</v>
      </c>
      <c r="AL98" s="6"/>
      <c r="AM98" s="6"/>
      <c r="AN98" s="6"/>
    </row>
    <row r="99">
      <c r="A99" s="5" t="s">
        <v>758</v>
      </c>
      <c r="B99" s="3">
        <f t="shared" si="1"/>
        <v>-343.0969391</v>
      </c>
      <c r="C99" s="4">
        <v>-25.2407</v>
      </c>
      <c r="D99" s="4">
        <v>30.08725</v>
      </c>
      <c r="E99" s="4">
        <v>1880.65</v>
      </c>
      <c r="F99" s="5" t="s">
        <v>657</v>
      </c>
      <c r="G99" s="5" t="s">
        <v>41</v>
      </c>
      <c r="H99" s="5" t="s">
        <v>220</v>
      </c>
      <c r="I99" s="5" t="s">
        <v>221</v>
      </c>
      <c r="J99" s="3" t="str">
        <f t="shared" si="2"/>
        <v>South</v>
      </c>
      <c r="K99" s="3" t="s">
        <v>759</v>
      </c>
      <c r="L99" s="3">
        <v>2349.34744271611</v>
      </c>
      <c r="M99" s="1">
        <f t="shared" si="3"/>
        <v>2277.175328</v>
      </c>
      <c r="N99" s="3">
        <f t="shared" si="4"/>
        <v>589.3763439</v>
      </c>
      <c r="O99" s="5"/>
      <c r="P99" s="7"/>
      <c r="Q99" s="7"/>
      <c r="R99" s="7"/>
      <c r="S99" s="7"/>
      <c r="T99" s="5"/>
      <c r="U99" s="5"/>
      <c r="V99" s="5" t="s">
        <v>49</v>
      </c>
      <c r="W99" s="5" t="s">
        <v>50</v>
      </c>
      <c r="X99" s="7"/>
      <c r="Y99" s="7"/>
      <c r="Z99" s="7"/>
      <c r="AA99" s="7"/>
      <c r="AB99" s="7"/>
      <c r="AC99" s="7"/>
      <c r="AD99" s="7"/>
      <c r="AE99" s="7"/>
      <c r="AF99" s="7"/>
      <c r="AG99" s="7"/>
      <c r="AH99" s="5" t="s">
        <v>51</v>
      </c>
      <c r="AJ99" s="7"/>
      <c r="AK99" s="5" t="s">
        <v>634</v>
      </c>
      <c r="AL99" s="6"/>
      <c r="AM99" s="6"/>
      <c r="AN99" s="6"/>
    </row>
    <row r="100">
      <c r="A100" s="5" t="s">
        <v>761</v>
      </c>
      <c r="B100" s="3">
        <f t="shared" si="1"/>
        <v>-341.3946669</v>
      </c>
      <c r="C100" s="4">
        <v>-25.2406</v>
      </c>
      <c r="D100" s="4">
        <v>30.08725</v>
      </c>
      <c r="E100" s="4">
        <v>1881.701</v>
      </c>
      <c r="F100" s="5" t="s">
        <v>763</v>
      </c>
      <c r="G100" s="5" t="s">
        <v>41</v>
      </c>
      <c r="H100" s="5" t="s">
        <v>41</v>
      </c>
      <c r="I100" s="5" t="s">
        <v>42</v>
      </c>
      <c r="J100" s="3" t="str">
        <f t="shared" si="2"/>
        <v>South</v>
      </c>
      <c r="K100" s="3" t="s">
        <v>765</v>
      </c>
      <c r="L100" s="3">
        <v>2355.64290281225</v>
      </c>
      <c r="M100" s="1">
        <f t="shared" si="3"/>
        <v>2283.752402</v>
      </c>
      <c r="N100" s="3">
        <f t="shared" si="4"/>
        <v>591.078616</v>
      </c>
      <c r="O100" s="5"/>
      <c r="P100" s="7"/>
      <c r="Q100" s="7"/>
      <c r="R100" s="7"/>
      <c r="S100" s="7"/>
      <c r="T100" s="5"/>
      <c r="U100" s="5"/>
      <c r="V100" s="5" t="s">
        <v>49</v>
      </c>
      <c r="W100" s="5" t="s">
        <v>50</v>
      </c>
      <c r="X100" s="7"/>
      <c r="Y100" s="7"/>
      <c r="Z100" s="7"/>
      <c r="AA100" s="7"/>
      <c r="AB100" s="7"/>
      <c r="AC100" s="7"/>
      <c r="AD100" s="7"/>
      <c r="AE100" s="7"/>
      <c r="AF100" s="7"/>
      <c r="AG100" s="7"/>
      <c r="AH100" s="5" t="s">
        <v>51</v>
      </c>
      <c r="AJ100" s="7"/>
      <c r="AK100" s="5" t="s">
        <v>511</v>
      </c>
      <c r="AL100" s="6"/>
      <c r="AM100" s="6"/>
      <c r="AN100" s="6"/>
    </row>
    <row r="101">
      <c r="A101" s="13" t="s">
        <v>432</v>
      </c>
      <c r="B101" s="3">
        <f t="shared" si="1"/>
        <v>-340.2682689</v>
      </c>
      <c r="C101" s="14">
        <v>-25.2515</v>
      </c>
      <c r="D101" s="14">
        <v>30.07907</v>
      </c>
      <c r="E101" s="21">
        <v>1912.0</v>
      </c>
      <c r="F101" s="13"/>
      <c r="G101" s="13" t="s">
        <v>41</v>
      </c>
      <c r="H101" s="13" t="s">
        <v>41</v>
      </c>
      <c r="I101" s="15" t="s">
        <v>42</v>
      </c>
      <c r="J101" s="3" t="str">
        <f t="shared" si="2"/>
        <v>South</v>
      </c>
      <c r="K101" s="3" t="s">
        <v>441</v>
      </c>
      <c r="L101" s="3">
        <v>2351.87637785717</v>
      </c>
      <c r="M101" s="1">
        <f t="shared" si="3"/>
        <v>2288.10447</v>
      </c>
      <c r="N101" s="3">
        <f t="shared" si="4"/>
        <v>592.205014</v>
      </c>
      <c r="O101" s="13" t="s">
        <v>445</v>
      </c>
      <c r="P101" s="9" t="s">
        <v>446</v>
      </c>
      <c r="Q101" s="10">
        <v>95.0</v>
      </c>
      <c r="R101" s="9"/>
      <c r="S101" s="9"/>
      <c r="T101" s="8"/>
      <c r="U101" s="8"/>
      <c r="V101" s="8"/>
      <c r="W101" s="8"/>
      <c r="X101" s="8"/>
      <c r="Y101" s="8"/>
      <c r="Z101" s="8"/>
      <c r="AA101" s="8"/>
      <c r="AB101" s="8"/>
      <c r="AC101" s="8"/>
      <c r="AD101" s="8"/>
      <c r="AE101" s="8"/>
      <c r="AF101" s="8"/>
      <c r="AG101" s="8"/>
      <c r="AH101" s="8"/>
      <c r="AI101" s="8"/>
      <c r="AJ101" s="8"/>
      <c r="AK101" s="8"/>
      <c r="AL101" s="8"/>
      <c r="AM101" s="6"/>
      <c r="AN101" s="6"/>
    </row>
    <row r="102">
      <c r="A102" s="5" t="s">
        <v>775</v>
      </c>
      <c r="B102" s="3">
        <f t="shared" si="1"/>
        <v>-338.7784358</v>
      </c>
      <c r="C102" s="4">
        <v>-25.2197</v>
      </c>
      <c r="D102" s="4">
        <v>30.10308</v>
      </c>
      <c r="E102" s="4">
        <v>1937.748</v>
      </c>
      <c r="F102" s="5" t="s">
        <v>112</v>
      </c>
      <c r="G102" s="5" t="s">
        <v>41</v>
      </c>
      <c r="H102" s="5" t="s">
        <v>45</v>
      </c>
      <c r="I102" s="5" t="s">
        <v>45</v>
      </c>
      <c r="J102" s="3" t="str">
        <f t="shared" si="2"/>
        <v>South</v>
      </c>
      <c r="K102" s="3" t="s">
        <v>776</v>
      </c>
      <c r="L102" s="3">
        <v>2350.73349506902</v>
      </c>
      <c r="M102" s="1">
        <f t="shared" si="3"/>
        <v>2293.860743</v>
      </c>
      <c r="N102" s="3">
        <f t="shared" si="4"/>
        <v>593.6948471</v>
      </c>
      <c r="O102" s="5"/>
      <c r="P102" s="7"/>
      <c r="Q102" s="7"/>
      <c r="R102" s="7"/>
      <c r="S102" s="7"/>
      <c r="T102" s="5"/>
      <c r="U102" s="5"/>
      <c r="V102" s="5" t="s">
        <v>49</v>
      </c>
      <c r="W102" s="5" t="s">
        <v>50</v>
      </c>
      <c r="X102" s="7"/>
      <c r="Y102" s="7"/>
      <c r="Z102" s="7"/>
      <c r="AA102" s="7"/>
      <c r="AB102" s="7"/>
      <c r="AC102" s="7"/>
      <c r="AD102" s="7"/>
      <c r="AE102" s="7"/>
      <c r="AF102" s="7"/>
      <c r="AG102" s="7"/>
      <c r="AH102" s="5" t="s">
        <v>51</v>
      </c>
      <c r="AJ102" s="7"/>
      <c r="AK102" s="5" t="s">
        <v>777</v>
      </c>
      <c r="AL102" s="6"/>
      <c r="AM102" s="6"/>
      <c r="AN102" s="6"/>
    </row>
    <row r="103">
      <c r="A103" s="5" t="s">
        <v>778</v>
      </c>
      <c r="B103" s="3">
        <f t="shared" si="1"/>
        <v>-338.066732</v>
      </c>
      <c r="C103" s="4">
        <v>-25.2394</v>
      </c>
      <c r="D103" s="4">
        <v>30.08802</v>
      </c>
      <c r="E103" s="4">
        <v>1887.493</v>
      </c>
      <c r="F103" s="5" t="s">
        <v>485</v>
      </c>
      <c r="G103" s="5" t="s">
        <v>41</v>
      </c>
      <c r="H103" s="5" t="s">
        <v>220</v>
      </c>
      <c r="I103" s="5" t="s">
        <v>221</v>
      </c>
      <c r="J103" s="3" t="str">
        <f t="shared" si="2"/>
        <v>South</v>
      </c>
      <c r="K103" s="3" t="s">
        <v>779</v>
      </c>
      <c r="L103" s="3">
        <v>2366.94909397715</v>
      </c>
      <c r="M103" s="1">
        <f t="shared" si="3"/>
        <v>2296.610555</v>
      </c>
      <c r="N103" s="3">
        <f t="shared" si="4"/>
        <v>594.4065509</v>
      </c>
      <c r="O103" s="5"/>
      <c r="P103" s="7"/>
      <c r="Q103" s="7"/>
      <c r="R103" s="7"/>
      <c r="S103" s="7"/>
      <c r="T103" s="5"/>
      <c r="U103" s="5"/>
      <c r="V103" s="5" t="s">
        <v>49</v>
      </c>
      <c r="W103" s="5" t="s">
        <v>50</v>
      </c>
      <c r="X103" s="7"/>
      <c r="Y103" s="7"/>
      <c r="Z103" s="7"/>
      <c r="AA103" s="7"/>
      <c r="AB103" s="7"/>
      <c r="AC103" s="7"/>
      <c r="AD103" s="7"/>
      <c r="AE103" s="7"/>
      <c r="AF103" s="7"/>
      <c r="AG103" s="7"/>
      <c r="AH103" s="5" t="s">
        <v>51</v>
      </c>
      <c r="AJ103" s="7"/>
      <c r="AK103" s="5" t="s">
        <v>780</v>
      </c>
      <c r="AL103" s="6"/>
      <c r="AM103" s="6"/>
      <c r="AN103" s="6"/>
    </row>
    <row r="104">
      <c r="A104" s="5" t="s">
        <v>781</v>
      </c>
      <c r="B104" s="3">
        <f t="shared" si="1"/>
        <v>-337.5598359</v>
      </c>
      <c r="C104" s="4">
        <v>-25.2396</v>
      </c>
      <c r="D104" s="4">
        <v>30.08784</v>
      </c>
      <c r="E104" s="4">
        <v>1885.748</v>
      </c>
      <c r="F104" s="5" t="s">
        <v>156</v>
      </c>
      <c r="G104" s="5" t="s">
        <v>41</v>
      </c>
      <c r="H104" s="5" t="s">
        <v>41</v>
      </c>
      <c r="I104" s="5" t="s">
        <v>42</v>
      </c>
      <c r="J104" s="3" t="str">
        <f t="shared" si="2"/>
        <v>South</v>
      </c>
      <c r="K104" s="3" t="s">
        <v>782</v>
      </c>
      <c r="L104" s="3">
        <v>2369.37516170643</v>
      </c>
      <c r="M104" s="1">
        <f t="shared" si="3"/>
        <v>2298.569052</v>
      </c>
      <c r="N104" s="3">
        <f t="shared" si="4"/>
        <v>594.9134471</v>
      </c>
      <c r="O104" s="5"/>
      <c r="P104" s="7"/>
      <c r="Q104" s="7"/>
      <c r="R104" s="7"/>
      <c r="S104" s="7"/>
      <c r="T104" s="5"/>
      <c r="U104" s="5"/>
      <c r="V104" s="5" t="s">
        <v>49</v>
      </c>
      <c r="W104" s="5" t="s">
        <v>50</v>
      </c>
      <c r="X104" s="7"/>
      <c r="Y104" s="7"/>
      <c r="Z104" s="7"/>
      <c r="AA104" s="7"/>
      <c r="AB104" s="7"/>
      <c r="AC104" s="7"/>
      <c r="AD104" s="7"/>
      <c r="AE104" s="7"/>
      <c r="AF104" s="7"/>
      <c r="AG104" s="7"/>
      <c r="AH104" s="5" t="s">
        <v>51</v>
      </c>
      <c r="AJ104" s="7"/>
      <c r="AK104" s="5" t="s">
        <v>783</v>
      </c>
      <c r="AL104" s="6"/>
      <c r="AM104" s="6"/>
      <c r="AN104" s="6"/>
    </row>
    <row r="105">
      <c r="A105" s="13" t="s">
        <v>449</v>
      </c>
      <c r="B105" s="3">
        <f t="shared" si="1"/>
        <v>-334.86846</v>
      </c>
      <c r="C105" s="14">
        <v>-25.2518</v>
      </c>
      <c r="D105" s="14">
        <v>30.07858</v>
      </c>
      <c r="E105" s="14">
        <v>1907.783</v>
      </c>
      <c r="F105" s="13" t="s">
        <v>452</v>
      </c>
      <c r="G105" s="13" t="s">
        <v>41</v>
      </c>
      <c r="H105" s="13" t="s">
        <v>41</v>
      </c>
      <c r="I105" s="15" t="s">
        <v>42</v>
      </c>
      <c r="J105" s="3" t="str">
        <f t="shared" si="2"/>
        <v>South</v>
      </c>
      <c r="K105" s="3" t="s">
        <v>453</v>
      </c>
      <c r="L105" s="3">
        <v>2373.86957923925</v>
      </c>
      <c r="M105" s="1">
        <f t="shared" si="3"/>
        <v>2308.96773</v>
      </c>
      <c r="N105" s="3">
        <f t="shared" si="4"/>
        <v>597.604823</v>
      </c>
      <c r="O105" s="13" t="s">
        <v>456</v>
      </c>
      <c r="P105" s="9" t="s">
        <v>457</v>
      </c>
      <c r="Q105" s="8"/>
      <c r="R105" s="8"/>
      <c r="S105" s="8"/>
      <c r="T105" s="8"/>
      <c r="U105" s="8"/>
      <c r="V105" s="8"/>
      <c r="W105" s="8"/>
      <c r="X105" s="8"/>
      <c r="Y105" s="8"/>
      <c r="Z105" s="8"/>
      <c r="AA105" s="8"/>
      <c r="AB105" s="8"/>
      <c r="AC105" s="8"/>
      <c r="AD105" s="8"/>
      <c r="AE105" s="8"/>
      <c r="AF105" s="8"/>
      <c r="AG105" s="8"/>
      <c r="AH105" s="8"/>
      <c r="AI105" s="8"/>
      <c r="AJ105" s="10">
        <v>2.0</v>
      </c>
      <c r="AK105" s="8"/>
      <c r="AL105" s="8"/>
      <c r="AM105" s="6"/>
      <c r="AN105" s="6"/>
    </row>
    <row r="106">
      <c r="A106" s="5" t="s">
        <v>784</v>
      </c>
      <c r="B106" s="3">
        <f t="shared" si="1"/>
        <v>-333.7390233</v>
      </c>
      <c r="C106" s="4">
        <v>-25.2197</v>
      </c>
      <c r="D106" s="4">
        <v>30.10285</v>
      </c>
      <c r="E106" s="4">
        <v>1938.802</v>
      </c>
      <c r="F106" s="5" t="s">
        <v>209</v>
      </c>
      <c r="G106" s="5" t="s">
        <v>41</v>
      </c>
      <c r="H106" s="5" t="s">
        <v>45</v>
      </c>
      <c r="I106" s="5" t="s">
        <v>45</v>
      </c>
      <c r="J106" s="3" t="str">
        <f t="shared" si="2"/>
        <v>South</v>
      </c>
      <c r="K106" s="3" t="s">
        <v>785</v>
      </c>
      <c r="L106" s="3">
        <v>2369.92187132967</v>
      </c>
      <c r="M106" s="1">
        <f t="shared" si="3"/>
        <v>2313.331538</v>
      </c>
      <c r="N106" s="3">
        <f t="shared" si="4"/>
        <v>598.7342596</v>
      </c>
      <c r="O106" s="5"/>
      <c r="P106" s="7"/>
      <c r="Q106" s="7"/>
      <c r="R106" s="7"/>
      <c r="S106" s="7"/>
      <c r="T106" s="5"/>
      <c r="U106" s="5"/>
      <c r="V106" s="5" t="s">
        <v>49</v>
      </c>
      <c r="W106" s="5" t="s">
        <v>50</v>
      </c>
      <c r="X106" s="7"/>
      <c r="Y106" s="7"/>
      <c r="Z106" s="7"/>
      <c r="AA106" s="7"/>
      <c r="AB106" s="7"/>
      <c r="AC106" s="7"/>
      <c r="AD106" s="7"/>
      <c r="AE106" s="7"/>
      <c r="AF106" s="7"/>
      <c r="AG106" s="7"/>
      <c r="AH106" s="5" t="s">
        <v>51</v>
      </c>
      <c r="AJ106" s="7"/>
      <c r="AK106" s="5" t="s">
        <v>786</v>
      </c>
      <c r="AL106" s="6"/>
      <c r="AM106" s="6"/>
      <c r="AN106" s="6"/>
    </row>
    <row r="107">
      <c r="A107" s="13" t="s">
        <v>460</v>
      </c>
      <c r="B107" s="3">
        <f t="shared" si="1"/>
        <v>-333.0323242</v>
      </c>
      <c r="C107" s="14">
        <v>-25.2505</v>
      </c>
      <c r="D107" s="14">
        <v>30.07951</v>
      </c>
      <c r="E107" s="14">
        <v>1918.386</v>
      </c>
      <c r="F107" s="13" t="s">
        <v>461</v>
      </c>
      <c r="G107" s="13" t="s">
        <v>41</v>
      </c>
      <c r="H107" s="13" t="s">
        <v>41</v>
      </c>
      <c r="I107" s="15" t="s">
        <v>273</v>
      </c>
      <c r="J107" s="3" t="str">
        <f t="shared" si="2"/>
        <v>South</v>
      </c>
      <c r="K107" s="3" t="s">
        <v>462</v>
      </c>
      <c r="L107" s="3">
        <v>2378.12279773767</v>
      </c>
      <c r="M107" s="1">
        <f t="shared" si="3"/>
        <v>2316.062013</v>
      </c>
      <c r="N107" s="3">
        <f t="shared" si="4"/>
        <v>599.4409587</v>
      </c>
      <c r="O107" s="13" t="s">
        <v>463</v>
      </c>
      <c r="P107" s="9" t="s">
        <v>465</v>
      </c>
      <c r="Q107" s="10">
        <v>96.0</v>
      </c>
      <c r="R107" s="8"/>
      <c r="S107" s="8"/>
      <c r="T107" s="8"/>
      <c r="U107" s="8"/>
      <c r="V107" s="8"/>
      <c r="W107" s="8"/>
      <c r="X107" s="8"/>
      <c r="Y107" s="8"/>
      <c r="Z107" s="8"/>
      <c r="AA107" s="8"/>
      <c r="AB107" s="8"/>
      <c r="AC107" s="8"/>
      <c r="AD107" s="8"/>
      <c r="AE107" s="8"/>
      <c r="AF107" s="8"/>
      <c r="AG107" s="8"/>
      <c r="AH107" s="8"/>
      <c r="AI107" s="8"/>
      <c r="AJ107" s="8"/>
      <c r="AK107" s="8"/>
      <c r="AL107" s="8"/>
      <c r="AM107" s="6"/>
      <c r="AN107" s="6"/>
    </row>
    <row r="108">
      <c r="A108" s="5" t="s">
        <v>787</v>
      </c>
      <c r="B108" s="3">
        <f t="shared" si="1"/>
        <v>-330.820116</v>
      </c>
      <c r="C108" s="4">
        <v>-25.2172</v>
      </c>
      <c r="D108" s="4">
        <v>30.10466</v>
      </c>
      <c r="E108" s="4">
        <v>1957.072</v>
      </c>
      <c r="F108" s="5" t="s">
        <v>178</v>
      </c>
      <c r="G108" s="5" t="s">
        <v>41</v>
      </c>
      <c r="H108" s="5" t="s">
        <v>41</v>
      </c>
      <c r="I108" s="5" t="s">
        <v>42</v>
      </c>
      <c r="J108" s="3" t="str">
        <f t="shared" si="2"/>
        <v>North</v>
      </c>
      <c r="K108" s="3" t="s">
        <v>788</v>
      </c>
      <c r="L108" s="3">
        <v>2376.30423158711</v>
      </c>
      <c r="M108" s="1">
        <f t="shared" si="3"/>
        <v>2324.60933</v>
      </c>
      <c r="N108" s="3">
        <f t="shared" si="4"/>
        <v>601.653167</v>
      </c>
      <c r="O108" s="5"/>
      <c r="P108" s="7"/>
      <c r="Q108" s="7"/>
      <c r="R108" s="7"/>
      <c r="S108" s="7"/>
      <c r="T108" s="5"/>
      <c r="U108" s="5"/>
      <c r="V108" s="5" t="s">
        <v>49</v>
      </c>
      <c r="W108" s="5" t="s">
        <v>50</v>
      </c>
      <c r="X108" s="7"/>
      <c r="Y108" s="7"/>
      <c r="Z108" s="7"/>
      <c r="AA108" s="7"/>
      <c r="AB108" s="7"/>
      <c r="AC108" s="7"/>
      <c r="AD108" s="7"/>
      <c r="AE108" s="7"/>
      <c r="AF108" s="7"/>
      <c r="AG108" s="7"/>
      <c r="AH108" s="5" t="s">
        <v>51</v>
      </c>
      <c r="AJ108" s="7"/>
      <c r="AK108" s="5" t="s">
        <v>789</v>
      </c>
      <c r="AL108" s="6"/>
      <c r="AM108" s="6"/>
      <c r="AN108" s="6"/>
    </row>
    <row r="109">
      <c r="A109" s="5" t="s">
        <v>790</v>
      </c>
      <c r="B109" s="3">
        <f t="shared" si="1"/>
        <v>-330.0302649</v>
      </c>
      <c r="C109" s="4">
        <v>-25.2194</v>
      </c>
      <c r="D109" s="4">
        <v>30.10291</v>
      </c>
      <c r="E109" s="4">
        <v>1940.477</v>
      </c>
      <c r="F109" s="5" t="s">
        <v>632</v>
      </c>
      <c r="G109" s="5" t="s">
        <v>41</v>
      </c>
      <c r="H109" s="5" t="s">
        <v>41</v>
      </c>
      <c r="I109" s="5" t="s">
        <v>42</v>
      </c>
      <c r="J109" s="3" t="str">
        <f t="shared" si="2"/>
        <v>South</v>
      </c>
      <c r="K109" s="3" t="s">
        <v>791</v>
      </c>
      <c r="L109" s="3">
        <v>2383.80259865336</v>
      </c>
      <c r="M109" s="1">
        <f t="shared" si="3"/>
        <v>2327.66108</v>
      </c>
      <c r="N109" s="3">
        <f t="shared" si="4"/>
        <v>602.443018</v>
      </c>
      <c r="O109" s="5"/>
      <c r="P109" s="7"/>
      <c r="Q109" s="7"/>
      <c r="R109" s="7"/>
      <c r="S109" s="7"/>
      <c r="T109" s="5"/>
      <c r="U109" s="5"/>
      <c r="V109" s="5" t="s">
        <v>49</v>
      </c>
      <c r="W109" s="5" t="s">
        <v>50</v>
      </c>
      <c r="X109" s="7"/>
      <c r="Y109" s="7"/>
      <c r="Z109" s="7"/>
      <c r="AA109" s="7"/>
      <c r="AB109" s="7"/>
      <c r="AC109" s="7"/>
      <c r="AD109" s="7"/>
      <c r="AE109" s="7"/>
      <c r="AF109" s="7"/>
      <c r="AG109" s="7"/>
      <c r="AH109" s="5" t="s">
        <v>51</v>
      </c>
      <c r="AJ109" s="7"/>
      <c r="AK109" s="5" t="s">
        <v>792</v>
      </c>
      <c r="AL109" s="6"/>
      <c r="AM109" s="6"/>
      <c r="AN109" s="6"/>
    </row>
    <row r="110">
      <c r="A110" s="5" t="s">
        <v>793</v>
      </c>
      <c r="B110" s="3">
        <f t="shared" si="1"/>
        <v>-317.5462651</v>
      </c>
      <c r="C110" s="4">
        <v>-25.2192</v>
      </c>
      <c r="D110" s="4">
        <v>30.10248</v>
      </c>
      <c r="E110" s="4">
        <v>1939.617</v>
      </c>
      <c r="F110" s="5" t="s">
        <v>792</v>
      </c>
      <c r="G110" s="5" t="s">
        <v>41</v>
      </c>
      <c r="H110" s="5" t="s">
        <v>41</v>
      </c>
      <c r="I110" s="5" t="s">
        <v>42</v>
      </c>
      <c r="J110" s="3" t="str">
        <f t="shared" si="2"/>
        <v>South</v>
      </c>
      <c r="K110" s="3" t="s">
        <v>794</v>
      </c>
      <c r="L110" s="3">
        <v>2432.26750616615</v>
      </c>
      <c r="M110" s="1">
        <f t="shared" si="3"/>
        <v>2375.895551</v>
      </c>
      <c r="N110" s="3">
        <f t="shared" si="4"/>
        <v>614.9270178</v>
      </c>
      <c r="O110" s="5"/>
      <c r="P110" s="7"/>
      <c r="Q110" s="7"/>
      <c r="R110" s="7"/>
      <c r="S110" s="7"/>
      <c r="T110" s="5"/>
      <c r="U110" s="5"/>
      <c r="V110" s="5" t="s">
        <v>49</v>
      </c>
      <c r="W110" s="5" t="s">
        <v>50</v>
      </c>
      <c r="X110" s="7"/>
      <c r="Y110" s="7"/>
      <c r="Z110" s="7"/>
      <c r="AA110" s="7"/>
      <c r="AB110" s="7"/>
      <c r="AC110" s="7"/>
      <c r="AD110" s="7"/>
      <c r="AE110" s="7"/>
      <c r="AF110" s="7"/>
      <c r="AG110" s="7"/>
      <c r="AH110" s="5" t="s">
        <v>51</v>
      </c>
      <c r="AJ110" s="7"/>
      <c r="AK110" s="5" t="s">
        <v>691</v>
      </c>
      <c r="AL110" s="6"/>
      <c r="AM110" s="6"/>
      <c r="AN110" s="6"/>
    </row>
    <row r="111">
      <c r="A111" s="5" t="s">
        <v>795</v>
      </c>
      <c r="B111" s="3">
        <f t="shared" si="1"/>
        <v>-316.0813014</v>
      </c>
      <c r="C111" s="4">
        <v>-25.217</v>
      </c>
      <c r="D111" s="4">
        <v>30.1041</v>
      </c>
      <c r="E111" s="4">
        <v>1948.249</v>
      </c>
      <c r="F111" s="5" t="s">
        <v>796</v>
      </c>
      <c r="G111" s="5" t="s">
        <v>41</v>
      </c>
      <c r="H111" s="5" t="s">
        <v>41</v>
      </c>
      <c r="I111" s="5" t="s">
        <v>42</v>
      </c>
      <c r="J111" s="3" t="str">
        <f t="shared" si="2"/>
        <v>North</v>
      </c>
      <c r="K111" s="3" t="s">
        <v>797</v>
      </c>
      <c r="L111" s="3">
        <v>2435.61475394724</v>
      </c>
      <c r="M111" s="1">
        <f t="shared" si="3"/>
        <v>2381.555736</v>
      </c>
      <c r="N111" s="3">
        <f t="shared" si="4"/>
        <v>616.3919816</v>
      </c>
      <c r="O111" s="5"/>
      <c r="P111" s="7"/>
      <c r="Q111" s="7"/>
      <c r="R111" s="7"/>
      <c r="S111" s="7"/>
      <c r="T111" s="5"/>
      <c r="U111" s="5"/>
      <c r="V111" s="5" t="s">
        <v>49</v>
      </c>
      <c r="W111" s="5" t="s">
        <v>50</v>
      </c>
      <c r="X111" s="7"/>
      <c r="Y111" s="7"/>
      <c r="Z111" s="7"/>
      <c r="AA111" s="7"/>
      <c r="AB111" s="7"/>
      <c r="AC111" s="7"/>
      <c r="AD111" s="7"/>
      <c r="AE111" s="7"/>
      <c r="AF111" s="7"/>
      <c r="AG111" s="7"/>
      <c r="AH111" s="5" t="s">
        <v>51</v>
      </c>
      <c r="AJ111" s="7"/>
      <c r="AK111" s="5" t="s">
        <v>570</v>
      </c>
      <c r="AL111" s="6"/>
      <c r="AM111" s="6"/>
      <c r="AN111" s="6"/>
    </row>
    <row r="112">
      <c r="A112" s="5" t="s">
        <v>798</v>
      </c>
      <c r="B112" s="3">
        <f t="shared" si="1"/>
        <v>-312.3694678</v>
      </c>
      <c r="C112" s="4">
        <v>-25.2497</v>
      </c>
      <c r="D112" s="4">
        <v>30.07913</v>
      </c>
      <c r="E112" s="4">
        <v>1910.059</v>
      </c>
      <c r="F112" s="5" t="s">
        <v>789</v>
      </c>
      <c r="G112" s="5" t="s">
        <v>41</v>
      </c>
      <c r="H112" s="5" t="s">
        <v>41</v>
      </c>
      <c r="I112" s="5" t="s">
        <v>42</v>
      </c>
      <c r="J112" s="3" t="str">
        <f t="shared" si="2"/>
        <v>South</v>
      </c>
      <c r="K112" s="3" t="s">
        <v>799</v>
      </c>
      <c r="L112" s="3">
        <v>2460.18915722036</v>
      </c>
      <c r="M112" s="1">
        <f t="shared" si="3"/>
        <v>2395.89716</v>
      </c>
      <c r="N112" s="3">
        <f t="shared" si="4"/>
        <v>620.1038151</v>
      </c>
      <c r="O112" s="5"/>
      <c r="P112" s="7"/>
      <c r="Q112" s="7"/>
      <c r="R112" s="7"/>
      <c r="S112" s="7"/>
      <c r="T112" s="5"/>
      <c r="U112" s="5"/>
      <c r="V112" s="5" t="s">
        <v>49</v>
      </c>
      <c r="W112" s="5" t="s">
        <v>50</v>
      </c>
      <c r="X112" s="7"/>
      <c r="Y112" s="7"/>
      <c r="Z112" s="7"/>
      <c r="AA112" s="7"/>
      <c r="AB112" s="7"/>
      <c r="AC112" s="7"/>
      <c r="AD112" s="7"/>
      <c r="AE112" s="7"/>
      <c r="AF112" s="7"/>
      <c r="AG112" s="7"/>
      <c r="AH112" s="5" t="s">
        <v>51</v>
      </c>
      <c r="AJ112" s="7"/>
      <c r="AK112" s="5" t="s">
        <v>763</v>
      </c>
      <c r="AL112" s="6"/>
      <c r="AM112" s="6"/>
      <c r="AN112" s="6"/>
    </row>
    <row r="113">
      <c r="A113" s="13" t="s">
        <v>468</v>
      </c>
      <c r="B113" s="3">
        <f t="shared" si="1"/>
        <v>-312.0870652</v>
      </c>
      <c r="C113" s="14">
        <v>-25.2498</v>
      </c>
      <c r="D113" s="14">
        <v>30.07904</v>
      </c>
      <c r="E113" s="14">
        <v>1909.604</v>
      </c>
      <c r="F113" s="13" t="s">
        <v>469</v>
      </c>
      <c r="G113" s="13" t="s">
        <v>41</v>
      </c>
      <c r="H113" s="13" t="s">
        <v>41</v>
      </c>
      <c r="I113" s="15" t="s">
        <v>42</v>
      </c>
      <c r="J113" s="3" t="str">
        <f t="shared" si="2"/>
        <v>South</v>
      </c>
      <c r="K113" s="3" t="s">
        <v>470</v>
      </c>
      <c r="L113" s="3">
        <v>2461.40219418361</v>
      </c>
      <c r="M113" s="1">
        <f t="shared" si="3"/>
        <v>2396.98828</v>
      </c>
      <c r="N113" s="3">
        <f t="shared" si="4"/>
        <v>620.3862178</v>
      </c>
      <c r="O113" s="13"/>
      <c r="P113" s="9" t="s">
        <v>472</v>
      </c>
      <c r="Q113" s="9" t="s">
        <v>473</v>
      </c>
      <c r="R113" s="8"/>
      <c r="S113" s="8"/>
      <c r="T113" s="8"/>
      <c r="U113" s="8"/>
      <c r="V113" s="8"/>
      <c r="W113" s="8"/>
      <c r="X113" s="8"/>
      <c r="Y113" s="8"/>
      <c r="Z113" s="8"/>
      <c r="AA113" s="8"/>
      <c r="AB113" s="8"/>
      <c r="AC113" s="8"/>
      <c r="AD113" s="8"/>
      <c r="AE113" s="8"/>
      <c r="AF113" s="8"/>
      <c r="AG113" s="8"/>
      <c r="AH113" s="8"/>
      <c r="AI113" s="8"/>
      <c r="AJ113" s="8"/>
      <c r="AK113" s="8"/>
      <c r="AL113" s="8"/>
      <c r="AM113" s="6"/>
      <c r="AN113" s="6"/>
    </row>
    <row r="114">
      <c r="A114" s="13" t="s">
        <v>133</v>
      </c>
      <c r="B114" s="3">
        <f t="shared" si="1"/>
        <v>-299.1116486</v>
      </c>
      <c r="C114" s="14">
        <v>-25.2188</v>
      </c>
      <c r="D114" s="14">
        <v>30.10195</v>
      </c>
      <c r="E114" s="14">
        <v>1946.436</v>
      </c>
      <c r="F114" s="13" t="s">
        <v>134</v>
      </c>
      <c r="G114" s="13" t="s">
        <v>41</v>
      </c>
      <c r="H114" s="13" t="s">
        <v>41</v>
      </c>
      <c r="I114" s="15" t="s">
        <v>42</v>
      </c>
      <c r="J114" s="3" t="str">
        <f t="shared" si="2"/>
        <v>South</v>
      </c>
      <c r="K114" s="3" t="s">
        <v>137</v>
      </c>
      <c r="L114" s="3">
        <v>2501.66624921082</v>
      </c>
      <c r="M114" s="1">
        <f t="shared" si="3"/>
        <v>2447.12144</v>
      </c>
      <c r="N114" s="3">
        <f t="shared" si="4"/>
        <v>633.3616343</v>
      </c>
      <c r="O114" s="13"/>
      <c r="P114" s="11" t="s">
        <v>139</v>
      </c>
      <c r="Q114" s="10">
        <v>57.0</v>
      </c>
      <c r="R114" s="10">
        <v>235.0</v>
      </c>
      <c r="S114" s="10">
        <v>25.0</v>
      </c>
      <c r="T114" s="10">
        <f>R114-90</f>
        <v>145</v>
      </c>
      <c r="U114" s="12" t="s">
        <v>139</v>
      </c>
      <c r="V114" s="8"/>
      <c r="W114" s="8"/>
      <c r="X114" s="8"/>
      <c r="Y114" s="8"/>
      <c r="Z114" s="8"/>
      <c r="AA114" s="8"/>
      <c r="AB114" s="8"/>
      <c r="AC114" s="8"/>
      <c r="AD114" s="8"/>
      <c r="AE114" s="8"/>
      <c r="AF114" s="8"/>
      <c r="AG114" s="8"/>
      <c r="AH114" s="8"/>
      <c r="AI114" s="8"/>
      <c r="AJ114" s="8"/>
      <c r="AK114" s="8"/>
      <c r="AL114" s="8"/>
      <c r="AM114" s="6"/>
      <c r="AN114" s="6"/>
    </row>
    <row r="115">
      <c r="A115" s="5" t="s">
        <v>800</v>
      </c>
      <c r="B115" s="3">
        <f t="shared" si="1"/>
        <v>-289.877138</v>
      </c>
      <c r="C115" s="4">
        <v>-25.2403</v>
      </c>
      <c r="D115" s="4">
        <v>30.08497</v>
      </c>
      <c r="E115" s="4">
        <v>1844.18</v>
      </c>
      <c r="F115" s="5" t="s">
        <v>685</v>
      </c>
      <c r="G115" s="5" t="s">
        <v>41</v>
      </c>
      <c r="H115" s="5" t="s">
        <v>41</v>
      </c>
      <c r="I115" s="5" t="s">
        <v>42</v>
      </c>
      <c r="J115" s="3" t="str">
        <f t="shared" si="2"/>
        <v>South</v>
      </c>
      <c r="K115" s="3" t="s">
        <v>801</v>
      </c>
      <c r="L115" s="3">
        <v>2564.74507122237</v>
      </c>
      <c r="M115" s="1">
        <f t="shared" si="3"/>
        <v>2482.800849</v>
      </c>
      <c r="N115" s="3">
        <f t="shared" si="4"/>
        <v>642.596145</v>
      </c>
      <c r="O115" s="5"/>
      <c r="P115" s="7"/>
      <c r="Q115" s="7"/>
      <c r="R115" s="7"/>
      <c r="S115" s="7"/>
      <c r="T115" s="5"/>
      <c r="U115" s="5"/>
      <c r="V115" s="5" t="s">
        <v>49</v>
      </c>
      <c r="W115" s="5" t="s">
        <v>50</v>
      </c>
      <c r="X115" s="7"/>
      <c r="Y115" s="7"/>
      <c r="Z115" s="7"/>
      <c r="AA115" s="7"/>
      <c r="AB115" s="7"/>
      <c r="AC115" s="7"/>
      <c r="AD115" s="7"/>
      <c r="AE115" s="7"/>
      <c r="AF115" s="7"/>
      <c r="AG115" s="7"/>
      <c r="AH115" s="5" t="s">
        <v>51</v>
      </c>
      <c r="AJ115" s="7"/>
      <c r="AK115" s="5" t="s">
        <v>367</v>
      </c>
      <c r="AL115" s="6"/>
      <c r="AM115" s="6"/>
      <c r="AN115" s="6"/>
    </row>
    <row r="116">
      <c r="A116" s="5" t="s">
        <v>802</v>
      </c>
      <c r="B116" s="3">
        <f t="shared" si="1"/>
        <v>-285.9353317</v>
      </c>
      <c r="C116" s="4">
        <v>-25.2173</v>
      </c>
      <c r="D116" s="4">
        <v>30.10245</v>
      </c>
      <c r="E116" s="4">
        <v>1939.685</v>
      </c>
      <c r="F116" s="5" t="s">
        <v>803</v>
      </c>
      <c r="G116" s="5" t="s">
        <v>41</v>
      </c>
      <c r="H116" s="5" t="s">
        <v>41</v>
      </c>
      <c r="I116" s="5" t="s">
        <v>42</v>
      </c>
      <c r="J116" s="3" t="str">
        <f t="shared" si="2"/>
        <v>North</v>
      </c>
      <c r="K116" s="3" t="s">
        <v>804</v>
      </c>
      <c r="L116" s="3">
        <v>2554.38455342775</v>
      </c>
      <c r="M116" s="1">
        <f t="shared" si="3"/>
        <v>2498.030819</v>
      </c>
      <c r="N116" s="3">
        <f t="shared" si="4"/>
        <v>646.5379512</v>
      </c>
      <c r="O116" s="5"/>
      <c r="P116" s="7"/>
      <c r="Q116" s="7"/>
      <c r="R116" s="7"/>
      <c r="S116" s="7"/>
      <c r="T116" s="5"/>
      <c r="U116" s="5"/>
      <c r="V116" s="5" t="s">
        <v>49</v>
      </c>
      <c r="W116" s="5" t="s">
        <v>50</v>
      </c>
      <c r="X116" s="7"/>
      <c r="Y116" s="7"/>
      <c r="Z116" s="7"/>
      <c r="AA116" s="7"/>
      <c r="AB116" s="7"/>
      <c r="AC116" s="7"/>
      <c r="AD116" s="7"/>
      <c r="AE116" s="7"/>
      <c r="AF116" s="7"/>
      <c r="AG116" s="7"/>
      <c r="AH116" s="5" t="s">
        <v>51</v>
      </c>
      <c r="AJ116" s="7"/>
      <c r="AK116" s="5" t="s">
        <v>559</v>
      </c>
      <c r="AL116" s="6"/>
      <c r="AM116" s="6"/>
      <c r="AN116" s="6"/>
    </row>
    <row r="117">
      <c r="A117" s="5" t="s">
        <v>805</v>
      </c>
      <c r="B117" s="3">
        <f t="shared" si="1"/>
        <v>-280.0934183</v>
      </c>
      <c r="C117" s="4">
        <v>-25.219</v>
      </c>
      <c r="D117" s="4">
        <v>30.10086</v>
      </c>
      <c r="E117" s="4">
        <v>1928.28</v>
      </c>
      <c r="F117" s="5" t="s">
        <v>783</v>
      </c>
      <c r="G117" s="5" t="s">
        <v>41</v>
      </c>
      <c r="H117" s="5" t="s">
        <v>41</v>
      </c>
      <c r="I117" s="5" t="s">
        <v>42</v>
      </c>
      <c r="J117" s="3" t="str">
        <f t="shared" si="2"/>
        <v>South</v>
      </c>
      <c r="K117" s="3" t="s">
        <v>806</v>
      </c>
      <c r="L117" s="3">
        <v>2580.0119342446</v>
      </c>
      <c r="M117" s="1">
        <f t="shared" si="3"/>
        <v>2520.602239</v>
      </c>
      <c r="N117" s="3">
        <f t="shared" si="4"/>
        <v>652.3798647</v>
      </c>
      <c r="O117" s="5"/>
      <c r="P117" s="7"/>
      <c r="Q117" s="7"/>
      <c r="R117" s="7"/>
      <c r="S117" s="7"/>
      <c r="T117" s="5"/>
      <c r="U117" s="5"/>
      <c r="V117" s="5" t="s">
        <v>49</v>
      </c>
      <c r="W117" s="5" t="s">
        <v>50</v>
      </c>
      <c r="X117" s="7"/>
      <c r="Y117" s="7"/>
      <c r="Z117" s="7"/>
      <c r="AA117" s="7"/>
      <c r="AB117" s="7"/>
      <c r="AC117" s="7"/>
      <c r="AD117" s="7"/>
      <c r="AE117" s="7"/>
      <c r="AF117" s="7"/>
      <c r="AG117" s="7"/>
      <c r="AH117" s="5" t="s">
        <v>51</v>
      </c>
      <c r="AJ117" s="7"/>
      <c r="AK117" s="5" t="s">
        <v>490</v>
      </c>
      <c r="AL117" s="6"/>
      <c r="AM117" s="6"/>
      <c r="AN117" s="6"/>
    </row>
    <row r="118">
      <c r="A118" s="5" t="s">
        <v>807</v>
      </c>
      <c r="B118" s="3">
        <f t="shared" si="1"/>
        <v>-263.9552712</v>
      </c>
      <c r="C118" s="4">
        <v>-25.2164</v>
      </c>
      <c r="D118" s="4">
        <v>30.10209</v>
      </c>
      <c r="E118" s="4">
        <v>1933.082</v>
      </c>
      <c r="F118" s="5" t="s">
        <v>647</v>
      </c>
      <c r="G118" s="5" t="s">
        <v>41</v>
      </c>
      <c r="H118" s="5" t="s">
        <v>45</v>
      </c>
      <c r="I118" s="5" t="s">
        <v>45</v>
      </c>
      <c r="J118" s="3" t="str">
        <f t="shared" si="2"/>
        <v>North</v>
      </c>
      <c r="K118" s="3" t="s">
        <v>808</v>
      </c>
      <c r="L118" s="3">
        <v>2641.07825436113</v>
      </c>
      <c r="M118" s="1">
        <f t="shared" si="3"/>
        <v>2582.955251</v>
      </c>
      <c r="N118" s="3">
        <f t="shared" si="4"/>
        <v>668.5180117</v>
      </c>
      <c r="O118" s="5"/>
      <c r="P118" s="7"/>
      <c r="Q118" s="7"/>
      <c r="R118" s="7"/>
      <c r="S118" s="7"/>
      <c r="T118" s="5"/>
      <c r="U118" s="5"/>
      <c r="V118" s="5" t="s">
        <v>49</v>
      </c>
      <c r="W118" s="5" t="s">
        <v>50</v>
      </c>
      <c r="X118" s="7"/>
      <c r="Y118" s="7"/>
      <c r="Z118" s="7"/>
      <c r="AA118" s="7"/>
      <c r="AB118" s="7"/>
      <c r="AC118" s="7"/>
      <c r="AD118" s="7"/>
      <c r="AE118" s="7"/>
      <c r="AF118" s="7"/>
      <c r="AG118" s="7"/>
      <c r="AH118" s="5" t="s">
        <v>51</v>
      </c>
      <c r="AJ118" s="7"/>
      <c r="AK118" s="5" t="s">
        <v>640</v>
      </c>
      <c r="AL118" s="6"/>
      <c r="AM118" s="6"/>
      <c r="AN118" s="6"/>
    </row>
    <row r="119">
      <c r="A119" s="5" t="s">
        <v>809</v>
      </c>
      <c r="B119" s="3">
        <f t="shared" si="1"/>
        <v>-252.4076256</v>
      </c>
      <c r="C119" s="4">
        <v>-25.2475</v>
      </c>
      <c r="D119" s="4">
        <v>30.07796</v>
      </c>
      <c r="E119" s="4">
        <v>1893.499</v>
      </c>
      <c r="F119" s="5" t="s">
        <v>409</v>
      </c>
      <c r="G119" s="5" t="s">
        <v>41</v>
      </c>
      <c r="H119" s="5" t="s">
        <v>45</v>
      </c>
      <c r="I119" s="5" t="s">
        <v>45</v>
      </c>
      <c r="J119" s="3" t="str">
        <f t="shared" si="2"/>
        <v>South</v>
      </c>
      <c r="K119" s="3" t="s">
        <v>810</v>
      </c>
      <c r="L119" s="3">
        <v>2696.3011639814</v>
      </c>
      <c r="M119" s="1">
        <f t="shared" si="3"/>
        <v>2627.571928</v>
      </c>
      <c r="N119" s="3">
        <f t="shared" si="4"/>
        <v>680.0656574</v>
      </c>
      <c r="O119" s="5"/>
      <c r="P119" s="7"/>
      <c r="Q119" s="7"/>
      <c r="R119" s="7"/>
      <c r="S119" s="7"/>
      <c r="T119" s="5"/>
      <c r="U119" s="5"/>
      <c r="V119" s="5" t="s">
        <v>49</v>
      </c>
      <c r="W119" s="5" t="s">
        <v>50</v>
      </c>
      <c r="X119" s="7"/>
      <c r="Y119" s="7"/>
      <c r="Z119" s="7"/>
      <c r="AA119" s="7"/>
      <c r="AB119" s="7"/>
      <c r="AC119" s="7"/>
      <c r="AD119" s="7"/>
      <c r="AE119" s="7"/>
      <c r="AF119" s="7"/>
      <c r="AG119" s="7"/>
      <c r="AH119" s="5" t="s">
        <v>51</v>
      </c>
      <c r="AJ119" s="7"/>
      <c r="AK119" s="5" t="s">
        <v>242</v>
      </c>
      <c r="AL119" s="6"/>
      <c r="AM119" s="6"/>
      <c r="AN119" s="6"/>
    </row>
    <row r="120">
      <c r="A120" s="5" t="s">
        <v>811</v>
      </c>
      <c r="B120" s="3">
        <f t="shared" si="1"/>
        <v>-252.1865302</v>
      </c>
      <c r="C120" s="4">
        <v>-25.2188</v>
      </c>
      <c r="D120" s="4">
        <v>30.09972</v>
      </c>
      <c r="E120" s="4">
        <v>1928.745</v>
      </c>
      <c r="F120" s="5" t="s">
        <v>503</v>
      </c>
      <c r="G120" s="5" t="s">
        <v>41</v>
      </c>
      <c r="H120" s="5" t="s">
        <v>41</v>
      </c>
      <c r="I120" s="5" t="s">
        <v>42</v>
      </c>
      <c r="J120" s="3" t="str">
        <f t="shared" si="2"/>
        <v>South</v>
      </c>
      <c r="K120" s="3" t="s">
        <v>812</v>
      </c>
      <c r="L120" s="3">
        <v>2687.71127365679</v>
      </c>
      <c r="M120" s="1">
        <f t="shared" si="3"/>
        <v>2628.426175</v>
      </c>
      <c r="N120" s="3">
        <f t="shared" si="4"/>
        <v>680.2867528</v>
      </c>
      <c r="O120" s="5"/>
      <c r="P120" s="7"/>
      <c r="Q120" s="7"/>
      <c r="R120" s="7"/>
      <c r="S120" s="7"/>
      <c r="T120" s="5"/>
      <c r="U120" s="5"/>
      <c r="V120" s="5" t="s">
        <v>49</v>
      </c>
      <c r="W120" s="5" t="s">
        <v>50</v>
      </c>
      <c r="X120" s="7"/>
      <c r="Y120" s="7"/>
      <c r="Z120" s="7"/>
      <c r="AA120" s="7"/>
      <c r="AB120" s="7"/>
      <c r="AC120" s="7"/>
      <c r="AD120" s="7"/>
      <c r="AE120" s="7"/>
      <c r="AF120" s="7"/>
      <c r="AG120" s="7"/>
      <c r="AH120" s="5" t="s">
        <v>51</v>
      </c>
      <c r="AJ120" s="7"/>
      <c r="AK120" s="5" t="s">
        <v>357</v>
      </c>
      <c r="AL120" s="6"/>
      <c r="AM120" s="6"/>
      <c r="AN120" s="6"/>
    </row>
    <row r="121">
      <c r="A121" s="5" t="s">
        <v>813</v>
      </c>
      <c r="B121" s="3">
        <f t="shared" si="1"/>
        <v>-247.6089413</v>
      </c>
      <c r="C121" s="4">
        <v>-25.2195</v>
      </c>
      <c r="D121" s="4">
        <v>30.09891</v>
      </c>
      <c r="E121" s="4">
        <v>1907.017</v>
      </c>
      <c r="F121" s="5" t="s">
        <v>814</v>
      </c>
      <c r="G121" s="5" t="s">
        <v>41</v>
      </c>
      <c r="H121" s="5" t="s">
        <v>45</v>
      </c>
      <c r="I121" s="5" t="s">
        <v>45</v>
      </c>
      <c r="J121" s="3" t="str">
        <f t="shared" si="2"/>
        <v>South</v>
      </c>
      <c r="K121" s="3" t="s">
        <v>815</v>
      </c>
      <c r="L121" s="3">
        <v>2711.219718855</v>
      </c>
      <c r="M121" s="1">
        <f t="shared" si="3"/>
        <v>2646.11262</v>
      </c>
      <c r="N121" s="3">
        <f t="shared" si="4"/>
        <v>684.8643416</v>
      </c>
      <c r="O121" s="5"/>
      <c r="P121" s="7"/>
      <c r="Q121" s="7"/>
      <c r="R121" s="7"/>
      <c r="S121" s="7"/>
      <c r="T121" s="5"/>
      <c r="U121" s="5"/>
      <c r="V121" s="5" t="s">
        <v>49</v>
      </c>
      <c r="W121" s="5" t="s">
        <v>50</v>
      </c>
      <c r="X121" s="7"/>
      <c r="Y121" s="7"/>
      <c r="Z121" s="7"/>
      <c r="AA121" s="7"/>
      <c r="AB121" s="7"/>
      <c r="AC121" s="7"/>
      <c r="AD121" s="7"/>
      <c r="AE121" s="7"/>
      <c r="AF121" s="7"/>
      <c r="AG121" s="7"/>
      <c r="AH121" s="5" t="s">
        <v>51</v>
      </c>
      <c r="AJ121" s="7"/>
      <c r="AK121" s="5" t="s">
        <v>816</v>
      </c>
      <c r="AL121" s="6"/>
      <c r="AM121" s="6"/>
      <c r="AN121" s="6"/>
    </row>
    <row r="122">
      <c r="A122" s="13" t="s">
        <v>481</v>
      </c>
      <c r="B122" s="3">
        <f t="shared" si="1"/>
        <v>-247.5597571</v>
      </c>
      <c r="C122" s="14">
        <v>-25.2143</v>
      </c>
      <c r="D122" s="14">
        <v>30.10287</v>
      </c>
      <c r="E122" s="14">
        <v>1918.959</v>
      </c>
      <c r="F122" s="13" t="s">
        <v>482</v>
      </c>
      <c r="G122" s="13" t="s">
        <v>155</v>
      </c>
      <c r="H122" s="13" t="s">
        <v>483</v>
      </c>
      <c r="I122" s="8" t="s">
        <v>484</v>
      </c>
      <c r="J122" s="3" t="str">
        <f t="shared" si="2"/>
        <v>North</v>
      </c>
      <c r="K122" s="3" t="s">
        <v>487</v>
      </c>
      <c r="L122" s="3">
        <v>2708.20990300531</v>
      </c>
      <c r="M122" s="1">
        <f t="shared" si="3"/>
        <v>2646.302654</v>
      </c>
      <c r="N122" s="3">
        <f t="shared" si="4"/>
        <v>684.9135259</v>
      </c>
      <c r="O122" s="8" t="s">
        <v>491</v>
      </c>
      <c r="P122" s="18" t="s">
        <v>492</v>
      </c>
      <c r="Q122" s="8"/>
      <c r="R122" s="8"/>
      <c r="S122" s="8"/>
      <c r="T122" s="8"/>
      <c r="U122" s="8"/>
      <c r="V122" s="8"/>
      <c r="W122" s="8"/>
      <c r="X122" s="8"/>
      <c r="Y122" s="8"/>
      <c r="Z122" s="8"/>
      <c r="AA122" s="8"/>
      <c r="AB122" s="8"/>
      <c r="AC122" s="8"/>
      <c r="AD122" s="8"/>
      <c r="AE122" s="8"/>
      <c r="AF122" s="8"/>
      <c r="AG122" s="8"/>
      <c r="AH122" s="8"/>
      <c r="AI122" s="8"/>
      <c r="AJ122" s="8"/>
      <c r="AK122" s="8"/>
      <c r="AL122" s="8"/>
      <c r="AM122" s="6"/>
      <c r="AN122" s="6"/>
    </row>
    <row r="123">
      <c r="A123" s="13" t="s">
        <v>142</v>
      </c>
      <c r="B123" s="3">
        <f t="shared" si="1"/>
        <v>-243.7485224</v>
      </c>
      <c r="C123" s="14">
        <v>-25.2474</v>
      </c>
      <c r="D123" s="14">
        <v>30.07764</v>
      </c>
      <c r="E123" s="14">
        <v>1895.229</v>
      </c>
      <c r="F123" s="13" t="s">
        <v>145</v>
      </c>
      <c r="G123" s="15" t="s">
        <v>41</v>
      </c>
      <c r="H123" s="13" t="s">
        <v>45</v>
      </c>
      <c r="I123" s="13" t="s">
        <v>45</v>
      </c>
      <c r="J123" s="3" t="str">
        <f t="shared" si="2"/>
        <v>South</v>
      </c>
      <c r="K123" s="3" t="s">
        <v>146</v>
      </c>
      <c r="L123" s="3">
        <v>2729.2938174519</v>
      </c>
      <c r="M123" s="1">
        <f t="shared" si="3"/>
        <v>2661.028134</v>
      </c>
      <c r="N123" s="3">
        <f t="shared" si="4"/>
        <v>688.7247606</v>
      </c>
      <c r="O123" s="13"/>
      <c r="P123" s="8"/>
      <c r="Q123" s="8"/>
      <c r="R123" s="10">
        <v>320.0</v>
      </c>
      <c r="S123" s="10">
        <v>35.0</v>
      </c>
      <c r="T123" s="10">
        <f>R123-90</f>
        <v>230</v>
      </c>
      <c r="U123" s="12" t="s">
        <v>55</v>
      </c>
      <c r="V123" s="8"/>
      <c r="W123" s="8"/>
      <c r="X123" s="8"/>
      <c r="Y123" s="8"/>
      <c r="Z123" s="8"/>
      <c r="AA123" s="8"/>
      <c r="AB123" s="8"/>
      <c r="AC123" s="8"/>
      <c r="AD123" s="8"/>
      <c r="AE123" s="8"/>
      <c r="AF123" s="8"/>
      <c r="AG123" s="8"/>
      <c r="AH123" s="8"/>
      <c r="AI123" s="8"/>
      <c r="AJ123" s="8"/>
      <c r="AK123" s="8"/>
      <c r="AL123" s="8"/>
      <c r="AM123" s="6"/>
      <c r="AN123" s="6"/>
    </row>
    <row r="124">
      <c r="A124" s="5" t="s">
        <v>817</v>
      </c>
      <c r="B124" s="3">
        <f t="shared" si="1"/>
        <v>-241.6492434</v>
      </c>
      <c r="C124" s="4">
        <v>-25.2161</v>
      </c>
      <c r="D124" s="4">
        <v>30.10128</v>
      </c>
      <c r="E124" s="4">
        <v>1932.038</v>
      </c>
      <c r="F124" s="5" t="s">
        <v>818</v>
      </c>
      <c r="G124" s="5" t="s">
        <v>41</v>
      </c>
      <c r="H124" s="5" t="s">
        <v>45</v>
      </c>
      <c r="I124" s="5" t="s">
        <v>45</v>
      </c>
      <c r="J124" s="3" t="str">
        <f t="shared" si="2"/>
        <v>North</v>
      </c>
      <c r="K124" s="3" t="s">
        <v>819</v>
      </c>
      <c r="L124" s="3">
        <v>2727.5418667775</v>
      </c>
      <c r="M124" s="1">
        <f t="shared" si="3"/>
        <v>2669.139125</v>
      </c>
      <c r="N124" s="3">
        <f t="shared" si="4"/>
        <v>690.8240396</v>
      </c>
      <c r="O124" s="5"/>
      <c r="P124" s="7"/>
      <c r="Q124" s="7"/>
      <c r="R124" s="7"/>
      <c r="S124" s="7"/>
      <c r="T124" s="5"/>
      <c r="U124" s="5"/>
      <c r="V124" s="5" t="s">
        <v>49</v>
      </c>
      <c r="W124" s="5" t="s">
        <v>50</v>
      </c>
      <c r="X124" s="7"/>
      <c r="Y124" s="7"/>
      <c r="Z124" s="7"/>
      <c r="AA124" s="7"/>
      <c r="AB124" s="7"/>
      <c r="AC124" s="7"/>
      <c r="AD124" s="7"/>
      <c r="AE124" s="7"/>
      <c r="AF124" s="7"/>
      <c r="AG124" s="7"/>
      <c r="AH124" s="5" t="s">
        <v>51</v>
      </c>
      <c r="AJ124" s="7"/>
      <c r="AK124" s="5" t="s">
        <v>820</v>
      </c>
      <c r="AL124" s="6"/>
      <c r="AM124" s="6"/>
      <c r="AN124" s="6"/>
    </row>
    <row r="125">
      <c r="A125" s="5" t="s">
        <v>821</v>
      </c>
      <c r="B125" s="3">
        <f t="shared" si="1"/>
        <v>-240.8363913</v>
      </c>
      <c r="C125" s="4">
        <v>-25.2196</v>
      </c>
      <c r="D125" s="4">
        <v>30.09852</v>
      </c>
      <c r="E125" s="4">
        <v>1906.739</v>
      </c>
      <c r="F125" s="5" t="s">
        <v>786</v>
      </c>
      <c r="G125" s="5" t="s">
        <v>41</v>
      </c>
      <c r="H125" s="5" t="s">
        <v>45</v>
      </c>
      <c r="I125" s="5" t="s">
        <v>45</v>
      </c>
      <c r="J125" s="3" t="str">
        <f t="shared" si="2"/>
        <v>South</v>
      </c>
      <c r="K125" s="3" t="s">
        <v>822</v>
      </c>
      <c r="L125" s="3">
        <v>2737.46133274579</v>
      </c>
      <c r="M125" s="1">
        <f t="shared" si="3"/>
        <v>2672.279744</v>
      </c>
      <c r="N125" s="3">
        <f t="shared" si="4"/>
        <v>691.6368917</v>
      </c>
      <c r="O125" s="5"/>
      <c r="P125" s="7"/>
      <c r="Q125" s="7"/>
      <c r="R125" s="7"/>
      <c r="S125" s="7"/>
      <c r="T125" s="5"/>
      <c r="U125" s="5"/>
      <c r="V125" s="5" t="s">
        <v>49</v>
      </c>
      <c r="W125" s="5" t="s">
        <v>50</v>
      </c>
      <c r="X125" s="7"/>
      <c r="Y125" s="7"/>
      <c r="Z125" s="7"/>
      <c r="AA125" s="7"/>
      <c r="AB125" s="7"/>
      <c r="AC125" s="7"/>
      <c r="AD125" s="7"/>
      <c r="AE125" s="7"/>
      <c r="AF125" s="7"/>
      <c r="AG125" s="7"/>
      <c r="AH125" s="5" t="s">
        <v>51</v>
      </c>
      <c r="AJ125" s="7"/>
      <c r="AK125" s="5" t="s">
        <v>823</v>
      </c>
      <c r="AL125" s="6"/>
      <c r="AM125" s="6"/>
      <c r="AN125" s="6"/>
    </row>
    <row r="126">
      <c r="A126" s="5" t="s">
        <v>824</v>
      </c>
      <c r="B126" s="3">
        <f t="shared" si="1"/>
        <v>-232.7634756</v>
      </c>
      <c r="C126" s="4">
        <v>-25.2197</v>
      </c>
      <c r="D126" s="4">
        <v>30.09807</v>
      </c>
      <c r="E126" s="4">
        <v>1906.53</v>
      </c>
      <c r="F126" s="5" t="s">
        <v>816</v>
      </c>
      <c r="G126" s="5" t="s">
        <v>41</v>
      </c>
      <c r="H126" s="5" t="s">
        <v>45</v>
      </c>
      <c r="I126" s="5" t="s">
        <v>45</v>
      </c>
      <c r="J126" s="3" t="str">
        <f t="shared" si="2"/>
        <v>South</v>
      </c>
      <c r="K126" s="3" t="s">
        <v>825</v>
      </c>
      <c r="L126" s="3">
        <v>2768.7086850263</v>
      </c>
      <c r="M126" s="1">
        <f t="shared" si="3"/>
        <v>2703.471095</v>
      </c>
      <c r="N126" s="3">
        <f t="shared" si="4"/>
        <v>699.7098073</v>
      </c>
      <c r="O126" s="5"/>
      <c r="P126" s="7"/>
      <c r="Q126" s="7"/>
      <c r="R126" s="7"/>
      <c r="S126" s="7"/>
      <c r="T126" s="5"/>
      <c r="U126" s="5"/>
      <c r="V126" s="5" t="s">
        <v>49</v>
      </c>
      <c r="W126" s="5" t="s">
        <v>50</v>
      </c>
      <c r="X126" s="7"/>
      <c r="Y126" s="7"/>
      <c r="Z126" s="7"/>
      <c r="AA126" s="7"/>
      <c r="AB126" s="7"/>
      <c r="AC126" s="7"/>
      <c r="AD126" s="7"/>
      <c r="AE126" s="7"/>
      <c r="AF126" s="7"/>
      <c r="AG126" s="7"/>
      <c r="AH126" s="5" t="s">
        <v>51</v>
      </c>
      <c r="AJ126" s="7"/>
      <c r="AK126" s="5" t="s">
        <v>826</v>
      </c>
      <c r="AL126" s="6"/>
      <c r="AM126" s="6"/>
      <c r="AN126" s="6"/>
    </row>
    <row r="127">
      <c r="A127" s="5" t="s">
        <v>827</v>
      </c>
      <c r="B127" s="3">
        <f t="shared" si="1"/>
        <v>-229.3732085</v>
      </c>
      <c r="C127" s="4">
        <v>-25.2139</v>
      </c>
      <c r="D127" s="4">
        <v>30.10229</v>
      </c>
      <c r="E127" s="4">
        <v>1906.631</v>
      </c>
      <c r="F127" s="5" t="s">
        <v>828</v>
      </c>
      <c r="G127" s="5" t="s">
        <v>155</v>
      </c>
      <c r="H127" s="5" t="s">
        <v>41</v>
      </c>
      <c r="I127" s="5" t="s">
        <v>157</v>
      </c>
      <c r="J127" s="3" t="str">
        <f t="shared" si="2"/>
        <v>North</v>
      </c>
      <c r="K127" s="3" t="s">
        <v>829</v>
      </c>
      <c r="L127" s="3">
        <v>2781.78060853999</v>
      </c>
      <c r="M127" s="1">
        <f t="shared" si="3"/>
        <v>2716.570082</v>
      </c>
      <c r="N127" s="3">
        <f t="shared" si="4"/>
        <v>703.1000745</v>
      </c>
      <c r="O127" s="5"/>
      <c r="P127" s="7"/>
      <c r="Q127" s="7"/>
      <c r="R127" s="7"/>
      <c r="S127" s="7"/>
      <c r="T127" s="5"/>
      <c r="U127" s="5"/>
      <c r="V127" s="5" t="s">
        <v>49</v>
      </c>
      <c r="W127" s="5" t="s">
        <v>50</v>
      </c>
      <c r="X127" s="7"/>
      <c r="Y127" s="7"/>
      <c r="Z127" s="7"/>
      <c r="AA127" s="7"/>
      <c r="AB127" s="7"/>
      <c r="AC127" s="7"/>
      <c r="AD127" s="7"/>
      <c r="AE127" s="7"/>
      <c r="AF127" s="7"/>
      <c r="AG127" s="7"/>
      <c r="AH127" s="5" t="s">
        <v>51</v>
      </c>
      <c r="AJ127" s="7"/>
      <c r="AK127" s="5" t="s">
        <v>565</v>
      </c>
      <c r="AL127" s="6"/>
      <c r="AM127" s="6"/>
      <c r="AN127" s="6"/>
    </row>
    <row r="128">
      <c r="A128" s="5" t="s">
        <v>830</v>
      </c>
      <c r="B128" s="3">
        <f t="shared" si="1"/>
        <v>-223.3587654</v>
      </c>
      <c r="C128" s="4">
        <v>-25.2195</v>
      </c>
      <c r="D128" s="4">
        <v>30.09777</v>
      </c>
      <c r="E128" s="4">
        <v>1901.743</v>
      </c>
      <c r="F128" s="5" t="s">
        <v>258</v>
      </c>
      <c r="G128" s="5" t="s">
        <v>41</v>
      </c>
      <c r="H128" s="5" t="s">
        <v>41</v>
      </c>
      <c r="I128" s="5" t="s">
        <v>42</v>
      </c>
      <c r="J128" s="3" t="str">
        <f t="shared" si="2"/>
        <v>South</v>
      </c>
      <c r="K128" s="3" t="s">
        <v>831</v>
      </c>
      <c r="L128" s="3">
        <v>2806.32836798662</v>
      </c>
      <c r="M128" s="1">
        <f t="shared" si="3"/>
        <v>2739.808105</v>
      </c>
      <c r="N128" s="3">
        <f t="shared" si="4"/>
        <v>709.1145176</v>
      </c>
      <c r="O128" s="5"/>
      <c r="P128" s="7"/>
      <c r="Q128" s="7"/>
      <c r="R128" s="7"/>
      <c r="S128" s="7"/>
      <c r="T128" s="5"/>
      <c r="U128" s="5"/>
      <c r="V128" s="5" t="s">
        <v>49</v>
      </c>
      <c r="W128" s="5" t="s">
        <v>50</v>
      </c>
      <c r="X128" s="7"/>
      <c r="Y128" s="7"/>
      <c r="Z128" s="7"/>
      <c r="AA128" s="7"/>
      <c r="AB128" s="7"/>
      <c r="AC128" s="7"/>
      <c r="AD128" s="7"/>
      <c r="AE128" s="7"/>
      <c r="AF128" s="7"/>
      <c r="AG128" s="7"/>
      <c r="AH128" s="5" t="s">
        <v>51</v>
      </c>
      <c r="AJ128" s="7"/>
      <c r="AK128" s="5" t="s">
        <v>721</v>
      </c>
      <c r="AL128" s="6"/>
      <c r="AM128" s="6"/>
      <c r="AN128" s="6"/>
    </row>
    <row r="129">
      <c r="A129" s="13" t="s">
        <v>152</v>
      </c>
      <c r="B129" s="3">
        <f t="shared" si="1"/>
        <v>-217.9652868</v>
      </c>
      <c r="C129" s="14">
        <v>-25.2135</v>
      </c>
      <c r="D129" s="14">
        <v>30.10206</v>
      </c>
      <c r="E129" s="14">
        <v>1905.534</v>
      </c>
      <c r="F129" s="13" t="s">
        <v>154</v>
      </c>
      <c r="G129" s="8" t="s">
        <v>155</v>
      </c>
      <c r="H129" s="8" t="s">
        <v>155</v>
      </c>
      <c r="I129" s="8" t="s">
        <v>157</v>
      </c>
      <c r="J129" s="3" t="str">
        <f t="shared" si="2"/>
        <v>North</v>
      </c>
      <c r="K129" s="3" t="s">
        <v>159</v>
      </c>
      <c r="L129" s="3">
        <v>2826.15137346887</v>
      </c>
      <c r="M129" s="1">
        <f t="shared" si="3"/>
        <v>2760.646906</v>
      </c>
      <c r="N129" s="3">
        <f t="shared" si="4"/>
        <v>714.5079961</v>
      </c>
      <c r="O129" s="8" t="s">
        <v>162</v>
      </c>
      <c r="P129" s="8" t="s">
        <v>163</v>
      </c>
      <c r="Q129" s="20">
        <v>73.0</v>
      </c>
      <c r="R129" s="20">
        <v>270.0</v>
      </c>
      <c r="S129" s="20">
        <v>10.0</v>
      </c>
      <c r="T129" s="10">
        <f>R129-90</f>
        <v>180</v>
      </c>
      <c r="U129" s="12" t="s">
        <v>55</v>
      </c>
      <c r="V129" s="8"/>
      <c r="W129" s="8"/>
      <c r="X129" s="8"/>
      <c r="Y129" s="8"/>
      <c r="Z129" s="8"/>
      <c r="AA129" s="8"/>
      <c r="AB129" s="8"/>
      <c r="AC129" s="8"/>
      <c r="AD129" s="8"/>
      <c r="AE129" s="8"/>
      <c r="AF129" s="8"/>
      <c r="AG129" s="8"/>
      <c r="AH129" s="8"/>
      <c r="AI129" s="8"/>
      <c r="AJ129" s="10">
        <v>0.0</v>
      </c>
      <c r="AK129" s="8"/>
      <c r="AL129" s="8"/>
      <c r="AM129" s="6"/>
      <c r="AN129" s="6"/>
    </row>
    <row r="130">
      <c r="A130" s="5" t="s">
        <v>832</v>
      </c>
      <c r="B130" s="3">
        <f t="shared" si="1"/>
        <v>-215.0898794</v>
      </c>
      <c r="C130" s="4">
        <v>-25.2161</v>
      </c>
      <c r="D130" s="4">
        <v>30.10002</v>
      </c>
      <c r="E130" s="4">
        <v>1922.698</v>
      </c>
      <c r="F130" s="5" t="s">
        <v>757</v>
      </c>
      <c r="G130" s="5" t="s">
        <v>41</v>
      </c>
      <c r="H130" s="5" t="s">
        <v>45</v>
      </c>
      <c r="I130" s="5" t="s">
        <v>45</v>
      </c>
      <c r="J130" s="3" t="str">
        <f t="shared" si="2"/>
        <v>North</v>
      </c>
      <c r="K130" s="3" t="s">
        <v>833</v>
      </c>
      <c r="L130" s="3">
        <v>2832.66201448444</v>
      </c>
      <c r="M130" s="1">
        <f t="shared" si="3"/>
        <v>2771.756627</v>
      </c>
      <c r="N130" s="3">
        <f t="shared" si="4"/>
        <v>717.3834035</v>
      </c>
      <c r="O130" s="5"/>
      <c r="P130" s="7"/>
      <c r="Q130" s="7"/>
      <c r="R130" s="7"/>
      <c r="S130" s="7"/>
      <c r="T130" s="5"/>
      <c r="U130" s="5"/>
      <c r="V130" s="5" t="s">
        <v>49</v>
      </c>
      <c r="W130" s="5" t="s">
        <v>50</v>
      </c>
      <c r="X130" s="7"/>
      <c r="Y130" s="7"/>
      <c r="Z130" s="7"/>
      <c r="AA130" s="7"/>
      <c r="AB130" s="7"/>
      <c r="AC130" s="7"/>
      <c r="AD130" s="7"/>
      <c r="AE130" s="7"/>
      <c r="AF130" s="7"/>
      <c r="AG130" s="7"/>
      <c r="AH130" s="5" t="s">
        <v>51</v>
      </c>
      <c r="AJ130" s="7"/>
      <c r="AK130" s="5" t="s">
        <v>205</v>
      </c>
      <c r="AL130" s="6"/>
      <c r="AM130" s="6"/>
      <c r="AN130" s="6"/>
    </row>
    <row r="131">
      <c r="A131" s="5" t="s">
        <v>834</v>
      </c>
      <c r="B131" s="3">
        <f t="shared" si="1"/>
        <v>-214.3101945</v>
      </c>
      <c r="C131" s="4">
        <v>-25.2474</v>
      </c>
      <c r="D131" s="4">
        <v>30.07621</v>
      </c>
      <c r="E131" s="4">
        <v>1874.471</v>
      </c>
      <c r="F131" s="5" t="s">
        <v>835</v>
      </c>
      <c r="G131" s="5" t="s">
        <v>41</v>
      </c>
      <c r="H131" s="5" t="s">
        <v>45</v>
      </c>
      <c r="I131" s="5" t="s">
        <v>45</v>
      </c>
      <c r="J131" s="3" t="str">
        <f t="shared" si="2"/>
        <v>South</v>
      </c>
      <c r="K131" s="3" t="s">
        <v>836</v>
      </c>
      <c r="L131" s="3">
        <v>2848.59687132572</v>
      </c>
      <c r="M131" s="1">
        <f t="shared" si="3"/>
        <v>2774.769098</v>
      </c>
      <c r="N131" s="3">
        <f t="shared" si="4"/>
        <v>718.1630884</v>
      </c>
      <c r="O131" s="5"/>
      <c r="P131" s="7"/>
      <c r="Q131" s="7"/>
      <c r="R131" s="7"/>
      <c r="S131" s="7"/>
      <c r="T131" s="5"/>
      <c r="U131" s="5"/>
      <c r="V131" s="5" t="s">
        <v>49</v>
      </c>
      <c r="W131" s="5" t="s">
        <v>50</v>
      </c>
      <c r="X131" s="7"/>
      <c r="Y131" s="7"/>
      <c r="Z131" s="7"/>
      <c r="AA131" s="7"/>
      <c r="AB131" s="7"/>
      <c r="AC131" s="7"/>
      <c r="AD131" s="7"/>
      <c r="AE131" s="7"/>
      <c r="AF131" s="7"/>
      <c r="AG131" s="7"/>
      <c r="AH131" s="5" t="s">
        <v>51</v>
      </c>
      <c r="AJ131" s="7"/>
      <c r="AK131" s="5" t="s">
        <v>814</v>
      </c>
      <c r="AL131" s="6"/>
      <c r="AM131" s="6"/>
      <c r="AN131" s="6"/>
    </row>
    <row r="132">
      <c r="A132" s="5" t="s">
        <v>837</v>
      </c>
      <c r="B132" s="3">
        <f t="shared" si="1"/>
        <v>-213.3987031</v>
      </c>
      <c r="C132" s="4">
        <v>-25.2189</v>
      </c>
      <c r="D132" s="4">
        <v>30.09779</v>
      </c>
      <c r="E132" s="4">
        <v>1910.618</v>
      </c>
      <c r="F132" s="5" t="s">
        <v>726</v>
      </c>
      <c r="G132" s="5" t="s">
        <v>41</v>
      </c>
      <c r="H132" s="5" t="s">
        <v>41</v>
      </c>
      <c r="I132" s="5" t="s">
        <v>42</v>
      </c>
      <c r="J132" s="3" t="str">
        <f t="shared" si="2"/>
        <v>South</v>
      </c>
      <c r="K132" s="3" t="s">
        <v>838</v>
      </c>
      <c r="L132" s="3">
        <v>2842.43304430405</v>
      </c>
      <c r="M132" s="1">
        <f t="shared" si="3"/>
        <v>2778.290831</v>
      </c>
      <c r="N132" s="3">
        <f t="shared" si="4"/>
        <v>719.0745798</v>
      </c>
      <c r="O132" s="5"/>
      <c r="P132" s="7"/>
      <c r="Q132" s="7"/>
      <c r="R132" s="7"/>
      <c r="S132" s="7"/>
      <c r="T132" s="5"/>
      <c r="U132" s="5"/>
      <c r="V132" s="5" t="s">
        <v>49</v>
      </c>
      <c r="W132" s="5" t="s">
        <v>50</v>
      </c>
      <c r="X132" s="7"/>
      <c r="Y132" s="7"/>
      <c r="Z132" s="7"/>
      <c r="AA132" s="7"/>
      <c r="AB132" s="7"/>
      <c r="AC132" s="7"/>
      <c r="AD132" s="7"/>
      <c r="AE132" s="7"/>
      <c r="AF132" s="7"/>
      <c r="AG132" s="7"/>
      <c r="AH132" s="5" t="s">
        <v>51</v>
      </c>
      <c r="AJ132" s="7"/>
      <c r="AK132" s="5" t="s">
        <v>839</v>
      </c>
      <c r="AL132" s="6"/>
      <c r="AM132" s="6"/>
      <c r="AN132" s="6"/>
    </row>
    <row r="133">
      <c r="A133" s="5" t="s">
        <v>840</v>
      </c>
      <c r="B133" s="3">
        <f t="shared" si="1"/>
        <v>-213.3603445</v>
      </c>
      <c r="C133" s="4">
        <v>-25.2191</v>
      </c>
      <c r="D133" s="4">
        <v>30.09763</v>
      </c>
      <c r="E133" s="4">
        <v>1908.344</v>
      </c>
      <c r="F133" s="5" t="s">
        <v>823</v>
      </c>
      <c r="G133" s="5" t="s">
        <v>41</v>
      </c>
      <c r="H133" s="5" t="s">
        <v>45</v>
      </c>
      <c r="I133" s="5" t="s">
        <v>45</v>
      </c>
      <c r="J133" s="3" t="str">
        <f t="shared" si="2"/>
        <v>South</v>
      </c>
      <c r="K133" s="3" t="s">
        <v>841</v>
      </c>
      <c r="L133" s="3">
        <v>2843.19056713083</v>
      </c>
      <c r="M133" s="1">
        <f t="shared" si="3"/>
        <v>2778.439037</v>
      </c>
      <c r="N133" s="3">
        <f t="shared" si="4"/>
        <v>719.1129385</v>
      </c>
      <c r="O133" s="5"/>
      <c r="P133" s="7"/>
      <c r="Q133" s="7"/>
      <c r="R133" s="7"/>
      <c r="S133" s="7"/>
      <c r="T133" s="5"/>
      <c r="U133" s="5"/>
      <c r="V133" s="5" t="s">
        <v>49</v>
      </c>
      <c r="W133" s="5" t="s">
        <v>50</v>
      </c>
      <c r="X133" s="7"/>
      <c r="Y133" s="7"/>
      <c r="Z133" s="7"/>
      <c r="AA133" s="7"/>
      <c r="AB133" s="7"/>
      <c r="AC133" s="7"/>
      <c r="AD133" s="7"/>
      <c r="AE133" s="7"/>
      <c r="AF133" s="7"/>
      <c r="AG133" s="7"/>
      <c r="AH133" s="5" t="s">
        <v>51</v>
      </c>
      <c r="AJ133" s="7"/>
      <c r="AK133" s="5" t="s">
        <v>842</v>
      </c>
      <c r="AL133" s="6"/>
      <c r="AM133" s="6"/>
      <c r="AN133" s="6"/>
    </row>
    <row r="134">
      <c r="A134" s="5" t="s">
        <v>843</v>
      </c>
      <c r="B134" s="3">
        <f t="shared" si="1"/>
        <v>-211.2666719</v>
      </c>
      <c r="C134" s="4">
        <v>-25.2188</v>
      </c>
      <c r="D134" s="4">
        <v>30.09778</v>
      </c>
      <c r="E134" s="4">
        <v>1914.752</v>
      </c>
      <c r="F134" s="5" t="s">
        <v>826</v>
      </c>
      <c r="G134" s="5" t="s">
        <v>41</v>
      </c>
      <c r="H134" s="5" t="s">
        <v>45</v>
      </c>
      <c r="I134" s="5" t="s">
        <v>45</v>
      </c>
      <c r="J134" s="3" t="str">
        <f t="shared" si="2"/>
        <v>South</v>
      </c>
      <c r="K134" s="3" t="s">
        <v>844</v>
      </c>
      <c r="L134" s="3">
        <v>2849.56287848026</v>
      </c>
      <c r="M134" s="1">
        <f t="shared" si="3"/>
        <v>2786.528367</v>
      </c>
      <c r="N134" s="3">
        <f t="shared" si="4"/>
        <v>721.2066111</v>
      </c>
      <c r="O134" s="5"/>
      <c r="P134" s="7"/>
      <c r="Q134" s="7"/>
      <c r="R134" s="7"/>
      <c r="S134" s="7"/>
      <c r="T134" s="5"/>
      <c r="U134" s="5"/>
      <c r="V134" s="5" t="s">
        <v>49</v>
      </c>
      <c r="W134" s="5" t="s">
        <v>50</v>
      </c>
      <c r="X134" s="7"/>
      <c r="Y134" s="7"/>
      <c r="Z134" s="7"/>
      <c r="AA134" s="7"/>
      <c r="AB134" s="7"/>
      <c r="AC134" s="7"/>
      <c r="AD134" s="7"/>
      <c r="AE134" s="7"/>
      <c r="AF134" s="7"/>
      <c r="AG134" s="7"/>
      <c r="AH134" s="5" t="s">
        <v>51</v>
      </c>
      <c r="AJ134" s="7"/>
      <c r="AK134" s="5" t="s">
        <v>845</v>
      </c>
      <c r="AL134" s="6"/>
      <c r="AM134" s="6"/>
      <c r="AN134" s="6"/>
    </row>
    <row r="135">
      <c r="A135" s="5" t="s">
        <v>846</v>
      </c>
      <c r="B135" s="3">
        <f t="shared" si="1"/>
        <v>-208.8330022</v>
      </c>
      <c r="C135" s="4">
        <v>-25.2186</v>
      </c>
      <c r="D135" s="4">
        <v>30.0978</v>
      </c>
      <c r="E135" s="4">
        <v>1909.081</v>
      </c>
      <c r="F135" s="5" t="s">
        <v>664</v>
      </c>
      <c r="G135" s="5" t="s">
        <v>41</v>
      </c>
      <c r="H135" s="5" t="s">
        <v>41</v>
      </c>
      <c r="I135" s="5" t="s">
        <v>42</v>
      </c>
      <c r="J135" s="3" t="str">
        <f t="shared" si="2"/>
        <v>South</v>
      </c>
      <c r="K135" s="3" t="s">
        <v>847</v>
      </c>
      <c r="L135" s="3">
        <v>2860.48539594335</v>
      </c>
      <c r="M135" s="1">
        <f t="shared" si="3"/>
        <v>2795.931344</v>
      </c>
      <c r="N135" s="3">
        <f t="shared" si="4"/>
        <v>723.6402807</v>
      </c>
      <c r="O135" s="5"/>
      <c r="P135" s="7"/>
      <c r="Q135" s="7"/>
      <c r="R135" s="7"/>
      <c r="S135" s="7"/>
      <c r="T135" s="5"/>
      <c r="U135" s="5"/>
      <c r="V135" s="5" t="s">
        <v>49</v>
      </c>
      <c r="W135" s="5" t="s">
        <v>50</v>
      </c>
      <c r="X135" s="7"/>
      <c r="Y135" s="7"/>
      <c r="Z135" s="7"/>
      <c r="AA135" s="7"/>
      <c r="AB135" s="7"/>
      <c r="AC135" s="7"/>
      <c r="AD135" s="7"/>
      <c r="AE135" s="7"/>
      <c r="AF135" s="7"/>
      <c r="AG135" s="7"/>
      <c r="AH135" s="5" t="s">
        <v>51</v>
      </c>
      <c r="AJ135" s="7"/>
      <c r="AK135" s="5" t="s">
        <v>848</v>
      </c>
      <c r="AL135" s="6"/>
      <c r="AM135" s="6"/>
      <c r="AN135" s="6"/>
    </row>
    <row r="136">
      <c r="A136" s="5" t="s">
        <v>849</v>
      </c>
      <c r="B136" s="3">
        <f t="shared" si="1"/>
        <v>-205.132871</v>
      </c>
      <c r="C136" s="4">
        <v>-25.2185</v>
      </c>
      <c r="D136" s="4">
        <v>30.09772</v>
      </c>
      <c r="E136" s="4">
        <v>1914.031</v>
      </c>
      <c r="F136" s="5" t="s">
        <v>842</v>
      </c>
      <c r="G136" s="5" t="s">
        <v>41</v>
      </c>
      <c r="H136" s="5" t="s">
        <v>45</v>
      </c>
      <c r="I136" s="5" t="s">
        <v>45</v>
      </c>
      <c r="J136" s="3" t="str">
        <f t="shared" si="2"/>
        <v>South</v>
      </c>
      <c r="K136" s="3" t="s">
        <v>850</v>
      </c>
      <c r="L136" s="3">
        <v>2873.45525643768</v>
      </c>
      <c r="M136" s="1">
        <f t="shared" si="3"/>
        <v>2810.227553</v>
      </c>
      <c r="N136" s="3">
        <f t="shared" si="4"/>
        <v>727.3404119</v>
      </c>
      <c r="O136" s="5"/>
      <c r="P136" s="7"/>
      <c r="Q136" s="7"/>
      <c r="R136" s="7"/>
      <c r="S136" s="7"/>
      <c r="T136" s="5"/>
      <c r="U136" s="5"/>
      <c r="V136" s="5" t="s">
        <v>49</v>
      </c>
      <c r="W136" s="5" t="s">
        <v>50</v>
      </c>
      <c r="X136" s="7"/>
      <c r="Y136" s="7"/>
      <c r="Z136" s="7"/>
      <c r="AA136" s="7"/>
      <c r="AB136" s="7"/>
      <c r="AC136" s="7"/>
      <c r="AD136" s="7"/>
      <c r="AE136" s="7"/>
      <c r="AF136" s="7"/>
      <c r="AG136" s="7"/>
      <c r="AH136" s="5" t="s">
        <v>51</v>
      </c>
      <c r="AJ136" s="7"/>
      <c r="AK136" s="5" t="s">
        <v>231</v>
      </c>
      <c r="AL136" s="6"/>
      <c r="AM136" s="6"/>
      <c r="AN136" s="6"/>
    </row>
    <row r="137">
      <c r="A137" s="13" t="s">
        <v>504</v>
      </c>
      <c r="B137" s="3">
        <f t="shared" si="1"/>
        <v>-204.194103</v>
      </c>
      <c r="C137" s="14">
        <v>-25.2467</v>
      </c>
      <c r="D137" s="14">
        <v>30.07624</v>
      </c>
      <c r="E137" s="14">
        <v>1865.214</v>
      </c>
      <c r="F137" s="13" t="s">
        <v>505</v>
      </c>
      <c r="G137" s="15" t="s">
        <v>41</v>
      </c>
      <c r="H137" s="13" t="s">
        <v>111</v>
      </c>
      <c r="I137" s="15" t="s">
        <v>506</v>
      </c>
      <c r="J137" s="3" t="str">
        <f t="shared" si="2"/>
        <v>South</v>
      </c>
      <c r="K137" s="3" t="s">
        <v>507</v>
      </c>
      <c r="L137" s="3">
        <v>2890.1628533361</v>
      </c>
      <c r="M137" s="1">
        <f t="shared" si="3"/>
        <v>2813.854675</v>
      </c>
      <c r="N137" s="3">
        <f t="shared" si="4"/>
        <v>728.2791799</v>
      </c>
      <c r="O137" s="13" t="s">
        <v>508</v>
      </c>
      <c r="P137" s="9" t="s">
        <v>509</v>
      </c>
      <c r="Q137" s="22">
        <v>9.9100101102E10</v>
      </c>
      <c r="R137" s="8"/>
      <c r="S137" s="8"/>
      <c r="T137" s="8"/>
      <c r="U137" s="8"/>
      <c r="V137" s="8"/>
      <c r="W137" s="8"/>
      <c r="X137" s="8"/>
      <c r="Y137" s="8"/>
      <c r="Z137" s="8"/>
      <c r="AA137" s="8"/>
      <c r="AB137" s="8"/>
      <c r="AC137" s="8"/>
      <c r="AD137" s="8"/>
      <c r="AE137" s="8"/>
      <c r="AF137" s="8"/>
      <c r="AG137" s="8"/>
      <c r="AH137" s="8"/>
      <c r="AI137" s="8"/>
      <c r="AJ137" s="8"/>
      <c r="AK137" s="8"/>
      <c r="AL137" s="8"/>
      <c r="AM137" s="6"/>
      <c r="AN137" s="6"/>
    </row>
    <row r="138">
      <c r="A138" s="5" t="s">
        <v>851</v>
      </c>
      <c r="B138" s="3">
        <f t="shared" si="1"/>
        <v>-200.1818392</v>
      </c>
      <c r="C138" s="4">
        <v>-25.2186</v>
      </c>
      <c r="D138" s="4">
        <v>30.09741</v>
      </c>
      <c r="E138" s="4">
        <v>1912.396</v>
      </c>
      <c r="F138" s="5" t="s">
        <v>845</v>
      </c>
      <c r="G138" s="5" t="s">
        <v>41</v>
      </c>
      <c r="H138" s="5" t="s">
        <v>45</v>
      </c>
      <c r="I138" s="5" t="s">
        <v>45</v>
      </c>
      <c r="J138" s="3" t="str">
        <f t="shared" si="2"/>
        <v>South</v>
      </c>
      <c r="K138" s="3" t="s">
        <v>852</v>
      </c>
      <c r="L138" s="3">
        <v>2893.02267123732</v>
      </c>
      <c r="M138" s="1">
        <f t="shared" si="3"/>
        <v>2829.356871</v>
      </c>
      <c r="N138" s="3">
        <f t="shared" si="4"/>
        <v>732.2914437</v>
      </c>
      <c r="O138" s="5"/>
      <c r="P138" s="7"/>
      <c r="Q138" s="7"/>
      <c r="R138" s="7"/>
      <c r="S138" s="7"/>
      <c r="T138" s="5"/>
      <c r="U138" s="5"/>
      <c r="V138" s="5" t="s">
        <v>49</v>
      </c>
      <c r="W138" s="5" t="s">
        <v>50</v>
      </c>
      <c r="X138" s="7"/>
      <c r="Y138" s="7"/>
      <c r="Z138" s="7"/>
      <c r="AA138" s="7"/>
      <c r="AB138" s="7"/>
      <c r="AC138" s="7"/>
      <c r="AD138" s="7"/>
      <c r="AE138" s="7"/>
      <c r="AF138" s="7"/>
      <c r="AG138" s="7"/>
      <c r="AH138" s="5" t="s">
        <v>51</v>
      </c>
      <c r="AJ138" s="7"/>
      <c r="AK138" s="5" t="s">
        <v>853</v>
      </c>
      <c r="AL138" s="6"/>
      <c r="AM138" s="6"/>
      <c r="AN138" s="6"/>
    </row>
    <row r="139">
      <c r="A139" s="5" t="s">
        <v>854</v>
      </c>
      <c r="B139" s="3">
        <f t="shared" si="1"/>
        <v>-198.596046</v>
      </c>
      <c r="C139" s="4">
        <v>-25.2465</v>
      </c>
      <c r="D139" s="4">
        <v>30.07613</v>
      </c>
      <c r="E139" s="4">
        <v>1864.695</v>
      </c>
      <c r="F139" s="5" t="s">
        <v>363</v>
      </c>
      <c r="G139" s="5" t="s">
        <v>41</v>
      </c>
      <c r="H139" s="5" t="s">
        <v>41</v>
      </c>
      <c r="I139" s="5" t="s">
        <v>42</v>
      </c>
      <c r="J139" s="3" t="str">
        <f t="shared" si="2"/>
        <v>South</v>
      </c>
      <c r="K139" s="3" t="s">
        <v>855</v>
      </c>
      <c r="L139" s="3">
        <v>2911.9311503565</v>
      </c>
      <c r="M139" s="1">
        <f t="shared" si="3"/>
        <v>2835.483906</v>
      </c>
      <c r="N139" s="3">
        <f t="shared" si="4"/>
        <v>733.877237</v>
      </c>
      <c r="O139" s="5"/>
      <c r="P139" s="7"/>
      <c r="Q139" s="7"/>
      <c r="R139" s="7"/>
      <c r="S139" s="7"/>
      <c r="T139" s="5"/>
      <c r="U139" s="5"/>
      <c r="V139" s="5" t="s">
        <v>49</v>
      </c>
      <c r="W139" s="5" t="s">
        <v>50</v>
      </c>
      <c r="X139" s="7"/>
      <c r="Y139" s="7"/>
      <c r="Z139" s="7"/>
      <c r="AA139" s="7"/>
      <c r="AB139" s="7"/>
      <c r="AC139" s="7"/>
      <c r="AD139" s="7"/>
      <c r="AE139" s="7"/>
      <c r="AF139" s="7"/>
      <c r="AG139" s="7"/>
      <c r="AH139" s="5" t="s">
        <v>51</v>
      </c>
      <c r="AJ139" s="7"/>
      <c r="AK139" s="5" t="s">
        <v>660</v>
      </c>
      <c r="AL139" s="6"/>
      <c r="AM139" s="6"/>
      <c r="AN139" s="6"/>
    </row>
    <row r="140">
      <c r="A140" s="13" t="s">
        <v>168</v>
      </c>
      <c r="B140" s="3">
        <f t="shared" si="1"/>
        <v>-197.2570762</v>
      </c>
      <c r="C140" s="14">
        <v>-25.2122</v>
      </c>
      <c r="D140" s="14">
        <v>30.10208</v>
      </c>
      <c r="E140" s="14">
        <v>1904.925</v>
      </c>
      <c r="F140" s="13" t="s">
        <v>171</v>
      </c>
      <c r="G140" s="8" t="s">
        <v>155</v>
      </c>
      <c r="H140" s="8" t="s">
        <v>155</v>
      </c>
      <c r="I140" s="8" t="s">
        <v>157</v>
      </c>
      <c r="J140" s="3" t="str">
        <f t="shared" si="2"/>
        <v>North</v>
      </c>
      <c r="K140" s="3" t="s">
        <v>175</v>
      </c>
      <c r="L140" s="3">
        <v>2906.32493647349</v>
      </c>
      <c r="M140" s="1">
        <f t="shared" si="3"/>
        <v>2840.657288</v>
      </c>
      <c r="N140" s="3">
        <f t="shared" si="4"/>
        <v>735.2162068</v>
      </c>
      <c r="O140" s="8" t="s">
        <v>162</v>
      </c>
      <c r="P140" s="8" t="s">
        <v>182</v>
      </c>
      <c r="Q140" s="8" t="s">
        <v>183</v>
      </c>
      <c r="R140" s="20">
        <v>320.0</v>
      </c>
      <c r="S140" s="20">
        <v>15.0</v>
      </c>
      <c r="T140" s="10">
        <f>R140-90</f>
        <v>230</v>
      </c>
      <c r="U140" s="12" t="s">
        <v>139</v>
      </c>
      <c r="V140" s="8"/>
      <c r="W140" s="8"/>
      <c r="X140" s="8"/>
      <c r="Y140" s="8"/>
      <c r="Z140" s="8"/>
      <c r="AA140" s="8"/>
      <c r="AB140" s="8"/>
      <c r="AC140" s="8"/>
      <c r="AD140" s="8"/>
      <c r="AE140" s="8"/>
      <c r="AF140" s="8"/>
      <c r="AG140" s="8"/>
      <c r="AH140" s="8"/>
      <c r="AI140" s="8"/>
      <c r="AJ140" s="10">
        <v>1.0</v>
      </c>
      <c r="AK140" s="8"/>
      <c r="AL140" s="8"/>
      <c r="AM140" s="6"/>
      <c r="AN140" s="6"/>
    </row>
    <row r="141">
      <c r="A141" s="5" t="s">
        <v>856</v>
      </c>
      <c r="B141" s="3">
        <f t="shared" si="1"/>
        <v>-192.9545685</v>
      </c>
      <c r="C141" s="4">
        <v>-25.2462</v>
      </c>
      <c r="D141" s="4">
        <v>30.07609</v>
      </c>
      <c r="E141" s="4">
        <v>1863.102</v>
      </c>
      <c r="F141" s="5" t="s">
        <v>780</v>
      </c>
      <c r="G141" s="5" t="s">
        <v>41</v>
      </c>
      <c r="H141" s="5" t="s">
        <v>220</v>
      </c>
      <c r="I141" s="5" t="s">
        <v>221</v>
      </c>
      <c r="J141" s="3" t="str">
        <f t="shared" si="2"/>
        <v>South</v>
      </c>
      <c r="K141" s="3" t="s">
        <v>857</v>
      </c>
      <c r="L141" s="3">
        <v>2934.15498850316</v>
      </c>
      <c r="M141" s="1">
        <f t="shared" si="3"/>
        <v>2857.280901</v>
      </c>
      <c r="N141" s="3">
        <f t="shared" si="4"/>
        <v>739.5187144</v>
      </c>
      <c r="O141" s="5"/>
      <c r="P141" s="7"/>
      <c r="Q141" s="7"/>
      <c r="R141" s="7"/>
      <c r="S141" s="7"/>
      <c r="T141" s="5"/>
      <c r="U141" s="5"/>
      <c r="V141" s="5" t="s">
        <v>49</v>
      </c>
      <c r="W141" s="5" t="s">
        <v>50</v>
      </c>
      <c r="X141" s="7"/>
      <c r="Y141" s="7"/>
      <c r="Z141" s="7"/>
      <c r="AA141" s="7"/>
      <c r="AB141" s="7"/>
      <c r="AC141" s="7"/>
      <c r="AD141" s="7"/>
      <c r="AE141" s="7"/>
      <c r="AF141" s="7"/>
      <c r="AG141" s="7"/>
      <c r="AH141" s="5" t="s">
        <v>51</v>
      </c>
      <c r="AJ141" s="7"/>
      <c r="AK141" s="5" t="s">
        <v>331</v>
      </c>
      <c r="AL141" s="6"/>
      <c r="AM141" s="6"/>
      <c r="AN141" s="6"/>
    </row>
    <row r="142">
      <c r="A142" s="5" t="s">
        <v>858</v>
      </c>
      <c r="B142" s="3">
        <f t="shared" si="1"/>
        <v>-192.9501068</v>
      </c>
      <c r="C142" s="4">
        <v>-25.2192</v>
      </c>
      <c r="D142" s="4">
        <v>30.09654</v>
      </c>
      <c r="E142" s="4">
        <v>1886.762</v>
      </c>
      <c r="F142" s="5" t="s">
        <v>717</v>
      </c>
      <c r="G142" s="5" t="s">
        <v>41</v>
      </c>
      <c r="H142" s="5" t="s">
        <v>566</v>
      </c>
      <c r="I142" s="5" t="s">
        <v>73</v>
      </c>
      <c r="J142" s="3" t="str">
        <f t="shared" si="2"/>
        <v>South</v>
      </c>
      <c r="K142" s="3" t="s">
        <v>859</v>
      </c>
      <c r="L142" s="3">
        <v>2927.8325494589</v>
      </c>
      <c r="M142" s="1">
        <f t="shared" si="3"/>
        <v>2857.29814</v>
      </c>
      <c r="N142" s="3">
        <f t="shared" si="4"/>
        <v>739.5231762</v>
      </c>
      <c r="O142" s="5"/>
      <c r="P142" s="7"/>
      <c r="Q142" s="7"/>
      <c r="R142" s="7"/>
      <c r="S142" s="7"/>
      <c r="T142" s="5"/>
      <c r="U142" s="5"/>
      <c r="V142" s="5" t="s">
        <v>49</v>
      </c>
      <c r="W142" s="5" t="s">
        <v>50</v>
      </c>
      <c r="X142" s="7"/>
      <c r="Y142" s="7"/>
      <c r="Z142" s="7"/>
      <c r="AA142" s="7"/>
      <c r="AB142" s="7"/>
      <c r="AC142" s="7"/>
      <c r="AD142" s="7"/>
      <c r="AE142" s="7"/>
      <c r="AF142" s="7"/>
      <c r="AG142" s="7"/>
      <c r="AH142" s="5" t="s">
        <v>51</v>
      </c>
      <c r="AJ142" s="7"/>
      <c r="AK142" s="5" t="s">
        <v>655</v>
      </c>
      <c r="AL142" s="6"/>
      <c r="AM142" s="6"/>
      <c r="AN142" s="6"/>
    </row>
    <row r="143">
      <c r="A143" s="5" t="s">
        <v>860</v>
      </c>
      <c r="B143" s="3">
        <f t="shared" si="1"/>
        <v>-187.3836388</v>
      </c>
      <c r="C143" s="4">
        <v>-25.2188</v>
      </c>
      <c r="D143" s="4">
        <v>30.09663</v>
      </c>
      <c r="E143" s="4">
        <v>1901.069</v>
      </c>
      <c r="F143" s="5" t="s">
        <v>853</v>
      </c>
      <c r="G143" s="5" t="s">
        <v>41</v>
      </c>
      <c r="H143" s="5" t="s">
        <v>45</v>
      </c>
      <c r="I143" s="5" t="s">
        <v>45</v>
      </c>
      <c r="J143" s="3" t="str">
        <f t="shared" si="2"/>
        <v>South</v>
      </c>
      <c r="K143" s="3" t="s">
        <v>861</v>
      </c>
      <c r="L143" s="3">
        <v>2945.50618112108</v>
      </c>
      <c r="M143" s="1">
        <f t="shared" si="3"/>
        <v>2878.805321</v>
      </c>
      <c r="N143" s="3">
        <f t="shared" si="4"/>
        <v>745.0896441</v>
      </c>
      <c r="O143" s="5"/>
      <c r="P143" s="7"/>
      <c r="Q143" s="7"/>
      <c r="R143" s="7"/>
      <c r="S143" s="7"/>
      <c r="T143" s="5"/>
      <c r="U143" s="5"/>
      <c r="V143" s="5" t="s">
        <v>49</v>
      </c>
      <c r="W143" s="5" t="s">
        <v>50</v>
      </c>
      <c r="X143" s="7"/>
      <c r="Y143" s="7"/>
      <c r="Z143" s="7"/>
      <c r="AA143" s="7"/>
      <c r="AB143" s="7"/>
      <c r="AC143" s="7"/>
      <c r="AD143" s="7"/>
      <c r="AE143" s="7"/>
      <c r="AF143" s="7"/>
      <c r="AG143" s="7"/>
      <c r="AH143" s="5" t="s">
        <v>51</v>
      </c>
      <c r="AJ143" s="7"/>
      <c r="AK143" s="5" t="s">
        <v>862</v>
      </c>
      <c r="AL143" s="6"/>
      <c r="AM143" s="6"/>
      <c r="AN143" s="6"/>
    </row>
    <row r="144">
      <c r="A144" s="5" t="s">
        <v>863</v>
      </c>
      <c r="B144" s="3">
        <f t="shared" si="1"/>
        <v>-184.5443618</v>
      </c>
      <c r="C144" s="4">
        <v>-25.2187</v>
      </c>
      <c r="D144" s="4">
        <v>30.09657</v>
      </c>
      <c r="E144" s="4">
        <v>1899.833</v>
      </c>
      <c r="F144" s="5" t="s">
        <v>839</v>
      </c>
      <c r="G144" s="5" t="s">
        <v>41</v>
      </c>
      <c r="H144" s="5" t="s">
        <v>41</v>
      </c>
      <c r="I144" s="5" t="s">
        <v>42</v>
      </c>
      <c r="J144" s="3" t="str">
        <f t="shared" si="2"/>
        <v>South</v>
      </c>
      <c r="K144" s="3" t="s">
        <v>864</v>
      </c>
      <c r="L144" s="3">
        <v>2956.80749008113</v>
      </c>
      <c r="M144" s="1">
        <f t="shared" si="3"/>
        <v>2889.775444</v>
      </c>
      <c r="N144" s="3">
        <f t="shared" si="4"/>
        <v>747.9289211</v>
      </c>
      <c r="O144" s="5"/>
      <c r="P144" s="7"/>
      <c r="Q144" s="7"/>
      <c r="R144" s="7"/>
      <c r="S144" s="7"/>
      <c r="T144" s="5"/>
      <c r="U144" s="5"/>
      <c r="V144" s="5" t="s">
        <v>49</v>
      </c>
      <c r="W144" s="5" t="s">
        <v>50</v>
      </c>
      <c r="X144" s="7"/>
      <c r="Y144" s="7"/>
      <c r="Z144" s="7"/>
      <c r="AA144" s="7"/>
      <c r="AB144" s="7"/>
      <c r="AC144" s="7"/>
      <c r="AD144" s="7"/>
      <c r="AE144" s="7"/>
      <c r="AF144" s="7"/>
      <c r="AG144" s="7"/>
      <c r="AH144" s="5" t="s">
        <v>51</v>
      </c>
      <c r="AJ144" s="7"/>
      <c r="AK144" s="5" t="s">
        <v>865</v>
      </c>
      <c r="AL144" s="6"/>
      <c r="AM144" s="6"/>
      <c r="AN144" s="6"/>
    </row>
    <row r="145">
      <c r="A145" s="5" t="s">
        <v>866</v>
      </c>
      <c r="B145" s="3">
        <f t="shared" si="1"/>
        <v>-175.4232566</v>
      </c>
      <c r="C145" s="4">
        <v>-25.2184</v>
      </c>
      <c r="D145" s="4">
        <v>30.09636</v>
      </c>
      <c r="E145" s="4">
        <v>1895.483</v>
      </c>
      <c r="F145" s="5" t="s">
        <v>848</v>
      </c>
      <c r="G145" s="5" t="s">
        <v>41</v>
      </c>
      <c r="H145" s="5" t="s">
        <v>41</v>
      </c>
      <c r="I145" s="5" t="s">
        <v>42</v>
      </c>
      <c r="J145" s="3" t="str">
        <f t="shared" si="2"/>
        <v>South</v>
      </c>
      <c r="K145" s="3" t="s">
        <v>867</v>
      </c>
      <c r="L145" s="3">
        <v>2993.2143133731</v>
      </c>
      <c r="M145" s="1">
        <f t="shared" si="3"/>
        <v>2925.016689</v>
      </c>
      <c r="N145" s="3">
        <f t="shared" si="4"/>
        <v>757.0500263</v>
      </c>
      <c r="O145" s="5"/>
      <c r="P145" s="7"/>
      <c r="Q145" s="7"/>
      <c r="R145" s="7"/>
      <c r="S145" s="7"/>
      <c r="T145" s="5"/>
      <c r="U145" s="5"/>
      <c r="V145" s="5" t="s">
        <v>49</v>
      </c>
      <c r="W145" s="5" t="s">
        <v>50</v>
      </c>
      <c r="X145" s="7"/>
      <c r="Y145" s="7"/>
      <c r="Z145" s="7"/>
      <c r="AA145" s="7"/>
      <c r="AB145" s="7"/>
      <c r="AC145" s="7"/>
      <c r="AD145" s="7"/>
      <c r="AE145" s="7"/>
      <c r="AF145" s="7"/>
      <c r="AG145" s="7"/>
      <c r="AH145" s="5" t="s">
        <v>51</v>
      </c>
      <c r="AJ145" s="7"/>
      <c r="AK145" s="5" t="s">
        <v>868</v>
      </c>
      <c r="AL145" s="6"/>
      <c r="AM145" s="6"/>
      <c r="AN145" s="6"/>
    </row>
    <row r="146">
      <c r="A146" s="5" t="s">
        <v>869</v>
      </c>
      <c r="B146" s="3">
        <f t="shared" si="1"/>
        <v>-172.5394304</v>
      </c>
      <c r="C146" s="4">
        <v>-25.2455</v>
      </c>
      <c r="D146" s="4">
        <v>30.07565</v>
      </c>
      <c r="E146" s="4">
        <v>1856.012</v>
      </c>
      <c r="F146" s="5" t="s">
        <v>194</v>
      </c>
      <c r="G146" s="5" t="s">
        <v>41</v>
      </c>
      <c r="H146" s="5" t="s">
        <v>41</v>
      </c>
      <c r="I146" s="5" t="s">
        <v>42</v>
      </c>
      <c r="J146" s="3" t="str">
        <f t="shared" si="2"/>
        <v>South</v>
      </c>
      <c r="K146" s="3" t="s">
        <v>870</v>
      </c>
      <c r="L146" s="3">
        <v>3014.93278495939</v>
      </c>
      <c r="M146" s="1">
        <f t="shared" si="3"/>
        <v>2936.158938</v>
      </c>
      <c r="N146" s="3">
        <f t="shared" si="4"/>
        <v>759.9338525</v>
      </c>
      <c r="O146" s="5"/>
      <c r="P146" s="7"/>
      <c r="Q146" s="7"/>
      <c r="R146" s="7"/>
      <c r="S146" s="7"/>
      <c r="T146" s="5"/>
      <c r="U146" s="5"/>
      <c r="V146" s="5" t="s">
        <v>49</v>
      </c>
      <c r="W146" s="5" t="s">
        <v>50</v>
      </c>
      <c r="X146" s="7"/>
      <c r="Y146" s="7"/>
      <c r="Z146" s="7"/>
      <c r="AA146" s="7"/>
      <c r="AB146" s="7"/>
      <c r="AC146" s="7"/>
      <c r="AD146" s="7"/>
      <c r="AE146" s="7"/>
      <c r="AF146" s="7"/>
      <c r="AG146" s="7"/>
      <c r="AH146" s="5" t="s">
        <v>51</v>
      </c>
      <c r="AJ146" s="7"/>
      <c r="AK146" s="5" t="s">
        <v>652</v>
      </c>
      <c r="AL146" s="6"/>
      <c r="AM146" s="6"/>
      <c r="AN146" s="6"/>
    </row>
    <row r="147">
      <c r="A147" s="5" t="s">
        <v>871</v>
      </c>
      <c r="B147" s="3">
        <f t="shared" si="1"/>
        <v>-166.4213255</v>
      </c>
      <c r="C147" s="4">
        <v>-25.228</v>
      </c>
      <c r="D147" s="4">
        <v>30.08851</v>
      </c>
      <c r="E147" s="4">
        <v>1836.653</v>
      </c>
      <c r="F147" s="5" t="s">
        <v>522</v>
      </c>
      <c r="G147" s="5" t="s">
        <v>155</v>
      </c>
      <c r="H147" s="5" t="s">
        <v>200</v>
      </c>
      <c r="I147" s="5" t="s">
        <v>201</v>
      </c>
      <c r="J147" s="3" t="str">
        <f t="shared" si="2"/>
        <v>South</v>
      </c>
      <c r="K147" s="3" t="s">
        <v>872</v>
      </c>
      <c r="L147" s="3">
        <v>3043.75855546829</v>
      </c>
      <c r="M147" s="1">
        <f t="shared" si="3"/>
        <v>2959.79748</v>
      </c>
      <c r="N147" s="3">
        <f t="shared" si="4"/>
        <v>766.0519574</v>
      </c>
      <c r="O147" s="5"/>
      <c r="P147" s="5"/>
      <c r="Q147" s="7"/>
      <c r="R147" s="7"/>
      <c r="S147" s="7"/>
      <c r="T147" s="5"/>
      <c r="U147" s="5"/>
      <c r="V147" s="5" t="s">
        <v>49</v>
      </c>
      <c r="W147" s="5" t="s">
        <v>50</v>
      </c>
      <c r="X147" s="7"/>
      <c r="Y147" s="7"/>
      <c r="Z147" s="7"/>
      <c r="AA147" s="7"/>
      <c r="AB147" s="7"/>
      <c r="AC147" s="7"/>
      <c r="AD147" s="7"/>
      <c r="AE147" s="7"/>
      <c r="AF147" s="7"/>
      <c r="AG147" s="7"/>
      <c r="AH147" s="5" t="s">
        <v>51</v>
      </c>
      <c r="AJ147" s="7"/>
      <c r="AK147" s="5" t="s">
        <v>607</v>
      </c>
      <c r="AL147" s="6"/>
      <c r="AM147" s="6"/>
      <c r="AN147" s="6"/>
    </row>
    <row r="148">
      <c r="A148" s="13" t="s">
        <v>513</v>
      </c>
      <c r="B148" s="3">
        <f t="shared" si="1"/>
        <v>-165.7760768</v>
      </c>
      <c r="C148" s="14">
        <v>-25.2154</v>
      </c>
      <c r="D148" s="14">
        <v>30.0982</v>
      </c>
      <c r="E148" s="14">
        <v>1902.635</v>
      </c>
      <c r="F148" s="13" t="s">
        <v>515</v>
      </c>
      <c r="G148" s="15" t="s">
        <v>155</v>
      </c>
      <c r="H148" s="13" t="s">
        <v>200</v>
      </c>
      <c r="I148" s="15" t="s">
        <v>276</v>
      </c>
      <c r="J148" s="3" t="str">
        <f t="shared" si="2"/>
        <v>North</v>
      </c>
      <c r="K148" s="3" t="s">
        <v>517</v>
      </c>
      <c r="L148" s="3">
        <v>3028.57178129122</v>
      </c>
      <c r="M148" s="1">
        <f t="shared" si="3"/>
        <v>2962.290529</v>
      </c>
      <c r="N148" s="3">
        <f t="shared" si="4"/>
        <v>766.6972061</v>
      </c>
      <c r="O148" s="15" t="s">
        <v>519</v>
      </c>
      <c r="P148" s="9" t="s">
        <v>520</v>
      </c>
      <c r="Q148" s="8"/>
      <c r="R148" s="8"/>
      <c r="S148" s="8"/>
      <c r="T148" s="8"/>
      <c r="U148" s="8"/>
      <c r="V148" s="8"/>
      <c r="W148" s="8"/>
      <c r="X148" s="8"/>
      <c r="Y148" s="8"/>
      <c r="Z148" s="8"/>
      <c r="AA148" s="8"/>
      <c r="AB148" s="8"/>
      <c r="AC148" s="8"/>
      <c r="AD148" s="8"/>
      <c r="AE148" s="8"/>
      <c r="AF148" s="8"/>
      <c r="AG148" s="8"/>
      <c r="AH148" s="8"/>
      <c r="AI148" s="8"/>
      <c r="AJ148" s="8"/>
      <c r="AK148" s="8"/>
      <c r="AL148" s="8"/>
      <c r="AM148" s="6"/>
      <c r="AN148" s="6"/>
    </row>
    <row r="149">
      <c r="A149" s="13" t="s">
        <v>521</v>
      </c>
      <c r="B149" s="3">
        <f t="shared" si="1"/>
        <v>-165.0697585</v>
      </c>
      <c r="C149" s="14">
        <v>-25.2149</v>
      </c>
      <c r="D149" s="14">
        <v>30.09851</v>
      </c>
      <c r="E149" s="14">
        <v>1891.865</v>
      </c>
      <c r="F149" s="13" t="s">
        <v>524</v>
      </c>
      <c r="G149" s="13" t="s">
        <v>155</v>
      </c>
      <c r="H149" s="13" t="s">
        <v>200</v>
      </c>
      <c r="I149" s="13" t="s">
        <v>201</v>
      </c>
      <c r="J149" s="3" t="str">
        <f t="shared" si="2"/>
        <v>North</v>
      </c>
      <c r="K149" s="3" t="s">
        <v>526</v>
      </c>
      <c r="L149" s="3">
        <v>3034.18659838338</v>
      </c>
      <c r="M149" s="1">
        <f t="shared" si="3"/>
        <v>2965.019534</v>
      </c>
      <c r="N149" s="3">
        <f t="shared" si="4"/>
        <v>767.4035244</v>
      </c>
      <c r="O149" s="13" t="s">
        <v>206</v>
      </c>
      <c r="P149" s="11" t="s">
        <v>528</v>
      </c>
      <c r="Q149" s="8"/>
      <c r="R149" s="8"/>
      <c r="S149" s="8"/>
      <c r="T149" s="8"/>
      <c r="U149" s="10"/>
      <c r="V149" s="10">
        <v>65.0</v>
      </c>
      <c r="W149" s="9" t="s">
        <v>529</v>
      </c>
      <c r="X149" s="10">
        <v>20.0</v>
      </c>
      <c r="Y149" s="9" t="s">
        <v>530</v>
      </c>
      <c r="Z149" s="9" t="s">
        <v>531</v>
      </c>
      <c r="AA149" s="9" t="s">
        <v>532</v>
      </c>
      <c r="AB149" s="8"/>
      <c r="AC149" s="8"/>
      <c r="AD149" s="8"/>
      <c r="AE149" s="8"/>
      <c r="AF149" s="8"/>
      <c r="AG149" s="8"/>
      <c r="AH149" s="8"/>
      <c r="AI149" s="8"/>
      <c r="AJ149" s="8"/>
      <c r="AK149" s="8"/>
      <c r="AL149" s="8"/>
    </row>
    <row r="150">
      <c r="A150" s="5" t="s">
        <v>873</v>
      </c>
      <c r="B150" s="3">
        <f t="shared" si="1"/>
        <v>-161.9163404</v>
      </c>
      <c r="C150" s="4">
        <v>-25.2187</v>
      </c>
      <c r="D150" s="4">
        <v>30.09548</v>
      </c>
      <c r="E150" s="4">
        <v>1886.734</v>
      </c>
      <c r="F150" s="5" t="s">
        <v>865</v>
      </c>
      <c r="G150" s="5" t="s">
        <v>41</v>
      </c>
      <c r="H150" s="5" t="s">
        <v>41</v>
      </c>
      <c r="I150" s="5" t="s">
        <v>42</v>
      </c>
      <c r="J150" s="3" t="str">
        <f t="shared" si="2"/>
        <v>South</v>
      </c>
      <c r="K150" s="3" t="s">
        <v>874</v>
      </c>
      <c r="L150" s="3">
        <v>3047.74531783749</v>
      </c>
      <c r="M150" s="1">
        <f t="shared" si="3"/>
        <v>2977.203406</v>
      </c>
      <c r="N150" s="3">
        <f t="shared" si="4"/>
        <v>770.5569426</v>
      </c>
      <c r="O150" s="5"/>
      <c r="P150" s="7"/>
      <c r="Q150" s="7"/>
      <c r="R150" s="7"/>
      <c r="S150" s="7"/>
      <c r="T150" s="5"/>
      <c r="U150" s="5"/>
      <c r="V150" s="5" t="s">
        <v>49</v>
      </c>
      <c r="W150" s="5" t="s">
        <v>50</v>
      </c>
      <c r="X150" s="7"/>
      <c r="Y150" s="7"/>
      <c r="Z150" s="7"/>
      <c r="AA150" s="7"/>
      <c r="AB150" s="7"/>
      <c r="AC150" s="7"/>
      <c r="AD150" s="7"/>
      <c r="AE150" s="7"/>
      <c r="AF150" s="7"/>
      <c r="AG150" s="7"/>
      <c r="AH150" s="5" t="s">
        <v>51</v>
      </c>
      <c r="AJ150" s="7"/>
      <c r="AK150" s="5" t="s">
        <v>803</v>
      </c>
      <c r="AL150" s="6"/>
    </row>
    <row r="151">
      <c r="A151" s="5" t="s">
        <v>875</v>
      </c>
      <c r="B151" s="3">
        <f t="shared" si="1"/>
        <v>-160.6499522</v>
      </c>
      <c r="C151" s="4">
        <v>-25.2181</v>
      </c>
      <c r="D151" s="4">
        <v>30.09591</v>
      </c>
      <c r="E151" s="4">
        <v>1897.908</v>
      </c>
      <c r="F151" s="5" t="s">
        <v>862</v>
      </c>
      <c r="G151" s="5" t="s">
        <v>41</v>
      </c>
      <c r="H151" s="5" t="s">
        <v>45</v>
      </c>
      <c r="I151" s="5" t="s">
        <v>45</v>
      </c>
      <c r="J151" s="3" t="str">
        <f t="shared" si="2"/>
        <v>South</v>
      </c>
      <c r="K151" s="3" t="s">
        <v>876</v>
      </c>
      <c r="L151" s="3">
        <v>3049.64420178409</v>
      </c>
      <c r="M151" s="1">
        <f t="shared" si="3"/>
        <v>2982.096354</v>
      </c>
      <c r="N151" s="3">
        <f t="shared" si="4"/>
        <v>771.8233307</v>
      </c>
      <c r="O151" s="5"/>
      <c r="P151" s="7"/>
      <c r="Q151" s="7"/>
      <c r="R151" s="7"/>
      <c r="S151" s="7"/>
      <c r="T151" s="5"/>
      <c r="U151" s="5"/>
      <c r="V151" s="5" t="s">
        <v>49</v>
      </c>
      <c r="W151" s="5" t="s">
        <v>50</v>
      </c>
      <c r="X151" s="7"/>
      <c r="Y151" s="7"/>
      <c r="Z151" s="7"/>
      <c r="AA151" s="7"/>
      <c r="AB151" s="7"/>
      <c r="AC151" s="7"/>
      <c r="AD151" s="7"/>
      <c r="AE151" s="7"/>
      <c r="AF151" s="7"/>
      <c r="AG151" s="7"/>
      <c r="AH151" s="5" t="s">
        <v>51</v>
      </c>
      <c r="AJ151" s="7"/>
      <c r="AK151" s="5" t="s">
        <v>877</v>
      </c>
      <c r="AL151" s="6"/>
      <c r="AM151" s="8"/>
      <c r="AN151" s="8"/>
    </row>
    <row r="152">
      <c r="A152" s="13" t="s">
        <v>187</v>
      </c>
      <c r="B152" s="3">
        <f t="shared" si="1"/>
        <v>-159.7915933</v>
      </c>
      <c r="C152" s="14">
        <v>-25.2187</v>
      </c>
      <c r="D152" s="14">
        <v>30.09537</v>
      </c>
      <c r="E152" s="14">
        <v>1883.122</v>
      </c>
      <c r="F152" s="13" t="s">
        <v>189</v>
      </c>
      <c r="G152" s="13" t="s">
        <v>41</v>
      </c>
      <c r="H152" s="13" t="s">
        <v>41</v>
      </c>
      <c r="I152" s="15" t="s">
        <v>42</v>
      </c>
      <c r="J152" s="3" t="str">
        <f t="shared" si="2"/>
        <v>South</v>
      </c>
      <c r="K152" s="3" t="s">
        <v>191</v>
      </c>
      <c r="L152" s="3">
        <v>3056.92254247936</v>
      </c>
      <c r="M152" s="1">
        <f t="shared" si="3"/>
        <v>2985.412798</v>
      </c>
      <c r="N152" s="3">
        <f t="shared" si="4"/>
        <v>772.6816896</v>
      </c>
      <c r="O152" s="13"/>
      <c r="P152" s="8"/>
      <c r="Q152" s="8"/>
      <c r="R152" s="10">
        <v>215.0</v>
      </c>
      <c r="S152" s="10">
        <v>25.0</v>
      </c>
      <c r="T152" s="10">
        <f>R152-90</f>
        <v>125</v>
      </c>
      <c r="U152" s="12" t="s">
        <v>139</v>
      </c>
      <c r="V152" s="8"/>
      <c r="W152" s="8"/>
      <c r="X152" s="8"/>
      <c r="Y152" s="8"/>
      <c r="Z152" s="8"/>
      <c r="AA152" s="8"/>
      <c r="AB152" s="8"/>
      <c r="AC152" s="8"/>
      <c r="AD152" s="8"/>
      <c r="AE152" s="8"/>
      <c r="AF152" s="8"/>
      <c r="AG152" s="8"/>
      <c r="AH152" s="8"/>
      <c r="AI152" s="8"/>
      <c r="AJ152" s="8"/>
      <c r="AK152" s="8"/>
      <c r="AL152" s="8"/>
      <c r="AM152" s="8"/>
      <c r="AN152" s="8"/>
    </row>
    <row r="153">
      <c r="A153" s="5" t="s">
        <v>878</v>
      </c>
      <c r="B153" s="3">
        <f t="shared" si="1"/>
        <v>-153.5250224</v>
      </c>
      <c r="C153" s="4">
        <v>-25.2195</v>
      </c>
      <c r="D153" s="4">
        <v>30.09445</v>
      </c>
      <c r="E153" s="4">
        <v>1874.993</v>
      </c>
      <c r="F153" s="5" t="s">
        <v>868</v>
      </c>
      <c r="G153" s="5" t="s">
        <v>41</v>
      </c>
      <c r="H153" s="5" t="s">
        <v>41</v>
      </c>
      <c r="I153" s="5" t="s">
        <v>42</v>
      </c>
      <c r="J153" s="3" t="str">
        <f t="shared" si="2"/>
        <v>South</v>
      </c>
      <c r="K153" s="3" t="s">
        <v>879</v>
      </c>
      <c r="L153" s="3">
        <v>3083.31287240943</v>
      </c>
      <c r="M153" s="1">
        <f t="shared" si="3"/>
        <v>3009.624969</v>
      </c>
      <c r="N153" s="3">
        <f t="shared" si="4"/>
        <v>778.9482606</v>
      </c>
      <c r="O153" s="5"/>
      <c r="P153" s="7"/>
      <c r="Q153" s="7"/>
      <c r="R153" s="7"/>
      <c r="S153" s="7"/>
      <c r="T153" s="5"/>
      <c r="U153" s="5"/>
      <c r="V153" s="5" t="s">
        <v>49</v>
      </c>
      <c r="W153" s="5" t="s">
        <v>50</v>
      </c>
      <c r="X153" s="7"/>
      <c r="Y153" s="7"/>
      <c r="Z153" s="7"/>
      <c r="AA153" s="7"/>
      <c r="AB153" s="7"/>
      <c r="AC153" s="7"/>
      <c r="AD153" s="7"/>
      <c r="AE153" s="7"/>
      <c r="AF153" s="7"/>
      <c r="AG153" s="7"/>
      <c r="AH153" s="5" t="s">
        <v>51</v>
      </c>
      <c r="AJ153" s="7"/>
      <c r="AK153" s="5" t="s">
        <v>796</v>
      </c>
      <c r="AL153" s="6"/>
      <c r="AM153" s="8"/>
      <c r="AN153" s="8"/>
    </row>
    <row r="154">
      <c r="A154" s="5" t="s">
        <v>880</v>
      </c>
      <c r="B154" s="3">
        <f t="shared" si="1"/>
        <v>-153.3092993</v>
      </c>
      <c r="C154" s="4">
        <v>-25.2195</v>
      </c>
      <c r="D154" s="4">
        <v>30.09444</v>
      </c>
      <c r="E154" s="4">
        <v>1874.99</v>
      </c>
      <c r="F154" s="5" t="s">
        <v>239</v>
      </c>
      <c r="G154" s="5" t="s">
        <v>41</v>
      </c>
      <c r="H154" s="5" t="s">
        <v>45</v>
      </c>
      <c r="I154" s="5" t="s">
        <v>45</v>
      </c>
      <c r="J154" s="3" t="str">
        <f t="shared" si="2"/>
        <v>South</v>
      </c>
      <c r="K154" s="3" t="s">
        <v>881</v>
      </c>
      <c r="L154" s="3">
        <v>3084.1471662819</v>
      </c>
      <c r="M154" s="1">
        <f t="shared" si="3"/>
        <v>3010.458459</v>
      </c>
      <c r="N154" s="3">
        <f t="shared" si="4"/>
        <v>779.1639836</v>
      </c>
      <c r="O154" s="5"/>
      <c r="P154" s="7"/>
      <c r="Q154" s="7"/>
      <c r="R154" s="7"/>
      <c r="S154" s="7"/>
      <c r="T154" s="5"/>
      <c r="U154" s="5"/>
      <c r="V154" s="5" t="s">
        <v>49</v>
      </c>
      <c r="W154" s="5" t="s">
        <v>50</v>
      </c>
      <c r="X154" s="7"/>
      <c r="Y154" s="7"/>
      <c r="Z154" s="7"/>
      <c r="AA154" s="7"/>
      <c r="AB154" s="7"/>
      <c r="AC154" s="7"/>
      <c r="AD154" s="7"/>
      <c r="AE154" s="7"/>
      <c r="AF154" s="7"/>
      <c r="AG154" s="7"/>
      <c r="AH154" s="5" t="s">
        <v>51</v>
      </c>
      <c r="AJ154" s="7"/>
      <c r="AK154" s="5" t="s">
        <v>818</v>
      </c>
      <c r="AL154" s="6"/>
      <c r="AM154" s="8"/>
      <c r="AN154" s="8"/>
    </row>
    <row r="155">
      <c r="A155" s="5" t="s">
        <v>882</v>
      </c>
      <c r="B155" s="3">
        <f t="shared" si="1"/>
        <v>-147.4040623</v>
      </c>
      <c r="C155" s="4">
        <v>-25.2177</v>
      </c>
      <c r="D155" s="4">
        <v>30.09553</v>
      </c>
      <c r="E155" s="4">
        <v>1876.608</v>
      </c>
      <c r="F155" s="5" t="s">
        <v>820</v>
      </c>
      <c r="G155" s="5" t="s">
        <v>41</v>
      </c>
      <c r="H155" s="5" t="s">
        <v>45</v>
      </c>
      <c r="I155" s="5" t="s">
        <v>45</v>
      </c>
      <c r="J155" s="3" t="str">
        <f t="shared" si="2"/>
        <v>South</v>
      </c>
      <c r="K155" s="3" t="s">
        <v>883</v>
      </c>
      <c r="L155" s="3">
        <v>3106.52970822295</v>
      </c>
      <c r="M155" s="1">
        <f t="shared" si="3"/>
        <v>3033.274543</v>
      </c>
      <c r="N155" s="3">
        <f t="shared" si="4"/>
        <v>785.0692207</v>
      </c>
      <c r="O155" s="5"/>
      <c r="P155" s="7"/>
      <c r="Q155" s="7"/>
      <c r="R155" s="7"/>
      <c r="S155" s="7"/>
      <c r="T155" s="5"/>
      <c r="U155" s="5"/>
      <c r="V155" s="5" t="s">
        <v>49</v>
      </c>
      <c r="W155" s="5" t="s">
        <v>50</v>
      </c>
      <c r="X155" s="7"/>
      <c r="Y155" s="7"/>
      <c r="Z155" s="7"/>
      <c r="AA155" s="7"/>
      <c r="AB155" s="7"/>
      <c r="AC155" s="7"/>
      <c r="AD155" s="7"/>
      <c r="AE155" s="7"/>
      <c r="AF155" s="7"/>
      <c r="AG155" s="7"/>
      <c r="AH155" s="5" t="s">
        <v>51</v>
      </c>
      <c r="AJ155" s="7"/>
      <c r="AK155" s="5" t="s">
        <v>54</v>
      </c>
      <c r="AL155" s="6"/>
      <c r="AM155" s="8"/>
      <c r="AN155" s="8"/>
    </row>
    <row r="156">
      <c r="A156" s="13" t="s">
        <v>533</v>
      </c>
      <c r="B156" s="3">
        <f t="shared" si="1"/>
        <v>-145.7271189</v>
      </c>
      <c r="C156" s="14">
        <v>-25.2184</v>
      </c>
      <c r="D156" s="14">
        <v>30.09491</v>
      </c>
      <c r="E156" s="14">
        <v>1872.212</v>
      </c>
      <c r="F156" s="13" t="s">
        <v>534</v>
      </c>
      <c r="G156" s="15" t="s">
        <v>41</v>
      </c>
      <c r="H156" s="13" t="s">
        <v>41</v>
      </c>
      <c r="I156" s="15" t="s">
        <v>73</v>
      </c>
      <c r="J156" s="3" t="str">
        <f t="shared" si="2"/>
        <v>South</v>
      </c>
      <c r="K156" s="3" t="s">
        <v>535</v>
      </c>
      <c r="L156" s="3">
        <v>3114.18682458022</v>
      </c>
      <c r="M156" s="1">
        <f t="shared" si="3"/>
        <v>3039.753754</v>
      </c>
      <c r="N156" s="3">
        <f t="shared" si="4"/>
        <v>786.746164</v>
      </c>
      <c r="O156" s="13" t="s">
        <v>536</v>
      </c>
      <c r="P156" s="8" t="s">
        <v>537</v>
      </c>
      <c r="Q156" s="20">
        <v>60.0</v>
      </c>
      <c r="R156" s="8"/>
      <c r="S156" s="8"/>
      <c r="T156" s="8"/>
      <c r="U156" s="20"/>
      <c r="V156" s="20">
        <v>20.0</v>
      </c>
      <c r="W156" s="8" t="s">
        <v>538</v>
      </c>
      <c r="X156" s="20">
        <v>50.0</v>
      </c>
      <c r="Y156" s="8" t="s">
        <v>539</v>
      </c>
      <c r="Z156" s="8"/>
      <c r="AA156" s="8"/>
      <c r="AB156" s="8"/>
      <c r="AC156" s="8"/>
      <c r="AD156" s="20">
        <v>20.0</v>
      </c>
      <c r="AE156" s="8" t="s">
        <v>540</v>
      </c>
      <c r="AF156" s="8"/>
      <c r="AG156" s="8"/>
      <c r="AH156" s="8" t="s">
        <v>541</v>
      </c>
      <c r="AI156" s="8" t="s">
        <v>542</v>
      </c>
      <c r="AJ156" s="20">
        <v>3.0</v>
      </c>
      <c r="AK156" s="8"/>
      <c r="AL156" s="8"/>
      <c r="AM156" s="8"/>
      <c r="AN156" s="8"/>
    </row>
    <row r="157">
      <c r="A157" s="13" t="s">
        <v>198</v>
      </c>
      <c r="B157" s="3">
        <f t="shared" si="1"/>
        <v>-144.9437703</v>
      </c>
      <c r="C157" s="14">
        <v>-25.215</v>
      </c>
      <c r="D157" s="14">
        <v>30.09749</v>
      </c>
      <c r="E157" s="14">
        <v>1887.978</v>
      </c>
      <c r="F157" s="13" t="s">
        <v>199</v>
      </c>
      <c r="G157" s="13" t="s">
        <v>155</v>
      </c>
      <c r="H157" s="13" t="s">
        <v>200</v>
      </c>
      <c r="I157" s="13" t="s">
        <v>201</v>
      </c>
      <c r="J157" s="3" t="str">
        <f t="shared" si="2"/>
        <v>North</v>
      </c>
      <c r="K157" s="3" t="s">
        <v>202</v>
      </c>
      <c r="L157" s="3">
        <v>3112.98896420066</v>
      </c>
      <c r="M157" s="1">
        <f t="shared" si="3"/>
        <v>3042.780381</v>
      </c>
      <c r="N157" s="3">
        <f t="shared" si="4"/>
        <v>787.5295126</v>
      </c>
      <c r="O157" s="13" t="s">
        <v>206</v>
      </c>
      <c r="P157" s="8"/>
      <c r="Q157" s="9"/>
      <c r="R157" s="10">
        <v>210.0</v>
      </c>
      <c r="S157" s="10">
        <v>5.0</v>
      </c>
      <c r="T157" s="10">
        <f>R157-90</f>
        <v>120</v>
      </c>
      <c r="U157" s="12" t="s">
        <v>139</v>
      </c>
      <c r="V157" s="8"/>
      <c r="W157" s="8"/>
      <c r="X157" s="8"/>
      <c r="Y157" s="8"/>
      <c r="Z157" s="8"/>
      <c r="AA157" s="8"/>
      <c r="AB157" s="8"/>
      <c r="AC157" s="8"/>
      <c r="AD157" s="8"/>
      <c r="AE157" s="8"/>
      <c r="AF157" s="8"/>
      <c r="AG157" s="8"/>
      <c r="AH157" s="8"/>
      <c r="AI157" s="8"/>
      <c r="AJ157" s="10">
        <v>0.0</v>
      </c>
      <c r="AK157" s="8"/>
      <c r="AL157" s="8"/>
      <c r="AM157" s="8"/>
      <c r="AN157" s="8"/>
    </row>
    <row r="158">
      <c r="A158" s="13" t="s">
        <v>545</v>
      </c>
      <c r="B158" s="3">
        <f t="shared" si="1"/>
        <v>-143.7521317</v>
      </c>
      <c r="C158" s="14">
        <v>-25.2102</v>
      </c>
      <c r="D158" s="14">
        <v>30.10109</v>
      </c>
      <c r="E158" s="14">
        <v>1898.285</v>
      </c>
      <c r="F158" s="13" t="s">
        <v>547</v>
      </c>
      <c r="G158" s="13" t="s">
        <v>155</v>
      </c>
      <c r="H158" s="13" t="s">
        <v>155</v>
      </c>
      <c r="I158" s="13" t="s">
        <v>548</v>
      </c>
      <c r="J158" s="3" t="str">
        <f t="shared" si="2"/>
        <v>North</v>
      </c>
      <c r="K158" s="3" t="s">
        <v>549</v>
      </c>
      <c r="L158" s="3">
        <v>3114.83135004694</v>
      </c>
      <c r="M158" s="1">
        <f t="shared" si="3"/>
        <v>3047.384519</v>
      </c>
      <c r="N158" s="3">
        <f t="shared" si="4"/>
        <v>788.7211513</v>
      </c>
      <c r="O158" s="13" t="s">
        <v>551</v>
      </c>
      <c r="P158" s="8"/>
      <c r="Q158" s="10">
        <v>78.0</v>
      </c>
      <c r="R158" s="8"/>
      <c r="S158" s="8"/>
      <c r="T158" s="8"/>
      <c r="U158" s="10"/>
      <c r="V158" s="10">
        <v>20.0</v>
      </c>
      <c r="W158" s="8"/>
      <c r="X158" s="10">
        <v>40.0</v>
      </c>
      <c r="Y158" s="8"/>
      <c r="Z158" s="10">
        <v>35.0</v>
      </c>
      <c r="AA158" s="8"/>
      <c r="AB158" s="8"/>
      <c r="AC158" s="8"/>
      <c r="AD158" s="8"/>
      <c r="AE158" s="8"/>
      <c r="AF158" s="8"/>
      <c r="AG158" s="8"/>
      <c r="AH158" s="9" t="s">
        <v>552</v>
      </c>
      <c r="AI158" s="8"/>
      <c r="AJ158" s="8"/>
      <c r="AK158" s="8"/>
      <c r="AL158" s="8"/>
      <c r="AM158" s="8"/>
      <c r="AN158" s="8"/>
    </row>
    <row r="159">
      <c r="A159" s="13" t="s">
        <v>553</v>
      </c>
      <c r="B159" s="3">
        <f t="shared" si="1"/>
        <v>-143.6567183</v>
      </c>
      <c r="C159" s="14">
        <v>-25.2177</v>
      </c>
      <c r="D159" s="14">
        <v>30.09534</v>
      </c>
      <c r="E159" s="14">
        <v>1871.484</v>
      </c>
      <c r="F159" s="13" t="s">
        <v>554</v>
      </c>
      <c r="G159" s="13" t="s">
        <v>155</v>
      </c>
      <c r="H159" s="13" t="s">
        <v>211</v>
      </c>
      <c r="I159" s="13" t="s">
        <v>157</v>
      </c>
      <c r="J159" s="3" t="str">
        <f t="shared" si="2"/>
        <v>South</v>
      </c>
      <c r="K159" s="3" t="s">
        <v>555</v>
      </c>
      <c r="L159" s="3">
        <v>3122.38130521236</v>
      </c>
      <c r="M159" s="1">
        <f t="shared" si="3"/>
        <v>3047.753168</v>
      </c>
      <c r="N159" s="3">
        <f t="shared" si="4"/>
        <v>788.8165646</v>
      </c>
      <c r="O159" s="13" t="s">
        <v>557</v>
      </c>
      <c r="P159" s="9" t="s">
        <v>558</v>
      </c>
      <c r="Q159" s="10">
        <v>62.0</v>
      </c>
      <c r="R159" s="8"/>
      <c r="S159" s="8"/>
      <c r="T159" s="8"/>
      <c r="U159" s="10"/>
      <c r="V159" s="10">
        <v>20.0</v>
      </c>
      <c r="W159" s="8"/>
      <c r="X159" s="10">
        <v>60.0</v>
      </c>
      <c r="Y159" s="9" t="s">
        <v>530</v>
      </c>
      <c r="Z159" s="10">
        <v>20.0</v>
      </c>
      <c r="AA159" s="9" t="s">
        <v>560</v>
      </c>
      <c r="AB159" s="8"/>
      <c r="AC159" s="8"/>
      <c r="AD159" s="8"/>
      <c r="AE159" s="8"/>
      <c r="AF159" s="8"/>
      <c r="AG159" s="8"/>
      <c r="AH159" s="8"/>
      <c r="AI159" s="8"/>
      <c r="AJ159" s="10">
        <v>0.0</v>
      </c>
      <c r="AK159" s="8"/>
      <c r="AL159" s="8"/>
      <c r="AM159" s="8"/>
      <c r="AN159" s="8"/>
    </row>
    <row r="160">
      <c r="A160" s="13" t="s">
        <v>562</v>
      </c>
      <c r="B160" s="3">
        <f t="shared" si="1"/>
        <v>-143.6567183</v>
      </c>
      <c r="C160" s="14">
        <v>-25.2177</v>
      </c>
      <c r="D160" s="14">
        <v>30.09534</v>
      </c>
      <c r="E160" s="14">
        <v>1871.484</v>
      </c>
      <c r="F160" s="13" t="s">
        <v>554</v>
      </c>
      <c r="G160" s="13" t="s">
        <v>155</v>
      </c>
      <c r="H160" s="13" t="s">
        <v>211</v>
      </c>
      <c r="I160" s="13" t="s">
        <v>157</v>
      </c>
      <c r="J160" s="3" t="str">
        <f t="shared" si="2"/>
        <v>South</v>
      </c>
      <c r="K160" s="3" t="s">
        <v>555</v>
      </c>
      <c r="L160" s="3">
        <v>3122.38130521236</v>
      </c>
      <c r="M160" s="1">
        <f t="shared" si="3"/>
        <v>3047.753168</v>
      </c>
      <c r="N160" s="3">
        <f t="shared" si="4"/>
        <v>788.8165646</v>
      </c>
      <c r="O160" s="13" t="s">
        <v>557</v>
      </c>
      <c r="P160" s="9" t="s">
        <v>563</v>
      </c>
      <c r="Q160" s="10">
        <v>61.0</v>
      </c>
      <c r="R160" s="8"/>
      <c r="S160" s="8"/>
      <c r="T160" s="8"/>
      <c r="U160" s="8"/>
      <c r="V160" s="8"/>
      <c r="W160" s="8"/>
      <c r="X160" s="8"/>
      <c r="Y160" s="8"/>
      <c r="Z160" s="8"/>
      <c r="AA160" s="8"/>
      <c r="AB160" s="8"/>
      <c r="AC160" s="8"/>
      <c r="AD160" s="8"/>
      <c r="AE160" s="8"/>
      <c r="AF160" s="8"/>
      <c r="AG160" s="8"/>
      <c r="AH160" s="8"/>
      <c r="AI160" s="8"/>
      <c r="AJ160" s="8"/>
      <c r="AK160" s="8"/>
      <c r="AL160" s="8"/>
      <c r="AM160" s="8"/>
      <c r="AN160" s="8"/>
    </row>
    <row r="161">
      <c r="A161" s="5" t="s">
        <v>884</v>
      </c>
      <c r="B161" s="3">
        <f t="shared" si="1"/>
        <v>-140.4532501</v>
      </c>
      <c r="C161" s="4">
        <v>-25.2176</v>
      </c>
      <c r="D161" s="4">
        <v>30.09526</v>
      </c>
      <c r="E161" s="4">
        <v>1869.272</v>
      </c>
      <c r="F161" s="5" t="s">
        <v>777</v>
      </c>
      <c r="G161" s="5" t="s">
        <v>41</v>
      </c>
      <c r="H161" s="5" t="s">
        <v>45</v>
      </c>
      <c r="I161" s="5" t="s">
        <v>45</v>
      </c>
      <c r="J161" s="3" t="str">
        <f t="shared" si="2"/>
        <v>South</v>
      </c>
      <c r="K161" s="3" t="s">
        <v>885</v>
      </c>
      <c r="L161" s="3">
        <v>3135.35125936851</v>
      </c>
      <c r="M161" s="1">
        <f t="shared" si="3"/>
        <v>3060.130418</v>
      </c>
      <c r="N161" s="3">
        <f t="shared" si="4"/>
        <v>792.0200328</v>
      </c>
      <c r="O161" s="5"/>
      <c r="P161" s="7"/>
      <c r="Q161" s="7"/>
      <c r="R161" s="7"/>
      <c r="S161" s="7"/>
      <c r="T161" s="5"/>
      <c r="U161" s="5"/>
      <c r="V161" s="5" t="s">
        <v>49</v>
      </c>
      <c r="W161" s="5" t="s">
        <v>50</v>
      </c>
      <c r="X161" s="7"/>
      <c r="Y161" s="7"/>
      <c r="Z161" s="7"/>
      <c r="AA161" s="7"/>
      <c r="AB161" s="7"/>
      <c r="AC161" s="7"/>
      <c r="AD161" s="7"/>
      <c r="AE161" s="7"/>
      <c r="AF161" s="7"/>
      <c r="AG161" s="7"/>
      <c r="AH161" s="5" t="s">
        <v>51</v>
      </c>
      <c r="AJ161" s="7"/>
      <c r="AK161" s="5" t="s">
        <v>835</v>
      </c>
      <c r="AL161" s="6"/>
      <c r="AM161" s="8"/>
      <c r="AN161" s="8"/>
    </row>
    <row r="162">
      <c r="A162" s="5" t="s">
        <v>886</v>
      </c>
      <c r="B162" s="3">
        <f t="shared" si="1"/>
        <v>-138.5524473</v>
      </c>
      <c r="C162" s="4">
        <v>-25.218</v>
      </c>
      <c r="D162" s="4">
        <v>30.09487</v>
      </c>
      <c r="E162" s="4">
        <v>1869.231</v>
      </c>
      <c r="F162" s="5" t="s">
        <v>877</v>
      </c>
      <c r="G162" s="5" t="s">
        <v>41</v>
      </c>
      <c r="H162" s="5" t="s">
        <v>45</v>
      </c>
      <c r="I162" s="5" t="s">
        <v>45</v>
      </c>
      <c r="J162" s="3" t="str">
        <f t="shared" si="2"/>
        <v>South</v>
      </c>
      <c r="K162" s="3" t="s">
        <v>887</v>
      </c>
      <c r="L162" s="3">
        <v>3142.70638340155</v>
      </c>
      <c r="M162" s="1">
        <f t="shared" si="3"/>
        <v>3067.474557</v>
      </c>
      <c r="N162" s="3">
        <f t="shared" si="4"/>
        <v>793.9208356</v>
      </c>
      <c r="O162" s="5"/>
      <c r="P162" s="7"/>
      <c r="Q162" s="7"/>
      <c r="R162" s="7"/>
      <c r="S162" s="7"/>
      <c r="T162" s="5"/>
      <c r="U162" s="5"/>
      <c r="V162" s="5" t="s">
        <v>49</v>
      </c>
      <c r="W162" s="5" t="s">
        <v>50</v>
      </c>
      <c r="X162" s="7"/>
      <c r="Y162" s="7"/>
      <c r="Z162" s="7"/>
      <c r="AA162" s="7"/>
      <c r="AB162" s="7"/>
      <c r="AC162" s="7"/>
      <c r="AD162" s="7"/>
      <c r="AE162" s="7"/>
      <c r="AF162" s="7"/>
      <c r="AG162" s="7"/>
      <c r="AH162" s="5" t="s">
        <v>51</v>
      </c>
      <c r="AJ162" s="7"/>
      <c r="AK162" s="5" t="s">
        <v>404</v>
      </c>
      <c r="AL162" s="6"/>
      <c r="AM162" s="8"/>
      <c r="AN162" s="8"/>
    </row>
    <row r="163">
      <c r="A163" s="5" t="s">
        <v>888</v>
      </c>
      <c r="B163" s="3">
        <f t="shared" si="1"/>
        <v>-135.3502214</v>
      </c>
      <c r="C163" s="4">
        <v>-25.2148</v>
      </c>
      <c r="D163" s="4">
        <v>30.09718</v>
      </c>
      <c r="E163" s="4">
        <v>1882.799</v>
      </c>
      <c r="F163" s="5" t="s">
        <v>889</v>
      </c>
      <c r="G163" s="5" t="s">
        <v>155</v>
      </c>
      <c r="H163" s="5" t="s">
        <v>41</v>
      </c>
      <c r="I163" s="5" t="s">
        <v>157</v>
      </c>
      <c r="J163" s="3" t="str">
        <f t="shared" si="2"/>
        <v>North</v>
      </c>
      <c r="K163" s="3" t="s">
        <v>890</v>
      </c>
      <c r="L163" s="3">
        <v>3151.44329971251</v>
      </c>
      <c r="M163" s="1">
        <f t="shared" si="3"/>
        <v>3079.847008</v>
      </c>
      <c r="N163" s="3">
        <f t="shared" si="4"/>
        <v>797.1230616</v>
      </c>
      <c r="O163" s="5"/>
      <c r="P163" s="7"/>
      <c r="Q163" s="7"/>
      <c r="R163" s="7"/>
      <c r="S163" s="7"/>
      <c r="T163" s="5"/>
      <c r="U163" s="5"/>
      <c r="V163" s="5" t="s">
        <v>49</v>
      </c>
      <c r="W163" s="5" t="s">
        <v>50</v>
      </c>
      <c r="X163" s="7"/>
      <c r="Y163" s="7"/>
      <c r="Z163" s="7"/>
      <c r="AA163" s="7"/>
      <c r="AB163" s="7"/>
      <c r="AC163" s="7"/>
      <c r="AD163" s="7"/>
      <c r="AE163" s="7"/>
      <c r="AF163" s="7"/>
      <c r="AG163" s="7"/>
      <c r="AH163" s="5" t="s">
        <v>51</v>
      </c>
      <c r="AJ163" s="7"/>
      <c r="AK163" s="5" t="s">
        <v>34</v>
      </c>
      <c r="AL163" s="6"/>
      <c r="AM163" s="8"/>
      <c r="AN163" s="8"/>
    </row>
    <row r="164">
      <c r="A164" s="5" t="s">
        <v>891</v>
      </c>
      <c r="B164" s="3">
        <f t="shared" si="1"/>
        <v>-133.248241</v>
      </c>
      <c r="C164" s="4">
        <v>-25.2114</v>
      </c>
      <c r="D164" s="4">
        <v>30.09968</v>
      </c>
      <c r="E164" s="4">
        <v>1892.67</v>
      </c>
      <c r="F164" s="5" t="s">
        <v>892</v>
      </c>
      <c r="G164" s="5" t="s">
        <v>155</v>
      </c>
      <c r="H164" s="5" t="s">
        <v>41</v>
      </c>
      <c r="I164" s="5" t="s">
        <v>157</v>
      </c>
      <c r="J164" s="3" t="str">
        <f t="shared" si="2"/>
        <v>North</v>
      </c>
      <c r="K164" s="3" t="s">
        <v>893</v>
      </c>
      <c r="L164" s="3">
        <v>3156.91980193095</v>
      </c>
      <c r="M164" s="1">
        <f t="shared" si="3"/>
        <v>3087.968436</v>
      </c>
      <c r="N164" s="3">
        <f t="shared" si="4"/>
        <v>799.225042</v>
      </c>
      <c r="O164" s="5"/>
      <c r="P164" s="7"/>
      <c r="Q164" s="7"/>
      <c r="R164" s="7"/>
      <c r="S164" s="7"/>
      <c r="T164" s="5"/>
      <c r="U164" s="5"/>
      <c r="V164" s="5" t="s">
        <v>49</v>
      </c>
      <c r="W164" s="5" t="s">
        <v>50</v>
      </c>
      <c r="X164" s="7"/>
      <c r="Y164" s="7"/>
      <c r="Z164" s="7"/>
      <c r="AA164" s="7"/>
      <c r="AB164" s="7"/>
      <c r="AC164" s="7"/>
      <c r="AD164" s="7"/>
      <c r="AE164" s="7"/>
      <c r="AF164" s="7"/>
      <c r="AG164" s="7"/>
      <c r="AH164" s="5" t="s">
        <v>51</v>
      </c>
      <c r="AJ164" s="7"/>
      <c r="AK164" s="5" t="s">
        <v>588</v>
      </c>
      <c r="AL164" s="6"/>
      <c r="AM164" s="8"/>
      <c r="AN164" s="8"/>
    </row>
    <row r="165">
      <c r="A165" s="13" t="s">
        <v>208</v>
      </c>
      <c r="B165" s="3">
        <f t="shared" si="1"/>
        <v>-131.6856156</v>
      </c>
      <c r="C165" s="14">
        <v>-25.2154</v>
      </c>
      <c r="D165" s="14">
        <v>30.09655</v>
      </c>
      <c r="E165" s="14">
        <v>1880.455</v>
      </c>
      <c r="F165" s="13" t="s">
        <v>210</v>
      </c>
      <c r="G165" s="13" t="s">
        <v>155</v>
      </c>
      <c r="H165" s="13" t="s">
        <v>211</v>
      </c>
      <c r="I165" s="13" t="s">
        <v>157</v>
      </c>
      <c r="J165" s="3" t="str">
        <f t="shared" si="2"/>
        <v>North</v>
      </c>
      <c r="K165" s="3" t="s">
        <v>212</v>
      </c>
      <c r="L165" s="3">
        <v>3166.2303219838</v>
      </c>
      <c r="M165" s="1">
        <f t="shared" si="3"/>
        <v>3094.005957</v>
      </c>
      <c r="N165" s="3">
        <f t="shared" si="4"/>
        <v>800.7876673</v>
      </c>
      <c r="O165" s="13" t="s">
        <v>214</v>
      </c>
      <c r="P165" s="8"/>
      <c r="Q165" s="10">
        <v>63.0</v>
      </c>
      <c r="R165" s="10">
        <v>240.0</v>
      </c>
      <c r="S165" s="10">
        <v>10.0</v>
      </c>
      <c r="T165" s="10">
        <f>R165-90</f>
        <v>150</v>
      </c>
      <c r="U165" s="12" t="s">
        <v>139</v>
      </c>
      <c r="V165" s="8"/>
      <c r="W165" s="8"/>
      <c r="X165" s="8"/>
      <c r="Y165" s="8"/>
      <c r="Z165" s="8"/>
      <c r="AA165" s="8"/>
      <c r="AB165" s="8"/>
      <c r="AC165" s="8"/>
      <c r="AD165" s="8"/>
      <c r="AE165" s="8"/>
      <c r="AF165" s="8"/>
      <c r="AG165" s="8"/>
      <c r="AH165" s="8"/>
      <c r="AI165" s="8"/>
      <c r="AJ165" s="8"/>
      <c r="AK165" s="8"/>
      <c r="AL165" s="8"/>
      <c r="AM165" s="8"/>
      <c r="AN165" s="8"/>
    </row>
    <row r="166">
      <c r="A166" s="5" t="s">
        <v>894</v>
      </c>
      <c r="B166" s="3">
        <f t="shared" si="1"/>
        <v>-129.5715408</v>
      </c>
      <c r="C166" s="4">
        <v>-25.2154</v>
      </c>
      <c r="D166" s="4">
        <v>30.09644</v>
      </c>
      <c r="E166" s="4">
        <v>1876.689</v>
      </c>
      <c r="F166" s="5" t="s">
        <v>703</v>
      </c>
      <c r="G166" s="5" t="s">
        <v>155</v>
      </c>
      <c r="H166" s="5" t="s">
        <v>41</v>
      </c>
      <c r="I166" s="5" t="s">
        <v>157</v>
      </c>
      <c r="J166" s="3" t="str">
        <f t="shared" si="2"/>
        <v>North</v>
      </c>
      <c r="K166" s="3" t="s">
        <v>895</v>
      </c>
      <c r="L166" s="3">
        <v>3175.40757660822</v>
      </c>
      <c r="M166" s="1">
        <f t="shared" si="3"/>
        <v>3102.174115</v>
      </c>
      <c r="N166" s="3">
        <f t="shared" si="4"/>
        <v>802.9017422</v>
      </c>
      <c r="O166" s="5"/>
      <c r="P166" s="7"/>
      <c r="Q166" s="7"/>
      <c r="R166" s="7"/>
      <c r="S166" s="7"/>
      <c r="T166" s="5"/>
      <c r="U166" s="5"/>
      <c r="V166" s="5" t="s">
        <v>49</v>
      </c>
      <c r="W166" s="5" t="s">
        <v>50</v>
      </c>
      <c r="X166" s="7"/>
      <c r="Y166" s="7"/>
      <c r="Z166" s="7"/>
      <c r="AA166" s="7"/>
      <c r="AB166" s="7"/>
      <c r="AC166" s="7"/>
      <c r="AD166" s="7"/>
      <c r="AE166" s="7"/>
      <c r="AF166" s="7"/>
      <c r="AG166" s="7"/>
      <c r="AH166" s="5" t="s">
        <v>51</v>
      </c>
      <c r="AJ166" s="7"/>
      <c r="AK166" s="5" t="s">
        <v>889</v>
      </c>
      <c r="AL166" s="6"/>
      <c r="AM166" s="8"/>
      <c r="AN166" s="8"/>
    </row>
    <row r="167">
      <c r="A167" s="5" t="s">
        <v>896</v>
      </c>
      <c r="B167" s="3">
        <f t="shared" si="1"/>
        <v>-124.2287891</v>
      </c>
      <c r="C167" s="4">
        <v>-25.2191</v>
      </c>
      <c r="D167" s="4">
        <v>30.09334</v>
      </c>
      <c r="E167" s="4">
        <v>1857.836</v>
      </c>
      <c r="F167" s="5" t="s">
        <v>401</v>
      </c>
      <c r="G167" s="5" t="s">
        <v>41</v>
      </c>
      <c r="H167" s="5" t="s">
        <v>41</v>
      </c>
      <c r="I167" s="5" t="s">
        <v>42</v>
      </c>
      <c r="J167" s="3" t="str">
        <f t="shared" si="2"/>
        <v>South</v>
      </c>
      <c r="K167" s="3" t="s">
        <v>897</v>
      </c>
      <c r="L167" s="3">
        <v>3201.10203024354</v>
      </c>
      <c r="M167" s="1">
        <f t="shared" si="3"/>
        <v>3122.816922</v>
      </c>
      <c r="N167" s="3">
        <f t="shared" si="4"/>
        <v>808.2444939</v>
      </c>
      <c r="O167" s="5"/>
      <c r="P167" s="7"/>
      <c r="Q167" s="7"/>
      <c r="R167" s="7"/>
      <c r="S167" s="7"/>
      <c r="T167" s="5"/>
      <c r="U167" s="5"/>
      <c r="V167" s="5" t="s">
        <v>49</v>
      </c>
      <c r="W167" s="5" t="s">
        <v>50</v>
      </c>
      <c r="X167" s="7"/>
      <c r="Y167" s="7"/>
      <c r="Z167" s="7"/>
      <c r="AA167" s="7"/>
      <c r="AB167" s="7"/>
      <c r="AC167" s="7"/>
      <c r="AD167" s="7"/>
      <c r="AE167" s="7"/>
      <c r="AF167" s="7"/>
      <c r="AG167" s="7"/>
      <c r="AH167" s="5" t="s">
        <v>51</v>
      </c>
      <c r="AJ167" s="7"/>
      <c r="AK167" s="5" t="s">
        <v>196</v>
      </c>
      <c r="AL167" s="6"/>
      <c r="AM167" s="8"/>
      <c r="AN167" s="8"/>
    </row>
    <row r="168">
      <c r="A168" s="5" t="s">
        <v>898</v>
      </c>
      <c r="B168" s="3">
        <f t="shared" si="1"/>
        <v>-120.4958469</v>
      </c>
      <c r="C168" s="4">
        <v>-25.2438</v>
      </c>
      <c r="D168" s="4">
        <v>30.07447</v>
      </c>
      <c r="E168" s="4">
        <v>1839.625</v>
      </c>
      <c r="F168" s="5" t="s">
        <v>672</v>
      </c>
      <c r="G168" s="5" t="s">
        <v>41</v>
      </c>
      <c r="H168" s="5" t="s">
        <v>41</v>
      </c>
      <c r="I168" s="5" t="s">
        <v>42</v>
      </c>
      <c r="J168" s="3" t="str">
        <f t="shared" si="2"/>
        <v>South</v>
      </c>
      <c r="K168" s="3" t="s">
        <v>899</v>
      </c>
      <c r="L168" s="3">
        <v>3220.40463380647</v>
      </c>
      <c r="M168" s="1">
        <f t="shared" si="3"/>
        <v>3137.239903</v>
      </c>
      <c r="N168" s="3">
        <f t="shared" si="4"/>
        <v>811.977436</v>
      </c>
      <c r="O168" s="5"/>
      <c r="P168" s="7"/>
      <c r="Q168" s="7"/>
      <c r="R168" s="7"/>
      <c r="S168" s="7"/>
      <c r="T168" s="5"/>
      <c r="U168" s="5"/>
      <c r="V168" s="5" t="s">
        <v>49</v>
      </c>
      <c r="W168" s="5" t="s">
        <v>50</v>
      </c>
      <c r="X168" s="7"/>
      <c r="Y168" s="7"/>
      <c r="Z168" s="7"/>
      <c r="AA168" s="7"/>
      <c r="AB168" s="7"/>
      <c r="AC168" s="7"/>
      <c r="AD168" s="7"/>
      <c r="AE168" s="7"/>
      <c r="AF168" s="7"/>
      <c r="AG168" s="7"/>
      <c r="AH168" s="5" t="s">
        <v>51</v>
      </c>
      <c r="AJ168" s="7"/>
      <c r="AK168" s="5" t="s">
        <v>351</v>
      </c>
      <c r="AL168" s="6"/>
      <c r="AM168" s="8"/>
      <c r="AN168" s="8"/>
    </row>
    <row r="169">
      <c r="A169" s="5" t="s">
        <v>900</v>
      </c>
      <c r="B169" s="3">
        <f t="shared" si="1"/>
        <v>-117.9269457</v>
      </c>
      <c r="C169" s="4">
        <v>-25.2204</v>
      </c>
      <c r="D169" s="4">
        <v>30.09203</v>
      </c>
      <c r="E169" s="4">
        <v>1846.261</v>
      </c>
      <c r="F169" s="5" t="s">
        <v>375</v>
      </c>
      <c r="G169" s="5" t="s">
        <v>41</v>
      </c>
      <c r="H169" s="5" t="s">
        <v>41</v>
      </c>
      <c r="I169" s="5" t="s">
        <v>42</v>
      </c>
      <c r="J169" s="3" t="str">
        <f t="shared" si="2"/>
        <v>South</v>
      </c>
      <c r="K169" s="3" t="s">
        <v>901</v>
      </c>
      <c r="L169" s="3">
        <v>3228.55199507763</v>
      </c>
      <c r="M169" s="1">
        <f t="shared" si="3"/>
        <v>3147.165375</v>
      </c>
      <c r="N169" s="3">
        <f t="shared" si="4"/>
        <v>814.5463372</v>
      </c>
      <c r="O169" s="5"/>
      <c r="P169" s="7"/>
      <c r="Q169" s="7"/>
      <c r="R169" s="7"/>
      <c r="S169" s="7"/>
      <c r="T169" s="5"/>
      <c r="U169" s="5"/>
      <c r="V169" s="5" t="s">
        <v>49</v>
      </c>
      <c r="W169" s="5" t="s">
        <v>50</v>
      </c>
      <c r="X169" s="7"/>
      <c r="Y169" s="7"/>
      <c r="Z169" s="7"/>
      <c r="AA169" s="7"/>
      <c r="AB169" s="7"/>
      <c r="AC169" s="7"/>
      <c r="AD169" s="7"/>
      <c r="AE169" s="7"/>
      <c r="AF169" s="7"/>
      <c r="AG169" s="7"/>
      <c r="AH169" s="5" t="s">
        <v>51</v>
      </c>
      <c r="AJ169" s="7"/>
      <c r="AK169" s="5" t="s">
        <v>70</v>
      </c>
      <c r="AL169" s="6"/>
      <c r="AM169" s="8"/>
      <c r="AN169" s="8"/>
    </row>
    <row r="170">
      <c r="A170" s="13" t="s">
        <v>568</v>
      </c>
      <c r="B170" s="3">
        <f t="shared" si="1"/>
        <v>-100.2065065</v>
      </c>
      <c r="C170" s="14">
        <v>-25.208928</v>
      </c>
      <c r="D170" s="14">
        <v>30.099961</v>
      </c>
      <c r="E170" s="21">
        <v>1875.8</v>
      </c>
      <c r="F170" s="13"/>
      <c r="G170" s="13" t="s">
        <v>155</v>
      </c>
      <c r="H170" s="13" t="s">
        <v>200</v>
      </c>
      <c r="I170" s="13" t="s">
        <v>387</v>
      </c>
      <c r="J170" s="3" t="str">
        <f t="shared" si="2"/>
        <v>North</v>
      </c>
      <c r="K170" s="3" t="s">
        <v>571</v>
      </c>
      <c r="L170" s="3">
        <v>3289.10356347213</v>
      </c>
      <c r="M170" s="1">
        <f t="shared" si="3"/>
        <v>3215.631895</v>
      </c>
      <c r="N170" s="3">
        <f t="shared" si="4"/>
        <v>832.2667764</v>
      </c>
      <c r="O170" s="13" t="s">
        <v>573</v>
      </c>
      <c r="P170" s="8" t="s">
        <v>574</v>
      </c>
      <c r="Q170" s="16" t="s">
        <v>902</v>
      </c>
      <c r="R170" s="8"/>
      <c r="S170" s="8"/>
      <c r="T170" s="8"/>
      <c r="U170" s="8"/>
      <c r="V170" s="8"/>
      <c r="W170" s="8"/>
      <c r="X170" s="8"/>
      <c r="Y170" s="8"/>
      <c r="Z170" s="8"/>
      <c r="AA170" s="8"/>
      <c r="AB170" s="8"/>
      <c r="AC170" s="8"/>
      <c r="AD170" s="8"/>
      <c r="AE170" s="8"/>
      <c r="AF170" s="8"/>
      <c r="AG170" s="8"/>
      <c r="AH170" s="8"/>
      <c r="AI170" s="8"/>
      <c r="AJ170" s="8"/>
      <c r="AK170" s="8"/>
      <c r="AL170" s="8"/>
      <c r="AM170" s="8"/>
      <c r="AN170" s="8"/>
    </row>
    <row r="171">
      <c r="A171" s="13" t="s">
        <v>575</v>
      </c>
      <c r="B171" s="3">
        <f t="shared" si="1"/>
        <v>-99.51107689</v>
      </c>
      <c r="C171" s="14">
        <v>-25.2089</v>
      </c>
      <c r="D171" s="14">
        <v>30.09995</v>
      </c>
      <c r="E171" s="14">
        <v>1875.824</v>
      </c>
      <c r="F171" s="13" t="s">
        <v>577</v>
      </c>
      <c r="G171" s="13" t="s">
        <v>155</v>
      </c>
      <c r="H171" s="13" t="s">
        <v>155</v>
      </c>
      <c r="I171" s="13" t="s">
        <v>201</v>
      </c>
      <c r="J171" s="3" t="str">
        <f t="shared" si="2"/>
        <v>North</v>
      </c>
      <c r="K171" s="3" t="s">
        <v>578</v>
      </c>
      <c r="L171" s="3">
        <v>3291.78406638154</v>
      </c>
      <c r="M171" s="1">
        <f t="shared" si="3"/>
        <v>3218.318829</v>
      </c>
      <c r="N171" s="3">
        <f t="shared" si="4"/>
        <v>832.9622061</v>
      </c>
      <c r="O171" s="13" t="s">
        <v>580</v>
      </c>
      <c r="P171" s="23" t="s">
        <v>581</v>
      </c>
      <c r="Q171" s="8"/>
      <c r="R171" s="8"/>
      <c r="S171" s="8"/>
      <c r="T171" s="8"/>
      <c r="U171" s="8"/>
      <c r="V171" s="8"/>
      <c r="W171" s="8"/>
      <c r="X171" s="8"/>
      <c r="Y171" s="8"/>
      <c r="Z171" s="8"/>
      <c r="AA171" s="8"/>
      <c r="AB171" s="8"/>
      <c r="AC171" s="8"/>
      <c r="AD171" s="8"/>
      <c r="AE171" s="8"/>
      <c r="AF171" s="8"/>
      <c r="AG171" s="8"/>
      <c r="AH171" s="8"/>
      <c r="AI171" s="8"/>
      <c r="AJ171" s="8"/>
      <c r="AK171" s="8"/>
      <c r="AL171" s="8"/>
      <c r="AM171" s="8"/>
      <c r="AN171" s="8"/>
    </row>
    <row r="172">
      <c r="A172" s="5" t="s">
        <v>903</v>
      </c>
      <c r="B172" s="3">
        <f t="shared" si="1"/>
        <v>-96.04782571</v>
      </c>
      <c r="C172" s="4">
        <v>-25.2091</v>
      </c>
      <c r="D172" s="4">
        <v>30.09963</v>
      </c>
      <c r="E172" s="4">
        <v>1873.117</v>
      </c>
      <c r="F172" s="5" t="s">
        <v>904</v>
      </c>
      <c r="G172" s="5" t="s">
        <v>155</v>
      </c>
      <c r="H172" s="5" t="s">
        <v>200</v>
      </c>
      <c r="I172" s="5" t="s">
        <v>201</v>
      </c>
      <c r="J172" s="3" t="str">
        <f t="shared" si="2"/>
        <v>North</v>
      </c>
      <c r="K172" s="3" t="s">
        <v>905</v>
      </c>
      <c r="L172" s="3">
        <v>3305.89037984744</v>
      </c>
      <c r="M172" s="1">
        <f t="shared" si="3"/>
        <v>3231.699804</v>
      </c>
      <c r="N172" s="3">
        <f t="shared" si="4"/>
        <v>836.4254572</v>
      </c>
      <c r="O172" s="5"/>
      <c r="P172" s="7"/>
      <c r="Q172" s="7"/>
      <c r="R172" s="7"/>
      <c r="S172" s="7"/>
      <c r="T172" s="5"/>
      <c r="U172" s="5"/>
      <c r="V172" s="5" t="s">
        <v>49</v>
      </c>
      <c r="W172" s="5" t="s">
        <v>50</v>
      </c>
      <c r="X172" s="7"/>
      <c r="Y172" s="7"/>
      <c r="Z172" s="7"/>
      <c r="AA172" s="7"/>
      <c r="AB172" s="7"/>
      <c r="AC172" s="7"/>
      <c r="AD172" s="7"/>
      <c r="AE172" s="7"/>
      <c r="AF172" s="7"/>
      <c r="AG172" s="7"/>
      <c r="AH172" s="5" t="s">
        <v>51</v>
      </c>
      <c r="AJ172" s="7"/>
      <c r="AK172" s="5" t="s">
        <v>892</v>
      </c>
      <c r="AL172" s="6"/>
      <c r="AM172" s="8"/>
      <c r="AN172" s="8"/>
    </row>
    <row r="173">
      <c r="A173" s="5" t="s">
        <v>906</v>
      </c>
      <c r="B173" s="3">
        <f t="shared" si="1"/>
        <v>-94.12515004</v>
      </c>
      <c r="C173" s="4">
        <v>-25.2088</v>
      </c>
      <c r="D173" s="4">
        <v>30.09978</v>
      </c>
      <c r="E173" s="4">
        <v>1877.059</v>
      </c>
      <c r="F173" s="5" t="s">
        <v>907</v>
      </c>
      <c r="G173" s="5" t="s">
        <v>155</v>
      </c>
      <c r="H173" s="5" t="s">
        <v>155</v>
      </c>
      <c r="I173" s="5" t="s">
        <v>224</v>
      </c>
      <c r="J173" s="3" t="str">
        <f t="shared" si="2"/>
        <v>North</v>
      </c>
      <c r="K173" s="3" t="s">
        <v>908</v>
      </c>
      <c r="L173" s="3">
        <v>3312.26277249725</v>
      </c>
      <c r="M173" s="1">
        <f t="shared" si="3"/>
        <v>3239.128452</v>
      </c>
      <c r="N173" s="3">
        <f t="shared" si="4"/>
        <v>838.3481329</v>
      </c>
      <c r="O173" s="5"/>
      <c r="P173" s="7"/>
      <c r="Q173" s="7"/>
      <c r="R173" s="7"/>
      <c r="S173" s="7"/>
      <c r="T173" s="5"/>
      <c r="U173" s="5"/>
      <c r="V173" s="5" t="s">
        <v>49</v>
      </c>
      <c r="W173" s="5" t="s">
        <v>50</v>
      </c>
      <c r="X173" s="7"/>
      <c r="Y173" s="7"/>
      <c r="Z173" s="7"/>
      <c r="AA173" s="7"/>
      <c r="AB173" s="7"/>
      <c r="AC173" s="7"/>
      <c r="AD173" s="7"/>
      <c r="AE173" s="7"/>
      <c r="AF173" s="7"/>
      <c r="AG173" s="7"/>
      <c r="AH173" s="5" t="s">
        <v>51</v>
      </c>
      <c r="AJ173" s="7"/>
      <c r="AK173" s="5" t="s">
        <v>907</v>
      </c>
      <c r="AL173" s="6"/>
      <c r="AM173" s="8"/>
      <c r="AN173" s="8"/>
    </row>
    <row r="174">
      <c r="A174" s="13" t="s">
        <v>218</v>
      </c>
      <c r="B174" s="3">
        <f t="shared" si="1"/>
        <v>-93.252916</v>
      </c>
      <c r="C174" s="14">
        <v>-25.2108</v>
      </c>
      <c r="D174" s="14">
        <v>30.0982</v>
      </c>
      <c r="E174" s="14">
        <v>1867.592</v>
      </c>
      <c r="F174" s="13" t="s">
        <v>222</v>
      </c>
      <c r="G174" s="13" t="s">
        <v>155</v>
      </c>
      <c r="H174" s="13" t="s">
        <v>155</v>
      </c>
      <c r="I174" s="13" t="s">
        <v>224</v>
      </c>
      <c r="J174" s="3" t="str">
        <f t="shared" si="2"/>
        <v>North</v>
      </c>
      <c r="K174" s="3" t="s">
        <v>225</v>
      </c>
      <c r="L174" s="3">
        <v>3318.16950104048</v>
      </c>
      <c r="M174" s="1">
        <f t="shared" si="3"/>
        <v>3242.498506</v>
      </c>
      <c r="N174" s="3">
        <f t="shared" si="4"/>
        <v>839.2203669</v>
      </c>
      <c r="O174" s="13" t="s">
        <v>226</v>
      </c>
      <c r="P174" s="8"/>
      <c r="Q174" s="10">
        <v>64.0</v>
      </c>
      <c r="R174" s="10">
        <v>323.0</v>
      </c>
      <c r="S174" s="10">
        <v>16.0</v>
      </c>
      <c r="T174" s="10">
        <f>R174-90</f>
        <v>233</v>
      </c>
      <c r="U174" s="12" t="s">
        <v>139</v>
      </c>
      <c r="V174" s="8"/>
      <c r="W174" s="8"/>
      <c r="X174" s="8"/>
      <c r="Y174" s="8"/>
      <c r="Z174" s="8"/>
      <c r="AA174" s="8"/>
      <c r="AB174" s="8"/>
      <c r="AC174" s="8"/>
      <c r="AD174" s="8"/>
      <c r="AE174" s="8"/>
      <c r="AF174" s="8"/>
      <c r="AG174" s="8"/>
      <c r="AH174" s="8"/>
      <c r="AI174" s="8"/>
      <c r="AJ174" s="8"/>
      <c r="AK174" s="8"/>
      <c r="AL174" s="8"/>
      <c r="AM174" s="8"/>
      <c r="AN174" s="8"/>
    </row>
    <row r="175">
      <c r="A175" s="5" t="s">
        <v>583</v>
      </c>
      <c r="B175" s="3">
        <f t="shared" si="1"/>
        <v>-86.90074614</v>
      </c>
      <c r="C175" s="4">
        <v>-25.2418</v>
      </c>
      <c r="D175" s="4">
        <v>30.07439</v>
      </c>
      <c r="E175" s="4">
        <v>1829.23</v>
      </c>
      <c r="F175" s="5" t="s">
        <v>584</v>
      </c>
      <c r="G175" s="5" t="s">
        <v>155</v>
      </c>
      <c r="H175" s="5" t="s">
        <v>200</v>
      </c>
      <c r="I175" s="5" t="s">
        <v>276</v>
      </c>
      <c r="J175" s="3" t="str">
        <f t="shared" si="2"/>
        <v>South</v>
      </c>
      <c r="K175" s="3" t="s">
        <v>585</v>
      </c>
      <c r="L175" s="3">
        <v>3352.99146762697</v>
      </c>
      <c r="M175" s="1">
        <f t="shared" si="3"/>
        <v>3267.041405</v>
      </c>
      <c r="N175" s="3">
        <f t="shared" si="4"/>
        <v>845.5725368</v>
      </c>
      <c r="O175" s="5"/>
      <c r="P175" s="5" t="s">
        <v>587</v>
      </c>
      <c r="Q175" s="7"/>
      <c r="R175" s="7"/>
      <c r="S175" s="7"/>
      <c r="T175" s="5"/>
      <c r="U175" s="5"/>
      <c r="V175" s="5" t="s">
        <v>49</v>
      </c>
      <c r="W175" s="5" t="s">
        <v>50</v>
      </c>
      <c r="X175" s="7"/>
      <c r="Y175" s="7"/>
      <c r="Z175" s="7"/>
      <c r="AA175" s="7"/>
      <c r="AB175" s="7"/>
      <c r="AC175" s="7"/>
      <c r="AD175" s="7"/>
      <c r="AE175" s="7"/>
      <c r="AF175" s="7"/>
      <c r="AG175" s="7"/>
      <c r="AH175" s="5" t="s">
        <v>51</v>
      </c>
      <c r="AJ175" s="7"/>
      <c r="AK175" s="5" t="s">
        <v>590</v>
      </c>
      <c r="AL175" s="6"/>
      <c r="AM175" s="8"/>
      <c r="AN175" s="8"/>
    </row>
    <row r="176">
      <c r="A176" s="13" t="s">
        <v>591</v>
      </c>
      <c r="B176" s="3">
        <f t="shared" si="1"/>
        <v>-86</v>
      </c>
      <c r="C176" s="14">
        <v>-25.2104</v>
      </c>
      <c r="D176" s="14">
        <v>30.09815</v>
      </c>
      <c r="E176" s="14">
        <v>1862.625</v>
      </c>
      <c r="F176" s="13" t="s">
        <v>594</v>
      </c>
      <c r="G176" s="8" t="s">
        <v>595</v>
      </c>
      <c r="H176" s="8" t="s">
        <v>155</v>
      </c>
      <c r="I176" s="12" t="s">
        <v>595</v>
      </c>
      <c r="J176" s="3" t="str">
        <f t="shared" si="2"/>
        <v>North</v>
      </c>
      <c r="K176" s="3" t="s">
        <v>596</v>
      </c>
      <c r="L176" s="3">
        <v>3347.52352019092</v>
      </c>
      <c r="M176" s="1">
        <f t="shared" si="3"/>
        <v>3270.521621</v>
      </c>
      <c r="N176" s="3">
        <f t="shared" si="4"/>
        <v>846.4732829</v>
      </c>
      <c r="O176" s="8" t="s">
        <v>598</v>
      </c>
      <c r="P176" s="8" t="s">
        <v>599</v>
      </c>
      <c r="Q176" s="8" t="s">
        <v>600</v>
      </c>
      <c r="R176" s="8"/>
      <c r="S176" s="8"/>
      <c r="T176" s="8"/>
      <c r="U176" s="8"/>
      <c r="V176" s="8"/>
      <c r="W176" s="8"/>
      <c r="X176" s="8"/>
      <c r="Y176" s="8"/>
      <c r="Z176" s="8"/>
      <c r="AA176" s="8"/>
      <c r="AB176" s="8"/>
      <c r="AC176" s="8"/>
      <c r="AD176" s="8"/>
      <c r="AE176" s="8"/>
      <c r="AF176" s="8"/>
      <c r="AG176" s="8"/>
      <c r="AH176" s="8"/>
      <c r="AI176" s="8"/>
      <c r="AJ176" s="20">
        <v>2.0</v>
      </c>
      <c r="AK176" s="8"/>
      <c r="AL176" s="8"/>
      <c r="AM176" s="8"/>
      <c r="AN176" s="8"/>
    </row>
    <row r="177">
      <c r="A177" s="5" t="s">
        <v>909</v>
      </c>
      <c r="B177" s="3">
        <f t="shared" si="1"/>
        <v>-83.43631494</v>
      </c>
      <c r="C177" s="4">
        <v>-25.2104</v>
      </c>
      <c r="D177" s="4">
        <v>30.09804</v>
      </c>
      <c r="E177" s="4">
        <v>1865.342</v>
      </c>
      <c r="F177" s="5" t="s">
        <v>910</v>
      </c>
      <c r="G177" s="5" t="s">
        <v>155</v>
      </c>
      <c r="H177" s="5" t="s">
        <v>155</v>
      </c>
      <c r="I177" s="5" t="s">
        <v>224</v>
      </c>
      <c r="J177" s="3" t="str">
        <f t="shared" si="2"/>
        <v>North</v>
      </c>
      <c r="K177" s="3" t="s">
        <v>911</v>
      </c>
      <c r="L177" s="3">
        <v>3356.70082068673</v>
      </c>
      <c r="M177" s="1">
        <f t="shared" si="3"/>
        <v>3280.426939</v>
      </c>
      <c r="N177" s="3">
        <f t="shared" si="4"/>
        <v>849.036968</v>
      </c>
      <c r="O177" s="5"/>
      <c r="P177" s="7"/>
      <c r="Q177" s="7"/>
      <c r="R177" s="7"/>
      <c r="S177" s="7"/>
      <c r="T177" s="5"/>
      <c r="U177" s="5"/>
      <c r="V177" s="5" t="s">
        <v>49</v>
      </c>
      <c r="W177" s="5" t="s">
        <v>50</v>
      </c>
      <c r="X177" s="7"/>
      <c r="Y177" s="7"/>
      <c r="Z177" s="7"/>
      <c r="AA177" s="7"/>
      <c r="AB177" s="7"/>
      <c r="AC177" s="7"/>
      <c r="AD177" s="7"/>
      <c r="AE177" s="7"/>
      <c r="AF177" s="7"/>
      <c r="AG177" s="7"/>
      <c r="AH177" s="5" t="s">
        <v>51</v>
      </c>
      <c r="AJ177" s="7"/>
      <c r="AK177" s="5" t="s">
        <v>910</v>
      </c>
      <c r="AL177" s="6"/>
      <c r="AM177" s="8"/>
      <c r="AN177" s="8"/>
    </row>
    <row r="178">
      <c r="A178" s="5" t="s">
        <v>912</v>
      </c>
      <c r="B178" s="3">
        <f t="shared" si="1"/>
        <v>-72.4335461</v>
      </c>
      <c r="C178" s="4">
        <v>-25.2093</v>
      </c>
      <c r="D178" s="4">
        <v>30.09835</v>
      </c>
      <c r="E178" s="4">
        <v>1862.068</v>
      </c>
      <c r="F178" s="5" t="s">
        <v>913</v>
      </c>
      <c r="G178" s="2" t="s">
        <v>155</v>
      </c>
      <c r="H178" s="2" t="s">
        <v>155</v>
      </c>
      <c r="I178" s="2" t="s">
        <v>224</v>
      </c>
      <c r="J178" s="3" t="str">
        <f t="shared" si="2"/>
        <v>North</v>
      </c>
      <c r="K178" s="3" t="s">
        <v>914</v>
      </c>
      <c r="L178" s="3">
        <v>3400.08952065154</v>
      </c>
      <c r="M178" s="1">
        <f t="shared" si="3"/>
        <v>3322.938374</v>
      </c>
      <c r="N178" s="3">
        <f t="shared" si="4"/>
        <v>860.0397368</v>
      </c>
      <c r="O178" s="5"/>
      <c r="P178" s="7"/>
      <c r="Q178" s="7"/>
      <c r="R178" s="7"/>
      <c r="S178" s="7"/>
      <c r="T178" s="5"/>
      <c r="U178" s="5"/>
      <c r="V178" s="5" t="s">
        <v>49</v>
      </c>
      <c r="W178" s="5" t="s">
        <v>50</v>
      </c>
      <c r="X178" s="7"/>
      <c r="Y178" s="7"/>
      <c r="Z178" s="7"/>
      <c r="AA178" s="7"/>
      <c r="AB178" s="7"/>
      <c r="AC178" s="7"/>
      <c r="AD178" s="7"/>
      <c r="AE178" s="7"/>
      <c r="AF178" s="7"/>
      <c r="AG178" s="7"/>
      <c r="AH178" s="5" t="s">
        <v>51</v>
      </c>
      <c r="AJ178" s="7"/>
      <c r="AK178" s="5" t="s">
        <v>913</v>
      </c>
      <c r="AL178" s="6"/>
      <c r="AM178" s="8"/>
      <c r="AN178" s="8"/>
    </row>
    <row r="179">
      <c r="A179" s="13" t="s">
        <v>229</v>
      </c>
      <c r="B179" s="3">
        <f t="shared" si="1"/>
        <v>-71.82844297</v>
      </c>
      <c r="C179" s="14">
        <v>-25.2169</v>
      </c>
      <c r="D179" s="14">
        <v>30.09254</v>
      </c>
      <c r="E179" s="14">
        <v>1847.43</v>
      </c>
      <c r="F179" s="13" t="s">
        <v>232</v>
      </c>
      <c r="G179" s="13" t="s">
        <v>155</v>
      </c>
      <c r="H179" s="13" t="s">
        <v>200</v>
      </c>
      <c r="I179" s="13" t="s">
        <v>201</v>
      </c>
      <c r="J179" s="3" t="str">
        <f t="shared" si="2"/>
        <v>South</v>
      </c>
      <c r="K179" s="3" t="s">
        <v>234</v>
      </c>
      <c r="L179" s="3">
        <v>3406.34969988732</v>
      </c>
      <c r="M179" s="1">
        <f t="shared" si="3"/>
        <v>3325.276313</v>
      </c>
      <c r="N179" s="3">
        <f t="shared" si="4"/>
        <v>860.64484</v>
      </c>
      <c r="O179" s="13" t="s">
        <v>236</v>
      </c>
      <c r="P179" s="9" t="s">
        <v>237</v>
      </c>
      <c r="Q179" s="8"/>
      <c r="R179" s="10">
        <v>310.0</v>
      </c>
      <c r="S179" s="10">
        <v>40.0</v>
      </c>
      <c r="T179" s="10">
        <f>R179-90</f>
        <v>220</v>
      </c>
      <c r="U179" s="12" t="s">
        <v>139</v>
      </c>
      <c r="V179" s="8"/>
      <c r="W179" s="8"/>
      <c r="X179" s="8"/>
      <c r="Y179" s="8"/>
      <c r="Z179" s="8"/>
      <c r="AA179" s="8"/>
      <c r="AB179" s="8"/>
      <c r="AC179" s="8"/>
      <c r="AD179" s="8"/>
      <c r="AE179" s="8"/>
      <c r="AF179" s="8"/>
      <c r="AG179" s="8"/>
      <c r="AH179" s="8"/>
      <c r="AI179" s="8"/>
      <c r="AJ179" s="8"/>
      <c r="AK179" s="8"/>
      <c r="AL179" s="8"/>
      <c r="AM179" s="8"/>
      <c r="AN179" s="8"/>
    </row>
    <row r="180">
      <c r="A180" s="5" t="s">
        <v>915</v>
      </c>
      <c r="B180" s="3">
        <f t="shared" si="1"/>
        <v>-57.85570079</v>
      </c>
      <c r="C180" s="4">
        <v>-25.2072</v>
      </c>
      <c r="D180" s="4">
        <v>30.09933</v>
      </c>
      <c r="E180" s="4">
        <v>1884.003</v>
      </c>
      <c r="F180" s="5" t="s">
        <v>916</v>
      </c>
      <c r="G180" s="5" t="s">
        <v>155</v>
      </c>
      <c r="H180" s="5" t="s">
        <v>155</v>
      </c>
      <c r="I180" s="5" t="s">
        <v>224</v>
      </c>
      <c r="J180" s="3" t="str">
        <f t="shared" si="2"/>
        <v>North</v>
      </c>
      <c r="K180" s="3" t="s">
        <v>917</v>
      </c>
      <c r="L180" s="3">
        <v>3450.53652425073</v>
      </c>
      <c r="M180" s="1">
        <f t="shared" si="3"/>
        <v>3379.262843</v>
      </c>
      <c r="N180" s="3">
        <f t="shared" si="4"/>
        <v>874.6175822</v>
      </c>
      <c r="O180" s="5"/>
      <c r="P180" s="7"/>
      <c r="Q180" s="7"/>
      <c r="R180" s="7"/>
      <c r="S180" s="7"/>
      <c r="T180" s="5"/>
      <c r="U180" s="5"/>
      <c r="V180" s="5" t="s">
        <v>49</v>
      </c>
      <c r="W180" s="5" t="s">
        <v>50</v>
      </c>
      <c r="X180" s="7"/>
      <c r="Y180" s="7"/>
      <c r="Z180" s="7"/>
      <c r="AA180" s="7"/>
      <c r="AB180" s="7"/>
      <c r="AC180" s="7"/>
      <c r="AD180" s="7"/>
      <c r="AE180" s="7"/>
      <c r="AF180" s="7"/>
      <c r="AG180" s="7"/>
      <c r="AH180" s="5" t="s">
        <v>51</v>
      </c>
      <c r="AJ180" s="7"/>
      <c r="AK180" s="5" t="s">
        <v>916</v>
      </c>
      <c r="AL180" s="6"/>
      <c r="AM180" s="8"/>
      <c r="AN180" s="8"/>
    </row>
    <row r="181">
      <c r="A181" s="5" t="s">
        <v>730</v>
      </c>
      <c r="B181" s="3">
        <f t="shared" si="1"/>
        <v>-51.84706237</v>
      </c>
      <c r="C181" s="4">
        <v>-25.2435</v>
      </c>
      <c r="D181" s="4">
        <v>30.07152</v>
      </c>
      <c r="E181" s="4">
        <v>1840.495</v>
      </c>
      <c r="F181" s="5" t="s">
        <v>918</v>
      </c>
      <c r="G181" s="5" t="s">
        <v>730</v>
      </c>
      <c r="H181" s="5" t="s">
        <v>730</v>
      </c>
      <c r="I181" s="5" t="s">
        <v>730</v>
      </c>
      <c r="J181" s="3" t="str">
        <f t="shared" si="2"/>
        <v>South</v>
      </c>
      <c r="K181" s="3" t="s">
        <v>919</v>
      </c>
      <c r="L181" s="3">
        <v>3485.41005382253</v>
      </c>
      <c r="M181" s="1">
        <f t="shared" si="3"/>
        <v>3402.478439</v>
      </c>
      <c r="N181" s="3">
        <f t="shared" si="4"/>
        <v>880.6262206</v>
      </c>
      <c r="O181" s="5"/>
      <c r="P181" s="7"/>
      <c r="Q181" s="7"/>
      <c r="R181" s="7"/>
      <c r="S181" s="7"/>
      <c r="T181" s="5"/>
      <c r="U181" s="5"/>
      <c r="V181" s="5" t="s">
        <v>49</v>
      </c>
      <c r="W181" s="5" t="s">
        <v>50</v>
      </c>
      <c r="X181" s="7"/>
      <c r="Y181" s="7"/>
      <c r="Z181" s="7"/>
      <c r="AA181" s="7"/>
      <c r="AB181" s="7"/>
      <c r="AC181" s="7"/>
      <c r="AD181" s="7"/>
      <c r="AE181" s="7"/>
      <c r="AF181" s="7"/>
      <c r="AG181" s="7"/>
      <c r="AH181" s="5" t="s">
        <v>51</v>
      </c>
      <c r="AJ181" s="7"/>
      <c r="AK181" s="5" t="s">
        <v>920</v>
      </c>
      <c r="AL181" s="6"/>
      <c r="AM181" s="8"/>
      <c r="AN181" s="8"/>
    </row>
    <row r="182">
      <c r="A182" s="5" t="s">
        <v>606</v>
      </c>
      <c r="B182" s="3">
        <f t="shared" si="1"/>
        <v>-50.64800555</v>
      </c>
      <c r="C182" s="4">
        <v>-25.2174</v>
      </c>
      <c r="D182" s="4">
        <v>30.09118</v>
      </c>
      <c r="E182" s="4">
        <v>1846.863</v>
      </c>
      <c r="F182" s="5" t="s">
        <v>607</v>
      </c>
      <c r="G182" s="5" t="s">
        <v>155</v>
      </c>
      <c r="H182" s="5" t="s">
        <v>200</v>
      </c>
      <c r="I182" s="5" t="s">
        <v>201</v>
      </c>
      <c r="J182" s="3" t="str">
        <f t="shared" si="2"/>
        <v>South</v>
      </c>
      <c r="K182" s="3" t="s">
        <v>608</v>
      </c>
      <c r="L182" s="3">
        <v>3488.33655314411</v>
      </c>
      <c r="M182" s="1">
        <f t="shared" si="3"/>
        <v>3407.111239</v>
      </c>
      <c r="N182" s="3">
        <f t="shared" si="4"/>
        <v>881.8252774</v>
      </c>
      <c r="O182" s="5"/>
      <c r="P182" s="5" t="s">
        <v>921</v>
      </c>
      <c r="Q182" s="7"/>
      <c r="R182" s="7"/>
      <c r="S182" s="7"/>
      <c r="T182" s="5"/>
      <c r="U182" s="5"/>
      <c r="V182" s="5" t="s">
        <v>49</v>
      </c>
      <c r="W182" s="5" t="s">
        <v>50</v>
      </c>
      <c r="X182" s="7"/>
      <c r="Y182" s="7"/>
      <c r="Z182" s="7"/>
      <c r="AA182" s="7"/>
      <c r="AB182" s="7"/>
      <c r="AC182" s="7"/>
      <c r="AD182" s="7"/>
      <c r="AE182" s="7"/>
      <c r="AF182" s="7"/>
      <c r="AG182" s="7"/>
      <c r="AH182" s="5" t="s">
        <v>51</v>
      </c>
      <c r="AJ182" s="7"/>
      <c r="AK182" s="5" t="s">
        <v>544</v>
      </c>
      <c r="AL182" s="6"/>
      <c r="AM182" s="8"/>
      <c r="AN182" s="8"/>
    </row>
    <row r="183">
      <c r="A183" s="5" t="s">
        <v>922</v>
      </c>
      <c r="B183" s="3">
        <f t="shared" si="1"/>
        <v>-47.86396987</v>
      </c>
      <c r="C183" s="4">
        <v>-25.2063</v>
      </c>
      <c r="D183" s="4">
        <v>30.09959</v>
      </c>
      <c r="E183" s="4">
        <v>1897.573</v>
      </c>
      <c r="F183" s="5" t="s">
        <v>923</v>
      </c>
      <c r="G183" s="5" t="s">
        <v>155</v>
      </c>
      <c r="H183" s="5" t="s">
        <v>155</v>
      </c>
      <c r="I183" s="5" t="s">
        <v>224</v>
      </c>
      <c r="J183" s="3" t="str">
        <f t="shared" si="2"/>
        <v>North</v>
      </c>
      <c r="K183" s="3" t="s">
        <v>924</v>
      </c>
      <c r="L183" s="3">
        <v>3485.50553748959</v>
      </c>
      <c r="M183" s="1">
        <f t="shared" si="3"/>
        <v>3417.867927</v>
      </c>
      <c r="N183" s="3">
        <f t="shared" si="4"/>
        <v>884.6093131</v>
      </c>
      <c r="O183" s="5"/>
      <c r="P183" s="7"/>
      <c r="Q183" s="7"/>
      <c r="R183" s="7"/>
      <c r="S183" s="7"/>
      <c r="T183" s="5"/>
      <c r="U183" s="5"/>
      <c r="V183" s="5" t="s">
        <v>49</v>
      </c>
      <c r="W183" s="5" t="s">
        <v>50</v>
      </c>
      <c r="X183" s="7"/>
      <c r="Y183" s="7"/>
      <c r="Z183" s="7"/>
      <c r="AA183" s="7"/>
      <c r="AB183" s="7"/>
      <c r="AC183" s="7"/>
      <c r="AD183" s="7"/>
      <c r="AE183" s="7"/>
      <c r="AF183" s="7"/>
      <c r="AG183" s="7"/>
      <c r="AH183" s="5" t="s">
        <v>51</v>
      </c>
      <c r="AJ183" s="7"/>
      <c r="AK183" s="5" t="s">
        <v>923</v>
      </c>
      <c r="AL183" s="6"/>
      <c r="AM183" s="8"/>
      <c r="AN183" s="8"/>
    </row>
    <row r="184">
      <c r="A184" s="13" t="s">
        <v>610</v>
      </c>
      <c r="B184" s="3">
        <f t="shared" si="1"/>
        <v>-33.03637373</v>
      </c>
      <c r="C184" s="14">
        <v>-25.206</v>
      </c>
      <c r="D184" s="14">
        <v>30.0992</v>
      </c>
      <c r="E184" s="14">
        <v>1919.46</v>
      </c>
      <c r="F184" s="13" t="s">
        <v>611</v>
      </c>
      <c r="G184" s="15" t="s">
        <v>612</v>
      </c>
      <c r="H184" s="13" t="s">
        <v>315</v>
      </c>
      <c r="I184" s="15" t="s">
        <v>246</v>
      </c>
      <c r="J184" s="3" t="str">
        <f t="shared" si="2"/>
        <v>North</v>
      </c>
      <c r="K184" s="3" t="s">
        <v>613</v>
      </c>
      <c r="L184" s="3">
        <v>3536.93036571676</v>
      </c>
      <c r="M184" s="1">
        <f t="shared" si="3"/>
        <v>3475.157359</v>
      </c>
      <c r="N184" s="3">
        <f t="shared" si="4"/>
        <v>899.4369092</v>
      </c>
      <c r="O184" s="13" t="s">
        <v>320</v>
      </c>
      <c r="P184" s="9" t="s">
        <v>614</v>
      </c>
      <c r="Q184" s="10">
        <v>81.0</v>
      </c>
      <c r="R184" s="8"/>
      <c r="S184" s="8"/>
      <c r="T184" s="8"/>
      <c r="U184" s="8"/>
      <c r="V184" s="8"/>
      <c r="W184" s="8"/>
      <c r="X184" s="8"/>
      <c r="Y184" s="8"/>
      <c r="Z184" s="8"/>
      <c r="AA184" s="8"/>
      <c r="AB184" s="8"/>
      <c r="AC184" s="8"/>
      <c r="AD184" s="8"/>
      <c r="AE184" s="8"/>
      <c r="AF184" s="8"/>
      <c r="AG184" s="8"/>
      <c r="AH184" s="8"/>
      <c r="AI184" s="8"/>
      <c r="AJ184" s="8"/>
      <c r="AK184" s="8"/>
      <c r="AL184" s="8"/>
      <c r="AM184" s="8"/>
      <c r="AN184" s="8"/>
    </row>
    <row r="185">
      <c r="A185" s="13" t="s">
        <v>616</v>
      </c>
      <c r="B185" s="3">
        <f t="shared" si="1"/>
        <v>161.7524339</v>
      </c>
      <c r="C185" s="14">
        <v>-25.2281</v>
      </c>
      <c r="D185" s="14">
        <v>30.07313</v>
      </c>
      <c r="E185" s="14">
        <v>1803.425</v>
      </c>
      <c r="F185" s="13" t="s">
        <v>618</v>
      </c>
      <c r="G185" s="9" t="s">
        <v>200</v>
      </c>
      <c r="H185" s="9" t="s">
        <v>200</v>
      </c>
      <c r="I185" s="11" t="s">
        <v>201</v>
      </c>
      <c r="J185" s="3" t="str">
        <f t="shared" si="2"/>
        <v>South</v>
      </c>
      <c r="K185" s="3" t="s">
        <v>620</v>
      </c>
      <c r="L185" s="3">
        <v>4320.62801012304</v>
      </c>
      <c r="M185" s="1">
        <f t="shared" si="3"/>
        <v>4227.763519</v>
      </c>
      <c r="N185" s="3">
        <f t="shared" si="4"/>
        <v>1094.225717</v>
      </c>
      <c r="O185" s="9" t="s">
        <v>621</v>
      </c>
      <c r="P185" s="9" t="s">
        <v>622</v>
      </c>
      <c r="Q185" s="8"/>
      <c r="R185" s="8"/>
      <c r="S185" s="8"/>
      <c r="T185" s="8"/>
      <c r="U185" s="8"/>
      <c r="V185" s="8"/>
      <c r="W185" s="8"/>
      <c r="X185" s="8"/>
      <c r="Y185" s="8"/>
      <c r="Z185" s="8"/>
      <c r="AA185" s="8"/>
      <c r="AB185" s="8"/>
      <c r="AC185" s="8"/>
      <c r="AD185" s="8"/>
      <c r="AE185" s="8"/>
      <c r="AF185" s="8"/>
      <c r="AG185" s="8"/>
      <c r="AH185" s="8"/>
      <c r="AI185" s="8"/>
      <c r="AJ185" s="8"/>
      <c r="AK185" s="8"/>
      <c r="AL185" s="8"/>
      <c r="AM185" s="8"/>
      <c r="AN185" s="8"/>
    </row>
    <row r="186">
      <c r="A186" s="13" t="s">
        <v>624</v>
      </c>
      <c r="B186" s="3">
        <f t="shared" si="1"/>
        <v>206.8602608</v>
      </c>
      <c r="C186" s="14">
        <v>-25.227</v>
      </c>
      <c r="D186" s="14">
        <v>30.07188</v>
      </c>
      <c r="E186" s="14">
        <v>1806.182</v>
      </c>
      <c r="F186" s="13" t="s">
        <v>625</v>
      </c>
      <c r="G186" s="9" t="s">
        <v>626</v>
      </c>
      <c r="H186" s="9" t="s">
        <v>246</v>
      </c>
      <c r="I186" s="9" t="s">
        <v>246</v>
      </c>
      <c r="J186" s="3" t="str">
        <f t="shared" si="2"/>
        <v>South</v>
      </c>
      <c r="K186" s="3" t="s">
        <v>627</v>
      </c>
      <c r="L186" s="3">
        <v>4494.17253408707</v>
      </c>
      <c r="M186" s="1">
        <f t="shared" si="3"/>
        <v>4402.046779</v>
      </c>
      <c r="N186" s="3">
        <f t="shared" si="4"/>
        <v>1139.333544</v>
      </c>
      <c r="O186" s="9" t="s">
        <v>320</v>
      </c>
      <c r="P186" s="9" t="s">
        <v>628</v>
      </c>
      <c r="Q186" s="8"/>
      <c r="R186" s="8"/>
      <c r="S186" s="8"/>
      <c r="T186" s="8"/>
      <c r="U186" s="8"/>
      <c r="V186" s="8"/>
      <c r="W186" s="8"/>
      <c r="X186" s="8"/>
      <c r="Y186" s="8"/>
      <c r="Z186" s="8"/>
      <c r="AA186" s="8"/>
      <c r="AB186" s="8"/>
      <c r="AC186" s="8"/>
      <c r="AD186" s="8"/>
      <c r="AE186" s="8"/>
      <c r="AF186" s="8"/>
      <c r="AG186" s="8"/>
      <c r="AH186" s="8"/>
      <c r="AI186" s="8"/>
      <c r="AJ186" s="8"/>
      <c r="AK186" s="8"/>
      <c r="AL186" s="8"/>
      <c r="AM186" s="8"/>
      <c r="AN186" s="8"/>
    </row>
    <row r="187">
      <c r="A187" s="13" t="s">
        <v>241</v>
      </c>
      <c r="B187" s="3">
        <f t="shared" si="1"/>
        <v>333.1442535</v>
      </c>
      <c r="C187" s="14">
        <v>-25.1925</v>
      </c>
      <c r="D187" s="14">
        <v>30.09242</v>
      </c>
      <c r="E187" s="14">
        <v>1916.521</v>
      </c>
      <c r="F187" s="13" t="s">
        <v>243</v>
      </c>
      <c r="G187" s="11" t="s">
        <v>245</v>
      </c>
      <c r="H187" s="9" t="s">
        <v>246</v>
      </c>
      <c r="I187" s="9" t="s">
        <v>246</v>
      </c>
      <c r="J187" s="3" t="str">
        <f t="shared" si="2"/>
        <v>North</v>
      </c>
      <c r="K187" s="3" t="s">
        <v>248</v>
      </c>
      <c r="L187" s="3">
        <v>4952.53116815086</v>
      </c>
      <c r="M187" s="1">
        <f t="shared" si="3"/>
        <v>4889.970659</v>
      </c>
      <c r="N187" s="3">
        <f t="shared" si="4"/>
        <v>1265.617536</v>
      </c>
      <c r="O187" s="9" t="s">
        <v>249</v>
      </c>
      <c r="P187" s="8" t="s">
        <v>250</v>
      </c>
      <c r="Q187" s="10">
        <v>115.0</v>
      </c>
      <c r="R187" s="10">
        <v>220.0</v>
      </c>
      <c r="S187" s="10">
        <v>15.0</v>
      </c>
      <c r="T187" s="10">
        <f t="shared" ref="T187:T191" si="6">R187-90</f>
        <v>130</v>
      </c>
      <c r="U187" s="12" t="s">
        <v>250</v>
      </c>
      <c r="V187" s="8"/>
      <c r="W187" s="8"/>
      <c r="X187" s="8"/>
      <c r="Y187" s="8"/>
      <c r="Z187" s="8"/>
      <c r="AA187" s="8"/>
      <c r="AB187" s="8"/>
      <c r="AC187" s="8"/>
      <c r="AD187" s="8"/>
      <c r="AE187" s="8"/>
      <c r="AF187" s="8"/>
      <c r="AG187" s="8"/>
      <c r="AH187" s="8"/>
      <c r="AI187" s="8"/>
      <c r="AJ187" s="8"/>
      <c r="AK187" s="8"/>
      <c r="AL187" s="8"/>
      <c r="AM187" s="8"/>
      <c r="AN187" s="8"/>
    </row>
    <row r="188">
      <c r="A188" s="13"/>
      <c r="B188" s="3"/>
      <c r="C188" s="14"/>
      <c r="D188" s="14"/>
      <c r="E188" s="14"/>
      <c r="F188" s="13"/>
      <c r="G188" s="11"/>
      <c r="H188" s="9"/>
      <c r="I188" s="9"/>
      <c r="J188" s="3"/>
      <c r="K188" s="3"/>
      <c r="L188" s="3"/>
      <c r="M188" s="1"/>
      <c r="N188" s="3"/>
      <c r="O188" s="9"/>
      <c r="P188" s="8"/>
      <c r="Q188" s="10">
        <v>115.0</v>
      </c>
      <c r="R188" s="10">
        <v>270.0</v>
      </c>
      <c r="S188" s="10">
        <v>15.0</v>
      </c>
      <c r="T188" s="10">
        <f t="shared" si="6"/>
        <v>180</v>
      </c>
      <c r="U188" s="12" t="s">
        <v>139</v>
      </c>
      <c r="V188" s="8"/>
      <c r="W188" s="8"/>
      <c r="X188" s="8"/>
      <c r="Y188" s="8"/>
      <c r="Z188" s="8"/>
      <c r="AA188" s="8"/>
      <c r="AB188" s="8"/>
      <c r="AC188" s="8"/>
      <c r="AD188" s="8"/>
      <c r="AE188" s="8"/>
      <c r="AF188" s="8"/>
      <c r="AG188" s="8"/>
      <c r="AH188" s="8"/>
      <c r="AI188" s="8"/>
      <c r="AJ188" s="8"/>
      <c r="AK188" s="8"/>
      <c r="AL188" s="8"/>
      <c r="AM188" s="8"/>
      <c r="AN188" s="8"/>
    </row>
    <row r="189">
      <c r="A189" s="13"/>
      <c r="B189" s="3"/>
      <c r="C189" s="14"/>
      <c r="D189" s="14"/>
      <c r="E189" s="14"/>
      <c r="F189" s="13"/>
      <c r="G189" s="11"/>
      <c r="H189" s="9"/>
      <c r="I189" s="9"/>
      <c r="J189" s="3"/>
      <c r="K189" s="3"/>
      <c r="L189" s="3"/>
      <c r="M189" s="1"/>
      <c r="N189" s="3"/>
      <c r="O189" s="9"/>
      <c r="P189" s="8"/>
      <c r="Q189" s="10">
        <v>115.0</v>
      </c>
      <c r="R189" s="10">
        <v>50.0</v>
      </c>
      <c r="S189" s="10">
        <v>5.0</v>
      </c>
      <c r="T189" s="10">
        <f t="shared" si="6"/>
        <v>-40</v>
      </c>
      <c r="U189" s="12" t="s">
        <v>262</v>
      </c>
      <c r="V189" s="8"/>
      <c r="W189" s="8"/>
      <c r="X189" s="8"/>
      <c r="Y189" s="8"/>
      <c r="Z189" s="8"/>
      <c r="AA189" s="8"/>
      <c r="AB189" s="8"/>
      <c r="AC189" s="8"/>
      <c r="AD189" s="8"/>
      <c r="AE189" s="8"/>
      <c r="AF189" s="8"/>
      <c r="AG189" s="8"/>
      <c r="AH189" s="8"/>
      <c r="AI189" s="8"/>
      <c r="AJ189" s="8"/>
      <c r="AK189" s="8"/>
      <c r="AL189" s="8"/>
      <c r="AM189" s="8"/>
      <c r="AN189" s="8"/>
    </row>
    <row r="190">
      <c r="A190" s="13" t="s">
        <v>267</v>
      </c>
      <c r="B190" s="3">
        <f t="shared" ref="B190:B239" si="7">N190-$N$176-86</f>
        <v>361.8359579</v>
      </c>
      <c r="C190" s="14">
        <v>-25.2269</v>
      </c>
      <c r="D190" s="14">
        <v>30.06477</v>
      </c>
      <c r="E190" s="14">
        <v>1803.47</v>
      </c>
      <c r="F190" s="13" t="s">
        <v>275</v>
      </c>
      <c r="G190" s="13" t="s">
        <v>200</v>
      </c>
      <c r="H190" s="13" t="s">
        <v>200</v>
      </c>
      <c r="I190" s="13" t="s">
        <v>276</v>
      </c>
      <c r="J190" s="3" t="str">
        <f t="shared" ref="J190:J239" si="8">IF(((((-25.166768+25.233267)/(30.008173-30.128812))*(D190-30.128812))-25.233267)&lt;C190,"North","South")</f>
        <v>South</v>
      </c>
      <c r="K190" s="3" t="s">
        <v>291</v>
      </c>
      <c r="L190" s="3">
        <v>5093.6793255033</v>
      </c>
      <c r="M190" s="1">
        <f t="shared" ref="M190:M239" si="9">((E190-2150)*tan(15*(PI()/180)))+L190</f>
        <v>5000.826892</v>
      </c>
      <c r="N190" s="3">
        <f t="shared" ref="N190:N239" si="10">M190*sin(15*PI()/180)</f>
        <v>1294.309241</v>
      </c>
      <c r="O190" s="13"/>
      <c r="P190" s="8"/>
      <c r="Q190" s="8"/>
      <c r="R190" s="10">
        <v>330.0</v>
      </c>
      <c r="S190" s="10">
        <v>25.0</v>
      </c>
      <c r="T190" s="10">
        <f t="shared" si="6"/>
        <v>240</v>
      </c>
      <c r="U190" s="12" t="s">
        <v>139</v>
      </c>
      <c r="V190" s="8"/>
      <c r="W190" s="8"/>
      <c r="X190" s="8"/>
      <c r="Y190" s="8"/>
      <c r="Z190" s="8"/>
      <c r="AA190" s="8"/>
      <c r="AB190" s="8"/>
      <c r="AC190" s="8"/>
      <c r="AD190" s="8"/>
      <c r="AE190" s="8"/>
      <c r="AF190" s="8"/>
      <c r="AG190" s="8"/>
      <c r="AH190" s="8"/>
      <c r="AI190" s="8"/>
      <c r="AJ190" s="8"/>
      <c r="AK190" s="8"/>
      <c r="AL190" s="8"/>
      <c r="AM190" s="8"/>
      <c r="AN190" s="8"/>
    </row>
    <row r="191">
      <c r="A191" s="13" t="s">
        <v>302</v>
      </c>
      <c r="B191" s="3">
        <f t="shared" si="7"/>
        <v>373.0148686</v>
      </c>
      <c r="C191" s="14">
        <v>-25.227</v>
      </c>
      <c r="D191" s="14">
        <v>30.06419</v>
      </c>
      <c r="E191" s="14">
        <v>1807.561</v>
      </c>
      <c r="F191" s="13" t="s">
        <v>305</v>
      </c>
      <c r="G191" s="11" t="s">
        <v>245</v>
      </c>
      <c r="H191" s="9" t="s">
        <v>246</v>
      </c>
      <c r="I191" s="8" t="s">
        <v>306</v>
      </c>
      <c r="J191" s="3" t="str">
        <f t="shared" si="8"/>
        <v>South</v>
      </c>
      <c r="K191" s="3" t="s">
        <v>308</v>
      </c>
      <c r="L191" s="3">
        <v>5135.77513960314</v>
      </c>
      <c r="M191" s="1">
        <f t="shared" si="9"/>
        <v>5044.018886</v>
      </c>
      <c r="N191" s="3">
        <f t="shared" si="10"/>
        <v>1305.488152</v>
      </c>
      <c r="O191" s="9" t="s">
        <v>309</v>
      </c>
      <c r="P191" s="9" t="s">
        <v>310</v>
      </c>
      <c r="Q191" s="9" t="s">
        <v>311</v>
      </c>
      <c r="R191" s="10">
        <v>310.0</v>
      </c>
      <c r="S191" s="10">
        <v>15.0</v>
      </c>
      <c r="T191" s="10">
        <f t="shared" si="6"/>
        <v>220</v>
      </c>
      <c r="U191" s="12" t="s">
        <v>139</v>
      </c>
      <c r="V191" s="8"/>
      <c r="W191" s="8"/>
      <c r="X191" s="8"/>
      <c r="Y191" s="8"/>
      <c r="Z191" s="8"/>
      <c r="AA191" s="8"/>
      <c r="AB191" s="8"/>
      <c r="AC191" s="8"/>
      <c r="AD191" s="8"/>
      <c r="AE191" s="8"/>
      <c r="AF191" s="8"/>
      <c r="AG191" s="8"/>
      <c r="AH191" s="8"/>
      <c r="AI191" s="8"/>
      <c r="AJ191" s="8"/>
      <c r="AK191" s="8"/>
      <c r="AL191" s="8"/>
      <c r="AM191" s="8"/>
      <c r="AN191" s="8"/>
    </row>
    <row r="192">
      <c r="A192" s="5" t="s">
        <v>925</v>
      </c>
      <c r="B192" s="3">
        <f t="shared" si="7"/>
        <v>376.5091998</v>
      </c>
      <c r="C192" s="4">
        <v>-25.2287</v>
      </c>
      <c r="D192" s="4">
        <v>30.06271</v>
      </c>
      <c r="E192" s="4">
        <v>1796.55</v>
      </c>
      <c r="F192" s="5" t="s">
        <v>926</v>
      </c>
      <c r="G192" s="5" t="s">
        <v>200</v>
      </c>
      <c r="H192" s="5" t="s">
        <v>200</v>
      </c>
      <c r="I192" s="5" t="s">
        <v>201</v>
      </c>
      <c r="J192" s="3" t="str">
        <f t="shared" si="8"/>
        <v>South</v>
      </c>
      <c r="K192" s="3" t="s">
        <v>927</v>
      </c>
      <c r="L192" s="3">
        <v>5152.22658710752</v>
      </c>
      <c r="M192" s="1">
        <f t="shared" si="9"/>
        <v>5057.519945</v>
      </c>
      <c r="N192" s="3">
        <f t="shared" si="10"/>
        <v>1308.982483</v>
      </c>
      <c r="O192" s="5"/>
      <c r="P192" s="7"/>
      <c r="Q192" s="7"/>
      <c r="R192" s="7"/>
      <c r="S192" s="7"/>
      <c r="T192" s="5"/>
      <c r="U192" s="5"/>
      <c r="V192" s="5" t="s">
        <v>49</v>
      </c>
      <c r="W192" s="5" t="s">
        <v>50</v>
      </c>
      <c r="X192" s="7"/>
      <c r="Y192" s="7"/>
      <c r="Z192" s="7"/>
      <c r="AA192" s="7"/>
      <c r="AB192" s="7"/>
      <c r="AC192" s="7"/>
      <c r="AD192" s="7"/>
      <c r="AE192" s="7"/>
      <c r="AF192" s="7"/>
      <c r="AG192" s="7"/>
      <c r="AH192" s="5" t="s">
        <v>51</v>
      </c>
      <c r="AJ192" s="7"/>
      <c r="AK192" s="5" t="s">
        <v>928</v>
      </c>
      <c r="AL192" s="6"/>
      <c r="AM192" s="8"/>
      <c r="AN192" s="8"/>
    </row>
    <row r="193">
      <c r="A193" s="5" t="s">
        <v>315</v>
      </c>
      <c r="B193" s="3">
        <f t="shared" si="7"/>
        <v>377.5592264</v>
      </c>
      <c r="C193" s="4">
        <v>-25.2292</v>
      </c>
      <c r="D193" s="4">
        <v>30.06219</v>
      </c>
      <c r="E193" s="4">
        <v>1767.257</v>
      </c>
      <c r="F193" s="5" t="s">
        <v>732</v>
      </c>
      <c r="G193" s="5" t="s">
        <v>245</v>
      </c>
      <c r="H193" s="5" t="s">
        <v>245</v>
      </c>
      <c r="I193" s="5" t="s">
        <v>246</v>
      </c>
      <c r="J193" s="3" t="str">
        <f t="shared" si="8"/>
        <v>South</v>
      </c>
      <c r="K193" s="3" t="s">
        <v>929</v>
      </c>
      <c r="L193" s="3">
        <v>5164.13261398573</v>
      </c>
      <c r="M193" s="1">
        <f t="shared" si="9"/>
        <v>5061.576936</v>
      </c>
      <c r="N193" s="3">
        <f t="shared" si="10"/>
        <v>1310.032509</v>
      </c>
      <c r="O193" s="5"/>
      <c r="P193" s="7"/>
      <c r="Q193" s="7"/>
      <c r="R193" s="7"/>
      <c r="S193" s="7"/>
      <c r="T193" s="5"/>
      <c r="U193" s="5"/>
      <c r="V193" s="5" t="s">
        <v>49</v>
      </c>
      <c r="W193" s="5" t="s">
        <v>50</v>
      </c>
      <c r="X193" s="7"/>
      <c r="Y193" s="7"/>
      <c r="Z193" s="7"/>
      <c r="AA193" s="7"/>
      <c r="AB193" s="7"/>
      <c r="AC193" s="7"/>
      <c r="AD193" s="7"/>
      <c r="AE193" s="7"/>
      <c r="AF193" s="7"/>
      <c r="AG193" s="7"/>
      <c r="AH193" s="5" t="s">
        <v>51</v>
      </c>
      <c r="AJ193" s="7"/>
      <c r="AK193" s="5" t="s">
        <v>930</v>
      </c>
      <c r="AL193" s="6"/>
      <c r="AM193" s="8"/>
      <c r="AN193" s="8"/>
    </row>
    <row r="194">
      <c r="A194" s="5" t="s">
        <v>931</v>
      </c>
      <c r="B194" s="3">
        <f t="shared" si="7"/>
        <v>378.6504926</v>
      </c>
      <c r="C194" s="4">
        <v>-25.191</v>
      </c>
      <c r="D194" s="4">
        <v>30.0914</v>
      </c>
      <c r="E194" s="4">
        <v>1902.642</v>
      </c>
      <c r="F194" s="5" t="s">
        <v>932</v>
      </c>
      <c r="G194" s="5" t="s">
        <v>325</v>
      </c>
      <c r="H194" s="5" t="s">
        <v>325</v>
      </c>
      <c r="I194" s="5" t="s">
        <v>325</v>
      </c>
      <c r="J194" s="3" t="str">
        <f t="shared" si="8"/>
        <v>North</v>
      </c>
      <c r="K194" s="3" t="s">
        <v>933</v>
      </c>
      <c r="L194" s="3">
        <v>5132.07264141703</v>
      </c>
      <c r="M194" s="1">
        <f t="shared" si="9"/>
        <v>5065.793265</v>
      </c>
      <c r="N194" s="3">
        <f t="shared" si="10"/>
        <v>1311.123776</v>
      </c>
      <c r="O194" s="5"/>
      <c r="P194" s="7"/>
      <c r="Q194" s="7"/>
      <c r="R194" s="7"/>
      <c r="S194" s="7"/>
      <c r="T194" s="5"/>
      <c r="U194" s="5"/>
      <c r="V194" s="5"/>
      <c r="W194" s="5"/>
      <c r="X194" s="7"/>
      <c r="Y194" s="7"/>
      <c r="Z194" s="7"/>
      <c r="AA194" s="7"/>
      <c r="AB194" s="7"/>
      <c r="AC194" s="7"/>
      <c r="AD194" s="7"/>
      <c r="AE194" s="7"/>
      <c r="AF194" s="7"/>
      <c r="AG194" s="7"/>
      <c r="AH194" s="5"/>
      <c r="AI194" s="5"/>
      <c r="AJ194" s="7"/>
      <c r="AK194" s="5"/>
      <c r="AL194" s="6"/>
      <c r="AM194" s="8"/>
      <c r="AN194" s="8"/>
    </row>
    <row r="195">
      <c r="A195" s="13" t="s">
        <v>312</v>
      </c>
      <c r="B195" s="3">
        <f t="shared" si="7"/>
        <v>397.607089</v>
      </c>
      <c r="C195" s="14">
        <v>-25.1821</v>
      </c>
      <c r="D195" s="14">
        <v>30.09749</v>
      </c>
      <c r="E195" s="14">
        <v>1981.08</v>
      </c>
      <c r="F195" s="13" t="s">
        <v>313</v>
      </c>
      <c r="G195" s="15" t="s">
        <v>314</v>
      </c>
      <c r="H195" s="13" t="s">
        <v>315</v>
      </c>
      <c r="I195" s="13" t="s">
        <v>316</v>
      </c>
      <c r="J195" s="3" t="str">
        <f t="shared" si="8"/>
        <v>North</v>
      </c>
      <c r="K195" s="3" t="s">
        <v>318</v>
      </c>
      <c r="L195" s="3">
        <v>5184.29790667546</v>
      </c>
      <c r="M195" s="1">
        <f t="shared" si="9"/>
        <v>5139.035929</v>
      </c>
      <c r="N195" s="3">
        <f t="shared" si="10"/>
        <v>1330.080372</v>
      </c>
      <c r="O195" s="13" t="s">
        <v>320</v>
      </c>
      <c r="P195" s="9" t="s">
        <v>321</v>
      </c>
      <c r="Q195" s="10">
        <v>90.0</v>
      </c>
      <c r="R195" s="10">
        <v>310.0</v>
      </c>
      <c r="S195" s="10">
        <v>20.0</v>
      </c>
      <c r="T195" s="10">
        <f t="shared" ref="T195:T197" si="11">R195-90</f>
        <v>220</v>
      </c>
      <c r="U195" s="12" t="s">
        <v>139</v>
      </c>
      <c r="V195" s="8"/>
      <c r="W195" s="8"/>
      <c r="X195" s="8"/>
      <c r="Y195" s="8"/>
      <c r="Z195" s="8"/>
      <c r="AA195" s="8"/>
      <c r="AB195" s="8"/>
      <c r="AC195" s="8"/>
      <c r="AD195" s="8"/>
      <c r="AE195" s="8"/>
      <c r="AF195" s="8"/>
      <c r="AG195" s="8"/>
      <c r="AH195" s="8"/>
      <c r="AI195" s="8"/>
      <c r="AJ195" s="8"/>
      <c r="AK195" s="8"/>
      <c r="AL195" s="8"/>
      <c r="AM195" s="8"/>
      <c r="AN195" s="8"/>
    </row>
    <row r="196">
      <c r="A196" s="13" t="s">
        <v>323</v>
      </c>
      <c r="B196" s="3">
        <f t="shared" si="7"/>
        <v>413.1691355</v>
      </c>
      <c r="C196" s="14">
        <v>-25.1821</v>
      </c>
      <c r="D196" s="14">
        <v>30.09678</v>
      </c>
      <c r="E196" s="14">
        <v>1984.397</v>
      </c>
      <c r="F196" s="13" t="s">
        <v>324</v>
      </c>
      <c r="G196" s="13" t="s">
        <v>325</v>
      </c>
      <c r="H196" s="13" t="s">
        <v>41</v>
      </c>
      <c r="I196" s="13" t="s">
        <v>325</v>
      </c>
      <c r="J196" s="3" t="str">
        <f t="shared" si="8"/>
        <v>North</v>
      </c>
      <c r="K196" s="3" t="s">
        <v>327</v>
      </c>
      <c r="L196" s="3">
        <v>5243.53624971638</v>
      </c>
      <c r="M196" s="1">
        <f t="shared" si="9"/>
        <v>5199.16306</v>
      </c>
      <c r="N196" s="3">
        <f t="shared" si="10"/>
        <v>1345.642418</v>
      </c>
      <c r="O196" s="13" t="s">
        <v>330</v>
      </c>
      <c r="P196" s="9" t="s">
        <v>332</v>
      </c>
      <c r="Q196" s="10">
        <v>89.0</v>
      </c>
      <c r="R196" s="10">
        <v>275.0</v>
      </c>
      <c r="S196" s="10">
        <v>25.0</v>
      </c>
      <c r="T196" s="10">
        <f t="shared" si="11"/>
        <v>185</v>
      </c>
      <c r="U196" s="12" t="s">
        <v>190</v>
      </c>
      <c r="V196" s="8"/>
      <c r="W196" s="8"/>
      <c r="X196" s="8"/>
      <c r="Y196" s="8"/>
      <c r="Z196" s="8"/>
      <c r="AA196" s="8"/>
      <c r="AB196" s="8"/>
      <c r="AC196" s="8"/>
      <c r="AD196" s="8"/>
      <c r="AE196" s="8"/>
      <c r="AF196" s="8"/>
      <c r="AG196" s="8"/>
      <c r="AH196" s="8"/>
      <c r="AI196" s="8"/>
      <c r="AJ196" s="8"/>
      <c r="AK196" s="8"/>
      <c r="AL196" s="8"/>
      <c r="AM196" s="8"/>
      <c r="AN196" s="8"/>
    </row>
    <row r="197">
      <c r="A197" s="13" t="s">
        <v>337</v>
      </c>
      <c r="B197" s="3">
        <f t="shared" si="7"/>
        <v>415.4827361</v>
      </c>
      <c r="C197" s="14">
        <v>-25.1971</v>
      </c>
      <c r="D197" s="14">
        <v>30.08507</v>
      </c>
      <c r="E197" s="14">
        <v>1896.011</v>
      </c>
      <c r="F197" s="13" t="s">
        <v>338</v>
      </c>
      <c r="G197" s="11" t="s">
        <v>200</v>
      </c>
      <c r="H197" s="9" t="s">
        <v>200</v>
      </c>
      <c r="I197" s="9" t="s">
        <v>339</v>
      </c>
      <c r="J197" s="3" t="str">
        <f t="shared" si="8"/>
        <v>North</v>
      </c>
      <c r="K197" s="3" t="s">
        <v>341</v>
      </c>
      <c r="L197" s="3">
        <v>5276.1582735053</v>
      </c>
      <c r="M197" s="1">
        <f t="shared" si="9"/>
        <v>5208.102126</v>
      </c>
      <c r="N197" s="3">
        <f t="shared" si="10"/>
        <v>1347.956019</v>
      </c>
      <c r="O197" s="9" t="s">
        <v>343</v>
      </c>
      <c r="P197" s="9" t="s">
        <v>344</v>
      </c>
      <c r="Q197" s="20">
        <v>113.0</v>
      </c>
      <c r="R197" s="20">
        <v>220.0</v>
      </c>
      <c r="S197" s="10">
        <v>15.0</v>
      </c>
      <c r="T197" s="10">
        <f t="shared" si="11"/>
        <v>130</v>
      </c>
      <c r="U197" s="16" t="s">
        <v>250</v>
      </c>
      <c r="V197" s="10">
        <v>15.0</v>
      </c>
      <c r="W197" s="8"/>
      <c r="X197" s="8"/>
      <c r="Y197" s="8"/>
      <c r="Z197" s="8"/>
      <c r="AA197" s="8"/>
      <c r="AB197" s="8"/>
      <c r="AC197" s="8"/>
      <c r="AD197" s="8"/>
      <c r="AE197" s="8"/>
      <c r="AF197" s="8"/>
      <c r="AG197" s="8"/>
      <c r="AH197" s="8"/>
      <c r="AI197" s="8"/>
      <c r="AJ197" s="8"/>
      <c r="AK197" s="8"/>
      <c r="AL197" s="8"/>
      <c r="AM197" s="8"/>
      <c r="AN197" s="8"/>
    </row>
    <row r="198">
      <c r="A198" s="5" t="s">
        <v>934</v>
      </c>
      <c r="B198" s="3">
        <f t="shared" si="7"/>
        <v>422.624589</v>
      </c>
      <c r="C198" s="4">
        <v>-25.226</v>
      </c>
      <c r="D198" s="4">
        <v>30.06264</v>
      </c>
      <c r="E198" s="4">
        <v>1805.301</v>
      </c>
      <c r="F198" s="5" t="s">
        <v>935</v>
      </c>
      <c r="G198" s="5" t="s">
        <v>245</v>
      </c>
      <c r="H198" s="5" t="s">
        <v>245</v>
      </c>
      <c r="I198" s="3" t="s">
        <v>246</v>
      </c>
      <c r="J198" s="3" t="str">
        <f t="shared" si="8"/>
        <v>South</v>
      </c>
      <c r="K198" s="3" t="s">
        <v>936</v>
      </c>
      <c r="L198" s="3">
        <v>5328.05794530765</v>
      </c>
      <c r="M198" s="1">
        <f t="shared" si="9"/>
        <v>5235.696127</v>
      </c>
      <c r="N198" s="3">
        <f t="shared" si="10"/>
        <v>1355.097872</v>
      </c>
      <c r="O198" s="5"/>
      <c r="P198" s="7"/>
      <c r="Q198" s="7"/>
      <c r="R198" s="7"/>
      <c r="S198" s="7"/>
      <c r="T198" s="5"/>
      <c r="U198" s="5"/>
      <c r="V198" s="5" t="s">
        <v>49</v>
      </c>
      <c r="W198" s="5" t="s">
        <v>50</v>
      </c>
      <c r="X198" s="7"/>
      <c r="Y198" s="7"/>
      <c r="Z198" s="7"/>
      <c r="AA198" s="7"/>
      <c r="AB198" s="7"/>
      <c r="AC198" s="7"/>
      <c r="AD198" s="7"/>
      <c r="AE198" s="7"/>
      <c r="AF198" s="7"/>
      <c r="AG198" s="7"/>
      <c r="AH198" s="5" t="s">
        <v>51</v>
      </c>
      <c r="AJ198" s="7"/>
      <c r="AK198" s="5" t="s">
        <v>937</v>
      </c>
      <c r="AL198" s="6"/>
      <c r="AM198" s="8"/>
      <c r="AN198" s="8"/>
    </row>
    <row r="199">
      <c r="A199" s="13" t="s">
        <v>659</v>
      </c>
      <c r="B199" s="3">
        <f t="shared" si="7"/>
        <v>433.5073304</v>
      </c>
      <c r="C199" s="14">
        <v>-25.2255</v>
      </c>
      <c r="D199" s="14">
        <v>30.0625</v>
      </c>
      <c r="E199" s="14">
        <v>1801.147</v>
      </c>
      <c r="F199" s="13" t="s">
        <v>662</v>
      </c>
      <c r="G199" s="11" t="s">
        <v>245</v>
      </c>
      <c r="H199" s="9" t="s">
        <v>315</v>
      </c>
      <c r="I199" s="9" t="s">
        <v>306</v>
      </c>
      <c r="J199" s="3" t="str">
        <f t="shared" si="8"/>
        <v>South</v>
      </c>
      <c r="K199" s="3" t="s">
        <v>663</v>
      </c>
      <c r="L199" s="3">
        <v>5371.21869029384</v>
      </c>
      <c r="M199" s="1">
        <f t="shared" si="9"/>
        <v>5277.743811</v>
      </c>
      <c r="N199" s="3">
        <f t="shared" si="10"/>
        <v>1365.980613</v>
      </c>
      <c r="O199" s="9" t="s">
        <v>309</v>
      </c>
      <c r="P199" s="11" t="s">
        <v>245</v>
      </c>
      <c r="Q199" s="8"/>
      <c r="R199" s="8"/>
      <c r="S199" s="8"/>
      <c r="T199" s="8"/>
      <c r="U199" s="8"/>
      <c r="V199" s="8"/>
      <c r="W199" s="8"/>
      <c r="X199" s="8"/>
      <c r="Y199" s="8"/>
      <c r="Z199" s="8"/>
      <c r="AA199" s="8"/>
      <c r="AB199" s="8"/>
      <c r="AC199" s="8"/>
      <c r="AD199" s="8"/>
      <c r="AE199" s="8"/>
      <c r="AF199" s="8"/>
      <c r="AG199" s="8"/>
      <c r="AH199" s="8"/>
      <c r="AI199" s="8"/>
      <c r="AJ199" s="8"/>
      <c r="AK199" s="8"/>
      <c r="AL199" s="8"/>
      <c r="AM199" s="8"/>
      <c r="AN199" s="8"/>
    </row>
    <row r="200">
      <c r="A200" s="13" t="s">
        <v>346</v>
      </c>
      <c r="B200" s="3">
        <f t="shared" si="7"/>
        <v>446.1120518</v>
      </c>
      <c r="C200" s="14">
        <v>-25.1826</v>
      </c>
      <c r="D200" s="14">
        <v>30.09486</v>
      </c>
      <c r="E200" s="14">
        <v>1979.05</v>
      </c>
      <c r="F200" s="13" t="s">
        <v>347</v>
      </c>
      <c r="G200" s="13" t="s">
        <v>200</v>
      </c>
      <c r="H200" s="13" t="s">
        <v>200</v>
      </c>
      <c r="I200" s="13" t="s">
        <v>348</v>
      </c>
      <c r="J200" s="3" t="str">
        <f t="shared" si="8"/>
        <v>North</v>
      </c>
      <c r="K200" s="3" t="s">
        <v>350</v>
      </c>
      <c r="L200" s="3">
        <v>5372.25062854421</v>
      </c>
      <c r="M200" s="1">
        <f t="shared" si="9"/>
        <v>5326.444714</v>
      </c>
      <c r="N200" s="3">
        <f t="shared" si="10"/>
        <v>1378.585335</v>
      </c>
      <c r="O200" s="13"/>
      <c r="P200" s="8"/>
      <c r="Q200" s="8"/>
      <c r="R200" s="10">
        <v>320.0</v>
      </c>
      <c r="S200" s="10">
        <v>15.0</v>
      </c>
      <c r="T200" s="10">
        <f>R200-90</f>
        <v>230</v>
      </c>
      <c r="U200" s="12" t="s">
        <v>139</v>
      </c>
      <c r="V200" s="8"/>
      <c r="W200" s="8"/>
      <c r="X200" s="8"/>
      <c r="Y200" s="8"/>
      <c r="Z200" s="8"/>
      <c r="AA200" s="8"/>
      <c r="AB200" s="8"/>
      <c r="AC200" s="8"/>
      <c r="AD200" s="8"/>
      <c r="AE200" s="8"/>
      <c r="AF200" s="8"/>
      <c r="AG200" s="8"/>
      <c r="AH200" s="8"/>
      <c r="AI200" s="8"/>
      <c r="AJ200" s="8"/>
      <c r="AK200" s="8"/>
      <c r="AL200" s="8"/>
      <c r="AM200" s="8"/>
      <c r="AN200" s="8"/>
    </row>
    <row r="201">
      <c r="A201" s="13" t="s">
        <v>665</v>
      </c>
      <c r="B201" s="3">
        <f t="shared" si="7"/>
        <v>451.3986643</v>
      </c>
      <c r="C201" s="14">
        <v>-25.1941</v>
      </c>
      <c r="D201" s="14">
        <v>30.08572</v>
      </c>
      <c r="E201" s="14">
        <v>1911.393</v>
      </c>
      <c r="F201" s="13" t="s">
        <v>666</v>
      </c>
      <c r="G201" s="11" t="s">
        <v>314</v>
      </c>
      <c r="H201" s="11" t="s">
        <v>626</v>
      </c>
      <c r="I201" s="9" t="s">
        <v>246</v>
      </c>
      <c r="J201" s="3" t="str">
        <f t="shared" si="8"/>
        <v>North</v>
      </c>
      <c r="K201" s="3" t="s">
        <v>667</v>
      </c>
      <c r="L201" s="3">
        <v>5410.80516956829</v>
      </c>
      <c r="M201" s="1">
        <f t="shared" si="9"/>
        <v>5346.870617</v>
      </c>
      <c r="N201" s="3">
        <f t="shared" si="10"/>
        <v>1383.871947</v>
      </c>
      <c r="O201" s="9" t="s">
        <v>320</v>
      </c>
      <c r="P201" s="9" t="s">
        <v>669</v>
      </c>
      <c r="Q201" s="22">
        <v>114117.0</v>
      </c>
      <c r="R201" s="8"/>
      <c r="S201" s="8"/>
      <c r="T201" s="8"/>
      <c r="U201" s="8"/>
      <c r="V201" s="8"/>
      <c r="W201" s="8"/>
      <c r="X201" s="8"/>
      <c r="Y201" s="8"/>
      <c r="Z201" s="8"/>
      <c r="AA201" s="8"/>
      <c r="AB201" s="8"/>
      <c r="AC201" s="8"/>
      <c r="AD201" s="8"/>
      <c r="AE201" s="8"/>
      <c r="AF201" s="8"/>
      <c r="AG201" s="8"/>
      <c r="AH201" s="8"/>
      <c r="AI201" s="8"/>
      <c r="AJ201" s="8"/>
      <c r="AK201" s="8"/>
      <c r="AL201" s="8"/>
      <c r="AM201" s="8"/>
      <c r="AN201" s="8"/>
    </row>
    <row r="202">
      <c r="A202" s="5" t="s">
        <v>938</v>
      </c>
      <c r="B202" s="3">
        <f t="shared" si="7"/>
        <v>453.6240057</v>
      </c>
      <c r="C202" s="4">
        <v>-25.1823</v>
      </c>
      <c r="D202" s="4">
        <v>30.09475</v>
      </c>
      <c r="E202" s="4">
        <v>1982.626</v>
      </c>
      <c r="F202" s="5" t="s">
        <v>743</v>
      </c>
      <c r="G202" s="5" t="s">
        <v>200</v>
      </c>
      <c r="H202" s="5" t="s">
        <v>200</v>
      </c>
      <c r="I202" s="5" t="s">
        <v>348</v>
      </c>
      <c r="J202" s="3" t="str">
        <f t="shared" si="8"/>
        <v>North</v>
      </c>
      <c r="K202" s="3" t="s">
        <v>939</v>
      </c>
      <c r="L202" s="3">
        <v>5400.31640342104</v>
      </c>
      <c r="M202" s="1">
        <f t="shared" si="9"/>
        <v>5355.468675</v>
      </c>
      <c r="N202" s="3">
        <f t="shared" si="10"/>
        <v>1386.097289</v>
      </c>
      <c r="O202" s="5"/>
      <c r="P202" s="7"/>
      <c r="Q202" s="7"/>
      <c r="R202" s="7"/>
      <c r="S202" s="7"/>
      <c r="T202" s="5"/>
      <c r="U202" s="5"/>
      <c r="V202" s="5" t="s">
        <v>49</v>
      </c>
      <c r="W202" s="5" t="s">
        <v>50</v>
      </c>
      <c r="X202" s="7"/>
      <c r="Y202" s="7"/>
      <c r="Z202" s="7"/>
      <c r="AA202" s="7"/>
      <c r="AB202" s="7"/>
      <c r="AC202" s="7"/>
      <c r="AD202" s="7"/>
      <c r="AE202" s="7"/>
      <c r="AF202" s="7"/>
      <c r="AG202" s="7"/>
      <c r="AH202" s="5" t="s">
        <v>51</v>
      </c>
      <c r="AJ202" s="7"/>
      <c r="AK202" s="5" t="s">
        <v>828</v>
      </c>
      <c r="AL202" s="6"/>
      <c r="AM202" s="8"/>
      <c r="AN202" s="8"/>
    </row>
    <row r="203">
      <c r="A203" s="13" t="s">
        <v>671</v>
      </c>
      <c r="B203" s="3">
        <f t="shared" si="7"/>
        <v>508.7586963</v>
      </c>
      <c r="C203" s="14">
        <v>-25.2196</v>
      </c>
      <c r="D203" s="14">
        <v>30.06343</v>
      </c>
      <c r="E203" s="14">
        <v>1789.499</v>
      </c>
      <c r="F203" s="13" t="s">
        <v>673</v>
      </c>
      <c r="G203" s="13" t="s">
        <v>314</v>
      </c>
      <c r="H203" s="15" t="s">
        <v>314</v>
      </c>
      <c r="I203" s="13" t="s">
        <v>674</v>
      </c>
      <c r="J203" s="3" t="str">
        <f t="shared" si="8"/>
        <v>South</v>
      </c>
      <c r="K203" s="3" t="s">
        <v>675</v>
      </c>
      <c r="L203" s="3">
        <v>5665.08871356553</v>
      </c>
      <c r="M203" s="1">
        <f t="shared" si="9"/>
        <v>5568.492762</v>
      </c>
      <c r="N203" s="3">
        <f t="shared" si="10"/>
        <v>1441.231979</v>
      </c>
      <c r="O203" s="13" t="s">
        <v>320</v>
      </c>
      <c r="P203" s="9" t="s">
        <v>676</v>
      </c>
      <c r="Q203" s="8"/>
      <c r="R203" s="8"/>
      <c r="S203" s="8"/>
      <c r="T203" s="8"/>
      <c r="U203" s="8"/>
      <c r="V203" s="8"/>
      <c r="W203" s="8"/>
      <c r="X203" s="8"/>
      <c r="Y203" s="8"/>
      <c r="Z203" s="8"/>
      <c r="AA203" s="8"/>
      <c r="AB203" s="8"/>
      <c r="AC203" s="8"/>
      <c r="AD203" s="8"/>
      <c r="AE203" s="8"/>
      <c r="AF203" s="8"/>
      <c r="AG203" s="8"/>
      <c r="AH203" s="8"/>
      <c r="AI203" s="8"/>
      <c r="AJ203" s="8"/>
      <c r="AK203" s="8"/>
      <c r="AL203" s="8"/>
      <c r="AM203" s="8"/>
      <c r="AN203" s="8"/>
    </row>
    <row r="204">
      <c r="A204" s="9" t="s">
        <v>677</v>
      </c>
      <c r="B204" s="3">
        <f t="shared" si="7"/>
        <v>564.3663335</v>
      </c>
      <c r="C204" s="10">
        <v>-25.2274</v>
      </c>
      <c r="D204" s="10">
        <v>30.05494</v>
      </c>
      <c r="E204" s="10">
        <v>1780.451</v>
      </c>
      <c r="F204" s="9" t="s">
        <v>679</v>
      </c>
      <c r="G204" s="11" t="s">
        <v>314</v>
      </c>
      <c r="H204" s="11" t="s">
        <v>314</v>
      </c>
      <c r="I204" s="9" t="s">
        <v>674</v>
      </c>
      <c r="J204" s="3" t="str">
        <f t="shared" si="8"/>
        <v>South</v>
      </c>
      <c r="K204" s="3" t="s">
        <v>680</v>
      </c>
      <c r="L204" s="3">
        <v>5882.36452950038</v>
      </c>
      <c r="M204" s="1">
        <f t="shared" si="9"/>
        <v>5783.344173</v>
      </c>
      <c r="N204" s="3">
        <f t="shared" si="10"/>
        <v>1496.839616</v>
      </c>
      <c r="O204" s="9" t="s">
        <v>682</v>
      </c>
      <c r="P204" s="9" t="s">
        <v>683</v>
      </c>
      <c r="Q204" s="9" t="s">
        <v>684</v>
      </c>
      <c r="R204" s="8"/>
      <c r="S204" s="8"/>
      <c r="T204" s="8"/>
      <c r="U204" s="8"/>
      <c r="V204" s="8"/>
      <c r="W204" s="8"/>
      <c r="X204" s="8"/>
      <c r="Y204" s="8"/>
      <c r="Z204" s="8"/>
      <c r="AA204" s="8"/>
      <c r="AB204" s="8"/>
      <c r="AC204" s="8"/>
      <c r="AD204" s="8"/>
      <c r="AE204" s="8"/>
      <c r="AF204" s="8"/>
      <c r="AG204" s="8"/>
      <c r="AH204" s="8"/>
      <c r="AI204" s="8"/>
      <c r="AJ204" s="8"/>
      <c r="AK204" s="8"/>
      <c r="AL204" s="8"/>
      <c r="AM204" s="8"/>
      <c r="AN204" s="8"/>
    </row>
    <row r="205">
      <c r="A205" s="13" t="s">
        <v>353</v>
      </c>
      <c r="B205" s="3">
        <f t="shared" si="7"/>
        <v>622.4059034</v>
      </c>
      <c r="C205" s="14">
        <v>-25.1916</v>
      </c>
      <c r="D205" s="14">
        <v>30.07954</v>
      </c>
      <c r="E205" s="14">
        <v>1865.446</v>
      </c>
      <c r="F205" s="13" t="s">
        <v>354</v>
      </c>
      <c r="G205" s="11" t="s">
        <v>200</v>
      </c>
      <c r="H205" s="9" t="s">
        <v>246</v>
      </c>
      <c r="I205" s="12" t="s">
        <v>339</v>
      </c>
      <c r="J205" s="3" t="str">
        <f t="shared" si="8"/>
        <v>North</v>
      </c>
      <c r="K205" s="3" t="s">
        <v>355</v>
      </c>
      <c r="L205" s="3">
        <v>6083.83786576056</v>
      </c>
      <c r="M205" s="1">
        <f t="shared" si="9"/>
        <v>6007.591851</v>
      </c>
      <c r="N205" s="3">
        <f t="shared" si="10"/>
        <v>1554.879186</v>
      </c>
      <c r="O205" s="8" t="s">
        <v>358</v>
      </c>
      <c r="P205" s="8" t="s">
        <v>359</v>
      </c>
      <c r="Q205" s="8"/>
      <c r="R205" s="20">
        <v>330.0</v>
      </c>
      <c r="S205" s="20">
        <v>15.0</v>
      </c>
      <c r="T205" s="10">
        <f>R205-90</f>
        <v>240</v>
      </c>
      <c r="U205" s="12" t="s">
        <v>139</v>
      </c>
      <c r="V205" s="8"/>
      <c r="W205" s="8"/>
      <c r="X205" s="8"/>
      <c r="Y205" s="8"/>
      <c r="Z205" s="8"/>
      <c r="AA205" s="8"/>
      <c r="AB205" s="8"/>
      <c r="AC205" s="8"/>
      <c r="AD205" s="8"/>
      <c r="AE205" s="8"/>
      <c r="AF205" s="8"/>
      <c r="AG205" s="8"/>
      <c r="AH205" s="8"/>
      <c r="AI205" s="8"/>
      <c r="AJ205" s="8"/>
      <c r="AK205" s="8"/>
      <c r="AL205" s="8"/>
      <c r="AM205" s="8"/>
      <c r="AN205" s="8"/>
    </row>
    <row r="206">
      <c r="A206" s="5" t="s">
        <v>940</v>
      </c>
      <c r="B206" s="3">
        <f t="shared" si="7"/>
        <v>686.5447539</v>
      </c>
      <c r="C206" s="4">
        <v>-25.1807</v>
      </c>
      <c r="D206" s="4">
        <v>30.0854</v>
      </c>
      <c r="E206" s="4">
        <v>2053.817</v>
      </c>
      <c r="F206" s="5" t="s">
        <v>937</v>
      </c>
      <c r="G206" s="5" t="s">
        <v>200</v>
      </c>
      <c r="H206" s="5" t="s">
        <v>200</v>
      </c>
      <c r="I206" s="5" t="s">
        <v>339</v>
      </c>
      <c r="J206" s="3" t="str">
        <f t="shared" si="8"/>
        <v>North</v>
      </c>
      <c r="K206" s="3" t="s">
        <v>941</v>
      </c>
      <c r="L206" s="3">
        <v>6281.17749718195</v>
      </c>
      <c r="M206" s="1">
        <f t="shared" si="9"/>
        <v>6255.40534</v>
      </c>
      <c r="N206" s="3">
        <f t="shared" si="10"/>
        <v>1619.018037</v>
      </c>
      <c r="O206" s="5"/>
      <c r="P206" s="7"/>
      <c r="Q206" s="7"/>
      <c r="R206" s="7"/>
      <c r="S206" s="7"/>
      <c r="T206" s="5"/>
      <c r="U206" s="5"/>
      <c r="V206" s="5" t="s">
        <v>49</v>
      </c>
      <c r="W206" s="5" t="s">
        <v>50</v>
      </c>
      <c r="X206" s="7"/>
      <c r="Y206" s="7"/>
      <c r="Z206" s="7"/>
      <c r="AA206" s="7"/>
      <c r="AB206" s="7"/>
      <c r="AC206" s="7"/>
      <c r="AD206" s="7"/>
      <c r="AE206" s="7"/>
      <c r="AF206" s="7"/>
      <c r="AG206" s="7"/>
      <c r="AH206" s="5" t="s">
        <v>51</v>
      </c>
      <c r="AJ206" s="7"/>
      <c r="AK206" s="5" t="s">
        <v>926</v>
      </c>
      <c r="AL206" s="6"/>
      <c r="AM206" s="8"/>
      <c r="AN206" s="8"/>
    </row>
    <row r="207">
      <c r="A207" s="13" t="s">
        <v>690</v>
      </c>
      <c r="B207" s="3">
        <f t="shared" si="7"/>
        <v>708.08444</v>
      </c>
      <c r="C207" s="14">
        <v>-25.1827</v>
      </c>
      <c r="D207" s="14">
        <v>30.08279</v>
      </c>
      <c r="E207" s="14">
        <v>2021.631</v>
      </c>
      <c r="F207" s="13" t="s">
        <v>692</v>
      </c>
      <c r="G207" s="15" t="s">
        <v>200</v>
      </c>
      <c r="H207" s="13" t="s">
        <v>315</v>
      </c>
      <c r="I207" s="15" t="s">
        <v>364</v>
      </c>
      <c r="J207" s="3" t="str">
        <f t="shared" si="8"/>
        <v>North</v>
      </c>
      <c r="K207" s="3" t="s">
        <v>694</v>
      </c>
      <c r="L207" s="3">
        <v>6373.02466617038</v>
      </c>
      <c r="M207" s="1">
        <f t="shared" si="9"/>
        <v>6338.628296</v>
      </c>
      <c r="N207" s="3">
        <f t="shared" si="10"/>
        <v>1640.557723</v>
      </c>
      <c r="O207" s="13" t="s">
        <v>695</v>
      </c>
      <c r="P207" s="11" t="s">
        <v>696</v>
      </c>
      <c r="Q207" s="10">
        <v>87.0</v>
      </c>
      <c r="R207" s="8"/>
      <c r="S207" s="8"/>
      <c r="T207" s="8"/>
      <c r="U207" s="8"/>
      <c r="V207" s="8"/>
      <c r="W207" s="8"/>
      <c r="X207" s="8"/>
      <c r="Y207" s="8"/>
      <c r="Z207" s="8"/>
      <c r="AA207" s="8"/>
      <c r="AB207" s="8"/>
      <c r="AC207" s="8"/>
      <c r="AD207" s="8"/>
      <c r="AE207" s="8"/>
      <c r="AF207" s="8"/>
      <c r="AG207" s="8"/>
      <c r="AH207" s="8"/>
      <c r="AI207" s="8"/>
      <c r="AJ207" s="8"/>
      <c r="AK207" s="8"/>
      <c r="AL207" s="8"/>
      <c r="AM207" s="8"/>
      <c r="AN207" s="8"/>
    </row>
    <row r="208">
      <c r="A208" s="5" t="s">
        <v>942</v>
      </c>
      <c r="B208" s="3">
        <f t="shared" si="7"/>
        <v>738.9720602</v>
      </c>
      <c r="C208" s="4">
        <v>-25.2348</v>
      </c>
      <c r="D208" s="4">
        <v>30.0413</v>
      </c>
      <c r="E208" s="4">
        <v>1789.644</v>
      </c>
      <c r="F208" s="5" t="s">
        <v>943</v>
      </c>
      <c r="G208" s="5" t="s">
        <v>200</v>
      </c>
      <c r="H208" s="5" t="s">
        <v>200</v>
      </c>
      <c r="I208" s="5" t="s">
        <v>348</v>
      </c>
      <c r="J208" s="3" t="str">
        <f t="shared" si="8"/>
        <v>South</v>
      </c>
      <c r="K208" s="3" t="s">
        <v>944</v>
      </c>
      <c r="L208" s="3">
        <v>6554.52599572228</v>
      </c>
      <c r="M208" s="1">
        <f t="shared" si="9"/>
        <v>6457.968897</v>
      </c>
      <c r="N208" s="3">
        <f t="shared" si="10"/>
        <v>1671.445343</v>
      </c>
      <c r="O208" s="5"/>
      <c r="P208" s="7"/>
      <c r="Q208" s="7"/>
      <c r="R208" s="7"/>
      <c r="S208" s="7"/>
      <c r="T208" s="5"/>
      <c r="U208" s="5"/>
      <c r="V208" s="5" t="s">
        <v>49</v>
      </c>
      <c r="W208" s="5" t="s">
        <v>50</v>
      </c>
      <c r="X208" s="7"/>
      <c r="Y208" s="7"/>
      <c r="Z208" s="7"/>
      <c r="AA208" s="7"/>
      <c r="AB208" s="7"/>
      <c r="AC208" s="7"/>
      <c r="AD208" s="7"/>
      <c r="AE208" s="7"/>
      <c r="AF208" s="7"/>
      <c r="AG208" s="7"/>
      <c r="AH208" s="5" t="s">
        <v>51</v>
      </c>
      <c r="AJ208" s="7"/>
      <c r="AK208" s="5" t="s">
        <v>945</v>
      </c>
      <c r="AL208" s="6"/>
      <c r="AM208" s="8"/>
      <c r="AN208" s="8"/>
    </row>
    <row r="209">
      <c r="A209" s="5" t="s">
        <v>946</v>
      </c>
      <c r="B209" s="3">
        <f t="shared" si="7"/>
        <v>742.5138861</v>
      </c>
      <c r="C209" s="4">
        <v>-25.1914</v>
      </c>
      <c r="D209" s="4">
        <v>30.07401</v>
      </c>
      <c r="E209" s="4">
        <v>1828.363</v>
      </c>
      <c r="F209" s="5" t="s">
        <v>930</v>
      </c>
      <c r="G209" s="5" t="s">
        <v>200</v>
      </c>
      <c r="H209" s="5" t="s">
        <v>200</v>
      </c>
      <c r="I209" s="5" t="s">
        <v>339</v>
      </c>
      <c r="J209" s="3" t="str">
        <f t="shared" si="8"/>
        <v>North</v>
      </c>
      <c r="K209" s="3" t="s">
        <v>947</v>
      </c>
      <c r="L209" s="3">
        <v>6557.83583532828</v>
      </c>
      <c r="M209" s="1">
        <f t="shared" si="9"/>
        <v>6471.653461</v>
      </c>
      <c r="N209" s="3">
        <f t="shared" si="10"/>
        <v>1674.987169</v>
      </c>
      <c r="O209" s="5"/>
      <c r="P209" s="7"/>
      <c r="Q209" s="7"/>
      <c r="R209" s="7"/>
      <c r="S209" s="7"/>
      <c r="T209" s="5"/>
      <c r="U209" s="5"/>
      <c r="V209" s="5" t="s">
        <v>49</v>
      </c>
      <c r="W209" s="5" t="s">
        <v>50</v>
      </c>
      <c r="X209" s="7"/>
      <c r="Y209" s="7"/>
      <c r="Z209" s="7"/>
      <c r="AA209" s="7"/>
      <c r="AB209" s="7"/>
      <c r="AC209" s="7"/>
      <c r="AD209" s="7"/>
      <c r="AE209" s="7"/>
      <c r="AF209" s="7"/>
      <c r="AG209" s="7"/>
      <c r="AH209" s="5" t="s">
        <v>51</v>
      </c>
      <c r="AJ209" s="7"/>
      <c r="AK209" s="5" t="s">
        <v>516</v>
      </c>
      <c r="AL209" s="6"/>
      <c r="AM209" s="8"/>
      <c r="AN209" s="8"/>
    </row>
    <row r="210">
      <c r="A210" s="5" t="s">
        <v>948</v>
      </c>
      <c r="B210" s="3">
        <f t="shared" si="7"/>
        <v>865.4879513</v>
      </c>
      <c r="C210" s="4">
        <v>-25.1995</v>
      </c>
      <c r="D210" s="4">
        <v>30.06205</v>
      </c>
      <c r="E210" s="4">
        <v>1780.639</v>
      </c>
      <c r="F210" s="5" t="s">
        <v>920</v>
      </c>
      <c r="G210" s="5" t="s">
        <v>730</v>
      </c>
      <c r="H210" s="5" t="s">
        <v>730</v>
      </c>
      <c r="I210" s="5" t="s">
        <v>730</v>
      </c>
      <c r="J210" s="3" t="str">
        <f t="shared" si="8"/>
        <v>South</v>
      </c>
      <c r="K210" s="3" t="s">
        <v>949</v>
      </c>
      <c r="L210" s="3">
        <v>7045.75874498718</v>
      </c>
      <c r="M210" s="1">
        <f t="shared" si="9"/>
        <v>6946.788763</v>
      </c>
      <c r="N210" s="3">
        <f t="shared" si="10"/>
        <v>1797.961234</v>
      </c>
      <c r="O210" s="5"/>
      <c r="P210" s="7"/>
      <c r="Q210" s="7"/>
      <c r="R210" s="7"/>
      <c r="S210" s="7"/>
      <c r="T210" s="5"/>
      <c r="U210" s="5"/>
      <c r="V210" s="5" t="s">
        <v>49</v>
      </c>
      <c r="W210" s="5" t="s">
        <v>50</v>
      </c>
      <c r="X210" s="7"/>
      <c r="Y210" s="7"/>
      <c r="Z210" s="7"/>
      <c r="AA210" s="7"/>
      <c r="AB210" s="7"/>
      <c r="AC210" s="7"/>
      <c r="AD210" s="7"/>
      <c r="AE210" s="7"/>
      <c r="AF210" s="7"/>
      <c r="AG210" s="7"/>
      <c r="AH210" s="5" t="s">
        <v>51</v>
      </c>
      <c r="AJ210" s="7"/>
      <c r="AK210" s="5" t="s">
        <v>935</v>
      </c>
      <c r="AL210" s="6"/>
      <c r="AM210" s="8"/>
      <c r="AN210" s="8"/>
    </row>
    <row r="211">
      <c r="A211" s="13" t="s">
        <v>699</v>
      </c>
      <c r="B211" s="3">
        <f t="shared" si="7"/>
        <v>866.6150989</v>
      </c>
      <c r="C211" s="14">
        <v>-25.1859</v>
      </c>
      <c r="D211" s="14">
        <v>30.0726</v>
      </c>
      <c r="E211" s="14">
        <v>1886.397</v>
      </c>
      <c r="F211" s="13" t="s">
        <v>701</v>
      </c>
      <c r="G211" s="11" t="s">
        <v>200</v>
      </c>
      <c r="H211" s="11" t="s">
        <v>245</v>
      </c>
      <c r="I211" s="9" t="s">
        <v>339</v>
      </c>
      <c r="J211" s="3" t="str">
        <f t="shared" si="8"/>
        <v>North</v>
      </c>
      <c r="K211" s="3" t="s">
        <v>702</v>
      </c>
      <c r="L211" s="3">
        <v>7021.77593802716</v>
      </c>
      <c r="M211" s="1">
        <f t="shared" si="9"/>
        <v>6951.143727</v>
      </c>
      <c r="N211" s="3">
        <f t="shared" si="10"/>
        <v>1799.088382</v>
      </c>
      <c r="O211" s="9" t="s">
        <v>705</v>
      </c>
      <c r="P211" s="8" t="s">
        <v>706</v>
      </c>
      <c r="Q211" s="10">
        <v>112.0</v>
      </c>
      <c r="R211" s="8"/>
      <c r="S211" s="8"/>
      <c r="T211" s="8"/>
      <c r="U211" s="8"/>
      <c r="V211" s="8"/>
      <c r="W211" s="8"/>
      <c r="X211" s="8"/>
      <c r="Y211" s="8"/>
      <c r="Z211" s="8"/>
      <c r="AA211" s="8"/>
      <c r="AB211" s="8"/>
      <c r="AC211" s="8"/>
      <c r="AD211" s="8"/>
      <c r="AE211" s="8"/>
      <c r="AF211" s="8"/>
      <c r="AG211" s="8"/>
      <c r="AH211" s="8"/>
      <c r="AI211" s="8"/>
      <c r="AJ211" s="8"/>
      <c r="AK211" s="8"/>
      <c r="AL211" s="8"/>
      <c r="AM211" s="8"/>
      <c r="AN211" s="8"/>
    </row>
    <row r="212">
      <c r="A212" s="13" t="s">
        <v>708</v>
      </c>
      <c r="B212" s="3">
        <f t="shared" si="7"/>
        <v>892.667525</v>
      </c>
      <c r="C212" s="14">
        <v>-25.1853</v>
      </c>
      <c r="D212" s="14">
        <v>30.07186</v>
      </c>
      <c r="E212" s="14">
        <v>1890.639</v>
      </c>
      <c r="F212" s="13" t="s">
        <v>709</v>
      </c>
      <c r="G212" s="11" t="s">
        <v>200</v>
      </c>
      <c r="H212" s="11" t="s">
        <v>245</v>
      </c>
      <c r="I212" s="11" t="s">
        <v>711</v>
      </c>
      <c r="J212" s="3" t="str">
        <f t="shared" si="8"/>
        <v>North</v>
      </c>
      <c r="K212" s="3" t="s">
        <v>713</v>
      </c>
      <c r="L212" s="3">
        <v>7121.29814250588</v>
      </c>
      <c r="M212" s="1">
        <f t="shared" si="9"/>
        <v>7051.802572</v>
      </c>
      <c r="N212" s="3">
        <f t="shared" si="10"/>
        <v>1825.140808</v>
      </c>
      <c r="O212" s="9" t="s">
        <v>715</v>
      </c>
      <c r="P212" s="11" t="s">
        <v>716</v>
      </c>
      <c r="Q212" s="22">
        <v>111.0</v>
      </c>
      <c r="R212" s="8"/>
      <c r="S212" s="8"/>
      <c r="T212" s="8"/>
      <c r="U212" s="8"/>
      <c r="V212" s="8"/>
      <c r="W212" s="8"/>
      <c r="X212" s="8"/>
      <c r="Y212" s="8"/>
      <c r="Z212" s="8"/>
      <c r="AA212" s="8"/>
      <c r="AB212" s="8"/>
      <c r="AC212" s="8"/>
      <c r="AD212" s="8"/>
      <c r="AE212" s="8"/>
      <c r="AF212" s="8"/>
      <c r="AG212" s="8"/>
      <c r="AH212" s="8"/>
      <c r="AI212" s="8"/>
      <c r="AJ212" s="8"/>
      <c r="AK212" s="8"/>
      <c r="AL212" s="8"/>
      <c r="AM212" s="8"/>
      <c r="AN212" s="8"/>
    </row>
    <row r="213">
      <c r="A213" s="13" t="s">
        <v>361</v>
      </c>
      <c r="B213" s="3">
        <f t="shared" si="7"/>
        <v>1030.39906</v>
      </c>
      <c r="C213" s="14">
        <v>-25.1767</v>
      </c>
      <c r="D213" s="14">
        <v>30.07222</v>
      </c>
      <c r="E213" s="14">
        <v>1967.92</v>
      </c>
      <c r="F213" s="13" t="s">
        <v>362</v>
      </c>
      <c r="G213" s="15" t="s">
        <v>200</v>
      </c>
      <c r="H213" s="13" t="s">
        <v>315</v>
      </c>
      <c r="I213" s="15" t="s">
        <v>364</v>
      </c>
      <c r="J213" s="3" t="str">
        <f t="shared" si="8"/>
        <v>North</v>
      </c>
      <c r="K213" s="3" t="s">
        <v>366</v>
      </c>
      <c r="L213" s="3">
        <v>7632.74454966858</v>
      </c>
      <c r="M213" s="1">
        <f t="shared" si="9"/>
        <v>7583.956361</v>
      </c>
      <c r="N213" s="3">
        <f t="shared" si="10"/>
        <v>1962.872343</v>
      </c>
      <c r="O213" s="13" t="s">
        <v>369</v>
      </c>
      <c r="P213" s="9" t="s">
        <v>371</v>
      </c>
      <c r="Q213" s="10">
        <v>86.0</v>
      </c>
      <c r="R213" s="10">
        <v>230.0</v>
      </c>
      <c r="S213" s="10">
        <v>25.0</v>
      </c>
      <c r="T213" s="10">
        <f t="shared" ref="T213:T214" si="12">R213-90</f>
        <v>140</v>
      </c>
      <c r="U213" s="12" t="s">
        <v>250</v>
      </c>
      <c r="V213" s="8"/>
      <c r="W213" s="8"/>
      <c r="X213" s="8"/>
      <c r="Y213" s="8"/>
      <c r="Z213" s="8"/>
      <c r="AA213" s="8"/>
      <c r="AB213" s="8"/>
      <c r="AC213" s="8"/>
      <c r="AD213" s="8"/>
      <c r="AE213" s="8"/>
      <c r="AF213" s="8"/>
      <c r="AG213" s="8"/>
      <c r="AH213" s="8"/>
      <c r="AI213" s="8"/>
      <c r="AJ213" s="8"/>
      <c r="AK213" s="8"/>
      <c r="AL213" s="8"/>
      <c r="AM213" s="8"/>
      <c r="AN213" s="8"/>
    </row>
    <row r="214">
      <c r="A214" s="13" t="s">
        <v>374</v>
      </c>
      <c r="B214" s="3">
        <f t="shared" si="7"/>
        <v>1034.867272</v>
      </c>
      <c r="C214" s="14">
        <v>-25.1778</v>
      </c>
      <c r="D214" s="14">
        <v>30.07114</v>
      </c>
      <c r="E214" s="14">
        <v>1954.518</v>
      </c>
      <c r="F214" s="13" t="s">
        <v>377</v>
      </c>
      <c r="G214" s="15" t="s">
        <v>200</v>
      </c>
      <c r="H214" s="13" t="s">
        <v>200</v>
      </c>
      <c r="I214" s="13" t="s">
        <v>276</v>
      </c>
      <c r="J214" s="3" t="str">
        <f t="shared" si="8"/>
        <v>North</v>
      </c>
      <c r="K214" s="3" t="s">
        <v>380</v>
      </c>
      <c r="L214" s="3">
        <v>7653.59945014328</v>
      </c>
      <c r="M214" s="1">
        <f t="shared" si="9"/>
        <v>7601.220206</v>
      </c>
      <c r="N214" s="3">
        <f t="shared" si="10"/>
        <v>1967.340555</v>
      </c>
      <c r="O214" s="13"/>
      <c r="P214" s="8"/>
      <c r="Q214" s="8"/>
      <c r="R214" s="10">
        <v>220.0</v>
      </c>
      <c r="S214" s="10">
        <v>10.0</v>
      </c>
      <c r="T214" s="10">
        <f t="shared" si="12"/>
        <v>130</v>
      </c>
      <c r="U214" s="12" t="s">
        <v>250</v>
      </c>
      <c r="V214" s="8"/>
      <c r="W214" s="8"/>
      <c r="X214" s="8"/>
      <c r="Y214" s="8"/>
      <c r="Z214" s="8"/>
      <c r="AA214" s="8"/>
      <c r="AB214" s="8"/>
      <c r="AC214" s="8"/>
      <c r="AD214" s="8"/>
      <c r="AE214" s="8"/>
      <c r="AF214" s="8"/>
      <c r="AG214" s="8"/>
      <c r="AH214" s="8"/>
      <c r="AI214" s="8"/>
      <c r="AJ214" s="8"/>
      <c r="AK214" s="8"/>
      <c r="AL214" s="8"/>
      <c r="AM214" s="8"/>
      <c r="AN214" s="8"/>
    </row>
    <row r="215">
      <c r="A215" s="5" t="s">
        <v>722</v>
      </c>
      <c r="B215" s="3">
        <f t="shared" si="7"/>
        <v>1034.872261</v>
      </c>
      <c r="C215" s="4">
        <v>-25.1786</v>
      </c>
      <c r="D215" s="4">
        <v>30.07051</v>
      </c>
      <c r="E215" s="4">
        <v>1946.394</v>
      </c>
      <c r="F215" s="5" t="s">
        <v>724</v>
      </c>
      <c r="G215" s="5" t="s">
        <v>200</v>
      </c>
      <c r="H215" s="5" t="s">
        <v>200</v>
      </c>
      <c r="I215" s="5" t="s">
        <v>364</v>
      </c>
      <c r="J215" s="3" t="str">
        <f t="shared" si="8"/>
        <v>North</v>
      </c>
      <c r="K215" s="3" t="s">
        <v>725</v>
      </c>
      <c r="L215" s="3">
        <v>7655.79554427845</v>
      </c>
      <c r="M215" s="1">
        <f t="shared" si="9"/>
        <v>7601.239481</v>
      </c>
      <c r="N215" s="3">
        <f t="shared" si="10"/>
        <v>1967.345544</v>
      </c>
      <c r="O215" s="5" t="s">
        <v>728</v>
      </c>
      <c r="P215" s="7"/>
      <c r="Q215" s="5">
        <v>91.0</v>
      </c>
      <c r="R215" s="7"/>
      <c r="S215" s="7"/>
      <c r="T215" s="7"/>
      <c r="U215" s="7"/>
      <c r="V215" s="7"/>
      <c r="W215" s="7"/>
      <c r="X215" s="7"/>
      <c r="Y215" s="7"/>
      <c r="Z215" s="7"/>
      <c r="AA215" s="7"/>
      <c r="AB215" s="7"/>
      <c r="AC215" s="7"/>
      <c r="AD215" s="7"/>
      <c r="AE215" s="7"/>
      <c r="AF215" s="7"/>
      <c r="AG215" s="7"/>
      <c r="AH215" s="7"/>
      <c r="AI215" s="7"/>
      <c r="AJ215" s="7"/>
      <c r="AK215" s="7"/>
      <c r="AL215" s="6"/>
      <c r="AM215" s="8"/>
      <c r="AN215" s="8"/>
    </row>
    <row r="216">
      <c r="A216" s="5" t="s">
        <v>950</v>
      </c>
      <c r="B216" s="3">
        <f t="shared" si="7"/>
        <v>1035.249647</v>
      </c>
      <c r="C216" s="4">
        <v>-25.1764</v>
      </c>
      <c r="D216" s="4">
        <v>30.07222</v>
      </c>
      <c r="E216" s="4">
        <v>1967.368</v>
      </c>
      <c r="F216" s="5" t="s">
        <v>434</v>
      </c>
      <c r="G216" s="5" t="s">
        <v>200</v>
      </c>
      <c r="H216" s="5" t="s">
        <v>314</v>
      </c>
      <c r="I216" s="5" t="s">
        <v>364</v>
      </c>
      <c r="J216" s="3" t="str">
        <f t="shared" si="8"/>
        <v>North</v>
      </c>
      <c r="K216" s="3" t="s">
        <v>951</v>
      </c>
      <c r="L216" s="3">
        <v>7651.63368316549</v>
      </c>
      <c r="M216" s="1">
        <f t="shared" si="9"/>
        <v>7602.697586</v>
      </c>
      <c r="N216" s="3">
        <f t="shared" si="10"/>
        <v>1967.722929</v>
      </c>
      <c r="O216" s="5"/>
      <c r="P216" s="7"/>
      <c r="Q216" s="7"/>
      <c r="R216" s="7"/>
      <c r="S216" s="7"/>
      <c r="T216" s="5"/>
      <c r="U216" s="5"/>
      <c r="V216" s="5" t="s">
        <v>49</v>
      </c>
      <c r="W216" s="5" t="s">
        <v>50</v>
      </c>
      <c r="X216" s="7"/>
      <c r="Y216" s="7"/>
      <c r="Z216" s="7"/>
      <c r="AA216" s="7"/>
      <c r="AB216" s="7"/>
      <c r="AC216" s="7"/>
      <c r="AD216" s="7"/>
      <c r="AE216" s="7"/>
      <c r="AF216" s="7"/>
      <c r="AG216" s="7"/>
      <c r="AH216" s="5" t="s">
        <v>51</v>
      </c>
      <c r="AJ216" s="7"/>
      <c r="AK216" s="5" t="s">
        <v>724</v>
      </c>
      <c r="AL216" s="6"/>
      <c r="AM216" s="8"/>
      <c r="AN216" s="8"/>
    </row>
    <row r="217">
      <c r="A217" s="13" t="s">
        <v>384</v>
      </c>
      <c r="B217" s="3">
        <f t="shared" si="7"/>
        <v>1035.657451</v>
      </c>
      <c r="C217" s="14">
        <v>-25.179</v>
      </c>
      <c r="D217" s="14">
        <v>30.07014</v>
      </c>
      <c r="E217" s="14">
        <v>1936.491</v>
      </c>
      <c r="F217" s="13" t="s">
        <v>386</v>
      </c>
      <c r="G217" s="15" t="s">
        <v>200</v>
      </c>
      <c r="H217" s="13" t="s">
        <v>200</v>
      </c>
      <c r="I217" s="13" t="s">
        <v>339</v>
      </c>
      <c r="J217" s="3" t="str">
        <f t="shared" si="8"/>
        <v>North</v>
      </c>
      <c r="K217" s="3" t="s">
        <v>390</v>
      </c>
      <c r="L217" s="3">
        <v>7661.48278621439</v>
      </c>
      <c r="M217" s="1">
        <f t="shared" si="9"/>
        <v>7604.273222</v>
      </c>
      <c r="N217" s="3">
        <f t="shared" si="10"/>
        <v>1968.130734</v>
      </c>
      <c r="O217" s="13" t="s">
        <v>394</v>
      </c>
      <c r="P217" s="9" t="s">
        <v>396</v>
      </c>
      <c r="Q217" s="10">
        <v>85.0</v>
      </c>
      <c r="R217" s="10">
        <v>200.0</v>
      </c>
      <c r="S217" s="10">
        <v>10.0</v>
      </c>
      <c r="T217" s="10">
        <f t="shared" ref="T217:T218" si="13">R217-90</f>
        <v>110</v>
      </c>
      <c r="U217" s="12" t="s">
        <v>250</v>
      </c>
      <c r="V217" s="8"/>
      <c r="W217" s="8"/>
      <c r="X217" s="8"/>
      <c r="Y217" s="8"/>
      <c r="Z217" s="8"/>
      <c r="AA217" s="8"/>
      <c r="AB217" s="8"/>
      <c r="AC217" s="8"/>
      <c r="AD217" s="8"/>
      <c r="AE217" s="8"/>
      <c r="AF217" s="8"/>
      <c r="AG217" s="8"/>
      <c r="AH217" s="8"/>
      <c r="AI217" s="8"/>
      <c r="AJ217" s="8"/>
      <c r="AK217" s="8"/>
      <c r="AL217" s="8"/>
      <c r="AM217" s="8"/>
      <c r="AN217" s="8"/>
    </row>
    <row r="218">
      <c r="A218" s="13" t="s">
        <v>384</v>
      </c>
      <c r="B218" s="3">
        <f t="shared" si="7"/>
        <v>1035.657451</v>
      </c>
      <c r="C218" s="14">
        <v>-25.179</v>
      </c>
      <c r="D218" s="14">
        <v>30.07014</v>
      </c>
      <c r="E218" s="14">
        <v>1936.491</v>
      </c>
      <c r="F218" s="13" t="s">
        <v>386</v>
      </c>
      <c r="G218" s="15" t="s">
        <v>200</v>
      </c>
      <c r="H218" s="13" t="s">
        <v>200</v>
      </c>
      <c r="I218" s="13" t="s">
        <v>348</v>
      </c>
      <c r="J218" s="3" t="str">
        <f t="shared" si="8"/>
        <v>North</v>
      </c>
      <c r="K218" s="3" t="s">
        <v>390</v>
      </c>
      <c r="L218" s="3">
        <v>7661.48278621439</v>
      </c>
      <c r="M218" s="1">
        <f t="shared" si="9"/>
        <v>7604.273222</v>
      </c>
      <c r="N218" s="3">
        <f t="shared" si="10"/>
        <v>1968.130734</v>
      </c>
      <c r="O218" s="13" t="s">
        <v>416</v>
      </c>
      <c r="P218" s="9" t="s">
        <v>417</v>
      </c>
      <c r="Q218" s="8"/>
      <c r="R218" s="10">
        <v>300.0</v>
      </c>
      <c r="S218" s="10">
        <v>10.0</v>
      </c>
      <c r="T218" s="10">
        <f t="shared" si="13"/>
        <v>210</v>
      </c>
      <c r="U218" s="12" t="s">
        <v>139</v>
      </c>
      <c r="V218" s="8"/>
      <c r="W218" s="8"/>
      <c r="X218" s="8"/>
      <c r="Y218" s="8"/>
      <c r="Z218" s="8"/>
      <c r="AA218" s="8"/>
      <c r="AB218" s="8"/>
      <c r="AC218" s="8"/>
      <c r="AD218" s="8"/>
      <c r="AE218" s="8"/>
      <c r="AF218" s="8"/>
      <c r="AG218" s="8"/>
      <c r="AH218" s="8"/>
      <c r="AI218" s="8"/>
      <c r="AJ218" s="8"/>
      <c r="AK218" s="8"/>
      <c r="AL218" s="8"/>
      <c r="AM218" s="8"/>
      <c r="AN218" s="8"/>
    </row>
    <row r="219">
      <c r="A219" s="13" t="s">
        <v>735</v>
      </c>
      <c r="B219" s="3">
        <f t="shared" si="7"/>
        <v>1244.084984</v>
      </c>
      <c r="C219" s="14">
        <v>-25.1705</v>
      </c>
      <c r="D219" s="14">
        <v>30.06651</v>
      </c>
      <c r="E219" s="14">
        <v>1814.129</v>
      </c>
      <c r="F219" s="13" t="s">
        <v>736</v>
      </c>
      <c r="G219" s="13" t="s">
        <v>200</v>
      </c>
      <c r="H219" s="13" t="s">
        <v>200</v>
      </c>
      <c r="I219" s="15" t="s">
        <v>348</v>
      </c>
      <c r="J219" s="3" t="str">
        <f t="shared" si="8"/>
        <v>North</v>
      </c>
      <c r="K219" s="3" t="s">
        <v>738</v>
      </c>
      <c r="L219" s="3">
        <v>8499.57173237229</v>
      </c>
      <c r="M219" s="1">
        <f t="shared" si="9"/>
        <v>8409.575369</v>
      </c>
      <c r="N219" s="3">
        <f t="shared" si="10"/>
        <v>2176.558267</v>
      </c>
      <c r="O219" s="13" t="s">
        <v>739</v>
      </c>
      <c r="P219" s="9" t="s">
        <v>741</v>
      </c>
      <c r="Q219" s="10">
        <v>84.0</v>
      </c>
      <c r="R219" s="8"/>
      <c r="S219" s="8"/>
      <c r="T219" s="8"/>
      <c r="U219" s="8"/>
      <c r="V219" s="8"/>
      <c r="W219" s="8"/>
      <c r="X219" s="8"/>
      <c r="Y219" s="8"/>
      <c r="Z219" s="8"/>
      <c r="AA219" s="8"/>
      <c r="AB219" s="8"/>
      <c r="AC219" s="8"/>
      <c r="AD219" s="8"/>
      <c r="AE219" s="8"/>
      <c r="AF219" s="8"/>
      <c r="AG219" s="8"/>
      <c r="AH219" s="8"/>
      <c r="AI219" s="8"/>
      <c r="AJ219" s="8"/>
      <c r="AK219" s="8"/>
      <c r="AL219" s="8"/>
      <c r="AM219" s="8"/>
      <c r="AN219" s="8"/>
    </row>
    <row r="220">
      <c r="A220" s="13" t="s">
        <v>742</v>
      </c>
      <c r="B220" s="3">
        <f t="shared" si="7"/>
        <v>1416.799042</v>
      </c>
      <c r="C220" s="14">
        <v>-25.2191</v>
      </c>
      <c r="D220" s="14">
        <v>30.0217</v>
      </c>
      <c r="E220" s="14">
        <v>1770.81</v>
      </c>
      <c r="F220" s="13" t="s">
        <v>744</v>
      </c>
      <c r="G220" s="13" t="s">
        <v>200</v>
      </c>
      <c r="H220" s="13" t="s">
        <v>745</v>
      </c>
      <c r="I220" s="13" t="s">
        <v>484</v>
      </c>
      <c r="J220" s="3" t="str">
        <f t="shared" si="8"/>
        <v>South</v>
      </c>
      <c r="K220" s="3" t="s">
        <v>747</v>
      </c>
      <c r="L220" s="3">
        <v>9178.49490266669</v>
      </c>
      <c r="M220" s="1">
        <f t="shared" si="9"/>
        <v>9076.891248</v>
      </c>
      <c r="N220" s="3">
        <f t="shared" si="10"/>
        <v>2349.272325</v>
      </c>
      <c r="O220" s="13" t="s">
        <v>749</v>
      </c>
      <c r="P220" s="9" t="s">
        <v>750</v>
      </c>
      <c r="Q220" s="8"/>
      <c r="R220" s="8"/>
      <c r="S220" s="8"/>
      <c r="T220" s="8"/>
      <c r="U220" s="10"/>
      <c r="V220" s="10">
        <v>50.0</v>
      </c>
      <c r="W220" s="9" t="s">
        <v>751</v>
      </c>
      <c r="X220" s="10">
        <v>10.0</v>
      </c>
      <c r="Y220" s="8"/>
      <c r="Z220" s="10">
        <v>10.0</v>
      </c>
      <c r="AA220" s="8"/>
      <c r="AB220" s="8"/>
      <c r="AC220" s="8"/>
      <c r="AD220" s="10">
        <v>30.0</v>
      </c>
      <c r="AE220" s="8"/>
      <c r="AF220" s="8"/>
      <c r="AG220" s="8"/>
      <c r="AH220" s="8"/>
      <c r="AI220" s="8"/>
      <c r="AJ220" s="10">
        <v>0.0</v>
      </c>
      <c r="AK220" s="8"/>
      <c r="AL220" s="8"/>
      <c r="AM220" s="8"/>
      <c r="AN220" s="8"/>
    </row>
    <row r="221">
      <c r="A221" s="13" t="s">
        <v>752</v>
      </c>
      <c r="B221" s="3">
        <f t="shared" si="7"/>
        <v>1416.799042</v>
      </c>
      <c r="C221" s="14">
        <v>-25.2191</v>
      </c>
      <c r="D221" s="14">
        <v>30.0217</v>
      </c>
      <c r="E221" s="14">
        <v>1770.81</v>
      </c>
      <c r="F221" s="13" t="s">
        <v>744</v>
      </c>
      <c r="G221" s="8" t="s">
        <v>730</v>
      </c>
      <c r="H221" s="8" t="s">
        <v>730</v>
      </c>
      <c r="I221" s="8" t="s">
        <v>730</v>
      </c>
      <c r="J221" s="3" t="str">
        <f t="shared" si="8"/>
        <v>South</v>
      </c>
      <c r="K221" s="3" t="s">
        <v>747</v>
      </c>
      <c r="L221" s="3">
        <v>9178.49490266669</v>
      </c>
      <c r="M221" s="1">
        <f t="shared" si="9"/>
        <v>9076.891248</v>
      </c>
      <c r="N221" s="3">
        <f t="shared" si="10"/>
        <v>2349.272325</v>
      </c>
      <c r="O221" s="8" t="s">
        <v>753</v>
      </c>
      <c r="P221" s="8" t="s">
        <v>754</v>
      </c>
      <c r="Q221" s="20">
        <v>59.0</v>
      </c>
      <c r="R221" s="8"/>
      <c r="S221" s="8"/>
      <c r="T221" s="8"/>
      <c r="U221" s="8"/>
      <c r="V221" s="8"/>
      <c r="W221" s="8"/>
      <c r="X221" s="8"/>
      <c r="Y221" s="8"/>
      <c r="Z221" s="8"/>
      <c r="AA221" s="8"/>
      <c r="AB221" s="8"/>
      <c r="AC221" s="8"/>
      <c r="AD221" s="8"/>
      <c r="AE221" s="8"/>
      <c r="AF221" s="8"/>
      <c r="AG221" s="8"/>
      <c r="AH221" s="8"/>
      <c r="AI221" s="8"/>
      <c r="AJ221" s="8"/>
      <c r="AK221" s="8"/>
      <c r="AL221" s="8"/>
      <c r="AM221" s="8"/>
      <c r="AN221" s="8"/>
    </row>
    <row r="222">
      <c r="A222" s="13" t="s">
        <v>421</v>
      </c>
      <c r="B222" s="3">
        <f t="shared" si="7"/>
        <v>1467.800607</v>
      </c>
      <c r="C222" s="14">
        <v>-25.2022</v>
      </c>
      <c r="D222" s="14">
        <v>30.03204</v>
      </c>
      <c r="E222" s="14">
        <v>1754.86</v>
      </c>
      <c r="F222" s="13" t="s">
        <v>425</v>
      </c>
      <c r="G222" s="9" t="s">
        <v>200</v>
      </c>
      <c r="H222" s="9" t="s">
        <v>200</v>
      </c>
      <c r="I222" s="9" t="s">
        <v>348</v>
      </c>
      <c r="J222" s="3" t="str">
        <f t="shared" si="8"/>
        <v>South</v>
      </c>
      <c r="K222" s="3" t="s">
        <v>428</v>
      </c>
      <c r="L222" s="3">
        <v>9379.82360632183</v>
      </c>
      <c r="M222" s="1">
        <f t="shared" si="9"/>
        <v>9273.946162</v>
      </c>
      <c r="N222" s="3">
        <f t="shared" si="10"/>
        <v>2400.27389</v>
      </c>
      <c r="O222" s="8"/>
      <c r="P222" s="8"/>
      <c r="Q222" s="8"/>
      <c r="R222" s="10">
        <v>270.0</v>
      </c>
      <c r="S222" s="10">
        <v>10.0</v>
      </c>
      <c r="T222" s="10">
        <f>R222-90</f>
        <v>180</v>
      </c>
      <c r="U222" s="12" t="s">
        <v>139</v>
      </c>
      <c r="V222" s="8"/>
      <c r="W222" s="8"/>
      <c r="X222" s="8"/>
      <c r="Y222" s="8"/>
      <c r="Z222" s="8"/>
      <c r="AA222" s="8"/>
      <c r="AB222" s="8"/>
      <c r="AC222" s="8"/>
      <c r="AD222" s="8"/>
      <c r="AE222" s="8"/>
      <c r="AF222" s="8"/>
      <c r="AG222" s="8"/>
      <c r="AH222" s="8"/>
      <c r="AI222" s="8"/>
      <c r="AJ222" s="8"/>
      <c r="AK222" s="8"/>
      <c r="AL222" s="8"/>
      <c r="AM222" s="8"/>
      <c r="AN222" s="8"/>
    </row>
    <row r="223">
      <c r="A223" s="5" t="s">
        <v>952</v>
      </c>
      <c r="B223" s="3">
        <f t="shared" si="7"/>
        <v>1472.864327</v>
      </c>
      <c r="C223" s="4">
        <v>-25.2099</v>
      </c>
      <c r="D223" s="4">
        <v>30.026</v>
      </c>
      <c r="E223" s="4">
        <v>1756.383</v>
      </c>
      <c r="F223" s="5" t="s">
        <v>953</v>
      </c>
      <c r="G223" s="5" t="s">
        <v>200</v>
      </c>
      <c r="H223" s="5" t="s">
        <v>200</v>
      </c>
      <c r="I223" s="5" t="s">
        <v>348</v>
      </c>
      <c r="J223" s="3" t="str">
        <f t="shared" si="8"/>
        <v>South</v>
      </c>
      <c r="K223" s="3" t="s">
        <v>954</v>
      </c>
      <c r="L223" s="3">
        <v>9398.98022958325</v>
      </c>
      <c r="M223" s="1">
        <f t="shared" si="9"/>
        <v>9293.510872</v>
      </c>
      <c r="N223" s="3">
        <f t="shared" si="10"/>
        <v>2405.33761</v>
      </c>
      <c r="O223" s="5"/>
      <c r="P223" s="7"/>
      <c r="Q223" s="7"/>
      <c r="R223" s="7"/>
      <c r="S223" s="7"/>
      <c r="T223" s="5"/>
      <c r="U223" s="5"/>
      <c r="V223" s="5" t="s">
        <v>49</v>
      </c>
      <c r="W223" s="5" t="s">
        <v>50</v>
      </c>
      <c r="X223" s="7"/>
      <c r="Y223" s="7"/>
      <c r="Z223" s="7"/>
      <c r="AA223" s="7"/>
      <c r="AB223" s="7"/>
      <c r="AC223" s="7"/>
      <c r="AD223" s="7"/>
      <c r="AE223" s="7"/>
      <c r="AF223" s="7"/>
      <c r="AG223" s="7"/>
      <c r="AH223" s="5" t="s">
        <v>51</v>
      </c>
      <c r="AJ223" s="7"/>
      <c r="AK223" s="5" t="s">
        <v>584</v>
      </c>
      <c r="AL223" s="6"/>
      <c r="AM223" s="8"/>
      <c r="AN223" s="8"/>
    </row>
    <row r="224">
      <c r="A224" s="13" t="s">
        <v>433</v>
      </c>
      <c r="B224" s="3">
        <f t="shared" si="7"/>
        <v>1475.494127</v>
      </c>
      <c r="C224" s="14">
        <v>-25.2009</v>
      </c>
      <c r="D224" s="14">
        <v>30.03275</v>
      </c>
      <c r="E224" s="14">
        <v>1781.409</v>
      </c>
      <c r="F224" s="13" t="s">
        <v>435</v>
      </c>
      <c r="G224" s="9" t="s">
        <v>200</v>
      </c>
      <c r="H224" s="9" t="s">
        <v>200</v>
      </c>
      <c r="I224" s="9" t="s">
        <v>348</v>
      </c>
      <c r="J224" s="3" t="str">
        <f t="shared" si="8"/>
        <v>South</v>
      </c>
      <c r="K224" s="3" t="s">
        <v>437</v>
      </c>
      <c r="L224" s="3">
        <v>9402.43530133033</v>
      </c>
      <c r="M224" s="1">
        <f t="shared" si="9"/>
        <v>9303.671641</v>
      </c>
      <c r="N224" s="3">
        <f t="shared" si="10"/>
        <v>2407.96741</v>
      </c>
      <c r="O224" s="8"/>
      <c r="P224" s="9" t="s">
        <v>443</v>
      </c>
      <c r="Q224" s="8"/>
      <c r="R224" s="10">
        <v>290.0</v>
      </c>
      <c r="S224" s="10">
        <v>10.0</v>
      </c>
      <c r="T224" s="10">
        <f t="shared" ref="T224:T226" si="14">R224-90</f>
        <v>200</v>
      </c>
      <c r="U224" s="12" t="s">
        <v>139</v>
      </c>
      <c r="V224" s="8"/>
      <c r="W224" s="8"/>
      <c r="X224" s="8"/>
      <c r="Y224" s="8"/>
      <c r="Z224" s="8"/>
      <c r="AA224" s="8"/>
      <c r="AB224" s="8"/>
      <c r="AC224" s="8"/>
      <c r="AD224" s="8"/>
      <c r="AE224" s="8"/>
      <c r="AF224" s="8"/>
      <c r="AG224" s="8"/>
      <c r="AH224" s="8"/>
      <c r="AI224" s="8"/>
      <c r="AJ224" s="8"/>
      <c r="AK224" s="8"/>
      <c r="AL224" s="8"/>
      <c r="AM224" s="8"/>
      <c r="AN224" s="8"/>
    </row>
    <row r="225">
      <c r="A225" s="13" t="s">
        <v>447</v>
      </c>
      <c r="B225" s="3">
        <f t="shared" si="7"/>
        <v>1550.527234</v>
      </c>
      <c r="C225" s="14">
        <v>-25.2184</v>
      </c>
      <c r="D225" s="14">
        <v>30.01618</v>
      </c>
      <c r="E225" s="14">
        <v>1815.589</v>
      </c>
      <c r="F225" s="13" t="s">
        <v>450</v>
      </c>
      <c r="G225" s="13" t="s">
        <v>200</v>
      </c>
      <c r="H225" s="13" t="s">
        <v>200</v>
      </c>
      <c r="I225" s="13" t="s">
        <v>348</v>
      </c>
      <c r="J225" s="3" t="str">
        <f t="shared" si="8"/>
        <v>South</v>
      </c>
      <c r="K225" s="3" t="s">
        <v>451</v>
      </c>
      <c r="L225" s="3">
        <v>9683.18245975101</v>
      </c>
      <c r="M225" s="1">
        <f t="shared" si="9"/>
        <v>9593.577302</v>
      </c>
      <c r="N225" s="3">
        <f t="shared" si="10"/>
        <v>2483.000517</v>
      </c>
      <c r="O225" s="13"/>
      <c r="P225" s="9" t="s">
        <v>454</v>
      </c>
      <c r="Q225" s="10">
        <v>58.0</v>
      </c>
      <c r="R225" s="10">
        <v>16.0</v>
      </c>
      <c r="S225" s="10">
        <v>6.0</v>
      </c>
      <c r="T225" s="10">
        <f t="shared" si="14"/>
        <v>-74</v>
      </c>
      <c r="U225" s="12" t="s">
        <v>139</v>
      </c>
      <c r="V225" s="8"/>
      <c r="W225" s="8"/>
      <c r="X225" s="8"/>
      <c r="Y225" s="8"/>
      <c r="Z225" s="8"/>
      <c r="AA225" s="8"/>
      <c r="AB225" s="8"/>
      <c r="AC225" s="8"/>
      <c r="AD225" s="8"/>
      <c r="AE225" s="8"/>
      <c r="AF225" s="8"/>
      <c r="AG225" s="8"/>
      <c r="AH225" s="8"/>
      <c r="AI225" s="8"/>
      <c r="AJ225" s="8"/>
      <c r="AK225" s="8"/>
      <c r="AL225" s="8"/>
      <c r="AM225" s="8"/>
      <c r="AN225" s="8"/>
    </row>
    <row r="226">
      <c r="A226" s="13" t="s">
        <v>455</v>
      </c>
      <c r="B226" s="3">
        <f t="shared" si="7"/>
        <v>1561.160709</v>
      </c>
      <c r="C226" s="14">
        <v>-25.1997</v>
      </c>
      <c r="D226" s="14">
        <v>30.02966</v>
      </c>
      <c r="E226" s="14">
        <v>1772.403</v>
      </c>
      <c r="F226" s="13" t="s">
        <v>458</v>
      </c>
      <c r="G226" s="9" t="s">
        <v>200</v>
      </c>
      <c r="H226" s="9" t="s">
        <v>200</v>
      </c>
      <c r="I226" s="9" t="s">
        <v>348</v>
      </c>
      <c r="J226" s="3" t="str">
        <f t="shared" si="8"/>
        <v>South</v>
      </c>
      <c r="K226" s="3" t="s">
        <v>459</v>
      </c>
      <c r="L226" s="3">
        <v>9735.83870718641</v>
      </c>
      <c r="M226" s="1">
        <f t="shared" si="9"/>
        <v>9634.661896</v>
      </c>
      <c r="N226" s="3">
        <f t="shared" si="10"/>
        <v>2493.633992</v>
      </c>
      <c r="O226" s="8"/>
      <c r="P226" s="8"/>
      <c r="Q226" s="8"/>
      <c r="R226" s="10">
        <v>315.0</v>
      </c>
      <c r="S226" s="10">
        <v>15.0</v>
      </c>
      <c r="T226" s="10">
        <f t="shared" si="14"/>
        <v>225</v>
      </c>
      <c r="U226" s="12" t="s">
        <v>139</v>
      </c>
      <c r="V226" s="8"/>
      <c r="W226" s="8"/>
      <c r="X226" s="8"/>
      <c r="Y226" s="8"/>
      <c r="Z226" s="8"/>
      <c r="AA226" s="8"/>
      <c r="AB226" s="8"/>
      <c r="AC226" s="8"/>
      <c r="AD226" s="8"/>
      <c r="AE226" s="8"/>
      <c r="AF226" s="8"/>
      <c r="AG226" s="8"/>
      <c r="AH226" s="8"/>
      <c r="AI226" s="8"/>
      <c r="AJ226" s="8"/>
      <c r="AK226" s="8"/>
      <c r="AL226" s="8"/>
      <c r="AM226" s="8"/>
      <c r="AN226" s="8"/>
    </row>
    <row r="227">
      <c r="A227" s="5" t="s">
        <v>955</v>
      </c>
      <c r="B227" s="3">
        <f t="shared" si="7"/>
        <v>1561.656953</v>
      </c>
      <c r="C227" s="4">
        <v>-25.2195</v>
      </c>
      <c r="D227" s="4">
        <v>30.01472</v>
      </c>
      <c r="E227" s="4">
        <v>1779.899</v>
      </c>
      <c r="F227" s="5" t="s">
        <v>590</v>
      </c>
      <c r="G227" s="5" t="s">
        <v>200</v>
      </c>
      <c r="H227" s="5" t="s">
        <v>200</v>
      </c>
      <c r="I227" s="5" t="s">
        <v>348</v>
      </c>
      <c r="J227" s="3" t="str">
        <f t="shared" si="8"/>
        <v>South</v>
      </c>
      <c r="K227" s="3" t="s">
        <v>956</v>
      </c>
      <c r="L227" s="3">
        <v>9735.7475000286</v>
      </c>
      <c r="M227" s="1">
        <f t="shared" si="9"/>
        <v>9636.579236</v>
      </c>
      <c r="N227" s="3">
        <f t="shared" si="10"/>
        <v>2494.130236</v>
      </c>
      <c r="O227" s="5"/>
      <c r="P227" s="7"/>
      <c r="Q227" s="7"/>
      <c r="R227" s="7"/>
      <c r="S227" s="7"/>
      <c r="T227" s="5"/>
      <c r="U227" s="5"/>
      <c r="V227" s="5" t="s">
        <v>49</v>
      </c>
      <c r="W227" s="5" t="s">
        <v>50</v>
      </c>
      <c r="X227" s="7"/>
      <c r="Y227" s="7"/>
      <c r="Z227" s="7"/>
      <c r="AA227" s="7"/>
      <c r="AB227" s="7"/>
      <c r="AC227" s="7"/>
      <c r="AD227" s="7"/>
      <c r="AE227" s="7"/>
      <c r="AF227" s="7"/>
      <c r="AG227" s="7"/>
      <c r="AH227" s="5" t="s">
        <v>51</v>
      </c>
      <c r="AJ227" s="7"/>
      <c r="AK227" s="5" t="s">
        <v>904</v>
      </c>
      <c r="AL227" s="6"/>
      <c r="AM227" s="8"/>
      <c r="AN227" s="8"/>
    </row>
    <row r="228">
      <c r="A228" s="13" t="s">
        <v>464</v>
      </c>
      <c r="B228" s="3">
        <f t="shared" si="7"/>
        <v>1581.8127</v>
      </c>
      <c r="C228" s="14">
        <v>-25.1991</v>
      </c>
      <c r="D228" s="14">
        <v>30.02914</v>
      </c>
      <c r="E228" s="14">
        <v>1767.258</v>
      </c>
      <c r="F228" s="13" t="s">
        <v>466</v>
      </c>
      <c r="G228" s="9" t="s">
        <v>200</v>
      </c>
      <c r="H228" s="9" t="s">
        <v>200</v>
      </c>
      <c r="I228" s="9" t="s">
        <v>348</v>
      </c>
      <c r="J228" s="3" t="str">
        <f t="shared" si="8"/>
        <v>South</v>
      </c>
      <c r="K228" s="3" t="s">
        <v>467</v>
      </c>
      <c r="L228" s="3">
        <v>9817.01047319655</v>
      </c>
      <c r="M228" s="1">
        <f t="shared" si="9"/>
        <v>9714.455063</v>
      </c>
      <c r="N228" s="3">
        <f t="shared" si="10"/>
        <v>2514.285983</v>
      </c>
      <c r="O228" s="8"/>
      <c r="P228" s="8"/>
      <c r="Q228" s="8"/>
      <c r="R228" s="10">
        <v>290.0</v>
      </c>
      <c r="S228" s="10">
        <v>10.0</v>
      </c>
      <c r="T228" s="10">
        <f>R228-90</f>
        <v>200</v>
      </c>
      <c r="U228" s="12" t="s">
        <v>139</v>
      </c>
      <c r="V228" s="8"/>
      <c r="W228" s="8"/>
      <c r="X228" s="8"/>
      <c r="Y228" s="8"/>
      <c r="Z228" s="8"/>
      <c r="AA228" s="8"/>
      <c r="AB228" s="8"/>
      <c r="AC228" s="8"/>
      <c r="AD228" s="8"/>
      <c r="AE228" s="8"/>
      <c r="AF228" s="8"/>
      <c r="AG228" s="8"/>
      <c r="AH228" s="8"/>
      <c r="AI228" s="8"/>
      <c r="AJ228" s="8"/>
      <c r="AK228" s="8"/>
      <c r="AL228" s="8"/>
      <c r="AM228" s="8"/>
      <c r="AN228" s="8"/>
    </row>
    <row r="229">
      <c r="A229" s="5" t="s">
        <v>957</v>
      </c>
      <c r="B229" s="3">
        <f t="shared" si="7"/>
        <v>1623.220485</v>
      </c>
      <c r="C229" s="4">
        <v>-25.2254</v>
      </c>
      <c r="D229" s="4">
        <v>30.00751</v>
      </c>
      <c r="E229" s="4">
        <v>1808.763</v>
      </c>
      <c r="F229" s="5" t="s">
        <v>945</v>
      </c>
      <c r="G229" s="5" t="s">
        <v>200</v>
      </c>
      <c r="H229" s="5" t="s">
        <v>200</v>
      </c>
      <c r="I229" s="5" t="s">
        <v>348</v>
      </c>
      <c r="J229" s="3" t="str">
        <f t="shared" si="8"/>
        <v>South</v>
      </c>
      <c r="K229" s="3" t="s">
        <v>958</v>
      </c>
      <c r="L229" s="3">
        <v>9965.87663662958</v>
      </c>
      <c r="M229" s="1">
        <f t="shared" si="9"/>
        <v>9874.442458</v>
      </c>
      <c r="N229" s="3">
        <f t="shared" si="10"/>
        <v>2555.693768</v>
      </c>
      <c r="O229" s="5"/>
      <c r="P229" s="7"/>
      <c r="Q229" s="7"/>
      <c r="R229" s="7"/>
      <c r="S229" s="7"/>
      <c r="T229" s="5"/>
      <c r="U229" s="5"/>
      <c r="V229" s="5" t="s">
        <v>49</v>
      </c>
      <c r="W229" s="5" t="s">
        <v>50</v>
      </c>
      <c r="X229" s="7"/>
      <c r="Y229" s="7"/>
      <c r="Z229" s="7"/>
      <c r="AA229" s="7"/>
      <c r="AB229" s="7"/>
      <c r="AC229" s="7"/>
      <c r="AD229" s="7"/>
      <c r="AE229" s="7"/>
      <c r="AF229" s="7"/>
      <c r="AG229" s="7"/>
      <c r="AH229" s="5" t="s">
        <v>51</v>
      </c>
      <c r="AJ229" s="7"/>
      <c r="AK229" s="5" t="s">
        <v>959</v>
      </c>
      <c r="AL229" s="6"/>
      <c r="AM229" s="8"/>
      <c r="AN229" s="8"/>
    </row>
    <row r="230">
      <c r="A230" s="5" t="s">
        <v>960</v>
      </c>
      <c r="B230" s="3">
        <f t="shared" si="7"/>
        <v>1777.842992</v>
      </c>
      <c r="C230" s="4">
        <v>-25.1931</v>
      </c>
      <c r="D230" s="4">
        <v>30.02448</v>
      </c>
      <c r="E230" s="4">
        <v>1732.686</v>
      </c>
      <c r="F230" s="5" t="s">
        <v>550</v>
      </c>
      <c r="G230" s="5" t="s">
        <v>200</v>
      </c>
      <c r="H230" s="5" t="s">
        <v>200</v>
      </c>
      <c r="I230" s="5" t="s">
        <v>348</v>
      </c>
      <c r="J230" s="3" t="str">
        <f t="shared" si="8"/>
        <v>South</v>
      </c>
      <c r="K230" s="3" t="s">
        <v>961</v>
      </c>
      <c r="L230" s="3">
        <v>10583.6769003372</v>
      </c>
      <c r="M230" s="1">
        <f t="shared" si="9"/>
        <v>10471.85795</v>
      </c>
      <c r="N230" s="3">
        <f t="shared" si="10"/>
        <v>2710.316275</v>
      </c>
      <c r="O230" s="5"/>
      <c r="P230" s="7"/>
      <c r="Q230" s="7"/>
      <c r="R230" s="7"/>
      <c r="S230" s="7"/>
      <c r="T230" s="5"/>
      <c r="U230" s="5"/>
      <c r="V230" s="5" t="s">
        <v>49</v>
      </c>
      <c r="W230" s="5" t="s">
        <v>50</v>
      </c>
      <c r="X230" s="7"/>
      <c r="Y230" s="7"/>
      <c r="Z230" s="7"/>
      <c r="AA230" s="7"/>
      <c r="AB230" s="7"/>
      <c r="AC230" s="7"/>
      <c r="AD230" s="7"/>
      <c r="AE230" s="7"/>
      <c r="AF230" s="7"/>
      <c r="AG230" s="7"/>
      <c r="AH230" s="5" t="s">
        <v>51</v>
      </c>
      <c r="AJ230" s="7"/>
      <c r="AK230" s="5" t="s">
        <v>943</v>
      </c>
      <c r="AL230" s="6"/>
      <c r="AM230" s="8"/>
      <c r="AN230" s="8"/>
    </row>
    <row r="231">
      <c r="A231" s="13" t="s">
        <v>760</v>
      </c>
      <c r="B231" s="3">
        <f t="shared" si="7"/>
        <v>2049.948125</v>
      </c>
      <c r="C231" s="14">
        <v>-25.1809</v>
      </c>
      <c r="D231" s="14">
        <v>30.02113</v>
      </c>
      <c r="E231" s="14">
        <v>1745.942</v>
      </c>
      <c r="F231" s="13" t="s">
        <v>762</v>
      </c>
      <c r="G231" s="9" t="s">
        <v>730</v>
      </c>
      <c r="H231" s="9" t="s">
        <v>730</v>
      </c>
      <c r="I231" s="9" t="s">
        <v>730</v>
      </c>
      <c r="J231" s="3" t="str">
        <f t="shared" si="8"/>
        <v>South</v>
      </c>
      <c r="K231" s="3" t="s">
        <v>764</v>
      </c>
      <c r="L231" s="3">
        <v>11631.4584666298</v>
      </c>
      <c r="M231" s="1">
        <f t="shared" si="9"/>
        <v>11523.19145</v>
      </c>
      <c r="N231" s="3">
        <f t="shared" si="10"/>
        <v>2982.421408</v>
      </c>
      <c r="O231" s="8"/>
      <c r="P231" s="9" t="s">
        <v>766</v>
      </c>
      <c r="Q231" s="8"/>
      <c r="R231" s="8"/>
      <c r="S231" s="8"/>
      <c r="T231" s="8"/>
      <c r="U231" s="8"/>
      <c r="V231" s="8"/>
      <c r="W231" s="8"/>
      <c r="X231" s="8"/>
      <c r="Y231" s="8"/>
      <c r="Z231" s="8"/>
      <c r="AA231" s="8"/>
      <c r="AB231" s="8"/>
      <c r="AC231" s="8"/>
      <c r="AD231" s="8"/>
      <c r="AE231" s="8"/>
      <c r="AF231" s="8"/>
      <c r="AG231" s="8"/>
      <c r="AH231" s="8"/>
      <c r="AI231" s="8"/>
      <c r="AJ231" s="8"/>
      <c r="AK231" s="8"/>
      <c r="AL231" s="8"/>
      <c r="AM231" s="8"/>
      <c r="AN231" s="8"/>
    </row>
    <row r="232">
      <c r="A232" s="13" t="s">
        <v>471</v>
      </c>
      <c r="B232" s="3">
        <f t="shared" si="7"/>
        <v>2056.306467</v>
      </c>
      <c r="C232" s="14">
        <v>-25.1771</v>
      </c>
      <c r="D232" s="14">
        <v>30.02374</v>
      </c>
      <c r="E232" s="14">
        <v>1757.437</v>
      </c>
      <c r="F232" s="13" t="s">
        <v>474</v>
      </c>
      <c r="G232" s="9" t="s">
        <v>200</v>
      </c>
      <c r="H232" s="9" t="s">
        <v>200</v>
      </c>
      <c r="I232" s="9" t="s">
        <v>348</v>
      </c>
      <c r="J232" s="3" t="str">
        <f t="shared" si="8"/>
        <v>South</v>
      </c>
      <c r="K232" s="3" t="s">
        <v>475</v>
      </c>
      <c r="L232" s="3">
        <v>11652.9451369977</v>
      </c>
      <c r="M232" s="1">
        <f t="shared" si="9"/>
        <v>11547.7582</v>
      </c>
      <c r="N232" s="3">
        <f t="shared" si="10"/>
        <v>2988.77975</v>
      </c>
      <c r="O232" s="8"/>
      <c r="P232" s="8"/>
      <c r="Q232" s="8"/>
      <c r="R232" s="10">
        <v>270.0</v>
      </c>
      <c r="S232" s="10">
        <v>10.0</v>
      </c>
      <c r="T232" s="10">
        <v>130.0</v>
      </c>
      <c r="U232" s="12" t="s">
        <v>139</v>
      </c>
      <c r="V232" s="8"/>
      <c r="W232" s="8"/>
      <c r="X232" s="8"/>
      <c r="Y232" s="8"/>
      <c r="Z232" s="8"/>
      <c r="AA232" s="8"/>
      <c r="AB232" s="8"/>
      <c r="AC232" s="8"/>
      <c r="AD232" s="8"/>
      <c r="AE232" s="8"/>
      <c r="AF232" s="8"/>
      <c r="AG232" s="8"/>
      <c r="AH232" s="8"/>
      <c r="AI232" s="8"/>
      <c r="AJ232" s="8"/>
      <c r="AK232" s="8"/>
      <c r="AL232" s="8"/>
      <c r="AM232" s="8"/>
      <c r="AN232" s="8"/>
    </row>
    <row r="233">
      <c r="A233" s="5" t="s">
        <v>962</v>
      </c>
      <c r="B233" s="3">
        <f t="shared" si="7"/>
        <v>2057.184616</v>
      </c>
      <c r="C233" s="4">
        <v>-25.1775</v>
      </c>
      <c r="D233" s="4">
        <v>30.02334</v>
      </c>
      <c r="E233" s="4">
        <v>1739.529</v>
      </c>
      <c r="F233" s="5" t="s">
        <v>928</v>
      </c>
      <c r="G233" s="5" t="s">
        <v>200</v>
      </c>
      <c r="H233" s="5" t="s">
        <v>200</v>
      </c>
      <c r="I233" s="5" t="s">
        <v>348</v>
      </c>
      <c r="J233" s="3" t="str">
        <f t="shared" si="8"/>
        <v>South</v>
      </c>
      <c r="K233" s="3" t="s">
        <v>963</v>
      </c>
      <c r="L233" s="3">
        <v>11661.1364772682</v>
      </c>
      <c r="M233" s="1">
        <f t="shared" si="9"/>
        <v>11551.1511</v>
      </c>
      <c r="N233" s="3">
        <f t="shared" si="10"/>
        <v>2989.657899</v>
      </c>
      <c r="O233" s="5"/>
      <c r="P233" s="7"/>
      <c r="Q233" s="7"/>
      <c r="R233" s="7"/>
      <c r="S233" s="7"/>
      <c r="T233" s="5"/>
      <c r="U233" s="5"/>
      <c r="V233" s="5" t="s">
        <v>49</v>
      </c>
      <c r="W233" s="5" t="s">
        <v>50</v>
      </c>
      <c r="X233" s="7"/>
      <c r="Y233" s="7"/>
      <c r="Z233" s="7"/>
      <c r="AA233" s="7"/>
      <c r="AB233" s="7"/>
      <c r="AC233" s="7"/>
      <c r="AD233" s="7"/>
      <c r="AE233" s="7"/>
      <c r="AF233" s="7"/>
      <c r="AG233" s="7"/>
      <c r="AH233" s="5" t="s">
        <v>51</v>
      </c>
      <c r="AJ233" s="7"/>
      <c r="AK233" s="5" t="s">
        <v>964</v>
      </c>
      <c r="AL233" s="6"/>
      <c r="AM233" s="8"/>
      <c r="AN233" s="8"/>
    </row>
    <row r="234">
      <c r="A234" s="13" t="s">
        <v>767</v>
      </c>
      <c r="B234" s="3">
        <f t="shared" si="7"/>
        <v>2135.894335</v>
      </c>
      <c r="C234" s="14">
        <v>-25.1777</v>
      </c>
      <c r="D234" s="14">
        <v>30.01951</v>
      </c>
      <c r="E234" s="14">
        <v>1728.683</v>
      </c>
      <c r="F234" s="13" t="s">
        <v>768</v>
      </c>
      <c r="G234" s="9" t="s">
        <v>730</v>
      </c>
      <c r="H234" s="9" t="s">
        <v>730</v>
      </c>
      <c r="I234" s="9" t="s">
        <v>730</v>
      </c>
      <c r="J234" s="3" t="str">
        <f t="shared" si="8"/>
        <v>South</v>
      </c>
      <c r="K234" s="3" t="s">
        <v>769</v>
      </c>
      <c r="L234" s="3">
        <v>11968.1536582777</v>
      </c>
      <c r="M234" s="1">
        <f t="shared" si="9"/>
        <v>11855.26211</v>
      </c>
      <c r="N234" s="3">
        <f t="shared" si="10"/>
        <v>3068.367618</v>
      </c>
      <c r="O234" s="8"/>
      <c r="P234" s="9" t="s">
        <v>770</v>
      </c>
      <c r="Q234" s="8"/>
      <c r="R234" s="8"/>
      <c r="S234" s="8"/>
      <c r="T234" s="8"/>
      <c r="U234" s="8"/>
      <c r="V234" s="8"/>
      <c r="W234" s="8"/>
      <c r="X234" s="8"/>
      <c r="Y234" s="8"/>
      <c r="Z234" s="8"/>
      <c r="AA234" s="8"/>
      <c r="AB234" s="8"/>
      <c r="AC234" s="8"/>
      <c r="AD234" s="8"/>
      <c r="AE234" s="8"/>
      <c r="AF234" s="8"/>
      <c r="AG234" s="8"/>
      <c r="AH234" s="8"/>
      <c r="AI234" s="8"/>
      <c r="AJ234" s="8"/>
      <c r="AK234" s="8"/>
      <c r="AL234" s="8"/>
      <c r="AM234" s="8"/>
      <c r="AN234" s="8"/>
    </row>
    <row r="235">
      <c r="A235" s="5" t="s">
        <v>965</v>
      </c>
      <c r="B235" s="3">
        <f t="shared" si="7"/>
        <v>2141.146558</v>
      </c>
      <c r="C235" s="4">
        <v>-25.1719</v>
      </c>
      <c r="D235" s="4">
        <v>30.0237</v>
      </c>
      <c r="E235" s="4">
        <v>1746.277</v>
      </c>
      <c r="F235" s="5" t="s">
        <v>964</v>
      </c>
      <c r="G235" s="5" t="s">
        <v>200</v>
      </c>
      <c r="H235" s="5" t="s">
        <v>200</v>
      </c>
      <c r="I235" s="5" t="s">
        <v>348</v>
      </c>
      <c r="J235" s="3" t="str">
        <f t="shared" si="8"/>
        <v>North</v>
      </c>
      <c r="K235" s="3" t="s">
        <v>966</v>
      </c>
      <c r="L235" s="3">
        <v>11983.7323885746</v>
      </c>
      <c r="M235" s="1">
        <f t="shared" si="9"/>
        <v>11875.55514</v>
      </c>
      <c r="N235" s="3">
        <f t="shared" si="10"/>
        <v>3073.619841</v>
      </c>
      <c r="O235" s="5"/>
      <c r="P235" s="7"/>
      <c r="Q235" s="7"/>
      <c r="R235" s="7"/>
      <c r="S235" s="7"/>
      <c r="T235" s="5"/>
      <c r="U235" s="5"/>
      <c r="V235" s="5" t="s">
        <v>49</v>
      </c>
      <c r="W235" s="5" t="s">
        <v>50</v>
      </c>
      <c r="X235" s="7"/>
      <c r="Y235" s="7"/>
      <c r="Z235" s="7"/>
      <c r="AA235" s="7"/>
      <c r="AB235" s="7"/>
      <c r="AC235" s="7"/>
      <c r="AD235" s="7"/>
      <c r="AE235" s="7"/>
      <c r="AF235" s="7"/>
      <c r="AG235" s="7"/>
      <c r="AH235" s="5" t="s">
        <v>51</v>
      </c>
      <c r="AJ235" s="7"/>
      <c r="AK235" s="5" t="s">
        <v>953</v>
      </c>
      <c r="AL235" s="6"/>
      <c r="AM235" s="8"/>
      <c r="AN235" s="8"/>
    </row>
    <row r="236">
      <c r="A236" s="13" t="s">
        <v>771</v>
      </c>
      <c r="B236" s="3">
        <f t="shared" si="7"/>
        <v>2175.295674</v>
      </c>
      <c r="C236" s="14">
        <v>-25.1771</v>
      </c>
      <c r="D236" s="14">
        <v>30.01813</v>
      </c>
      <c r="E236" s="14">
        <v>1726.038</v>
      </c>
      <c r="F236" s="13" t="s">
        <v>772</v>
      </c>
      <c r="G236" s="9" t="s">
        <v>200</v>
      </c>
      <c r="H236" s="9" t="s">
        <v>200</v>
      </c>
      <c r="I236" s="9" t="s">
        <v>484</v>
      </c>
      <c r="J236" s="3" t="str">
        <f t="shared" si="8"/>
        <v>South</v>
      </c>
      <c r="K236" s="3" t="s">
        <v>773</v>
      </c>
      <c r="L236" s="3">
        <v>12121.0974671732</v>
      </c>
      <c r="M236" s="1">
        <f t="shared" si="9"/>
        <v>12007.49719</v>
      </c>
      <c r="N236" s="3">
        <f t="shared" si="10"/>
        <v>3107.768957</v>
      </c>
      <c r="O236" s="8"/>
      <c r="P236" s="9" t="s">
        <v>774</v>
      </c>
      <c r="Q236" s="8"/>
      <c r="R236" s="8"/>
      <c r="S236" s="8"/>
      <c r="T236" s="8"/>
      <c r="U236" s="8"/>
      <c r="V236" s="8"/>
      <c r="W236" s="8"/>
      <c r="X236" s="8"/>
      <c r="Y236" s="8"/>
      <c r="Z236" s="8"/>
      <c r="AA236" s="8"/>
      <c r="AB236" s="8"/>
      <c r="AC236" s="8"/>
      <c r="AD236" s="8"/>
      <c r="AE236" s="8"/>
      <c r="AF236" s="8"/>
      <c r="AG236" s="8"/>
      <c r="AH236" s="8"/>
      <c r="AI236" s="8"/>
      <c r="AJ236" s="8"/>
      <c r="AK236" s="8"/>
      <c r="AL236" s="8"/>
      <c r="AM236" s="8"/>
      <c r="AN236" s="8"/>
    </row>
    <row r="237">
      <c r="A237" s="13" t="s">
        <v>476</v>
      </c>
      <c r="B237" s="3">
        <f t="shared" si="7"/>
        <v>2182.464212</v>
      </c>
      <c r="C237" s="14">
        <v>-25.1782</v>
      </c>
      <c r="D237" s="14">
        <v>30.01698</v>
      </c>
      <c r="E237" s="14">
        <v>1729.763</v>
      </c>
      <c r="F237" s="13" t="s">
        <v>477</v>
      </c>
      <c r="G237" s="9" t="s">
        <v>200</v>
      </c>
      <c r="H237" s="9" t="s">
        <v>200</v>
      </c>
      <c r="I237" s="9" t="s">
        <v>348</v>
      </c>
      <c r="J237" s="3" t="str">
        <f t="shared" si="8"/>
        <v>South</v>
      </c>
      <c r="K237" s="3" t="s">
        <v>478</v>
      </c>
      <c r="L237" s="3">
        <v>12147.7964576882</v>
      </c>
      <c r="M237" s="1">
        <f t="shared" si="9"/>
        <v>12035.19429</v>
      </c>
      <c r="N237" s="3">
        <f t="shared" si="10"/>
        <v>3114.937495</v>
      </c>
      <c r="O237" s="8"/>
      <c r="P237" s="8"/>
      <c r="Q237" s="8"/>
      <c r="R237" s="10">
        <v>315.0</v>
      </c>
      <c r="S237" s="10">
        <v>15.0</v>
      </c>
      <c r="T237" s="10">
        <f t="shared" ref="T237:T239" si="15">R237-90</f>
        <v>225</v>
      </c>
      <c r="U237" s="12" t="s">
        <v>139</v>
      </c>
      <c r="V237" s="8"/>
      <c r="W237" s="8"/>
      <c r="X237" s="8"/>
      <c r="Y237" s="8"/>
      <c r="Z237" s="8"/>
      <c r="AA237" s="8"/>
      <c r="AB237" s="8"/>
      <c r="AC237" s="8"/>
      <c r="AD237" s="8"/>
      <c r="AE237" s="8"/>
      <c r="AF237" s="8"/>
      <c r="AG237" s="8"/>
      <c r="AH237" s="8"/>
      <c r="AI237" s="8"/>
      <c r="AJ237" s="8"/>
      <c r="AK237" s="8"/>
      <c r="AL237" s="8"/>
      <c r="AM237" s="8"/>
      <c r="AN237" s="8"/>
    </row>
    <row r="238">
      <c r="A238" s="13" t="s">
        <v>486</v>
      </c>
      <c r="B238" s="3">
        <f t="shared" si="7"/>
        <v>2682.4847</v>
      </c>
      <c r="C238" s="14">
        <v>-25.2133</v>
      </c>
      <c r="D238" s="14">
        <v>29.96669</v>
      </c>
      <c r="E238" s="14">
        <v>1526.247</v>
      </c>
      <c r="F238" s="13" t="s">
        <v>489</v>
      </c>
      <c r="G238" s="13" t="s">
        <v>200</v>
      </c>
      <c r="H238" s="13" t="s">
        <v>200</v>
      </c>
      <c r="I238" s="13" t="s">
        <v>348</v>
      </c>
      <c r="J238" s="3" t="str">
        <f t="shared" si="8"/>
        <v>South</v>
      </c>
      <c r="K238" s="3" t="s">
        <v>493</v>
      </c>
      <c r="L238" s="3">
        <v>14134.2592189439</v>
      </c>
      <c r="M238" s="1">
        <f t="shared" si="9"/>
        <v>13967.12511</v>
      </c>
      <c r="N238" s="3">
        <f t="shared" si="10"/>
        <v>3614.957983</v>
      </c>
      <c r="O238" s="13"/>
      <c r="P238" s="9" t="s">
        <v>495</v>
      </c>
      <c r="Q238" s="8"/>
      <c r="R238" s="10">
        <v>250.0</v>
      </c>
      <c r="S238" s="10">
        <v>13.0</v>
      </c>
      <c r="T238" s="10">
        <f t="shared" si="15"/>
        <v>160</v>
      </c>
      <c r="U238" s="12" t="s">
        <v>139</v>
      </c>
      <c r="V238" s="8"/>
      <c r="W238" s="8"/>
      <c r="X238" s="8"/>
      <c r="Y238" s="8"/>
      <c r="Z238" s="8"/>
      <c r="AA238" s="8"/>
      <c r="AB238" s="8"/>
      <c r="AC238" s="8"/>
      <c r="AD238" s="8"/>
      <c r="AE238" s="8"/>
      <c r="AF238" s="8"/>
      <c r="AG238" s="8"/>
      <c r="AH238" s="8"/>
      <c r="AI238" s="8"/>
      <c r="AJ238" s="8"/>
      <c r="AK238" s="8"/>
      <c r="AL238" s="8"/>
      <c r="AM238" s="8"/>
      <c r="AN238" s="8"/>
    </row>
    <row r="239">
      <c r="A239" s="13" t="s">
        <v>497</v>
      </c>
      <c r="B239" s="3">
        <f t="shared" si="7"/>
        <v>3266.300221</v>
      </c>
      <c r="C239" s="14">
        <v>-25.199</v>
      </c>
      <c r="D239" s="14">
        <v>29.95029</v>
      </c>
      <c r="E239" s="14">
        <v>1475.559</v>
      </c>
      <c r="F239" s="13" t="s">
        <v>499</v>
      </c>
      <c r="G239" s="13" t="s">
        <v>200</v>
      </c>
      <c r="H239" s="13" t="s">
        <v>200</v>
      </c>
      <c r="I239" s="13" t="s">
        <v>348</v>
      </c>
      <c r="J239" s="3" t="str">
        <f t="shared" si="8"/>
        <v>South</v>
      </c>
      <c r="K239" s="3" t="s">
        <v>501</v>
      </c>
      <c r="L239" s="3">
        <v>16403.5309861866</v>
      </c>
      <c r="M239" s="1">
        <f t="shared" si="9"/>
        <v>16222.81506</v>
      </c>
      <c r="N239" s="3">
        <f t="shared" si="10"/>
        <v>4198.773504</v>
      </c>
      <c r="O239" s="13"/>
      <c r="P239" s="9" t="s">
        <v>502</v>
      </c>
      <c r="Q239" s="8"/>
      <c r="R239" s="10">
        <v>292.0</v>
      </c>
      <c r="S239" s="10">
        <v>12.0</v>
      </c>
      <c r="T239" s="10">
        <f t="shared" si="15"/>
        <v>202</v>
      </c>
      <c r="U239" s="12" t="s">
        <v>139</v>
      </c>
      <c r="V239" s="8"/>
      <c r="W239" s="8"/>
      <c r="X239" s="8"/>
      <c r="Y239" s="8"/>
      <c r="Z239" s="8"/>
      <c r="AA239" s="8"/>
      <c r="AB239" s="8"/>
      <c r="AC239" s="8"/>
      <c r="AD239" s="8"/>
      <c r="AE239" s="8"/>
      <c r="AF239" s="8"/>
      <c r="AG239" s="8"/>
      <c r="AH239" s="8"/>
      <c r="AI239" s="8"/>
      <c r="AJ239" s="8"/>
      <c r="AK239" s="8"/>
      <c r="AL239" s="8"/>
      <c r="AM239" s="8"/>
      <c r="AN239" s="8"/>
    </row>
    <row r="241">
      <c r="A241" s="8"/>
      <c r="C241" s="8"/>
      <c r="D241" s="8"/>
      <c r="E241" s="8"/>
      <c r="F241" s="8"/>
      <c r="G241" s="8"/>
      <c r="H241" s="8"/>
      <c r="I241" s="9"/>
      <c r="M241" s="1"/>
      <c r="O241" s="9"/>
      <c r="P241" s="9"/>
      <c r="V241" s="8"/>
      <c r="W241" s="8"/>
      <c r="X241" s="8"/>
      <c r="Y241" s="8"/>
      <c r="Z241" s="8"/>
      <c r="AA241" s="8"/>
      <c r="AB241" s="8"/>
      <c r="AC241" s="8"/>
      <c r="AD241" s="8"/>
      <c r="AE241" s="8"/>
      <c r="AF241" s="8"/>
      <c r="AG241" s="8"/>
      <c r="AH241" s="8"/>
      <c r="AI241" s="8"/>
      <c r="AJ241" s="8"/>
      <c r="AK241" s="8"/>
      <c r="AL241" s="8"/>
      <c r="AM241" s="8"/>
      <c r="AN241" s="8"/>
    </row>
    <row r="242">
      <c r="A242" s="8"/>
      <c r="C242" s="8"/>
      <c r="D242" s="8"/>
      <c r="E242" s="8"/>
      <c r="F242" s="8"/>
      <c r="G242" s="8"/>
      <c r="H242" s="8"/>
      <c r="I242" s="8"/>
      <c r="K242" s="8"/>
      <c r="L242" s="8"/>
      <c r="M242" s="1"/>
      <c r="N242" s="8"/>
      <c r="O242" s="8"/>
      <c r="P242" s="9"/>
      <c r="V242" s="8"/>
      <c r="W242" s="8"/>
      <c r="X242" s="8"/>
      <c r="Y242" s="8"/>
      <c r="Z242" s="8"/>
      <c r="AA242" s="8"/>
      <c r="AB242" s="8"/>
      <c r="AC242" s="8"/>
      <c r="AD242" s="8"/>
      <c r="AE242" s="8"/>
      <c r="AF242" s="8"/>
      <c r="AG242" s="8"/>
      <c r="AH242" s="8"/>
      <c r="AI242" s="8"/>
      <c r="AJ242" s="8"/>
      <c r="AK242" s="8"/>
      <c r="AL242" s="8"/>
      <c r="AM242" s="8"/>
      <c r="AN242" s="8"/>
    </row>
  </sheetData>
  <mergeCells count="145">
    <mergeCell ref="AH64:AI64"/>
    <mergeCell ref="AH65:AI65"/>
    <mergeCell ref="AH68:AI68"/>
    <mergeCell ref="AH70:AI70"/>
    <mergeCell ref="AH72:AI72"/>
    <mergeCell ref="AH73:AI73"/>
    <mergeCell ref="AH74:AI74"/>
    <mergeCell ref="AH75:AI75"/>
    <mergeCell ref="AH76:AI76"/>
    <mergeCell ref="AH77:AI77"/>
    <mergeCell ref="AH78:AI78"/>
    <mergeCell ref="AH79:AI79"/>
    <mergeCell ref="AH80:AI80"/>
    <mergeCell ref="AH82:AI82"/>
    <mergeCell ref="AH2:AI2"/>
    <mergeCell ref="AH3:AI3"/>
    <mergeCell ref="AH4:AI4"/>
    <mergeCell ref="AH5:AI5"/>
    <mergeCell ref="AH8:AI8"/>
    <mergeCell ref="AH10:AI10"/>
    <mergeCell ref="AH12:AI12"/>
    <mergeCell ref="AH14:AI14"/>
    <mergeCell ref="AH15:AI15"/>
    <mergeCell ref="AH16:AI16"/>
    <mergeCell ref="AH17:AI17"/>
    <mergeCell ref="AH19:AI19"/>
    <mergeCell ref="AH20:AI20"/>
    <mergeCell ref="AH21:AI21"/>
    <mergeCell ref="AH22:AI22"/>
    <mergeCell ref="AH23:AI23"/>
    <mergeCell ref="AH24:AI24"/>
    <mergeCell ref="AH25:AI25"/>
    <mergeCell ref="AH26:AI26"/>
    <mergeCell ref="AH29:AI29"/>
    <mergeCell ref="AH30:AI30"/>
    <mergeCell ref="AH31:AI31"/>
    <mergeCell ref="AH32:AI32"/>
    <mergeCell ref="AH33:AI33"/>
    <mergeCell ref="AH34:AI34"/>
    <mergeCell ref="AH35:AI35"/>
    <mergeCell ref="AH36:AI36"/>
    <mergeCell ref="AH37:AI37"/>
    <mergeCell ref="AH39:AI39"/>
    <mergeCell ref="AH40:AI40"/>
    <mergeCell ref="AH44:AI44"/>
    <mergeCell ref="AH45:AI45"/>
    <mergeCell ref="AH46:AI46"/>
    <mergeCell ref="AH49:AI49"/>
    <mergeCell ref="AH50:AI50"/>
    <mergeCell ref="AH51:AI51"/>
    <mergeCell ref="AH54:AI54"/>
    <mergeCell ref="AH56:AI56"/>
    <mergeCell ref="AH58:AI58"/>
    <mergeCell ref="AH59:AI59"/>
    <mergeCell ref="AH60:AI60"/>
    <mergeCell ref="AH63:AI63"/>
    <mergeCell ref="AH84:AI84"/>
    <mergeCell ref="AH85:AI85"/>
    <mergeCell ref="AH86:AI86"/>
    <mergeCell ref="AH87:AI87"/>
    <mergeCell ref="AH88:AI88"/>
    <mergeCell ref="AH89:AI89"/>
    <mergeCell ref="AH90:AI90"/>
    <mergeCell ref="AH155:AI155"/>
    <mergeCell ref="AH161:AI161"/>
    <mergeCell ref="AH162:AI162"/>
    <mergeCell ref="AH163:AI163"/>
    <mergeCell ref="AH164:AI164"/>
    <mergeCell ref="AH166:AI166"/>
    <mergeCell ref="AH167:AI167"/>
    <mergeCell ref="AH168:AI168"/>
    <mergeCell ref="AH169:AI169"/>
    <mergeCell ref="AH172:AI172"/>
    <mergeCell ref="AH173:AI173"/>
    <mergeCell ref="AH175:AI175"/>
    <mergeCell ref="AH177:AI177"/>
    <mergeCell ref="AH178:AI178"/>
    <mergeCell ref="AH180:AI180"/>
    <mergeCell ref="AH181:AI181"/>
    <mergeCell ref="AH182:AI182"/>
    <mergeCell ref="AH183:AI183"/>
    <mergeCell ref="AH192:AI192"/>
    <mergeCell ref="AH193:AI193"/>
    <mergeCell ref="AH198:AI198"/>
    <mergeCell ref="AH227:AI227"/>
    <mergeCell ref="AH229:AI229"/>
    <mergeCell ref="AH230:AI230"/>
    <mergeCell ref="AH233:AI233"/>
    <mergeCell ref="AH235:AI235"/>
    <mergeCell ref="AH202:AI202"/>
    <mergeCell ref="AH206:AI206"/>
    <mergeCell ref="AH208:AI208"/>
    <mergeCell ref="AH209:AI209"/>
    <mergeCell ref="AH210:AI210"/>
    <mergeCell ref="AH216:AI216"/>
    <mergeCell ref="AH223:AI223"/>
    <mergeCell ref="AH91:AI91"/>
    <mergeCell ref="AH92:AI92"/>
    <mergeCell ref="AH93:AI93"/>
    <mergeCell ref="AH95:AI95"/>
    <mergeCell ref="AH96:AI96"/>
    <mergeCell ref="AH98:AI98"/>
    <mergeCell ref="AH99:AI99"/>
    <mergeCell ref="AH100:AI100"/>
    <mergeCell ref="AH102:AI102"/>
    <mergeCell ref="AH103:AI103"/>
    <mergeCell ref="AH104:AI104"/>
    <mergeCell ref="AH106:AI106"/>
    <mergeCell ref="AH108:AI108"/>
    <mergeCell ref="AH109:AI109"/>
    <mergeCell ref="AH110:AI110"/>
    <mergeCell ref="AH111:AI111"/>
    <mergeCell ref="AH112:AI112"/>
    <mergeCell ref="AH115:AI115"/>
    <mergeCell ref="AH116:AI116"/>
    <mergeCell ref="AH117:AI117"/>
    <mergeCell ref="AH118:AI118"/>
    <mergeCell ref="AH119:AI119"/>
    <mergeCell ref="AH120:AI120"/>
    <mergeCell ref="AH121:AI121"/>
    <mergeCell ref="AH124:AI124"/>
    <mergeCell ref="AH125:AI125"/>
    <mergeCell ref="AH126:AI126"/>
    <mergeCell ref="AH127:AI127"/>
    <mergeCell ref="AH128:AI128"/>
    <mergeCell ref="AH130:AI130"/>
    <mergeCell ref="AH131:AI131"/>
    <mergeCell ref="AH132:AI132"/>
    <mergeCell ref="AH133:AI133"/>
    <mergeCell ref="AH134:AI134"/>
    <mergeCell ref="AH135:AI135"/>
    <mergeCell ref="AH136:AI136"/>
    <mergeCell ref="AH138:AI138"/>
    <mergeCell ref="AH139:AI139"/>
    <mergeCell ref="AH141:AI141"/>
    <mergeCell ref="AH142:AI142"/>
    <mergeCell ref="AH143:AI143"/>
    <mergeCell ref="AH144:AI144"/>
    <mergeCell ref="AH145:AI145"/>
    <mergeCell ref="AH146:AI146"/>
    <mergeCell ref="AH147:AI147"/>
    <mergeCell ref="AH150:AI150"/>
    <mergeCell ref="AH151:AI151"/>
    <mergeCell ref="AH153:AI153"/>
    <mergeCell ref="AH154:AI154"/>
  </mergeCells>
  <conditionalFormatting sqref="G1:G1002">
    <cfRule type="containsText" dxfId="0" priority="1" operator="containsText" text="Rz">
      <formula>NOT(ISERROR(SEARCH(("Rz"),(G1))))</formula>
    </cfRule>
  </conditionalFormatting>
  <conditionalFormatting sqref="G1:G1002">
    <cfRule type="containsText" dxfId="0" priority="2" operator="containsText" text="Qz">
      <formula>NOT(ISERROR(SEARCH(("Qz"),(G1))))</formula>
    </cfRule>
  </conditionalFormatting>
  <conditionalFormatting sqref="G1:G1002">
    <cfRule type="containsText" dxfId="0" priority="3" operator="containsText" text="Hf">
      <formula>NOT(ISERROR(SEARCH(("Hf"),(G1))))</formula>
    </cfRule>
  </conditionalFormatting>
  <conditionalFormatting sqref="G1:G1002">
    <cfRule type="containsText" dxfId="1" priority="4" operator="containsText" text="Cz">
      <formula>NOT(ISERROR(SEARCH(("Cz"),(G1))))</formula>
    </cfRule>
  </conditionalFormatting>
  <conditionalFormatting sqref="G1:G1002">
    <cfRule type="containsText" dxfId="2" priority="5" operator="containsText" text="MMA">
      <formula>NOT(ISERROR(SEARCH(("MMA"),(G1))))</formula>
    </cfRule>
  </conditionalFormatting>
  <conditionalFormatting sqref="G1:G1002">
    <cfRule type="containsText" dxfId="3" priority="6" operator="containsText" text="UMA">
      <formula>NOT(ISERROR(SEARCH(("UMA"),(G1))))</formula>
    </cfRule>
  </conditionalFormatting>
  <conditionalFormatting sqref="G1:G1002">
    <cfRule type="containsText" dxfId="4" priority="7" operator="containsText" text="LMA">
      <formula>NOT(ISERROR(SEARCH(("LMA"),(G1))))</formula>
    </cfRule>
  </conditionalFormatting>
  <conditionalFormatting sqref="G1:G1002">
    <cfRule type="containsText" dxfId="5" priority="8" operator="containsText" text="TU">
      <formula>NOT(ISERROR(SEARCH(("TU"),(G1))))</formula>
    </cfRule>
  </conditionalFormatting>
  <conditionalFormatting sqref="G1:G1002">
    <cfRule type="containsText" dxfId="6" priority="9" operator="containsText" text="Mz">
      <formula>NOT(ISERROR(SEARCH(("Mz"),(G1))))</formula>
    </cfRule>
  </conditionalFormatting>
  <conditionalFormatting sqref="G1:G1002">
    <cfRule type="containsText" dxfId="7" priority="10" operator="containsText" text="UG2">
      <formula>NOT(ISERROR(SEARCH(("UG2"),(G1))))</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0.38"/>
    <col customWidth="1" min="10" max="15" width="20.38"/>
    <col customWidth="1" min="16" max="16" width="47.75"/>
  </cols>
  <sheetData>
    <row r="1">
      <c r="A1" s="1" t="s">
        <v>0</v>
      </c>
      <c r="B1" s="3" t="s">
        <v>2</v>
      </c>
      <c r="C1" s="1" t="s">
        <v>3</v>
      </c>
      <c r="D1" s="1" t="s">
        <v>4</v>
      </c>
      <c r="E1" s="2" t="s">
        <v>5</v>
      </c>
      <c r="F1" s="1" t="s">
        <v>7</v>
      </c>
      <c r="G1" s="2" t="s">
        <v>8</v>
      </c>
      <c r="H1" s="2" t="s">
        <v>9</v>
      </c>
      <c r="I1" s="2" t="s">
        <v>10</v>
      </c>
      <c r="J1" s="3" t="s">
        <v>11</v>
      </c>
      <c r="K1" s="3" t="s">
        <v>12</v>
      </c>
      <c r="L1" s="3" t="s">
        <v>13</v>
      </c>
      <c r="M1" s="2" t="s">
        <v>14</v>
      </c>
      <c r="N1" s="3" t="s">
        <v>15</v>
      </c>
      <c r="O1" s="2" t="s">
        <v>16</v>
      </c>
      <c r="P1" s="1" t="s">
        <v>17</v>
      </c>
      <c r="Q1" s="1" t="s">
        <v>18</v>
      </c>
      <c r="R1" s="2" t="s">
        <v>19</v>
      </c>
      <c r="S1" s="1" t="s">
        <v>20</v>
      </c>
      <c r="T1" s="2" t="s">
        <v>21</v>
      </c>
      <c r="U1" s="2" t="s">
        <v>22</v>
      </c>
      <c r="V1" s="1" t="s">
        <v>23</v>
      </c>
      <c r="W1" s="6"/>
      <c r="X1" s="1" t="s">
        <v>24</v>
      </c>
      <c r="Y1" s="6"/>
      <c r="Z1" s="1" t="s">
        <v>26</v>
      </c>
      <c r="AA1" s="6"/>
      <c r="AB1" s="1" t="s">
        <v>28</v>
      </c>
      <c r="AC1" s="6"/>
      <c r="AD1" s="2" t="s">
        <v>29</v>
      </c>
      <c r="AE1" s="2"/>
      <c r="AF1" s="2" t="s">
        <v>30</v>
      </c>
      <c r="AG1" s="1"/>
      <c r="AH1" s="1" t="s">
        <v>31</v>
      </c>
      <c r="AI1" s="6"/>
      <c r="AJ1" s="1" t="s">
        <v>32</v>
      </c>
      <c r="AK1" s="6"/>
      <c r="AL1" s="6"/>
      <c r="AM1" s="8"/>
      <c r="AN1" s="8"/>
    </row>
    <row r="2">
      <c r="A2" s="9" t="s">
        <v>38</v>
      </c>
      <c r="B2" s="3">
        <f t="shared" ref="B2:B19" si="1">N2-846.4732829-86</f>
        <v>-683.3937535</v>
      </c>
      <c r="C2" s="10">
        <v>-25.2254</v>
      </c>
      <c r="D2" s="10">
        <v>30.11481</v>
      </c>
      <c r="E2" s="10">
        <v>1959.887</v>
      </c>
      <c r="F2" s="9" t="s">
        <v>43</v>
      </c>
      <c r="G2" s="11" t="s">
        <v>41</v>
      </c>
      <c r="H2" s="9" t="s">
        <v>45</v>
      </c>
      <c r="I2" s="9" t="s">
        <v>45</v>
      </c>
      <c r="J2" s="3" t="str">
        <f t="shared" ref="J2:J19" si="2">IF(((((-25.166768+25.233267)/(30.008173-30.128812))*(D2-30.128812))-25.233267)&lt;C2,"North","South")</f>
        <v>North</v>
      </c>
      <c r="K2" s="3" t="s">
        <v>47</v>
      </c>
      <c r="L2" s="3">
        <v>1013.31002598508</v>
      </c>
      <c r="M2" s="1">
        <f t="shared" ref="M2:M19" si="3">((E2-2150)*tan(15*(PI()/180)))+L2</f>
        <v>962.3694012</v>
      </c>
      <c r="N2" s="3">
        <f t="shared" ref="N2:N19" si="4">M2*sin(15*PI()/180)</f>
        <v>249.0795294</v>
      </c>
      <c r="O2" s="8"/>
      <c r="P2" s="8"/>
      <c r="Q2" s="8"/>
      <c r="R2" s="10">
        <v>235.0</v>
      </c>
      <c r="S2" s="10">
        <v>30.0</v>
      </c>
      <c r="T2" s="10">
        <f t="shared" ref="T2:T37" si="5">R2-90</f>
        <v>145</v>
      </c>
      <c r="U2" s="12" t="s">
        <v>55</v>
      </c>
      <c r="V2" s="8"/>
      <c r="W2" s="8"/>
      <c r="X2" s="8"/>
      <c r="Y2" s="8"/>
      <c r="Z2" s="8"/>
      <c r="AA2" s="8"/>
      <c r="AB2" s="8"/>
      <c r="AC2" s="8"/>
      <c r="AD2" s="8"/>
      <c r="AE2" s="8"/>
      <c r="AF2" s="8"/>
      <c r="AG2" s="8"/>
      <c r="AH2" s="8"/>
      <c r="AI2" s="8"/>
      <c r="AJ2" s="8"/>
      <c r="AK2" s="8"/>
      <c r="AL2" s="8"/>
      <c r="AM2" s="6"/>
      <c r="AN2" s="6"/>
    </row>
    <row r="3">
      <c r="A3" s="9" t="s">
        <v>59</v>
      </c>
      <c r="B3" s="3">
        <f t="shared" si="1"/>
        <v>-674.0088166</v>
      </c>
      <c r="C3" s="10">
        <v>-25.2259</v>
      </c>
      <c r="D3" s="10">
        <v>30.1139</v>
      </c>
      <c r="E3" s="10">
        <v>1929.36</v>
      </c>
      <c r="F3" s="9" t="s">
        <v>60</v>
      </c>
      <c r="G3" s="11" t="s">
        <v>41</v>
      </c>
      <c r="H3" s="9" t="s">
        <v>45</v>
      </c>
      <c r="I3" s="9" t="s">
        <v>45</v>
      </c>
      <c r="J3" s="3" t="str">
        <f t="shared" si="2"/>
        <v>South</v>
      </c>
      <c r="K3" s="3" t="s">
        <v>63</v>
      </c>
      <c r="L3" s="3">
        <v>1057.750322443</v>
      </c>
      <c r="M3" s="1">
        <f t="shared" si="3"/>
        <v>998.6300126</v>
      </c>
      <c r="N3" s="3">
        <f t="shared" si="4"/>
        <v>258.4644663</v>
      </c>
      <c r="O3" s="9"/>
      <c r="P3" s="9" t="s">
        <v>66</v>
      </c>
      <c r="Q3" s="8"/>
      <c r="R3" s="10">
        <v>210.0</v>
      </c>
      <c r="S3" s="10">
        <v>30.0</v>
      </c>
      <c r="T3" s="10">
        <f t="shared" si="5"/>
        <v>120</v>
      </c>
      <c r="U3" s="12" t="s">
        <v>55</v>
      </c>
      <c r="V3" s="8"/>
      <c r="W3" s="8"/>
      <c r="X3" s="8"/>
      <c r="Y3" s="8"/>
      <c r="Z3" s="8"/>
      <c r="AA3" s="8"/>
      <c r="AB3" s="8"/>
      <c r="AC3" s="8"/>
      <c r="AD3" s="8"/>
      <c r="AE3" s="8"/>
      <c r="AF3" s="8"/>
      <c r="AG3" s="8"/>
      <c r="AH3" s="8"/>
      <c r="AI3" s="8"/>
      <c r="AJ3" s="8"/>
      <c r="AK3" s="8"/>
      <c r="AL3" s="8"/>
      <c r="AM3" s="6"/>
      <c r="AN3" s="6"/>
    </row>
    <row r="4">
      <c r="A4" s="13" t="s">
        <v>69</v>
      </c>
      <c r="B4" s="3">
        <f t="shared" si="1"/>
        <v>-551.8870811</v>
      </c>
      <c r="C4" s="14">
        <v>-25.237</v>
      </c>
      <c r="D4" s="14">
        <v>30.09985</v>
      </c>
      <c r="E4" s="14">
        <v>1923.735</v>
      </c>
      <c r="F4" s="13" t="s">
        <v>71</v>
      </c>
      <c r="G4" s="15" t="s">
        <v>41</v>
      </c>
      <c r="H4" s="13" t="s">
        <v>72</v>
      </c>
      <c r="I4" s="15" t="s">
        <v>73</v>
      </c>
      <c r="J4" s="3" t="str">
        <f t="shared" si="2"/>
        <v>South</v>
      </c>
      <c r="K4" s="3" t="s">
        <v>75</v>
      </c>
      <c r="L4" s="3">
        <v>1531.09968965563</v>
      </c>
      <c r="M4" s="1">
        <f t="shared" si="3"/>
        <v>1470.472166</v>
      </c>
      <c r="N4" s="3">
        <f t="shared" si="4"/>
        <v>380.5862018</v>
      </c>
      <c r="O4" s="13" t="s">
        <v>76</v>
      </c>
      <c r="P4" s="9" t="s">
        <v>77</v>
      </c>
      <c r="Q4" s="10">
        <v>67.0</v>
      </c>
      <c r="R4" s="10">
        <v>310.0</v>
      </c>
      <c r="S4" s="10">
        <v>25.0</v>
      </c>
      <c r="T4" s="10">
        <f t="shared" si="5"/>
        <v>220</v>
      </c>
      <c r="U4" s="16" t="s">
        <v>79</v>
      </c>
      <c r="V4" s="10">
        <v>70.0</v>
      </c>
      <c r="W4" s="9" t="s">
        <v>81</v>
      </c>
      <c r="X4" s="8"/>
      <c r="Y4" s="8"/>
      <c r="Z4" s="8"/>
      <c r="AA4" s="8"/>
      <c r="AB4" s="8"/>
      <c r="AC4" s="8"/>
      <c r="AD4" s="8"/>
      <c r="AE4" s="8"/>
      <c r="AF4" s="10">
        <v>15.0</v>
      </c>
      <c r="AG4" s="8"/>
      <c r="AH4" s="9" t="s">
        <v>82</v>
      </c>
      <c r="AI4" s="8"/>
      <c r="AJ4" s="10">
        <v>1.0</v>
      </c>
      <c r="AK4" s="8"/>
      <c r="AL4" s="8"/>
      <c r="AM4" s="6"/>
      <c r="AN4" s="6"/>
    </row>
    <row r="5">
      <c r="A5" s="9" t="s">
        <v>83</v>
      </c>
      <c r="B5" s="3">
        <f t="shared" si="1"/>
        <v>-440.3743933</v>
      </c>
      <c r="C5" s="10">
        <v>-25.2182</v>
      </c>
      <c r="D5" s="10">
        <v>30.10918</v>
      </c>
      <c r="E5" s="10">
        <v>2019.622</v>
      </c>
      <c r="F5" s="9" t="s">
        <v>85</v>
      </c>
      <c r="G5" s="11" t="s">
        <v>41</v>
      </c>
      <c r="H5" s="9" t="s">
        <v>45</v>
      </c>
      <c r="I5" s="9" t="s">
        <v>45</v>
      </c>
      <c r="J5" s="3" t="str">
        <f t="shared" si="2"/>
        <v>North</v>
      </c>
      <c r="K5" s="3" t="s">
        <v>87</v>
      </c>
      <c r="L5" s="3">
        <v>1936.25878610549</v>
      </c>
      <c r="M5" s="1">
        <f t="shared" si="3"/>
        <v>1901.324106</v>
      </c>
      <c r="N5" s="3">
        <f t="shared" si="4"/>
        <v>492.0988896</v>
      </c>
      <c r="O5" s="8"/>
      <c r="P5" s="17" t="s">
        <v>88</v>
      </c>
      <c r="Q5" s="10">
        <v>20.0</v>
      </c>
      <c r="R5" s="10">
        <v>265.0</v>
      </c>
      <c r="S5" s="10">
        <v>25.0</v>
      </c>
      <c r="T5" s="10">
        <f t="shared" si="5"/>
        <v>175</v>
      </c>
      <c r="U5" s="12" t="s">
        <v>55</v>
      </c>
      <c r="V5" s="8"/>
      <c r="W5" s="8"/>
      <c r="X5" s="8"/>
      <c r="Y5" s="8"/>
      <c r="Z5" s="8"/>
      <c r="AA5" s="8"/>
      <c r="AB5" s="8"/>
      <c r="AC5" s="8"/>
      <c r="AD5" s="8"/>
      <c r="AE5" s="8"/>
      <c r="AF5" s="8"/>
      <c r="AG5" s="8"/>
      <c r="AH5" s="8"/>
      <c r="AI5" s="8"/>
      <c r="AJ5" s="8"/>
      <c r="AK5" s="8"/>
      <c r="AL5" s="8"/>
      <c r="AM5" s="6"/>
      <c r="AN5" s="6"/>
    </row>
    <row r="6">
      <c r="A6" s="9" t="s">
        <v>90</v>
      </c>
      <c r="B6" s="3">
        <f t="shared" si="1"/>
        <v>-425.9582355</v>
      </c>
      <c r="C6" s="10">
        <v>-25.2167</v>
      </c>
      <c r="D6" s="10">
        <v>30.10968</v>
      </c>
      <c r="E6" s="10">
        <v>2030.752</v>
      </c>
      <c r="F6" s="9" t="s">
        <v>91</v>
      </c>
      <c r="G6" s="11" t="s">
        <v>41</v>
      </c>
      <c r="H6" s="9" t="s">
        <v>45</v>
      </c>
      <c r="I6" s="9" t="s">
        <v>45</v>
      </c>
      <c r="J6" s="3" t="str">
        <f t="shared" si="2"/>
        <v>North</v>
      </c>
      <c r="K6" s="3" t="s">
        <v>93</v>
      </c>
      <c r="L6" s="3">
        <v>1988.97626823782</v>
      </c>
      <c r="M6" s="1">
        <f t="shared" si="3"/>
        <v>1957.023863</v>
      </c>
      <c r="N6" s="3">
        <f t="shared" si="4"/>
        <v>506.5150474</v>
      </c>
      <c r="O6" s="8"/>
      <c r="P6" s="19" t="s">
        <v>95</v>
      </c>
      <c r="Q6" s="8"/>
      <c r="R6" s="10">
        <v>315.0</v>
      </c>
      <c r="S6" s="10">
        <v>25.0</v>
      </c>
      <c r="T6" s="10">
        <f t="shared" si="5"/>
        <v>225</v>
      </c>
      <c r="U6" s="12" t="s">
        <v>55</v>
      </c>
      <c r="V6" s="8"/>
      <c r="W6" s="8"/>
      <c r="X6" s="8"/>
      <c r="Y6" s="8"/>
      <c r="Z6" s="8"/>
      <c r="AA6" s="8"/>
      <c r="AB6" s="8"/>
      <c r="AC6" s="8"/>
      <c r="AD6" s="8"/>
      <c r="AE6" s="8"/>
      <c r="AF6" s="8"/>
      <c r="AG6" s="8"/>
      <c r="AH6" s="8"/>
      <c r="AI6" s="8"/>
      <c r="AJ6" s="8"/>
      <c r="AK6" s="8"/>
      <c r="AL6" s="8"/>
      <c r="AM6" s="6"/>
      <c r="AN6" s="6"/>
    </row>
    <row r="7">
      <c r="A7" s="13" t="s">
        <v>98</v>
      </c>
      <c r="B7" s="3">
        <f t="shared" si="1"/>
        <v>-422.2966196</v>
      </c>
      <c r="C7" s="14">
        <v>-25.2415</v>
      </c>
      <c r="D7" s="14">
        <v>30.09048</v>
      </c>
      <c r="E7" s="14">
        <v>1932.263</v>
      </c>
      <c r="F7" s="13" t="s">
        <v>100</v>
      </c>
      <c r="G7" s="15" t="s">
        <v>41</v>
      </c>
      <c r="H7" s="13" t="s">
        <v>102</v>
      </c>
      <c r="I7" s="15" t="s">
        <v>73</v>
      </c>
      <c r="J7" s="3" t="str">
        <f t="shared" si="2"/>
        <v>South</v>
      </c>
      <c r="K7" s="3" t="s">
        <v>104</v>
      </c>
      <c r="L7" s="3">
        <v>2029.51371370143</v>
      </c>
      <c r="M7" s="1">
        <f t="shared" si="3"/>
        <v>1971.17126</v>
      </c>
      <c r="N7" s="3">
        <f t="shared" si="4"/>
        <v>510.1766633</v>
      </c>
      <c r="O7" s="13" t="s">
        <v>106</v>
      </c>
      <c r="P7" s="9" t="s">
        <v>107</v>
      </c>
      <c r="Q7" s="10">
        <v>52.0</v>
      </c>
      <c r="R7" s="10">
        <v>330.0</v>
      </c>
      <c r="S7" s="10">
        <v>25.0</v>
      </c>
      <c r="T7" s="10">
        <f t="shared" si="5"/>
        <v>240</v>
      </c>
      <c r="U7" s="12" t="s">
        <v>55</v>
      </c>
      <c r="V7" s="8"/>
      <c r="W7" s="8"/>
      <c r="X7" s="8"/>
      <c r="Y7" s="8"/>
      <c r="Z7" s="8"/>
      <c r="AA7" s="8"/>
      <c r="AB7" s="8"/>
      <c r="AC7" s="8"/>
      <c r="AD7" s="8"/>
      <c r="AE7" s="8"/>
      <c r="AF7" s="8"/>
      <c r="AG7" s="8"/>
      <c r="AH7" s="8"/>
      <c r="AI7" s="8"/>
      <c r="AJ7" s="8"/>
      <c r="AK7" s="8"/>
      <c r="AL7" s="8"/>
      <c r="AM7" s="6"/>
      <c r="AN7" s="6"/>
    </row>
    <row r="8">
      <c r="A8" s="13" t="s">
        <v>110</v>
      </c>
      <c r="B8" s="3">
        <f t="shared" si="1"/>
        <v>-415.3918595</v>
      </c>
      <c r="C8" s="14">
        <v>-25.2421</v>
      </c>
      <c r="D8" s="14">
        <v>30.08966</v>
      </c>
      <c r="E8" s="14">
        <v>1917.485</v>
      </c>
      <c r="F8" s="13" t="s">
        <v>113</v>
      </c>
      <c r="G8" s="11" t="s">
        <v>41</v>
      </c>
      <c r="H8" s="9" t="s">
        <v>45</v>
      </c>
      <c r="I8" s="9" t="s">
        <v>45</v>
      </c>
      <c r="J8" s="3" t="str">
        <f t="shared" si="2"/>
        <v>South</v>
      </c>
      <c r="K8" s="3" t="s">
        <v>115</v>
      </c>
      <c r="L8" s="3">
        <v>2060.1514111215</v>
      </c>
      <c r="M8" s="1">
        <f t="shared" si="3"/>
        <v>1997.849205</v>
      </c>
      <c r="N8" s="3">
        <f t="shared" si="4"/>
        <v>517.0814234</v>
      </c>
      <c r="O8" s="8"/>
      <c r="P8" s="8"/>
      <c r="Q8" s="8"/>
      <c r="R8" s="10">
        <v>325.0</v>
      </c>
      <c r="S8" s="10">
        <v>25.0</v>
      </c>
      <c r="T8" s="10">
        <f t="shared" si="5"/>
        <v>235</v>
      </c>
      <c r="U8" s="12" t="s">
        <v>55</v>
      </c>
      <c r="V8" s="8"/>
      <c r="W8" s="8"/>
      <c r="X8" s="8"/>
      <c r="Y8" s="8"/>
      <c r="Z8" s="8"/>
      <c r="AA8" s="8"/>
      <c r="AB8" s="8"/>
      <c r="AC8" s="8"/>
      <c r="AD8" s="8"/>
      <c r="AE8" s="8"/>
      <c r="AF8" s="8"/>
      <c r="AG8" s="8"/>
      <c r="AH8" s="8"/>
      <c r="AI8" s="8"/>
      <c r="AJ8" s="8"/>
      <c r="AK8" s="8"/>
      <c r="AL8" s="8"/>
      <c r="AM8" s="6"/>
      <c r="AN8" s="6"/>
    </row>
    <row r="9">
      <c r="A9" s="13" t="s">
        <v>121</v>
      </c>
      <c r="B9" s="3">
        <f t="shared" si="1"/>
        <v>-348.3738487</v>
      </c>
      <c r="C9" s="14">
        <v>-25.2513</v>
      </c>
      <c r="D9" s="14">
        <v>30.07965</v>
      </c>
      <c r="E9" s="14">
        <v>1928.718</v>
      </c>
      <c r="F9" s="13" t="s">
        <v>123</v>
      </c>
      <c r="G9" s="15" t="s">
        <v>41</v>
      </c>
      <c r="H9" s="13" t="s">
        <v>45</v>
      </c>
      <c r="I9" s="13" t="s">
        <v>45</v>
      </c>
      <c r="J9" s="3" t="str">
        <f t="shared" si="2"/>
        <v>South</v>
      </c>
      <c r="K9" s="3" t="s">
        <v>125</v>
      </c>
      <c r="L9" s="3">
        <v>2316.07924751841</v>
      </c>
      <c r="M9" s="1">
        <f t="shared" si="3"/>
        <v>2256.786914</v>
      </c>
      <c r="N9" s="3">
        <f t="shared" si="4"/>
        <v>584.0994342</v>
      </c>
      <c r="O9" s="13"/>
      <c r="P9" s="8"/>
      <c r="Q9" s="8"/>
      <c r="R9" s="10">
        <v>270.0</v>
      </c>
      <c r="S9" s="10">
        <v>15.0</v>
      </c>
      <c r="T9" s="10">
        <f t="shared" si="5"/>
        <v>180</v>
      </c>
      <c r="U9" s="12" t="s">
        <v>55</v>
      </c>
      <c r="V9" s="8"/>
      <c r="W9" s="8"/>
      <c r="X9" s="8"/>
      <c r="Y9" s="8"/>
      <c r="Z9" s="8"/>
      <c r="AA9" s="8"/>
      <c r="AB9" s="8"/>
      <c r="AC9" s="8"/>
      <c r="AD9" s="8"/>
      <c r="AE9" s="8"/>
      <c r="AF9" s="8"/>
      <c r="AG9" s="8"/>
      <c r="AH9" s="8"/>
      <c r="AI9" s="8"/>
      <c r="AJ9" s="8"/>
      <c r="AK9" s="8"/>
      <c r="AL9" s="8"/>
      <c r="AM9" s="6"/>
      <c r="AN9" s="6"/>
    </row>
    <row r="10">
      <c r="A10" s="13" t="s">
        <v>133</v>
      </c>
      <c r="B10" s="3">
        <f t="shared" si="1"/>
        <v>-299.1116486</v>
      </c>
      <c r="C10" s="14">
        <v>-25.2188</v>
      </c>
      <c r="D10" s="14">
        <v>30.10195</v>
      </c>
      <c r="E10" s="14">
        <v>1946.436</v>
      </c>
      <c r="F10" s="13" t="s">
        <v>134</v>
      </c>
      <c r="G10" s="13" t="s">
        <v>41</v>
      </c>
      <c r="H10" s="13" t="s">
        <v>41</v>
      </c>
      <c r="I10" s="15" t="s">
        <v>42</v>
      </c>
      <c r="J10" s="3" t="str">
        <f t="shared" si="2"/>
        <v>South</v>
      </c>
      <c r="K10" s="3" t="s">
        <v>137</v>
      </c>
      <c r="L10" s="3">
        <v>2501.66624921082</v>
      </c>
      <c r="M10" s="1">
        <f t="shared" si="3"/>
        <v>2447.12144</v>
      </c>
      <c r="N10" s="3">
        <f t="shared" si="4"/>
        <v>633.3616343</v>
      </c>
      <c r="O10" s="13"/>
      <c r="P10" s="11" t="s">
        <v>139</v>
      </c>
      <c r="Q10" s="10">
        <v>57.0</v>
      </c>
      <c r="R10" s="10">
        <v>235.0</v>
      </c>
      <c r="S10" s="10">
        <v>25.0</v>
      </c>
      <c r="T10" s="10">
        <f t="shared" si="5"/>
        <v>145</v>
      </c>
      <c r="U10" s="12" t="s">
        <v>139</v>
      </c>
      <c r="V10" s="8"/>
      <c r="W10" s="8"/>
      <c r="X10" s="8"/>
      <c r="Y10" s="8"/>
      <c r="Z10" s="8"/>
      <c r="AA10" s="8"/>
      <c r="AB10" s="8"/>
      <c r="AC10" s="8"/>
      <c r="AD10" s="8"/>
      <c r="AE10" s="8"/>
      <c r="AF10" s="8"/>
      <c r="AG10" s="8"/>
      <c r="AH10" s="8"/>
      <c r="AI10" s="8"/>
      <c r="AJ10" s="8"/>
      <c r="AK10" s="8"/>
      <c r="AL10" s="8"/>
      <c r="AM10" s="6"/>
      <c r="AN10" s="6"/>
    </row>
    <row r="11">
      <c r="A11" s="13" t="s">
        <v>142</v>
      </c>
      <c r="B11" s="3">
        <f t="shared" si="1"/>
        <v>-243.7485223</v>
      </c>
      <c r="C11" s="14">
        <v>-25.2474</v>
      </c>
      <c r="D11" s="14">
        <v>30.07764</v>
      </c>
      <c r="E11" s="14">
        <v>1895.229</v>
      </c>
      <c r="F11" s="13" t="s">
        <v>145</v>
      </c>
      <c r="G11" s="15" t="s">
        <v>41</v>
      </c>
      <c r="H11" s="13" t="s">
        <v>45</v>
      </c>
      <c r="I11" s="13" t="s">
        <v>45</v>
      </c>
      <c r="J11" s="3" t="str">
        <f t="shared" si="2"/>
        <v>South</v>
      </c>
      <c r="K11" s="3" t="s">
        <v>146</v>
      </c>
      <c r="L11" s="3">
        <v>2729.2938174519</v>
      </c>
      <c r="M11" s="1">
        <f t="shared" si="3"/>
        <v>2661.028134</v>
      </c>
      <c r="N11" s="3">
        <f t="shared" si="4"/>
        <v>688.7247606</v>
      </c>
      <c r="O11" s="13"/>
      <c r="P11" s="8"/>
      <c r="Q11" s="8"/>
      <c r="R11" s="10">
        <v>320.0</v>
      </c>
      <c r="S11" s="10">
        <v>35.0</v>
      </c>
      <c r="T11" s="10">
        <f t="shared" si="5"/>
        <v>230</v>
      </c>
      <c r="U11" s="12" t="s">
        <v>55</v>
      </c>
      <c r="V11" s="8"/>
      <c r="W11" s="8"/>
      <c r="X11" s="8"/>
      <c r="Y11" s="8"/>
      <c r="Z11" s="8"/>
      <c r="AA11" s="8"/>
      <c r="AB11" s="8"/>
      <c r="AC11" s="8"/>
      <c r="AD11" s="8"/>
      <c r="AE11" s="8"/>
      <c r="AF11" s="8"/>
      <c r="AG11" s="8"/>
      <c r="AH11" s="8"/>
      <c r="AI11" s="8"/>
      <c r="AJ11" s="8"/>
      <c r="AK11" s="8"/>
      <c r="AL11" s="8"/>
      <c r="AM11" s="6"/>
      <c r="AN11" s="6"/>
    </row>
    <row r="12">
      <c r="A12" s="13" t="s">
        <v>152</v>
      </c>
      <c r="B12" s="3">
        <f t="shared" si="1"/>
        <v>-217.9652868</v>
      </c>
      <c r="C12" s="14">
        <v>-25.2135</v>
      </c>
      <c r="D12" s="14">
        <v>30.10206</v>
      </c>
      <c r="E12" s="14">
        <v>1905.534</v>
      </c>
      <c r="F12" s="13" t="s">
        <v>154</v>
      </c>
      <c r="G12" s="8" t="s">
        <v>155</v>
      </c>
      <c r="H12" s="8" t="s">
        <v>155</v>
      </c>
      <c r="I12" s="8" t="s">
        <v>157</v>
      </c>
      <c r="J12" s="3" t="str">
        <f t="shared" si="2"/>
        <v>North</v>
      </c>
      <c r="K12" s="3" t="s">
        <v>159</v>
      </c>
      <c r="L12" s="3">
        <v>2826.15137346887</v>
      </c>
      <c r="M12" s="1">
        <f t="shared" si="3"/>
        <v>2760.646906</v>
      </c>
      <c r="N12" s="3">
        <f t="shared" si="4"/>
        <v>714.5079961</v>
      </c>
      <c r="O12" s="8" t="s">
        <v>162</v>
      </c>
      <c r="P12" s="8" t="s">
        <v>163</v>
      </c>
      <c r="Q12" s="20">
        <v>73.0</v>
      </c>
      <c r="R12" s="20">
        <v>270.0</v>
      </c>
      <c r="S12" s="20">
        <v>10.0</v>
      </c>
      <c r="T12" s="10">
        <f t="shared" si="5"/>
        <v>180</v>
      </c>
      <c r="U12" s="12" t="s">
        <v>55</v>
      </c>
      <c r="V12" s="8"/>
      <c r="W12" s="8"/>
      <c r="X12" s="8"/>
      <c r="Y12" s="8"/>
      <c r="Z12" s="8"/>
      <c r="AA12" s="8"/>
      <c r="AB12" s="8"/>
      <c r="AC12" s="8"/>
      <c r="AD12" s="8"/>
      <c r="AE12" s="8"/>
      <c r="AF12" s="8"/>
      <c r="AG12" s="8"/>
      <c r="AH12" s="8"/>
      <c r="AI12" s="8"/>
      <c r="AJ12" s="10">
        <v>0.0</v>
      </c>
      <c r="AK12" s="8"/>
      <c r="AL12" s="8"/>
      <c r="AM12" s="6"/>
      <c r="AN12" s="6"/>
    </row>
    <row r="13">
      <c r="A13" s="13" t="s">
        <v>168</v>
      </c>
      <c r="B13" s="3">
        <f t="shared" si="1"/>
        <v>-197.2570761</v>
      </c>
      <c r="C13" s="14">
        <v>-25.2122</v>
      </c>
      <c r="D13" s="14">
        <v>30.10208</v>
      </c>
      <c r="E13" s="14">
        <v>1904.925</v>
      </c>
      <c r="F13" s="13" t="s">
        <v>171</v>
      </c>
      <c r="G13" s="8" t="s">
        <v>155</v>
      </c>
      <c r="H13" s="8" t="s">
        <v>155</v>
      </c>
      <c r="I13" s="8" t="s">
        <v>157</v>
      </c>
      <c r="J13" s="3" t="str">
        <f t="shared" si="2"/>
        <v>North</v>
      </c>
      <c r="K13" s="3" t="s">
        <v>175</v>
      </c>
      <c r="L13" s="3">
        <v>2906.32493647349</v>
      </c>
      <c r="M13" s="1">
        <f t="shared" si="3"/>
        <v>2840.657288</v>
      </c>
      <c r="N13" s="3">
        <f t="shared" si="4"/>
        <v>735.2162068</v>
      </c>
      <c r="O13" s="8" t="s">
        <v>162</v>
      </c>
      <c r="P13" s="8" t="s">
        <v>182</v>
      </c>
      <c r="Q13" s="8" t="s">
        <v>183</v>
      </c>
      <c r="R13" s="20">
        <v>320.0</v>
      </c>
      <c r="S13" s="20">
        <v>15.0</v>
      </c>
      <c r="T13" s="10">
        <f t="shared" si="5"/>
        <v>230</v>
      </c>
      <c r="U13" s="12" t="s">
        <v>139</v>
      </c>
      <c r="V13" s="8"/>
      <c r="W13" s="8"/>
      <c r="X13" s="8"/>
      <c r="Y13" s="8"/>
      <c r="Z13" s="8"/>
      <c r="AA13" s="8"/>
      <c r="AB13" s="8"/>
      <c r="AC13" s="8"/>
      <c r="AD13" s="8"/>
      <c r="AE13" s="8"/>
      <c r="AF13" s="8"/>
      <c r="AG13" s="8"/>
      <c r="AH13" s="8"/>
      <c r="AI13" s="8"/>
      <c r="AJ13" s="10">
        <v>1.0</v>
      </c>
      <c r="AK13" s="8"/>
      <c r="AL13" s="8"/>
      <c r="AM13" s="6"/>
      <c r="AN13" s="6"/>
    </row>
    <row r="14">
      <c r="A14" s="13" t="s">
        <v>187</v>
      </c>
      <c r="B14" s="3">
        <f t="shared" si="1"/>
        <v>-159.7915933</v>
      </c>
      <c r="C14" s="14">
        <v>-25.2187</v>
      </c>
      <c r="D14" s="14">
        <v>30.09537</v>
      </c>
      <c r="E14" s="14">
        <v>1883.122</v>
      </c>
      <c r="F14" s="13" t="s">
        <v>189</v>
      </c>
      <c r="G14" s="13" t="s">
        <v>41</v>
      </c>
      <c r="H14" s="13" t="s">
        <v>41</v>
      </c>
      <c r="I14" s="15" t="s">
        <v>42</v>
      </c>
      <c r="J14" s="3" t="str">
        <f t="shared" si="2"/>
        <v>South</v>
      </c>
      <c r="K14" s="3" t="s">
        <v>191</v>
      </c>
      <c r="L14" s="3">
        <v>3056.92254247936</v>
      </c>
      <c r="M14" s="1">
        <f t="shared" si="3"/>
        <v>2985.412798</v>
      </c>
      <c r="N14" s="3">
        <f t="shared" si="4"/>
        <v>772.6816896</v>
      </c>
      <c r="O14" s="13"/>
      <c r="P14" s="8"/>
      <c r="Q14" s="8"/>
      <c r="R14" s="10">
        <v>215.0</v>
      </c>
      <c r="S14" s="10">
        <v>25.0</v>
      </c>
      <c r="T14" s="10">
        <f t="shared" si="5"/>
        <v>125</v>
      </c>
      <c r="U14" s="12" t="s">
        <v>139</v>
      </c>
      <c r="V14" s="8"/>
      <c r="W14" s="8"/>
      <c r="X14" s="8"/>
      <c r="Y14" s="8"/>
      <c r="Z14" s="8"/>
      <c r="AA14" s="8"/>
      <c r="AB14" s="8"/>
      <c r="AC14" s="8"/>
      <c r="AD14" s="8"/>
      <c r="AE14" s="8"/>
      <c r="AF14" s="8"/>
      <c r="AG14" s="8"/>
      <c r="AH14" s="8"/>
      <c r="AI14" s="8"/>
      <c r="AJ14" s="8"/>
      <c r="AK14" s="8"/>
      <c r="AL14" s="8"/>
      <c r="AM14" s="8"/>
      <c r="AN14" s="8"/>
    </row>
    <row r="15">
      <c r="A15" s="13" t="s">
        <v>198</v>
      </c>
      <c r="B15" s="3">
        <f t="shared" si="1"/>
        <v>-144.9437703</v>
      </c>
      <c r="C15" s="14">
        <v>-25.215</v>
      </c>
      <c r="D15" s="14">
        <v>30.09749</v>
      </c>
      <c r="E15" s="14">
        <v>1887.978</v>
      </c>
      <c r="F15" s="13" t="s">
        <v>199</v>
      </c>
      <c r="G15" s="13" t="s">
        <v>155</v>
      </c>
      <c r="H15" s="13" t="s">
        <v>200</v>
      </c>
      <c r="I15" s="13" t="s">
        <v>201</v>
      </c>
      <c r="J15" s="3" t="str">
        <f t="shared" si="2"/>
        <v>North</v>
      </c>
      <c r="K15" s="3" t="s">
        <v>202</v>
      </c>
      <c r="L15" s="3">
        <v>3112.98896420066</v>
      </c>
      <c r="M15" s="1">
        <f t="shared" si="3"/>
        <v>3042.780381</v>
      </c>
      <c r="N15" s="3">
        <f t="shared" si="4"/>
        <v>787.5295126</v>
      </c>
      <c r="O15" s="13" t="s">
        <v>206</v>
      </c>
      <c r="P15" s="8"/>
      <c r="Q15" s="9"/>
      <c r="R15" s="10">
        <v>210.0</v>
      </c>
      <c r="S15" s="10">
        <v>5.0</v>
      </c>
      <c r="T15" s="10">
        <f t="shared" si="5"/>
        <v>120</v>
      </c>
      <c r="U15" s="12" t="s">
        <v>139</v>
      </c>
      <c r="V15" s="8"/>
      <c r="W15" s="8"/>
      <c r="X15" s="8"/>
      <c r="Y15" s="8"/>
      <c r="Z15" s="8"/>
      <c r="AA15" s="8"/>
      <c r="AB15" s="8"/>
      <c r="AC15" s="8"/>
      <c r="AD15" s="8"/>
      <c r="AE15" s="8"/>
      <c r="AF15" s="8"/>
      <c r="AG15" s="8"/>
      <c r="AH15" s="8"/>
      <c r="AI15" s="8"/>
      <c r="AJ15" s="10">
        <v>0.0</v>
      </c>
      <c r="AK15" s="8"/>
      <c r="AL15" s="8"/>
      <c r="AM15" s="8"/>
      <c r="AN15" s="8"/>
    </row>
    <row r="16">
      <c r="A16" s="13" t="s">
        <v>208</v>
      </c>
      <c r="B16" s="3">
        <f t="shared" si="1"/>
        <v>-131.6856156</v>
      </c>
      <c r="C16" s="14">
        <v>-25.2154</v>
      </c>
      <c r="D16" s="14">
        <v>30.09655</v>
      </c>
      <c r="E16" s="14">
        <v>1880.455</v>
      </c>
      <c r="F16" s="13" t="s">
        <v>210</v>
      </c>
      <c r="G16" s="13" t="s">
        <v>155</v>
      </c>
      <c r="H16" s="13" t="s">
        <v>211</v>
      </c>
      <c r="I16" s="13" t="s">
        <v>157</v>
      </c>
      <c r="J16" s="3" t="str">
        <f t="shared" si="2"/>
        <v>North</v>
      </c>
      <c r="K16" s="3" t="s">
        <v>212</v>
      </c>
      <c r="L16" s="3">
        <v>3166.2303219838</v>
      </c>
      <c r="M16" s="1">
        <f t="shared" si="3"/>
        <v>3094.005957</v>
      </c>
      <c r="N16" s="3">
        <f t="shared" si="4"/>
        <v>800.7876673</v>
      </c>
      <c r="O16" s="13" t="s">
        <v>214</v>
      </c>
      <c r="P16" s="8"/>
      <c r="Q16" s="10">
        <v>63.0</v>
      </c>
      <c r="R16" s="10">
        <v>240.0</v>
      </c>
      <c r="S16" s="10">
        <v>10.0</v>
      </c>
      <c r="T16" s="10">
        <f t="shared" si="5"/>
        <v>150</v>
      </c>
      <c r="U16" s="12" t="s">
        <v>139</v>
      </c>
      <c r="V16" s="8"/>
      <c r="W16" s="8"/>
      <c r="X16" s="8"/>
      <c r="Y16" s="8"/>
      <c r="Z16" s="8"/>
      <c r="AA16" s="8"/>
      <c r="AB16" s="8"/>
      <c r="AC16" s="8"/>
      <c r="AD16" s="8"/>
      <c r="AE16" s="8"/>
      <c r="AF16" s="8"/>
      <c r="AG16" s="8"/>
      <c r="AH16" s="8"/>
      <c r="AI16" s="8"/>
      <c r="AJ16" s="8"/>
      <c r="AK16" s="8"/>
      <c r="AL16" s="8"/>
      <c r="AM16" s="8"/>
      <c r="AN16" s="8"/>
    </row>
    <row r="17">
      <c r="A17" s="13" t="s">
        <v>218</v>
      </c>
      <c r="B17" s="3">
        <f t="shared" si="1"/>
        <v>-93.25291596</v>
      </c>
      <c r="C17" s="14">
        <v>-25.2108</v>
      </c>
      <c r="D17" s="14">
        <v>30.0982</v>
      </c>
      <c r="E17" s="14">
        <v>1867.592</v>
      </c>
      <c r="F17" s="13" t="s">
        <v>222</v>
      </c>
      <c r="G17" s="13" t="s">
        <v>155</v>
      </c>
      <c r="H17" s="13" t="s">
        <v>155</v>
      </c>
      <c r="I17" s="13" t="s">
        <v>224</v>
      </c>
      <c r="J17" s="3" t="str">
        <f t="shared" si="2"/>
        <v>North</v>
      </c>
      <c r="K17" s="3" t="s">
        <v>225</v>
      </c>
      <c r="L17" s="3">
        <v>3318.16950104048</v>
      </c>
      <c r="M17" s="1">
        <f t="shared" si="3"/>
        <v>3242.498506</v>
      </c>
      <c r="N17" s="3">
        <f t="shared" si="4"/>
        <v>839.2203669</v>
      </c>
      <c r="O17" s="13" t="s">
        <v>226</v>
      </c>
      <c r="P17" s="8"/>
      <c r="Q17" s="10">
        <v>64.0</v>
      </c>
      <c r="R17" s="10">
        <v>323.0</v>
      </c>
      <c r="S17" s="10">
        <v>16.0</v>
      </c>
      <c r="T17" s="10">
        <f t="shared" si="5"/>
        <v>233</v>
      </c>
      <c r="U17" s="12" t="s">
        <v>139</v>
      </c>
      <c r="V17" s="8"/>
      <c r="W17" s="8"/>
      <c r="X17" s="8"/>
      <c r="Y17" s="8"/>
      <c r="Z17" s="8"/>
      <c r="AA17" s="8"/>
      <c r="AB17" s="8"/>
      <c r="AC17" s="8"/>
      <c r="AD17" s="8"/>
      <c r="AE17" s="8"/>
      <c r="AF17" s="8"/>
      <c r="AG17" s="8"/>
      <c r="AH17" s="8"/>
      <c r="AI17" s="8"/>
      <c r="AJ17" s="8"/>
      <c r="AK17" s="8"/>
      <c r="AL17" s="8"/>
      <c r="AM17" s="8"/>
      <c r="AN17" s="8"/>
    </row>
    <row r="18">
      <c r="A18" s="13" t="s">
        <v>229</v>
      </c>
      <c r="B18" s="3">
        <f t="shared" si="1"/>
        <v>-71.82844294</v>
      </c>
      <c r="C18" s="14">
        <v>-25.2169</v>
      </c>
      <c r="D18" s="14">
        <v>30.09254</v>
      </c>
      <c r="E18" s="14">
        <v>1847.43</v>
      </c>
      <c r="F18" s="13" t="s">
        <v>232</v>
      </c>
      <c r="G18" s="13" t="s">
        <v>155</v>
      </c>
      <c r="H18" s="13" t="s">
        <v>200</v>
      </c>
      <c r="I18" s="13" t="s">
        <v>201</v>
      </c>
      <c r="J18" s="3" t="str">
        <f t="shared" si="2"/>
        <v>South</v>
      </c>
      <c r="K18" s="3" t="s">
        <v>234</v>
      </c>
      <c r="L18" s="3">
        <v>3406.34969988732</v>
      </c>
      <c r="M18" s="1">
        <f t="shared" si="3"/>
        <v>3325.276313</v>
      </c>
      <c r="N18" s="3">
        <f t="shared" si="4"/>
        <v>860.64484</v>
      </c>
      <c r="O18" s="13" t="s">
        <v>236</v>
      </c>
      <c r="P18" s="9" t="s">
        <v>237</v>
      </c>
      <c r="Q18" s="8"/>
      <c r="R18" s="10">
        <v>310.0</v>
      </c>
      <c r="S18" s="10">
        <v>40.0</v>
      </c>
      <c r="T18" s="10">
        <f t="shared" si="5"/>
        <v>220</v>
      </c>
      <c r="U18" s="12" t="s">
        <v>139</v>
      </c>
      <c r="V18" s="8"/>
      <c r="W18" s="8"/>
      <c r="X18" s="8"/>
      <c r="Y18" s="8"/>
      <c r="Z18" s="8"/>
      <c r="AA18" s="8"/>
      <c r="AB18" s="8"/>
      <c r="AC18" s="8"/>
      <c r="AD18" s="8"/>
      <c r="AE18" s="8"/>
      <c r="AF18" s="8"/>
      <c r="AG18" s="8"/>
      <c r="AH18" s="8"/>
      <c r="AI18" s="8"/>
      <c r="AJ18" s="8"/>
      <c r="AK18" s="8"/>
      <c r="AL18" s="8"/>
      <c r="AM18" s="8"/>
      <c r="AN18" s="8"/>
    </row>
    <row r="19">
      <c r="A19" s="13" t="s">
        <v>241</v>
      </c>
      <c r="B19" s="3">
        <f t="shared" si="1"/>
        <v>333.1442536</v>
      </c>
      <c r="C19" s="14">
        <v>-25.1925</v>
      </c>
      <c r="D19" s="14">
        <v>30.09242</v>
      </c>
      <c r="E19" s="14">
        <v>1916.521</v>
      </c>
      <c r="F19" s="13" t="s">
        <v>243</v>
      </c>
      <c r="G19" s="11" t="s">
        <v>245</v>
      </c>
      <c r="H19" s="9" t="s">
        <v>246</v>
      </c>
      <c r="I19" s="9" t="s">
        <v>246</v>
      </c>
      <c r="J19" s="3" t="str">
        <f t="shared" si="2"/>
        <v>North</v>
      </c>
      <c r="K19" s="3" t="s">
        <v>248</v>
      </c>
      <c r="L19" s="3">
        <v>4952.53116815086</v>
      </c>
      <c r="M19" s="1">
        <f t="shared" si="3"/>
        <v>4889.970659</v>
      </c>
      <c r="N19" s="3">
        <f t="shared" si="4"/>
        <v>1265.617536</v>
      </c>
      <c r="O19" s="9" t="s">
        <v>249</v>
      </c>
      <c r="P19" s="8" t="s">
        <v>250</v>
      </c>
      <c r="Q19" s="10">
        <v>115.0</v>
      </c>
      <c r="R19" s="10">
        <v>220.0</v>
      </c>
      <c r="S19" s="10">
        <v>15.0</v>
      </c>
      <c r="T19" s="10">
        <f t="shared" si="5"/>
        <v>130</v>
      </c>
      <c r="U19" s="12" t="s">
        <v>250</v>
      </c>
      <c r="V19" s="8"/>
      <c r="W19" s="8"/>
      <c r="X19" s="8"/>
      <c r="Y19" s="8"/>
      <c r="Z19" s="8"/>
      <c r="AA19" s="8"/>
      <c r="AB19" s="8"/>
      <c r="AC19" s="8"/>
      <c r="AD19" s="8"/>
      <c r="AE19" s="8"/>
      <c r="AF19" s="8"/>
      <c r="AG19" s="8"/>
      <c r="AH19" s="8"/>
      <c r="AI19" s="8"/>
      <c r="AJ19" s="8"/>
      <c r="AK19" s="8"/>
      <c r="AL19" s="8"/>
      <c r="AM19" s="8"/>
      <c r="AN19" s="8"/>
    </row>
    <row r="20">
      <c r="A20" s="13"/>
      <c r="C20" s="14"/>
      <c r="D20" s="14"/>
      <c r="E20" s="14"/>
      <c r="F20" s="13"/>
      <c r="G20" s="11"/>
      <c r="H20" s="9"/>
      <c r="I20" s="9"/>
      <c r="J20" s="3"/>
      <c r="K20" s="3"/>
      <c r="L20" s="3"/>
      <c r="M20" s="1"/>
      <c r="N20" s="3"/>
      <c r="O20" s="9"/>
      <c r="P20" s="8"/>
      <c r="Q20" s="10">
        <v>115.0</v>
      </c>
      <c r="R20" s="10">
        <v>270.0</v>
      </c>
      <c r="S20" s="10">
        <v>15.0</v>
      </c>
      <c r="T20" s="10">
        <f t="shared" si="5"/>
        <v>180</v>
      </c>
      <c r="U20" s="12" t="s">
        <v>139</v>
      </c>
      <c r="V20" s="8"/>
      <c r="W20" s="8"/>
      <c r="X20" s="8"/>
      <c r="Y20" s="8"/>
      <c r="Z20" s="8"/>
      <c r="AA20" s="8"/>
      <c r="AB20" s="8"/>
      <c r="AC20" s="8"/>
      <c r="AD20" s="8"/>
      <c r="AE20" s="8"/>
      <c r="AF20" s="8"/>
      <c r="AG20" s="8"/>
      <c r="AH20" s="8"/>
      <c r="AI20" s="8"/>
      <c r="AJ20" s="8"/>
      <c r="AK20" s="8"/>
      <c r="AL20" s="8"/>
      <c r="AM20" s="8"/>
      <c r="AN20" s="8"/>
    </row>
    <row r="21">
      <c r="A21" s="13"/>
      <c r="C21" s="14"/>
      <c r="D21" s="14"/>
      <c r="E21" s="14"/>
      <c r="F21" s="13"/>
      <c r="G21" s="11"/>
      <c r="H21" s="9"/>
      <c r="I21" s="9"/>
      <c r="J21" s="3"/>
      <c r="K21" s="3"/>
      <c r="L21" s="3"/>
      <c r="M21" s="1"/>
      <c r="N21" s="3"/>
      <c r="O21" s="9"/>
      <c r="P21" s="8"/>
      <c r="Q21" s="10">
        <v>115.0</v>
      </c>
      <c r="R21" s="10">
        <v>50.0</v>
      </c>
      <c r="S21" s="10">
        <v>5.0</v>
      </c>
      <c r="T21" s="10">
        <f t="shared" si="5"/>
        <v>-40</v>
      </c>
      <c r="U21" s="12" t="s">
        <v>262</v>
      </c>
      <c r="V21" s="8"/>
      <c r="W21" s="8"/>
      <c r="X21" s="8"/>
      <c r="Y21" s="8"/>
      <c r="Z21" s="8"/>
      <c r="AA21" s="8"/>
      <c r="AB21" s="8"/>
      <c r="AC21" s="8"/>
      <c r="AD21" s="8"/>
      <c r="AE21" s="8"/>
      <c r="AF21" s="8"/>
      <c r="AG21" s="8"/>
      <c r="AH21" s="8"/>
      <c r="AI21" s="8"/>
      <c r="AJ21" s="8"/>
      <c r="AK21" s="8"/>
      <c r="AL21" s="8"/>
      <c r="AM21" s="8"/>
      <c r="AN21" s="8"/>
    </row>
    <row r="22">
      <c r="A22" s="13" t="s">
        <v>267</v>
      </c>
      <c r="B22" s="3">
        <f t="shared" ref="B22:B41" si="6">N22-846.4732829-86</f>
        <v>361.835958</v>
      </c>
      <c r="C22" s="14">
        <v>-25.2269</v>
      </c>
      <c r="D22" s="14">
        <v>30.06477</v>
      </c>
      <c r="E22" s="14">
        <v>1803.47</v>
      </c>
      <c r="F22" s="13" t="s">
        <v>275</v>
      </c>
      <c r="G22" s="13" t="s">
        <v>200</v>
      </c>
      <c r="H22" s="13" t="s">
        <v>200</v>
      </c>
      <c r="I22" s="13" t="s">
        <v>276</v>
      </c>
      <c r="J22" s="3" t="str">
        <f t="shared" ref="J22:J41" si="7">IF(((((-25.166768+25.233267)/(30.008173-30.128812))*(D22-30.128812))-25.233267)&lt;C22,"North","South")</f>
        <v>South</v>
      </c>
      <c r="K22" s="3" t="s">
        <v>291</v>
      </c>
      <c r="L22" s="3">
        <v>5093.6793255033</v>
      </c>
      <c r="M22" s="1">
        <f t="shared" ref="M22:M41" si="8">((E22-2150)*tan(15*(PI()/180)))+L22</f>
        <v>5000.826892</v>
      </c>
      <c r="N22" s="3">
        <f t="shared" ref="N22:N41" si="9">M22*sin(15*PI()/180)</f>
        <v>1294.309241</v>
      </c>
      <c r="O22" s="13"/>
      <c r="P22" s="8"/>
      <c r="Q22" s="8"/>
      <c r="R22" s="10">
        <v>330.0</v>
      </c>
      <c r="S22" s="10">
        <v>25.0</v>
      </c>
      <c r="T22" s="10">
        <f t="shared" si="5"/>
        <v>240</v>
      </c>
      <c r="U22" s="12" t="s">
        <v>139</v>
      </c>
      <c r="V22" s="8"/>
      <c r="W22" s="8"/>
      <c r="X22" s="8"/>
      <c r="Y22" s="8"/>
      <c r="Z22" s="8"/>
      <c r="AA22" s="8"/>
      <c r="AB22" s="8"/>
      <c r="AC22" s="8"/>
      <c r="AD22" s="8"/>
      <c r="AE22" s="8"/>
      <c r="AF22" s="8"/>
      <c r="AG22" s="8"/>
      <c r="AH22" s="8"/>
      <c r="AI22" s="8"/>
      <c r="AJ22" s="8"/>
      <c r="AK22" s="8"/>
      <c r="AL22" s="8"/>
      <c r="AM22" s="8"/>
      <c r="AN22" s="8"/>
    </row>
    <row r="23">
      <c r="A23" s="13" t="s">
        <v>302</v>
      </c>
      <c r="B23" s="3">
        <f t="shared" si="6"/>
        <v>373.0148687</v>
      </c>
      <c r="C23" s="14">
        <v>-25.227</v>
      </c>
      <c r="D23" s="14">
        <v>30.06419</v>
      </c>
      <c r="E23" s="14">
        <v>1807.561</v>
      </c>
      <c r="F23" s="13" t="s">
        <v>305</v>
      </c>
      <c r="G23" s="11" t="s">
        <v>245</v>
      </c>
      <c r="H23" s="9" t="s">
        <v>246</v>
      </c>
      <c r="I23" s="8" t="s">
        <v>306</v>
      </c>
      <c r="J23" s="3" t="str">
        <f t="shared" si="7"/>
        <v>South</v>
      </c>
      <c r="K23" s="3" t="s">
        <v>308</v>
      </c>
      <c r="L23" s="3">
        <v>5135.77513960314</v>
      </c>
      <c r="M23" s="1">
        <f t="shared" si="8"/>
        <v>5044.018886</v>
      </c>
      <c r="N23" s="3">
        <f t="shared" si="9"/>
        <v>1305.488152</v>
      </c>
      <c r="O23" s="9" t="s">
        <v>309</v>
      </c>
      <c r="P23" s="9" t="s">
        <v>310</v>
      </c>
      <c r="Q23" s="9" t="s">
        <v>311</v>
      </c>
      <c r="R23" s="10">
        <v>310.0</v>
      </c>
      <c r="S23" s="10">
        <v>15.0</v>
      </c>
      <c r="T23" s="10">
        <f t="shared" si="5"/>
        <v>220</v>
      </c>
      <c r="U23" s="12" t="s">
        <v>139</v>
      </c>
      <c r="V23" s="8"/>
      <c r="W23" s="8"/>
      <c r="X23" s="8"/>
      <c r="Y23" s="8"/>
      <c r="Z23" s="8"/>
      <c r="AA23" s="8"/>
      <c r="AB23" s="8"/>
      <c r="AC23" s="8"/>
      <c r="AD23" s="8"/>
      <c r="AE23" s="8"/>
      <c r="AF23" s="8"/>
      <c r="AG23" s="8"/>
      <c r="AH23" s="8"/>
      <c r="AI23" s="8"/>
      <c r="AJ23" s="8"/>
      <c r="AK23" s="8"/>
      <c r="AL23" s="8"/>
      <c r="AM23" s="8"/>
      <c r="AN23" s="8"/>
    </row>
    <row r="24">
      <c r="A24" s="13" t="s">
        <v>312</v>
      </c>
      <c r="B24" s="3">
        <f t="shared" si="6"/>
        <v>397.607089</v>
      </c>
      <c r="C24" s="14">
        <v>-25.1821</v>
      </c>
      <c r="D24" s="14">
        <v>30.09749</v>
      </c>
      <c r="E24" s="14">
        <v>1981.08</v>
      </c>
      <c r="F24" s="13" t="s">
        <v>313</v>
      </c>
      <c r="G24" s="15" t="s">
        <v>314</v>
      </c>
      <c r="H24" s="13" t="s">
        <v>315</v>
      </c>
      <c r="I24" s="13" t="s">
        <v>316</v>
      </c>
      <c r="J24" s="3" t="str">
        <f t="shared" si="7"/>
        <v>North</v>
      </c>
      <c r="K24" s="3" t="s">
        <v>318</v>
      </c>
      <c r="L24" s="3">
        <v>5184.29790667546</v>
      </c>
      <c r="M24" s="1">
        <f t="shared" si="8"/>
        <v>5139.035929</v>
      </c>
      <c r="N24" s="3">
        <f t="shared" si="9"/>
        <v>1330.080372</v>
      </c>
      <c r="O24" s="13" t="s">
        <v>320</v>
      </c>
      <c r="P24" s="9" t="s">
        <v>321</v>
      </c>
      <c r="Q24" s="10">
        <v>90.0</v>
      </c>
      <c r="R24" s="10">
        <v>310.0</v>
      </c>
      <c r="S24" s="10">
        <v>20.0</v>
      </c>
      <c r="T24" s="10">
        <f t="shared" si="5"/>
        <v>220</v>
      </c>
      <c r="U24" s="12" t="s">
        <v>139</v>
      </c>
      <c r="V24" s="8"/>
      <c r="W24" s="8"/>
      <c r="X24" s="8"/>
      <c r="Y24" s="8"/>
      <c r="Z24" s="8"/>
      <c r="AA24" s="8"/>
      <c r="AB24" s="8"/>
      <c r="AC24" s="8"/>
      <c r="AD24" s="8"/>
      <c r="AE24" s="8"/>
      <c r="AF24" s="8"/>
      <c r="AG24" s="8"/>
      <c r="AH24" s="8"/>
      <c r="AI24" s="8"/>
      <c r="AJ24" s="8"/>
      <c r="AK24" s="8"/>
      <c r="AL24" s="8"/>
      <c r="AM24" s="8"/>
      <c r="AN24" s="8"/>
    </row>
    <row r="25">
      <c r="A25" s="13" t="s">
        <v>323</v>
      </c>
      <c r="B25" s="3">
        <f t="shared" si="6"/>
        <v>413.1691355</v>
      </c>
      <c r="C25" s="14">
        <v>-25.1821</v>
      </c>
      <c r="D25" s="14">
        <v>30.09678</v>
      </c>
      <c r="E25" s="14">
        <v>1984.397</v>
      </c>
      <c r="F25" s="13" t="s">
        <v>324</v>
      </c>
      <c r="G25" s="13" t="s">
        <v>325</v>
      </c>
      <c r="H25" s="13" t="s">
        <v>41</v>
      </c>
      <c r="I25" s="13" t="s">
        <v>325</v>
      </c>
      <c r="J25" s="3" t="str">
        <f t="shared" si="7"/>
        <v>North</v>
      </c>
      <c r="K25" s="3" t="s">
        <v>327</v>
      </c>
      <c r="L25" s="3">
        <v>5243.53624971638</v>
      </c>
      <c r="M25" s="1">
        <f t="shared" si="8"/>
        <v>5199.16306</v>
      </c>
      <c r="N25" s="3">
        <f t="shared" si="9"/>
        <v>1345.642418</v>
      </c>
      <c r="O25" s="13" t="s">
        <v>330</v>
      </c>
      <c r="P25" s="9" t="s">
        <v>332</v>
      </c>
      <c r="Q25" s="10">
        <v>89.0</v>
      </c>
      <c r="R25" s="10">
        <v>275.0</v>
      </c>
      <c r="S25" s="10">
        <v>25.0</v>
      </c>
      <c r="T25" s="10">
        <f t="shared" si="5"/>
        <v>185</v>
      </c>
      <c r="U25" s="12" t="s">
        <v>190</v>
      </c>
      <c r="V25" s="8"/>
      <c r="W25" s="8"/>
      <c r="X25" s="8"/>
      <c r="Y25" s="8"/>
      <c r="Z25" s="8"/>
      <c r="AA25" s="8"/>
      <c r="AB25" s="8"/>
      <c r="AC25" s="8"/>
      <c r="AD25" s="8"/>
      <c r="AE25" s="8"/>
      <c r="AF25" s="8"/>
      <c r="AG25" s="8"/>
      <c r="AH25" s="8"/>
      <c r="AI25" s="8"/>
      <c r="AJ25" s="8"/>
      <c r="AK25" s="8"/>
      <c r="AL25" s="8"/>
      <c r="AM25" s="8"/>
      <c r="AN25" s="8"/>
    </row>
    <row r="26">
      <c r="A26" s="13" t="s">
        <v>337</v>
      </c>
      <c r="B26" s="3">
        <f t="shared" si="6"/>
        <v>415.4827362</v>
      </c>
      <c r="C26" s="14">
        <v>-25.1971</v>
      </c>
      <c r="D26" s="14">
        <v>30.08507</v>
      </c>
      <c r="E26" s="14">
        <v>1896.011</v>
      </c>
      <c r="F26" s="13" t="s">
        <v>338</v>
      </c>
      <c r="G26" s="11" t="s">
        <v>200</v>
      </c>
      <c r="H26" s="9" t="s">
        <v>200</v>
      </c>
      <c r="I26" s="9" t="s">
        <v>339</v>
      </c>
      <c r="J26" s="3" t="str">
        <f t="shared" si="7"/>
        <v>North</v>
      </c>
      <c r="K26" s="3" t="s">
        <v>341</v>
      </c>
      <c r="L26" s="3">
        <v>5276.1582735053</v>
      </c>
      <c r="M26" s="1">
        <f t="shared" si="8"/>
        <v>5208.102126</v>
      </c>
      <c r="N26" s="3">
        <f t="shared" si="9"/>
        <v>1347.956019</v>
      </c>
      <c r="O26" s="9" t="s">
        <v>343</v>
      </c>
      <c r="P26" s="9" t="s">
        <v>344</v>
      </c>
      <c r="Q26" s="20">
        <v>113.0</v>
      </c>
      <c r="R26" s="20">
        <v>220.0</v>
      </c>
      <c r="S26" s="10">
        <v>15.0</v>
      </c>
      <c r="T26" s="10">
        <f t="shared" si="5"/>
        <v>130</v>
      </c>
      <c r="U26" s="16" t="s">
        <v>250</v>
      </c>
      <c r="V26" s="10">
        <v>15.0</v>
      </c>
      <c r="W26" s="8"/>
      <c r="X26" s="8"/>
      <c r="Y26" s="8"/>
      <c r="Z26" s="8"/>
      <c r="AA26" s="8"/>
      <c r="AB26" s="8"/>
      <c r="AC26" s="8"/>
      <c r="AD26" s="8"/>
      <c r="AE26" s="8"/>
      <c r="AF26" s="8"/>
      <c r="AG26" s="8"/>
      <c r="AH26" s="8"/>
      <c r="AI26" s="8"/>
      <c r="AJ26" s="8"/>
      <c r="AK26" s="8"/>
      <c r="AL26" s="8"/>
      <c r="AM26" s="8"/>
      <c r="AN26" s="8"/>
    </row>
    <row r="27">
      <c r="A27" s="13" t="s">
        <v>346</v>
      </c>
      <c r="B27" s="3">
        <f t="shared" si="6"/>
        <v>446.1120518</v>
      </c>
      <c r="C27" s="14">
        <v>-25.1826</v>
      </c>
      <c r="D27" s="14">
        <v>30.09486</v>
      </c>
      <c r="E27" s="14">
        <v>1979.05</v>
      </c>
      <c r="F27" s="13" t="s">
        <v>347</v>
      </c>
      <c r="G27" s="13" t="s">
        <v>200</v>
      </c>
      <c r="H27" s="13" t="s">
        <v>200</v>
      </c>
      <c r="I27" s="13" t="s">
        <v>348</v>
      </c>
      <c r="J27" s="3" t="str">
        <f t="shared" si="7"/>
        <v>North</v>
      </c>
      <c r="K27" s="3" t="s">
        <v>350</v>
      </c>
      <c r="L27" s="3">
        <v>5372.25062854421</v>
      </c>
      <c r="M27" s="1">
        <f t="shared" si="8"/>
        <v>5326.444714</v>
      </c>
      <c r="N27" s="3">
        <f t="shared" si="9"/>
        <v>1378.585335</v>
      </c>
      <c r="O27" s="13"/>
      <c r="P27" s="8"/>
      <c r="Q27" s="8"/>
      <c r="R27" s="10">
        <v>320.0</v>
      </c>
      <c r="S27" s="10">
        <v>15.0</v>
      </c>
      <c r="T27" s="10">
        <f t="shared" si="5"/>
        <v>230</v>
      </c>
      <c r="U27" s="12" t="s">
        <v>139</v>
      </c>
      <c r="V27" s="8"/>
      <c r="W27" s="8"/>
      <c r="X27" s="8"/>
      <c r="Y27" s="8"/>
      <c r="Z27" s="8"/>
      <c r="AA27" s="8"/>
      <c r="AB27" s="8"/>
      <c r="AC27" s="8"/>
      <c r="AD27" s="8"/>
      <c r="AE27" s="8"/>
      <c r="AF27" s="8"/>
      <c r="AG27" s="8"/>
      <c r="AH27" s="8"/>
      <c r="AI27" s="8"/>
      <c r="AJ27" s="8"/>
      <c r="AK27" s="8"/>
      <c r="AL27" s="8"/>
      <c r="AM27" s="8"/>
      <c r="AN27" s="8"/>
    </row>
    <row r="28">
      <c r="A28" s="13" t="s">
        <v>353</v>
      </c>
      <c r="B28" s="3">
        <f t="shared" si="6"/>
        <v>622.4059034</v>
      </c>
      <c r="C28" s="14">
        <v>-25.1916</v>
      </c>
      <c r="D28" s="14">
        <v>30.07954</v>
      </c>
      <c r="E28" s="14">
        <v>1865.446</v>
      </c>
      <c r="F28" s="13" t="s">
        <v>354</v>
      </c>
      <c r="G28" s="11" t="s">
        <v>200</v>
      </c>
      <c r="H28" s="9" t="s">
        <v>246</v>
      </c>
      <c r="I28" s="12" t="s">
        <v>339</v>
      </c>
      <c r="J28" s="3" t="str">
        <f t="shared" si="7"/>
        <v>North</v>
      </c>
      <c r="K28" s="3" t="s">
        <v>355</v>
      </c>
      <c r="L28" s="3">
        <v>6083.83786576056</v>
      </c>
      <c r="M28" s="1">
        <f t="shared" si="8"/>
        <v>6007.591851</v>
      </c>
      <c r="N28" s="3">
        <f t="shared" si="9"/>
        <v>1554.879186</v>
      </c>
      <c r="O28" s="8" t="s">
        <v>358</v>
      </c>
      <c r="P28" s="8" t="s">
        <v>359</v>
      </c>
      <c r="Q28" s="8"/>
      <c r="R28" s="20">
        <v>330.0</v>
      </c>
      <c r="S28" s="20">
        <v>15.0</v>
      </c>
      <c r="T28" s="10">
        <f t="shared" si="5"/>
        <v>240</v>
      </c>
      <c r="U28" s="12" t="s">
        <v>139</v>
      </c>
      <c r="V28" s="8"/>
      <c r="W28" s="8"/>
      <c r="X28" s="8"/>
      <c r="Y28" s="8"/>
      <c r="Z28" s="8"/>
      <c r="AA28" s="8"/>
      <c r="AB28" s="8"/>
      <c r="AC28" s="8"/>
      <c r="AD28" s="8"/>
      <c r="AE28" s="8"/>
      <c r="AF28" s="8"/>
      <c r="AG28" s="8"/>
      <c r="AH28" s="8"/>
      <c r="AI28" s="8"/>
      <c r="AJ28" s="8"/>
      <c r="AK28" s="8"/>
      <c r="AL28" s="8"/>
      <c r="AM28" s="8"/>
      <c r="AN28" s="8"/>
    </row>
    <row r="29">
      <c r="A29" s="13" t="s">
        <v>361</v>
      </c>
      <c r="B29" s="3">
        <f t="shared" si="6"/>
        <v>1030.39906</v>
      </c>
      <c r="C29" s="14">
        <v>-25.1767</v>
      </c>
      <c r="D29" s="14">
        <v>30.07222</v>
      </c>
      <c r="E29" s="14">
        <v>1967.92</v>
      </c>
      <c r="F29" s="13" t="s">
        <v>362</v>
      </c>
      <c r="G29" s="15" t="s">
        <v>200</v>
      </c>
      <c r="H29" s="13" t="s">
        <v>315</v>
      </c>
      <c r="I29" s="15" t="s">
        <v>364</v>
      </c>
      <c r="J29" s="3" t="str">
        <f t="shared" si="7"/>
        <v>North</v>
      </c>
      <c r="K29" s="3" t="s">
        <v>366</v>
      </c>
      <c r="L29" s="3">
        <v>7632.74454966858</v>
      </c>
      <c r="M29" s="1">
        <f t="shared" si="8"/>
        <v>7583.956361</v>
      </c>
      <c r="N29" s="3">
        <f t="shared" si="9"/>
        <v>1962.872343</v>
      </c>
      <c r="O29" s="13" t="s">
        <v>369</v>
      </c>
      <c r="P29" s="9" t="s">
        <v>371</v>
      </c>
      <c r="Q29" s="10">
        <v>86.0</v>
      </c>
      <c r="R29" s="10">
        <v>230.0</v>
      </c>
      <c r="S29" s="10">
        <v>25.0</v>
      </c>
      <c r="T29" s="10">
        <f t="shared" si="5"/>
        <v>140</v>
      </c>
      <c r="U29" s="12" t="s">
        <v>250</v>
      </c>
      <c r="V29" s="8"/>
      <c r="W29" s="8"/>
      <c r="X29" s="8"/>
      <c r="Y29" s="8"/>
      <c r="Z29" s="8"/>
      <c r="AA29" s="8"/>
      <c r="AB29" s="8"/>
      <c r="AC29" s="8"/>
      <c r="AD29" s="8"/>
      <c r="AE29" s="8"/>
      <c r="AF29" s="8"/>
      <c r="AG29" s="8"/>
      <c r="AH29" s="8"/>
      <c r="AI29" s="8"/>
      <c r="AJ29" s="8"/>
      <c r="AK29" s="8"/>
      <c r="AL29" s="8"/>
      <c r="AM29" s="8"/>
      <c r="AN29" s="8"/>
    </row>
    <row r="30">
      <c r="A30" s="13" t="s">
        <v>374</v>
      </c>
      <c r="B30" s="3">
        <f t="shared" si="6"/>
        <v>1034.867272</v>
      </c>
      <c r="C30" s="14">
        <v>-25.1778</v>
      </c>
      <c r="D30" s="14">
        <v>30.07114</v>
      </c>
      <c r="E30" s="14">
        <v>1954.518</v>
      </c>
      <c r="F30" s="13" t="s">
        <v>377</v>
      </c>
      <c r="G30" s="15" t="s">
        <v>200</v>
      </c>
      <c r="H30" s="13" t="s">
        <v>200</v>
      </c>
      <c r="I30" s="13" t="s">
        <v>276</v>
      </c>
      <c r="J30" s="3" t="str">
        <f t="shared" si="7"/>
        <v>North</v>
      </c>
      <c r="K30" s="3" t="s">
        <v>380</v>
      </c>
      <c r="L30" s="3">
        <v>7653.59945014328</v>
      </c>
      <c r="M30" s="1">
        <f t="shared" si="8"/>
        <v>7601.220206</v>
      </c>
      <c r="N30" s="3">
        <f t="shared" si="9"/>
        <v>1967.340555</v>
      </c>
      <c r="O30" s="13"/>
      <c r="P30" s="8"/>
      <c r="Q30" s="8"/>
      <c r="R30" s="10">
        <v>220.0</v>
      </c>
      <c r="S30" s="10">
        <v>10.0</v>
      </c>
      <c r="T30" s="10">
        <f t="shared" si="5"/>
        <v>130</v>
      </c>
      <c r="U30" s="12" t="s">
        <v>250</v>
      </c>
      <c r="V30" s="8"/>
      <c r="W30" s="8"/>
      <c r="X30" s="8"/>
      <c r="Y30" s="8"/>
      <c r="Z30" s="8"/>
      <c r="AA30" s="8"/>
      <c r="AB30" s="8"/>
      <c r="AC30" s="8"/>
      <c r="AD30" s="8"/>
      <c r="AE30" s="8"/>
      <c r="AF30" s="8"/>
      <c r="AG30" s="8"/>
      <c r="AH30" s="8"/>
      <c r="AI30" s="8"/>
      <c r="AJ30" s="8"/>
      <c r="AK30" s="8"/>
      <c r="AL30" s="8"/>
      <c r="AM30" s="8"/>
      <c r="AN30" s="8"/>
    </row>
    <row r="31">
      <c r="A31" s="13" t="s">
        <v>384</v>
      </c>
      <c r="B31" s="3">
        <f t="shared" si="6"/>
        <v>1035.657451</v>
      </c>
      <c r="C31" s="14">
        <v>-25.179</v>
      </c>
      <c r="D31" s="14">
        <v>30.07014</v>
      </c>
      <c r="E31" s="14">
        <v>1936.491</v>
      </c>
      <c r="F31" s="13" t="s">
        <v>386</v>
      </c>
      <c r="G31" s="15" t="s">
        <v>200</v>
      </c>
      <c r="H31" s="13" t="s">
        <v>200</v>
      </c>
      <c r="I31" s="13" t="s">
        <v>339</v>
      </c>
      <c r="J31" s="3" t="str">
        <f t="shared" si="7"/>
        <v>North</v>
      </c>
      <c r="K31" s="3" t="s">
        <v>390</v>
      </c>
      <c r="L31" s="3">
        <v>7661.48278621439</v>
      </c>
      <c r="M31" s="1">
        <f t="shared" si="8"/>
        <v>7604.273222</v>
      </c>
      <c r="N31" s="3">
        <f t="shared" si="9"/>
        <v>1968.130734</v>
      </c>
      <c r="O31" s="13" t="s">
        <v>394</v>
      </c>
      <c r="P31" s="9" t="s">
        <v>396</v>
      </c>
      <c r="Q31" s="10">
        <v>85.0</v>
      </c>
      <c r="R31" s="10">
        <v>200.0</v>
      </c>
      <c r="S31" s="10">
        <v>10.0</v>
      </c>
      <c r="T31" s="10">
        <f t="shared" si="5"/>
        <v>110</v>
      </c>
      <c r="U31" s="12" t="s">
        <v>250</v>
      </c>
      <c r="V31" s="8"/>
      <c r="W31" s="8"/>
      <c r="X31" s="8"/>
      <c r="Y31" s="8"/>
      <c r="Z31" s="8"/>
      <c r="AA31" s="8"/>
      <c r="AB31" s="8"/>
      <c r="AC31" s="8"/>
      <c r="AD31" s="8"/>
      <c r="AE31" s="8"/>
      <c r="AF31" s="8"/>
      <c r="AG31" s="8"/>
      <c r="AH31" s="8"/>
      <c r="AI31" s="8"/>
      <c r="AJ31" s="8"/>
      <c r="AK31" s="8"/>
      <c r="AL31" s="8"/>
      <c r="AM31" s="8"/>
      <c r="AN31" s="8"/>
    </row>
    <row r="32">
      <c r="A32" s="13" t="s">
        <v>384</v>
      </c>
      <c r="B32" s="3">
        <f t="shared" si="6"/>
        <v>1035.657451</v>
      </c>
      <c r="C32" s="14">
        <v>-25.179</v>
      </c>
      <c r="D32" s="14">
        <v>30.07014</v>
      </c>
      <c r="E32" s="14">
        <v>1936.491</v>
      </c>
      <c r="F32" s="13" t="s">
        <v>386</v>
      </c>
      <c r="G32" s="15" t="s">
        <v>200</v>
      </c>
      <c r="H32" s="13" t="s">
        <v>200</v>
      </c>
      <c r="I32" s="13" t="s">
        <v>348</v>
      </c>
      <c r="J32" s="3" t="str">
        <f t="shared" si="7"/>
        <v>North</v>
      </c>
      <c r="K32" s="3" t="s">
        <v>390</v>
      </c>
      <c r="L32" s="3">
        <v>7661.48278621439</v>
      </c>
      <c r="M32" s="1">
        <f t="shared" si="8"/>
        <v>7604.273222</v>
      </c>
      <c r="N32" s="3">
        <f t="shared" si="9"/>
        <v>1968.130734</v>
      </c>
      <c r="O32" s="13" t="s">
        <v>416</v>
      </c>
      <c r="P32" s="9" t="s">
        <v>417</v>
      </c>
      <c r="Q32" s="8"/>
      <c r="R32" s="10">
        <v>300.0</v>
      </c>
      <c r="S32" s="10">
        <v>10.0</v>
      </c>
      <c r="T32" s="10">
        <f t="shared" si="5"/>
        <v>210</v>
      </c>
      <c r="U32" s="12" t="s">
        <v>139</v>
      </c>
      <c r="V32" s="8"/>
      <c r="W32" s="8"/>
      <c r="X32" s="8"/>
      <c r="Y32" s="8"/>
      <c r="Z32" s="8"/>
      <c r="AA32" s="8"/>
      <c r="AB32" s="8"/>
      <c r="AC32" s="8"/>
      <c r="AD32" s="8"/>
      <c r="AE32" s="8"/>
      <c r="AF32" s="8"/>
      <c r="AG32" s="8"/>
      <c r="AH32" s="8"/>
      <c r="AI32" s="8"/>
      <c r="AJ32" s="8"/>
      <c r="AK32" s="8"/>
      <c r="AL32" s="8"/>
      <c r="AM32" s="8"/>
      <c r="AN32" s="8"/>
    </row>
    <row r="33">
      <c r="A33" s="13" t="s">
        <v>421</v>
      </c>
      <c r="B33" s="3">
        <f t="shared" si="6"/>
        <v>1467.800607</v>
      </c>
      <c r="C33" s="14">
        <v>-25.2022</v>
      </c>
      <c r="D33" s="14">
        <v>30.03204</v>
      </c>
      <c r="E33" s="14">
        <v>1754.86</v>
      </c>
      <c r="F33" s="13" t="s">
        <v>425</v>
      </c>
      <c r="G33" s="9" t="s">
        <v>200</v>
      </c>
      <c r="H33" s="9" t="s">
        <v>200</v>
      </c>
      <c r="I33" s="9" t="s">
        <v>348</v>
      </c>
      <c r="J33" s="3" t="str">
        <f t="shared" si="7"/>
        <v>South</v>
      </c>
      <c r="K33" s="3" t="s">
        <v>428</v>
      </c>
      <c r="L33" s="3">
        <v>9379.82360632183</v>
      </c>
      <c r="M33" s="1">
        <f t="shared" si="8"/>
        <v>9273.946162</v>
      </c>
      <c r="N33" s="3">
        <f t="shared" si="9"/>
        <v>2400.27389</v>
      </c>
      <c r="O33" s="8"/>
      <c r="P33" s="8"/>
      <c r="Q33" s="8"/>
      <c r="R33" s="10">
        <v>270.0</v>
      </c>
      <c r="S33" s="10">
        <v>10.0</v>
      </c>
      <c r="T33" s="10">
        <f t="shared" si="5"/>
        <v>180</v>
      </c>
      <c r="U33" s="12" t="s">
        <v>139</v>
      </c>
      <c r="V33" s="8"/>
      <c r="W33" s="8"/>
      <c r="X33" s="8"/>
      <c r="Y33" s="8"/>
      <c r="Z33" s="8"/>
      <c r="AA33" s="8"/>
      <c r="AB33" s="8"/>
      <c r="AC33" s="8"/>
      <c r="AD33" s="8"/>
      <c r="AE33" s="8"/>
      <c r="AF33" s="8"/>
      <c r="AG33" s="8"/>
      <c r="AH33" s="8"/>
      <c r="AI33" s="8"/>
      <c r="AJ33" s="8"/>
      <c r="AK33" s="8"/>
      <c r="AL33" s="8"/>
      <c r="AM33" s="8"/>
      <c r="AN33" s="8"/>
    </row>
    <row r="34">
      <c r="A34" s="13" t="s">
        <v>433</v>
      </c>
      <c r="B34" s="3">
        <f t="shared" si="6"/>
        <v>1475.494127</v>
      </c>
      <c r="C34" s="14">
        <v>-25.2009</v>
      </c>
      <c r="D34" s="14">
        <v>30.03275</v>
      </c>
      <c r="E34" s="14">
        <v>1781.409</v>
      </c>
      <c r="F34" s="13" t="s">
        <v>435</v>
      </c>
      <c r="G34" s="9" t="s">
        <v>200</v>
      </c>
      <c r="H34" s="9" t="s">
        <v>200</v>
      </c>
      <c r="I34" s="9" t="s">
        <v>348</v>
      </c>
      <c r="J34" s="3" t="str">
        <f t="shared" si="7"/>
        <v>South</v>
      </c>
      <c r="K34" s="3" t="s">
        <v>437</v>
      </c>
      <c r="L34" s="3">
        <v>9402.43530133033</v>
      </c>
      <c r="M34" s="1">
        <f t="shared" si="8"/>
        <v>9303.671641</v>
      </c>
      <c r="N34" s="3">
        <f t="shared" si="9"/>
        <v>2407.96741</v>
      </c>
      <c r="O34" s="8"/>
      <c r="P34" s="9" t="s">
        <v>443</v>
      </c>
      <c r="Q34" s="8"/>
      <c r="R34" s="10">
        <v>290.0</v>
      </c>
      <c r="S34" s="10">
        <v>10.0</v>
      </c>
      <c r="T34" s="10">
        <f t="shared" si="5"/>
        <v>200</v>
      </c>
      <c r="U34" s="12" t="s">
        <v>139</v>
      </c>
      <c r="V34" s="8"/>
      <c r="W34" s="8"/>
      <c r="X34" s="8"/>
      <c r="Y34" s="8"/>
      <c r="Z34" s="8"/>
      <c r="AA34" s="8"/>
      <c r="AB34" s="8"/>
      <c r="AC34" s="8"/>
      <c r="AD34" s="8"/>
      <c r="AE34" s="8"/>
      <c r="AF34" s="8"/>
      <c r="AG34" s="8"/>
      <c r="AH34" s="8"/>
      <c r="AI34" s="8"/>
      <c r="AJ34" s="8"/>
      <c r="AK34" s="8"/>
      <c r="AL34" s="8"/>
      <c r="AM34" s="8"/>
      <c r="AN34" s="8"/>
    </row>
    <row r="35">
      <c r="A35" s="13" t="s">
        <v>447</v>
      </c>
      <c r="B35" s="3">
        <f t="shared" si="6"/>
        <v>1550.527234</v>
      </c>
      <c r="C35" s="14">
        <v>-25.2184</v>
      </c>
      <c r="D35" s="14">
        <v>30.01618</v>
      </c>
      <c r="E35" s="14">
        <v>1815.589</v>
      </c>
      <c r="F35" s="13" t="s">
        <v>450</v>
      </c>
      <c r="G35" s="13" t="s">
        <v>200</v>
      </c>
      <c r="H35" s="13" t="s">
        <v>200</v>
      </c>
      <c r="I35" s="13" t="s">
        <v>348</v>
      </c>
      <c r="J35" s="3" t="str">
        <f t="shared" si="7"/>
        <v>South</v>
      </c>
      <c r="K35" s="3" t="s">
        <v>451</v>
      </c>
      <c r="L35" s="3">
        <v>9683.18245975101</v>
      </c>
      <c r="M35" s="1">
        <f t="shared" si="8"/>
        <v>9593.577302</v>
      </c>
      <c r="N35" s="3">
        <f t="shared" si="9"/>
        <v>2483.000517</v>
      </c>
      <c r="O35" s="13"/>
      <c r="P35" s="9" t="s">
        <v>454</v>
      </c>
      <c r="Q35" s="10">
        <v>58.0</v>
      </c>
      <c r="R35" s="10">
        <v>16.0</v>
      </c>
      <c r="S35" s="10">
        <v>6.0</v>
      </c>
      <c r="T35" s="10">
        <f t="shared" si="5"/>
        <v>-74</v>
      </c>
      <c r="U35" s="12" t="s">
        <v>139</v>
      </c>
      <c r="V35" s="8"/>
      <c r="W35" s="8"/>
      <c r="X35" s="8"/>
      <c r="Y35" s="8"/>
      <c r="Z35" s="8"/>
      <c r="AA35" s="8"/>
      <c r="AB35" s="8"/>
      <c r="AC35" s="8"/>
      <c r="AD35" s="8"/>
      <c r="AE35" s="8"/>
      <c r="AF35" s="8"/>
      <c r="AG35" s="8"/>
      <c r="AH35" s="8"/>
      <c r="AI35" s="8"/>
      <c r="AJ35" s="8"/>
      <c r="AK35" s="8"/>
      <c r="AL35" s="8"/>
      <c r="AM35" s="8"/>
      <c r="AN35" s="8"/>
    </row>
    <row r="36">
      <c r="A36" s="13" t="s">
        <v>455</v>
      </c>
      <c r="B36" s="3">
        <f t="shared" si="6"/>
        <v>1561.160709</v>
      </c>
      <c r="C36" s="14">
        <v>-25.1997</v>
      </c>
      <c r="D36" s="14">
        <v>30.02966</v>
      </c>
      <c r="E36" s="14">
        <v>1772.403</v>
      </c>
      <c r="F36" s="13" t="s">
        <v>458</v>
      </c>
      <c r="G36" s="9" t="s">
        <v>200</v>
      </c>
      <c r="H36" s="9" t="s">
        <v>200</v>
      </c>
      <c r="I36" s="9" t="s">
        <v>348</v>
      </c>
      <c r="J36" s="3" t="str">
        <f t="shared" si="7"/>
        <v>South</v>
      </c>
      <c r="K36" s="3" t="s">
        <v>459</v>
      </c>
      <c r="L36" s="3">
        <v>9735.83870718641</v>
      </c>
      <c r="M36" s="1">
        <f t="shared" si="8"/>
        <v>9634.661896</v>
      </c>
      <c r="N36" s="3">
        <f t="shared" si="9"/>
        <v>2493.633992</v>
      </c>
      <c r="O36" s="8"/>
      <c r="P36" s="8"/>
      <c r="Q36" s="8"/>
      <c r="R36" s="10">
        <v>315.0</v>
      </c>
      <c r="S36" s="10">
        <v>15.0</v>
      </c>
      <c r="T36" s="10">
        <f t="shared" si="5"/>
        <v>225</v>
      </c>
      <c r="U36" s="12" t="s">
        <v>139</v>
      </c>
      <c r="V36" s="8"/>
      <c r="W36" s="8"/>
      <c r="X36" s="8"/>
      <c r="Y36" s="8"/>
      <c r="Z36" s="8"/>
      <c r="AA36" s="8"/>
      <c r="AB36" s="8"/>
      <c r="AC36" s="8"/>
      <c r="AD36" s="8"/>
      <c r="AE36" s="8"/>
      <c r="AF36" s="8"/>
      <c r="AG36" s="8"/>
      <c r="AH36" s="8"/>
      <c r="AI36" s="8"/>
      <c r="AJ36" s="8"/>
      <c r="AK36" s="8"/>
      <c r="AL36" s="8"/>
      <c r="AM36" s="8"/>
      <c r="AN36" s="8"/>
    </row>
    <row r="37">
      <c r="A37" s="13" t="s">
        <v>464</v>
      </c>
      <c r="B37" s="3">
        <f t="shared" si="6"/>
        <v>1581.8127</v>
      </c>
      <c r="C37" s="14">
        <v>-25.1991</v>
      </c>
      <c r="D37" s="14">
        <v>30.02914</v>
      </c>
      <c r="E37" s="14">
        <v>1767.258</v>
      </c>
      <c r="F37" s="13" t="s">
        <v>466</v>
      </c>
      <c r="G37" s="9" t="s">
        <v>200</v>
      </c>
      <c r="H37" s="9" t="s">
        <v>200</v>
      </c>
      <c r="I37" s="9" t="s">
        <v>348</v>
      </c>
      <c r="J37" s="3" t="str">
        <f t="shared" si="7"/>
        <v>South</v>
      </c>
      <c r="K37" s="3" t="s">
        <v>467</v>
      </c>
      <c r="L37" s="3">
        <v>9817.01047319655</v>
      </c>
      <c r="M37" s="1">
        <f t="shared" si="8"/>
        <v>9714.455063</v>
      </c>
      <c r="N37" s="3">
        <f t="shared" si="9"/>
        <v>2514.285983</v>
      </c>
      <c r="O37" s="8"/>
      <c r="P37" s="8"/>
      <c r="Q37" s="8"/>
      <c r="R37" s="10">
        <v>290.0</v>
      </c>
      <c r="S37" s="10">
        <v>10.0</v>
      </c>
      <c r="T37" s="10">
        <f t="shared" si="5"/>
        <v>200</v>
      </c>
      <c r="U37" s="12" t="s">
        <v>139</v>
      </c>
      <c r="V37" s="8"/>
      <c r="W37" s="8"/>
      <c r="X37" s="8"/>
      <c r="Y37" s="8"/>
      <c r="Z37" s="8"/>
      <c r="AA37" s="8"/>
      <c r="AB37" s="8"/>
      <c r="AC37" s="8"/>
      <c r="AD37" s="8"/>
      <c r="AE37" s="8"/>
      <c r="AF37" s="8"/>
      <c r="AG37" s="8"/>
      <c r="AH37" s="8"/>
      <c r="AI37" s="8"/>
      <c r="AJ37" s="8"/>
      <c r="AK37" s="8"/>
      <c r="AL37" s="8"/>
      <c r="AM37" s="8"/>
      <c r="AN37" s="8"/>
    </row>
    <row r="38">
      <c r="A38" s="13" t="s">
        <v>471</v>
      </c>
      <c r="B38" s="3">
        <f t="shared" si="6"/>
        <v>2056.306467</v>
      </c>
      <c r="C38" s="14">
        <v>-25.1771</v>
      </c>
      <c r="D38" s="14">
        <v>30.02374</v>
      </c>
      <c r="E38" s="14">
        <v>1757.437</v>
      </c>
      <c r="F38" s="13" t="s">
        <v>474</v>
      </c>
      <c r="G38" s="9" t="s">
        <v>200</v>
      </c>
      <c r="H38" s="9" t="s">
        <v>200</v>
      </c>
      <c r="I38" s="9" t="s">
        <v>348</v>
      </c>
      <c r="J38" s="3" t="str">
        <f t="shared" si="7"/>
        <v>South</v>
      </c>
      <c r="K38" s="3" t="s">
        <v>475</v>
      </c>
      <c r="L38" s="3">
        <v>11652.9451369977</v>
      </c>
      <c r="M38" s="1">
        <f t="shared" si="8"/>
        <v>11547.7582</v>
      </c>
      <c r="N38" s="3">
        <f t="shared" si="9"/>
        <v>2988.77975</v>
      </c>
      <c r="O38" s="8"/>
      <c r="P38" s="8"/>
      <c r="Q38" s="8"/>
      <c r="R38" s="10">
        <v>270.0</v>
      </c>
      <c r="S38" s="10">
        <v>10.0</v>
      </c>
      <c r="T38" s="10">
        <v>130.0</v>
      </c>
      <c r="U38" s="12" t="s">
        <v>139</v>
      </c>
      <c r="V38" s="8"/>
      <c r="W38" s="8"/>
      <c r="X38" s="8"/>
      <c r="Y38" s="8"/>
      <c r="Z38" s="8"/>
      <c r="AA38" s="8"/>
      <c r="AB38" s="8"/>
      <c r="AC38" s="8"/>
      <c r="AD38" s="8"/>
      <c r="AE38" s="8"/>
      <c r="AF38" s="8"/>
      <c r="AG38" s="8"/>
      <c r="AH38" s="8"/>
      <c r="AI38" s="8"/>
      <c r="AJ38" s="8"/>
      <c r="AK38" s="8"/>
      <c r="AL38" s="8"/>
      <c r="AM38" s="8"/>
      <c r="AN38" s="8"/>
    </row>
    <row r="39">
      <c r="A39" s="13" t="s">
        <v>476</v>
      </c>
      <c r="B39" s="3">
        <f t="shared" si="6"/>
        <v>2182.464212</v>
      </c>
      <c r="C39" s="14">
        <v>-25.1782</v>
      </c>
      <c r="D39" s="14">
        <v>30.01698</v>
      </c>
      <c r="E39" s="14">
        <v>1729.763</v>
      </c>
      <c r="F39" s="13" t="s">
        <v>477</v>
      </c>
      <c r="G39" s="9" t="s">
        <v>200</v>
      </c>
      <c r="H39" s="9" t="s">
        <v>200</v>
      </c>
      <c r="I39" s="9" t="s">
        <v>348</v>
      </c>
      <c r="J39" s="3" t="str">
        <f t="shared" si="7"/>
        <v>South</v>
      </c>
      <c r="K39" s="3" t="s">
        <v>478</v>
      </c>
      <c r="L39" s="3">
        <v>12147.7964576882</v>
      </c>
      <c r="M39" s="1">
        <f t="shared" si="8"/>
        <v>12035.19429</v>
      </c>
      <c r="N39" s="3">
        <f t="shared" si="9"/>
        <v>3114.937495</v>
      </c>
      <c r="O39" s="8"/>
      <c r="P39" s="8"/>
      <c r="Q39" s="8"/>
      <c r="R39" s="10">
        <v>315.0</v>
      </c>
      <c r="S39" s="10">
        <v>15.0</v>
      </c>
      <c r="T39" s="10">
        <f t="shared" ref="T39:T41" si="10">R39-90</f>
        <v>225</v>
      </c>
      <c r="U39" s="12" t="s">
        <v>139</v>
      </c>
      <c r="V39" s="8"/>
      <c r="W39" s="8"/>
      <c r="X39" s="8"/>
      <c r="Y39" s="8"/>
      <c r="Z39" s="8"/>
      <c r="AA39" s="8"/>
      <c r="AB39" s="8"/>
      <c r="AC39" s="8"/>
      <c r="AD39" s="8"/>
      <c r="AE39" s="8"/>
      <c r="AF39" s="8"/>
      <c r="AG39" s="8"/>
      <c r="AH39" s="8"/>
      <c r="AI39" s="8"/>
      <c r="AJ39" s="8"/>
      <c r="AK39" s="8"/>
      <c r="AL39" s="8"/>
      <c r="AM39" s="8"/>
      <c r="AN39" s="8"/>
    </row>
    <row r="40">
      <c r="A40" s="13" t="s">
        <v>486</v>
      </c>
      <c r="B40" s="3">
        <f t="shared" si="6"/>
        <v>2682.4847</v>
      </c>
      <c r="C40" s="14">
        <v>-25.2133</v>
      </c>
      <c r="D40" s="14">
        <v>29.96669</v>
      </c>
      <c r="E40" s="14">
        <v>1526.247</v>
      </c>
      <c r="F40" s="13" t="s">
        <v>489</v>
      </c>
      <c r="G40" s="13" t="s">
        <v>200</v>
      </c>
      <c r="H40" s="13" t="s">
        <v>200</v>
      </c>
      <c r="I40" s="13" t="s">
        <v>348</v>
      </c>
      <c r="J40" s="3" t="str">
        <f t="shared" si="7"/>
        <v>South</v>
      </c>
      <c r="K40" s="3" t="s">
        <v>493</v>
      </c>
      <c r="L40" s="3">
        <v>14134.2592189439</v>
      </c>
      <c r="M40" s="1">
        <f t="shared" si="8"/>
        <v>13967.12511</v>
      </c>
      <c r="N40" s="3">
        <f t="shared" si="9"/>
        <v>3614.957983</v>
      </c>
      <c r="O40" s="13"/>
      <c r="P40" s="9" t="s">
        <v>495</v>
      </c>
      <c r="Q40" s="8"/>
      <c r="R40" s="10">
        <v>250.0</v>
      </c>
      <c r="S40" s="10">
        <v>13.0</v>
      </c>
      <c r="T40" s="10">
        <f t="shared" si="10"/>
        <v>160</v>
      </c>
      <c r="U40" s="12" t="s">
        <v>139</v>
      </c>
      <c r="V40" s="8"/>
      <c r="W40" s="8"/>
      <c r="X40" s="8"/>
      <c r="Y40" s="8"/>
      <c r="Z40" s="8"/>
      <c r="AA40" s="8"/>
      <c r="AB40" s="8"/>
      <c r="AC40" s="8"/>
      <c r="AD40" s="8"/>
      <c r="AE40" s="8"/>
      <c r="AF40" s="8"/>
      <c r="AG40" s="8"/>
      <c r="AH40" s="8"/>
      <c r="AI40" s="8"/>
      <c r="AJ40" s="8"/>
      <c r="AK40" s="8"/>
      <c r="AL40" s="8"/>
      <c r="AM40" s="8"/>
      <c r="AN40" s="8"/>
    </row>
    <row r="41">
      <c r="A41" s="13" t="s">
        <v>497</v>
      </c>
      <c r="B41" s="3">
        <f t="shared" si="6"/>
        <v>3266.300221</v>
      </c>
      <c r="C41" s="14">
        <v>-25.199</v>
      </c>
      <c r="D41" s="14">
        <v>29.95029</v>
      </c>
      <c r="E41" s="14">
        <v>1475.559</v>
      </c>
      <c r="F41" s="13" t="s">
        <v>499</v>
      </c>
      <c r="G41" s="13" t="s">
        <v>200</v>
      </c>
      <c r="H41" s="13" t="s">
        <v>200</v>
      </c>
      <c r="I41" s="13" t="s">
        <v>348</v>
      </c>
      <c r="J41" s="3" t="str">
        <f t="shared" si="7"/>
        <v>South</v>
      </c>
      <c r="K41" s="3" t="s">
        <v>501</v>
      </c>
      <c r="L41" s="3">
        <v>16403.5309861866</v>
      </c>
      <c r="M41" s="1">
        <f t="shared" si="8"/>
        <v>16222.81506</v>
      </c>
      <c r="N41" s="3">
        <f t="shared" si="9"/>
        <v>4198.773504</v>
      </c>
      <c r="O41" s="13"/>
      <c r="P41" s="9" t="s">
        <v>502</v>
      </c>
      <c r="Q41" s="8"/>
      <c r="R41" s="10">
        <v>292.0</v>
      </c>
      <c r="S41" s="10">
        <v>12.0</v>
      </c>
      <c r="T41" s="10">
        <f t="shared" si="10"/>
        <v>202</v>
      </c>
      <c r="U41" s="12" t="s">
        <v>139</v>
      </c>
      <c r="V41" s="8"/>
      <c r="W41" s="8"/>
      <c r="X41" s="8"/>
      <c r="Y41" s="8"/>
      <c r="Z41" s="8"/>
      <c r="AA41" s="8"/>
      <c r="AB41" s="8"/>
      <c r="AC41" s="8"/>
      <c r="AD41" s="8"/>
      <c r="AE41" s="8"/>
      <c r="AF41" s="8"/>
      <c r="AG41" s="8"/>
      <c r="AH41" s="8"/>
      <c r="AI41" s="8"/>
      <c r="AJ41" s="8"/>
      <c r="AK41" s="8"/>
      <c r="AL41" s="8"/>
      <c r="AM41" s="8"/>
      <c r="AN41" s="8"/>
    </row>
    <row r="43">
      <c r="A43" s="8"/>
      <c r="C43" s="8"/>
      <c r="D43" s="8"/>
      <c r="E43" s="8"/>
      <c r="F43" s="8"/>
      <c r="G43" s="8"/>
      <c r="H43" s="8"/>
      <c r="I43" s="9"/>
      <c r="M43" s="1"/>
      <c r="O43" s="9"/>
      <c r="P43" s="9"/>
      <c r="V43" s="8"/>
      <c r="W43" s="8"/>
      <c r="X43" s="8"/>
      <c r="Y43" s="8"/>
      <c r="Z43" s="8"/>
      <c r="AA43" s="8"/>
      <c r="AB43" s="8"/>
      <c r="AC43" s="8"/>
      <c r="AD43" s="8"/>
      <c r="AE43" s="8"/>
      <c r="AF43" s="8"/>
      <c r="AG43" s="8"/>
      <c r="AH43" s="8"/>
      <c r="AI43" s="8"/>
      <c r="AJ43" s="8"/>
      <c r="AK43" s="8"/>
      <c r="AL43" s="8"/>
      <c r="AM43" s="8"/>
      <c r="AN43" s="8"/>
    </row>
    <row r="44">
      <c r="A44" s="8"/>
      <c r="C44" s="8"/>
      <c r="D44" s="8"/>
      <c r="E44" s="8"/>
      <c r="F44" s="8"/>
      <c r="G44" s="8"/>
      <c r="H44" s="8"/>
      <c r="I44" s="8"/>
      <c r="K44" s="8"/>
      <c r="L44" s="8"/>
      <c r="M44" s="1"/>
      <c r="N44" s="8"/>
      <c r="O44" s="8"/>
      <c r="P44" s="9"/>
      <c r="V44" s="8"/>
      <c r="W44" s="8"/>
      <c r="X44" s="8"/>
      <c r="Y44" s="8"/>
      <c r="Z44" s="8"/>
      <c r="AA44" s="8"/>
      <c r="AB44" s="8"/>
      <c r="AC44" s="8"/>
      <c r="AD44" s="8"/>
      <c r="AE44" s="8"/>
      <c r="AF44" s="8"/>
      <c r="AG44" s="8"/>
      <c r="AH44" s="8"/>
      <c r="AI44" s="8"/>
      <c r="AJ44" s="8"/>
      <c r="AK44" s="8"/>
      <c r="AL44" s="8"/>
      <c r="AM44" s="8"/>
      <c r="AN44" s="8"/>
    </row>
  </sheetData>
  <conditionalFormatting sqref="G1:G804">
    <cfRule type="containsText" dxfId="0" priority="1" operator="containsText" text="Rz">
      <formula>NOT(ISERROR(SEARCH(("Rz"),(G1))))</formula>
    </cfRule>
  </conditionalFormatting>
  <conditionalFormatting sqref="G1:G804">
    <cfRule type="containsText" dxfId="0" priority="2" operator="containsText" text="Qz">
      <formula>NOT(ISERROR(SEARCH(("Qz"),(G1))))</formula>
    </cfRule>
  </conditionalFormatting>
  <conditionalFormatting sqref="G1:G804">
    <cfRule type="containsText" dxfId="0" priority="3" operator="containsText" text="Hf">
      <formula>NOT(ISERROR(SEARCH(("Hf"),(G1))))</formula>
    </cfRule>
  </conditionalFormatting>
  <conditionalFormatting sqref="G1:G804">
    <cfRule type="containsText" dxfId="1" priority="4" operator="containsText" text="Cz">
      <formula>NOT(ISERROR(SEARCH(("Cz"),(G1))))</formula>
    </cfRule>
  </conditionalFormatting>
  <conditionalFormatting sqref="G1:G804">
    <cfRule type="containsText" dxfId="2" priority="5" operator="containsText" text="MMA">
      <formula>NOT(ISERROR(SEARCH(("MMA"),(G1))))</formula>
    </cfRule>
  </conditionalFormatting>
  <conditionalFormatting sqref="G1:G804">
    <cfRule type="containsText" dxfId="3" priority="6" operator="containsText" text="UMA">
      <formula>NOT(ISERROR(SEARCH(("UMA"),(G1))))</formula>
    </cfRule>
  </conditionalFormatting>
  <conditionalFormatting sqref="G1:G804">
    <cfRule type="containsText" dxfId="4" priority="7" operator="containsText" text="LMA">
      <formula>NOT(ISERROR(SEARCH(("LMA"),(G1))))</formula>
    </cfRule>
  </conditionalFormatting>
  <conditionalFormatting sqref="G1:G804">
    <cfRule type="containsText" dxfId="5" priority="8" operator="containsText" text="TU">
      <formula>NOT(ISERROR(SEARCH(("TU"),(G1))))</formula>
    </cfRule>
  </conditionalFormatting>
  <conditionalFormatting sqref="G1:G804">
    <cfRule type="containsText" dxfId="6" priority="9" operator="containsText" text="Mz">
      <formula>NOT(ISERROR(SEARCH(("Mz"),(G1))))</formula>
    </cfRule>
  </conditionalFormatting>
  <conditionalFormatting sqref="G1:G804">
    <cfRule type="containsText" dxfId="7" priority="10" operator="containsText" text="UG2">
      <formula>NOT(ISERROR(SEARCH(("UG2"),(G1))))</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0.38"/>
    <col customWidth="1" min="5" max="5" width="18.75"/>
    <col customWidth="1" min="8" max="8" width="13.75"/>
    <col customWidth="1" min="9" max="9" width="24.25"/>
    <col customWidth="1" min="10" max="15" width="20.38"/>
    <col customWidth="1" min="16" max="16" width="47.75"/>
  </cols>
  <sheetData>
    <row r="1">
      <c r="A1" s="1" t="s">
        <v>0</v>
      </c>
      <c r="B1" s="3" t="s">
        <v>2</v>
      </c>
      <c r="C1" s="1" t="s">
        <v>3</v>
      </c>
      <c r="D1" s="1" t="s">
        <v>4</v>
      </c>
      <c r="E1" s="2" t="s">
        <v>5</v>
      </c>
      <c r="F1" s="1" t="s">
        <v>7</v>
      </c>
      <c r="G1" s="2" t="s">
        <v>8</v>
      </c>
      <c r="H1" s="2" t="s">
        <v>9</v>
      </c>
      <c r="I1" s="2" t="s">
        <v>10</v>
      </c>
      <c r="J1" s="3" t="s">
        <v>11</v>
      </c>
      <c r="K1" s="3" t="s">
        <v>12</v>
      </c>
      <c r="L1" s="3" t="s">
        <v>13</v>
      </c>
      <c r="M1" s="2" t="s">
        <v>14</v>
      </c>
      <c r="N1" s="3" t="s">
        <v>15</v>
      </c>
      <c r="O1" s="2" t="s">
        <v>16</v>
      </c>
      <c r="P1" s="1" t="s">
        <v>17</v>
      </c>
      <c r="Q1" s="1" t="s">
        <v>18</v>
      </c>
      <c r="R1" s="2" t="s">
        <v>19</v>
      </c>
      <c r="S1" s="1" t="s">
        <v>20</v>
      </c>
      <c r="T1" s="2" t="s">
        <v>21</v>
      </c>
      <c r="U1" s="2" t="s">
        <v>22</v>
      </c>
      <c r="V1" s="1" t="s">
        <v>23</v>
      </c>
      <c r="W1" s="6"/>
      <c r="X1" s="1" t="s">
        <v>24</v>
      </c>
      <c r="Y1" s="6"/>
      <c r="Z1" s="1" t="s">
        <v>26</v>
      </c>
      <c r="AA1" s="6"/>
      <c r="AB1" s="1" t="s">
        <v>28</v>
      </c>
      <c r="AC1" s="6"/>
      <c r="AD1" s="2" t="s">
        <v>29</v>
      </c>
      <c r="AE1" s="2"/>
      <c r="AF1" s="2" t="s">
        <v>30</v>
      </c>
      <c r="AG1" s="1"/>
      <c r="AH1" s="1" t="s">
        <v>31</v>
      </c>
      <c r="AI1" s="6"/>
      <c r="AJ1" s="1" t="s">
        <v>32</v>
      </c>
      <c r="AK1" s="6"/>
      <c r="AL1" s="6"/>
      <c r="AM1" s="8"/>
      <c r="AN1" s="8"/>
    </row>
    <row r="2">
      <c r="A2" s="1" t="s">
        <v>39</v>
      </c>
      <c r="B2" s="3">
        <f t="shared" ref="B2:B54" si="1">N2-$N$48-86</f>
        <v>-697.1431439</v>
      </c>
      <c r="C2" s="1">
        <v>-25.2288</v>
      </c>
      <c r="D2" s="1">
        <v>30.11288</v>
      </c>
      <c r="E2" s="1">
        <v>1959.531</v>
      </c>
      <c r="F2" s="1" t="s">
        <v>44</v>
      </c>
      <c r="G2" s="2" t="s">
        <v>41</v>
      </c>
      <c r="H2" s="1" t="s">
        <v>45</v>
      </c>
      <c r="I2" s="2" t="s">
        <v>45</v>
      </c>
      <c r="J2" s="3" t="str">
        <f t="shared" ref="J2:J54" si="2">IF(((((-25.166768+25.233267)/(30.008173-30.128812))*(D2-30.128812))-25.233267)&lt;C2,"North","South")</f>
        <v>South</v>
      </c>
      <c r="K2" s="3" t="s">
        <v>48</v>
      </c>
      <c r="L2" s="3">
        <v>960.28185083947</v>
      </c>
      <c r="M2" s="1">
        <f t="shared" ref="M2:M54" si="3">((E2-2150)*tan(15*(PI()/180)))+L2</f>
        <v>909.2458361</v>
      </c>
      <c r="N2" s="3">
        <f t="shared" ref="N2:N54" si="4">M2*sin(15*PI()/180)</f>
        <v>235.3301391</v>
      </c>
      <c r="O2" s="1" t="s">
        <v>57</v>
      </c>
      <c r="P2" s="1" t="s">
        <v>58</v>
      </c>
      <c r="Q2" s="1"/>
      <c r="R2" s="6"/>
      <c r="S2" s="6"/>
      <c r="T2" s="6"/>
      <c r="U2" s="6"/>
      <c r="V2" s="6"/>
      <c r="W2" s="6"/>
      <c r="X2" s="6"/>
      <c r="Y2" s="6"/>
      <c r="Z2" s="6"/>
      <c r="AA2" s="6"/>
      <c r="AB2" s="6"/>
      <c r="AC2" s="6"/>
      <c r="AD2" s="6"/>
      <c r="AE2" s="6"/>
      <c r="AF2" s="6"/>
      <c r="AG2" s="6"/>
      <c r="AH2" s="6"/>
      <c r="AI2" s="6"/>
      <c r="AJ2" s="6"/>
      <c r="AK2" s="6"/>
      <c r="AL2" s="6"/>
      <c r="AM2" s="6"/>
      <c r="AN2" s="6"/>
    </row>
    <row r="3">
      <c r="A3" s="9" t="s">
        <v>59</v>
      </c>
      <c r="B3" s="3">
        <f t="shared" si="1"/>
        <v>-674.0088167</v>
      </c>
      <c r="C3" s="10">
        <v>-25.2259</v>
      </c>
      <c r="D3" s="10">
        <v>30.1139</v>
      </c>
      <c r="E3" s="10">
        <v>1929.36</v>
      </c>
      <c r="F3" s="9" t="s">
        <v>60</v>
      </c>
      <c r="G3" s="11" t="s">
        <v>41</v>
      </c>
      <c r="H3" s="9" t="s">
        <v>45</v>
      </c>
      <c r="I3" s="9" t="s">
        <v>45</v>
      </c>
      <c r="J3" s="3" t="str">
        <f t="shared" si="2"/>
        <v>South</v>
      </c>
      <c r="K3" s="3" t="s">
        <v>63</v>
      </c>
      <c r="L3" s="3">
        <v>1057.750322443</v>
      </c>
      <c r="M3" s="1">
        <f t="shared" si="3"/>
        <v>998.6300126</v>
      </c>
      <c r="N3" s="3">
        <f t="shared" si="4"/>
        <v>258.4644663</v>
      </c>
      <c r="O3" s="9"/>
      <c r="P3" s="9" t="s">
        <v>66</v>
      </c>
      <c r="Q3" s="8"/>
      <c r="R3" s="10">
        <v>210.0</v>
      </c>
      <c r="S3" s="10">
        <v>30.0</v>
      </c>
      <c r="T3" s="10">
        <f>R3-90</f>
        <v>120</v>
      </c>
      <c r="U3" s="12" t="s">
        <v>55</v>
      </c>
      <c r="V3" s="8"/>
      <c r="W3" s="8"/>
      <c r="X3" s="8"/>
      <c r="Y3" s="8"/>
      <c r="Z3" s="8"/>
      <c r="AA3" s="8"/>
      <c r="AB3" s="8"/>
      <c r="AC3" s="8"/>
      <c r="AD3" s="8"/>
      <c r="AE3" s="8"/>
      <c r="AF3" s="8"/>
      <c r="AG3" s="8"/>
      <c r="AH3" s="8"/>
      <c r="AI3" s="8"/>
      <c r="AJ3" s="8"/>
      <c r="AK3" s="8"/>
      <c r="AL3" s="8"/>
      <c r="AM3" s="6"/>
      <c r="AN3" s="6"/>
    </row>
    <row r="4">
      <c r="A4" s="13" t="s">
        <v>80</v>
      </c>
      <c r="B4" s="3">
        <f t="shared" si="1"/>
        <v>-661.4294508</v>
      </c>
      <c r="C4" s="14">
        <v>-25.239</v>
      </c>
      <c r="D4" s="14">
        <v>30.10369</v>
      </c>
      <c r="E4" s="14">
        <v>2009.645</v>
      </c>
      <c r="F4" s="13" t="s">
        <v>84</v>
      </c>
      <c r="G4" s="15" t="s">
        <v>41</v>
      </c>
      <c r="H4" s="13" t="s">
        <v>45</v>
      </c>
      <c r="I4" s="13" t="s">
        <v>45</v>
      </c>
      <c r="J4" s="3" t="str">
        <f t="shared" si="2"/>
        <v>South</v>
      </c>
      <c r="K4" s="3" t="s">
        <v>86</v>
      </c>
      <c r="L4" s="3">
        <v>1084.84095890229</v>
      </c>
      <c r="M4" s="1">
        <f t="shared" si="3"/>
        <v>1047.23295</v>
      </c>
      <c r="N4" s="3">
        <f t="shared" si="4"/>
        <v>271.0438321</v>
      </c>
      <c r="O4" s="18" t="s">
        <v>89</v>
      </c>
      <c r="P4" s="8"/>
      <c r="Q4" s="8"/>
      <c r="R4" s="8"/>
      <c r="S4" s="8"/>
      <c r="T4" s="8"/>
      <c r="U4" s="8"/>
      <c r="V4" s="8"/>
      <c r="W4" s="8"/>
      <c r="X4" s="8"/>
      <c r="Y4" s="8"/>
      <c r="Z4" s="8"/>
      <c r="AA4" s="8"/>
      <c r="AB4" s="8"/>
      <c r="AC4" s="8"/>
      <c r="AD4" s="8"/>
      <c r="AE4" s="8"/>
      <c r="AF4" s="8"/>
      <c r="AG4" s="8"/>
      <c r="AH4" s="8"/>
      <c r="AI4" s="8"/>
      <c r="AJ4" s="8"/>
      <c r="AK4" s="8"/>
      <c r="AL4" s="8"/>
      <c r="AM4" s="6"/>
      <c r="AN4" s="6"/>
    </row>
    <row r="5">
      <c r="A5" s="9" t="s">
        <v>92</v>
      </c>
      <c r="B5" s="3">
        <f t="shared" si="1"/>
        <v>-648.766912</v>
      </c>
      <c r="C5" s="10">
        <v>-25.2251</v>
      </c>
      <c r="D5" s="10">
        <v>30.11337</v>
      </c>
      <c r="E5" s="10">
        <v>1940.37</v>
      </c>
      <c r="F5" s="9" t="s">
        <v>94</v>
      </c>
      <c r="G5" s="11" t="s">
        <v>41</v>
      </c>
      <c r="H5" s="9" t="s">
        <v>96</v>
      </c>
      <c r="I5" s="11" t="s">
        <v>73</v>
      </c>
      <c r="J5" s="3" t="str">
        <f t="shared" si="2"/>
        <v>South</v>
      </c>
      <c r="K5" s="3" t="s">
        <v>97</v>
      </c>
      <c r="L5" s="3">
        <v>1152.32743226903</v>
      </c>
      <c r="M5" s="1">
        <f t="shared" si="3"/>
        <v>1096.157243</v>
      </c>
      <c r="N5" s="3">
        <f t="shared" si="4"/>
        <v>283.7063709</v>
      </c>
      <c r="O5" s="8"/>
      <c r="P5" s="9" t="s">
        <v>101</v>
      </c>
      <c r="Q5" s="10">
        <v>34.0</v>
      </c>
      <c r="R5" s="8"/>
      <c r="S5" s="8"/>
      <c r="T5" s="8"/>
      <c r="U5" s="8"/>
      <c r="V5" s="8"/>
      <c r="W5" s="8"/>
      <c r="X5" s="8"/>
      <c r="Y5" s="8"/>
      <c r="Z5" s="8"/>
      <c r="AA5" s="8"/>
      <c r="AB5" s="8"/>
      <c r="AC5" s="8"/>
      <c r="AD5" s="8"/>
      <c r="AE5" s="8"/>
      <c r="AF5" s="8"/>
      <c r="AG5" s="8"/>
      <c r="AH5" s="8"/>
      <c r="AI5" s="8"/>
      <c r="AJ5" s="8"/>
      <c r="AK5" s="8"/>
      <c r="AL5" s="8"/>
      <c r="AM5" s="6"/>
      <c r="AN5" s="6"/>
    </row>
    <row r="6">
      <c r="A6" s="9" t="s">
        <v>108</v>
      </c>
      <c r="B6" s="3">
        <f t="shared" si="1"/>
        <v>-637.7643342</v>
      </c>
      <c r="C6" s="10">
        <v>-25.2261</v>
      </c>
      <c r="D6" s="10">
        <v>30.11207</v>
      </c>
      <c r="E6" s="10">
        <v>1929.214</v>
      </c>
      <c r="F6" s="9" t="s">
        <v>109</v>
      </c>
      <c r="G6" s="11" t="s">
        <v>41</v>
      </c>
      <c r="H6" s="9" t="s">
        <v>111</v>
      </c>
      <c r="I6" s="9" t="s">
        <v>111</v>
      </c>
      <c r="J6" s="3" t="str">
        <f t="shared" si="2"/>
        <v>South</v>
      </c>
      <c r="K6" s="3" t="s">
        <v>114</v>
      </c>
      <c r="L6" s="3">
        <v>1197.82736982799</v>
      </c>
      <c r="M6" s="1">
        <f t="shared" si="3"/>
        <v>1138.667939</v>
      </c>
      <c r="N6" s="3">
        <f t="shared" si="4"/>
        <v>294.7089488</v>
      </c>
      <c r="O6" s="9" t="s">
        <v>116</v>
      </c>
      <c r="P6" s="9" t="s">
        <v>117</v>
      </c>
      <c r="Q6" s="9" t="s">
        <v>118</v>
      </c>
      <c r="R6" s="8"/>
      <c r="S6" s="8"/>
      <c r="T6" s="8"/>
      <c r="U6" s="8"/>
      <c r="V6" s="8"/>
      <c r="W6" s="8"/>
      <c r="X6" s="10">
        <v>60.0</v>
      </c>
      <c r="Y6" s="9" t="s">
        <v>119</v>
      </c>
      <c r="Z6" s="10">
        <v>10.0</v>
      </c>
      <c r="AA6" s="8"/>
      <c r="AB6" s="8"/>
      <c r="AC6" s="8"/>
      <c r="AD6" s="8"/>
      <c r="AE6" s="8"/>
      <c r="AF6" s="10">
        <v>30.0</v>
      </c>
      <c r="AG6" s="9" t="s">
        <v>120</v>
      </c>
      <c r="AH6" s="8"/>
      <c r="AI6" s="8"/>
      <c r="AJ6" s="10">
        <v>0.0</v>
      </c>
      <c r="AK6" s="8"/>
      <c r="AL6" s="8"/>
      <c r="AM6" s="6"/>
      <c r="AN6" s="6"/>
    </row>
    <row r="7">
      <c r="A7" s="9" t="s">
        <v>122</v>
      </c>
      <c r="B7" s="3">
        <f t="shared" si="1"/>
        <v>-621.3923707</v>
      </c>
      <c r="C7" s="10">
        <v>-25.2246</v>
      </c>
      <c r="D7" s="10">
        <v>30.11251</v>
      </c>
      <c r="E7" s="10">
        <v>1949.869</v>
      </c>
      <c r="F7" s="9" t="s">
        <v>124</v>
      </c>
      <c r="G7" s="9" t="s">
        <v>41</v>
      </c>
      <c r="H7" s="9" t="s">
        <v>41</v>
      </c>
      <c r="I7" s="11" t="s">
        <v>42</v>
      </c>
      <c r="J7" s="3" t="str">
        <f t="shared" si="2"/>
        <v>South</v>
      </c>
      <c r="K7" s="3" t="s">
        <v>127</v>
      </c>
      <c r="L7" s="3">
        <v>1255.54928859179</v>
      </c>
      <c r="M7" s="1">
        <f t="shared" si="3"/>
        <v>1201.924349</v>
      </c>
      <c r="N7" s="3">
        <f t="shared" si="4"/>
        <v>311.0809122</v>
      </c>
      <c r="O7" s="9" t="s">
        <v>130</v>
      </c>
      <c r="P7" s="9" t="s">
        <v>131</v>
      </c>
      <c r="Q7" s="9" t="s">
        <v>132</v>
      </c>
      <c r="R7" s="8"/>
      <c r="S7" s="8"/>
      <c r="T7" s="8"/>
      <c r="U7" s="8"/>
      <c r="V7" s="8"/>
      <c r="W7" s="8"/>
      <c r="X7" s="8"/>
      <c r="Y7" s="8"/>
      <c r="Z7" s="8"/>
      <c r="AA7" s="8"/>
      <c r="AB7" s="8"/>
      <c r="AC7" s="8"/>
      <c r="AD7" s="8"/>
      <c r="AE7" s="8"/>
      <c r="AF7" s="8"/>
      <c r="AG7" s="8"/>
      <c r="AH7" s="8"/>
      <c r="AI7" s="8"/>
      <c r="AJ7" s="8"/>
      <c r="AK7" s="8"/>
      <c r="AL7" s="8"/>
      <c r="AM7" s="6"/>
      <c r="AN7" s="6"/>
    </row>
    <row r="8">
      <c r="A8" s="9" t="s">
        <v>136</v>
      </c>
      <c r="B8" s="3">
        <f t="shared" si="1"/>
        <v>-619.1370867</v>
      </c>
      <c r="C8" s="10">
        <v>-25.2245</v>
      </c>
      <c r="D8" s="10">
        <v>30.11247</v>
      </c>
      <c r="E8" s="10">
        <v>1946.441</v>
      </c>
      <c r="F8" s="9" t="s">
        <v>138</v>
      </c>
      <c r="G8" s="11" t="s">
        <v>41</v>
      </c>
      <c r="H8" s="9" t="s">
        <v>111</v>
      </c>
      <c r="I8" s="9" t="s">
        <v>140</v>
      </c>
      <c r="J8" s="3" t="str">
        <f t="shared" si="2"/>
        <v>South</v>
      </c>
      <c r="K8" s="3" t="s">
        <v>141</v>
      </c>
      <c r="L8" s="3">
        <v>1265.18156670207</v>
      </c>
      <c r="M8" s="1">
        <f t="shared" si="3"/>
        <v>1210.638097</v>
      </c>
      <c r="N8" s="3">
        <f t="shared" si="4"/>
        <v>313.3361962</v>
      </c>
      <c r="O8" s="9" t="s">
        <v>143</v>
      </c>
      <c r="P8" s="9" t="s">
        <v>144</v>
      </c>
      <c r="Q8" s="10">
        <v>35.0</v>
      </c>
      <c r="R8" s="8"/>
      <c r="S8" s="8"/>
      <c r="T8" s="8"/>
      <c r="U8" s="8"/>
      <c r="V8" s="8"/>
      <c r="W8" s="8"/>
      <c r="X8" s="8"/>
      <c r="Y8" s="8"/>
      <c r="Z8" s="8"/>
      <c r="AA8" s="8"/>
      <c r="AB8" s="8"/>
      <c r="AC8" s="8"/>
      <c r="AD8" s="8"/>
      <c r="AE8" s="8"/>
      <c r="AF8" s="8"/>
      <c r="AG8" s="8"/>
      <c r="AH8" s="8"/>
      <c r="AI8" s="8"/>
      <c r="AJ8" s="8"/>
      <c r="AK8" s="8"/>
      <c r="AL8" s="8"/>
      <c r="AM8" s="6"/>
      <c r="AN8" s="6"/>
    </row>
    <row r="9">
      <c r="A9" s="13" t="s">
        <v>149</v>
      </c>
      <c r="B9" s="3">
        <f t="shared" si="1"/>
        <v>-569.4274972</v>
      </c>
      <c r="C9" s="14">
        <v>-25.2369</v>
      </c>
      <c r="D9" s="14">
        <v>30.10081</v>
      </c>
      <c r="E9" s="14">
        <v>1946.211</v>
      </c>
      <c r="F9" s="13" t="s">
        <v>151</v>
      </c>
      <c r="G9" s="15" t="s">
        <v>41</v>
      </c>
      <c r="H9" s="13" t="s">
        <v>111</v>
      </c>
      <c r="I9" s="13" t="s">
        <v>111</v>
      </c>
      <c r="J9" s="3" t="str">
        <f t="shared" si="2"/>
        <v>South</v>
      </c>
      <c r="K9" s="3" t="s">
        <v>153</v>
      </c>
      <c r="L9" s="3">
        <v>1457.30630012023</v>
      </c>
      <c r="M9" s="1">
        <f t="shared" si="3"/>
        <v>1402.701202</v>
      </c>
      <c r="N9" s="3">
        <f t="shared" si="4"/>
        <v>363.0457857</v>
      </c>
      <c r="O9" s="13" t="s">
        <v>158</v>
      </c>
      <c r="P9" s="9" t="s">
        <v>160</v>
      </c>
      <c r="Q9" s="9" t="s">
        <v>161</v>
      </c>
      <c r="R9" s="8"/>
      <c r="S9" s="8"/>
      <c r="T9" s="8"/>
      <c r="U9" s="8"/>
      <c r="V9" s="8"/>
      <c r="W9" s="8"/>
      <c r="X9" s="8"/>
      <c r="Y9" s="8"/>
      <c r="Z9" s="8"/>
      <c r="AA9" s="8"/>
      <c r="AB9" s="8"/>
      <c r="AC9" s="8"/>
      <c r="AD9" s="8"/>
      <c r="AE9" s="8"/>
      <c r="AF9" s="8"/>
      <c r="AG9" s="8"/>
      <c r="AH9" s="8"/>
      <c r="AI9" s="8"/>
      <c r="AJ9" s="10">
        <v>0.0</v>
      </c>
      <c r="AK9" s="8"/>
      <c r="AL9" s="8"/>
      <c r="AM9" s="6"/>
      <c r="AN9" s="6"/>
    </row>
    <row r="10">
      <c r="A10" s="13" t="s">
        <v>164</v>
      </c>
      <c r="B10" s="3">
        <f t="shared" si="1"/>
        <v>-558.831319</v>
      </c>
      <c r="C10" s="14">
        <v>-25.2374</v>
      </c>
      <c r="D10" s="14">
        <v>30.09991</v>
      </c>
      <c r="E10" s="14">
        <v>1936.261</v>
      </c>
      <c r="F10" s="13" t="s">
        <v>165</v>
      </c>
      <c r="G10" s="15" t="s">
        <v>41</v>
      </c>
      <c r="H10" s="13" t="s">
        <v>111</v>
      </c>
      <c r="I10" s="13" t="s">
        <v>111</v>
      </c>
      <c r="J10" s="3" t="str">
        <f t="shared" si="2"/>
        <v>South</v>
      </c>
      <c r="K10" s="3" t="s">
        <v>167</v>
      </c>
      <c r="L10" s="3">
        <v>1500.91288348198</v>
      </c>
      <c r="M10" s="1">
        <f t="shared" si="3"/>
        <v>1443.641691</v>
      </c>
      <c r="N10" s="3">
        <f t="shared" si="4"/>
        <v>373.6419639</v>
      </c>
      <c r="O10" s="13" t="s">
        <v>172</v>
      </c>
      <c r="P10" s="9" t="s">
        <v>173</v>
      </c>
      <c r="Q10" s="10">
        <v>69.0</v>
      </c>
      <c r="R10" s="9" t="s">
        <v>174</v>
      </c>
      <c r="S10" s="8"/>
      <c r="T10" s="8"/>
      <c r="U10" s="8"/>
      <c r="V10" s="8"/>
      <c r="W10" s="8"/>
      <c r="X10" s="8"/>
      <c r="Y10" s="8"/>
      <c r="Z10" s="10">
        <v>5.0</v>
      </c>
      <c r="AA10" s="9" t="s">
        <v>176</v>
      </c>
      <c r="AB10" s="10">
        <v>2.0</v>
      </c>
      <c r="AC10" s="9" t="s">
        <v>177</v>
      </c>
      <c r="AD10" s="8"/>
      <c r="AE10" s="8"/>
      <c r="AF10" s="10">
        <v>40.0</v>
      </c>
      <c r="AG10" s="9" t="s">
        <v>179</v>
      </c>
      <c r="AH10" s="9" t="s">
        <v>180</v>
      </c>
      <c r="AI10" s="8"/>
      <c r="AJ10" s="10">
        <v>0.0</v>
      </c>
      <c r="AK10" s="8"/>
      <c r="AL10" s="8"/>
      <c r="AM10" s="6"/>
      <c r="AN10" s="6"/>
    </row>
    <row r="11">
      <c r="A11" s="9" t="s">
        <v>184</v>
      </c>
      <c r="B11" s="3">
        <f t="shared" si="1"/>
        <v>-555.1066071</v>
      </c>
      <c r="C11" s="10">
        <v>-25.2211</v>
      </c>
      <c r="D11" s="10">
        <v>30.11222</v>
      </c>
      <c r="E11" s="10">
        <v>1993.086</v>
      </c>
      <c r="F11" s="9" t="s">
        <v>185</v>
      </c>
      <c r="G11" s="12" t="s">
        <v>41</v>
      </c>
      <c r="H11" s="8" t="s">
        <v>96</v>
      </c>
      <c r="I11" s="12" t="s">
        <v>73</v>
      </c>
      <c r="J11" s="3" t="str">
        <f t="shared" si="2"/>
        <v>North</v>
      </c>
      <c r="K11" s="3" t="s">
        <v>188</v>
      </c>
      <c r="L11" s="3">
        <v>1500.07785209909</v>
      </c>
      <c r="M11" s="1">
        <f t="shared" si="3"/>
        <v>1458.032873</v>
      </c>
      <c r="N11" s="3">
        <f t="shared" si="4"/>
        <v>377.3666758</v>
      </c>
      <c r="O11" s="8" t="s">
        <v>190</v>
      </c>
      <c r="P11" s="17" t="s">
        <v>192</v>
      </c>
      <c r="Q11" s="8" t="s">
        <v>193</v>
      </c>
      <c r="R11" s="8"/>
      <c r="S11" s="8"/>
      <c r="T11" s="8"/>
      <c r="U11" s="8"/>
      <c r="V11" s="8"/>
      <c r="W11" s="8"/>
      <c r="X11" s="8"/>
      <c r="Y11" s="8"/>
      <c r="Z11" s="8"/>
      <c r="AA11" s="8"/>
      <c r="AB11" s="8"/>
      <c r="AC11" s="8"/>
      <c r="AD11" s="8"/>
      <c r="AE11" s="8"/>
      <c r="AF11" s="8"/>
      <c r="AG11" s="8"/>
      <c r="AH11" s="8"/>
      <c r="AI11" s="8"/>
      <c r="AJ11" s="8"/>
      <c r="AK11" s="8"/>
      <c r="AL11" s="8"/>
      <c r="AM11" s="6"/>
      <c r="AN11" s="6"/>
    </row>
    <row r="12">
      <c r="A12" s="13" t="s">
        <v>69</v>
      </c>
      <c r="B12" s="3">
        <f t="shared" si="1"/>
        <v>-551.8870812</v>
      </c>
      <c r="C12" s="14">
        <v>-25.237</v>
      </c>
      <c r="D12" s="14">
        <v>30.09985</v>
      </c>
      <c r="E12" s="14">
        <v>1923.735</v>
      </c>
      <c r="F12" s="13" t="s">
        <v>71</v>
      </c>
      <c r="G12" s="15" t="s">
        <v>41</v>
      </c>
      <c r="H12" s="13" t="s">
        <v>72</v>
      </c>
      <c r="I12" s="15" t="s">
        <v>73</v>
      </c>
      <c r="J12" s="3" t="str">
        <f t="shared" si="2"/>
        <v>South</v>
      </c>
      <c r="K12" s="3" t="s">
        <v>75</v>
      </c>
      <c r="L12" s="3">
        <v>1531.09968965563</v>
      </c>
      <c r="M12" s="1">
        <f t="shared" si="3"/>
        <v>1470.472166</v>
      </c>
      <c r="N12" s="3">
        <f t="shared" si="4"/>
        <v>380.5862018</v>
      </c>
      <c r="O12" s="13" t="s">
        <v>76</v>
      </c>
      <c r="P12" s="9" t="s">
        <v>77</v>
      </c>
      <c r="Q12" s="10">
        <v>67.0</v>
      </c>
      <c r="R12" s="10">
        <v>310.0</v>
      </c>
      <c r="S12" s="10">
        <v>25.0</v>
      </c>
      <c r="T12" s="10">
        <f>R12-90</f>
        <v>220</v>
      </c>
      <c r="U12" s="16" t="s">
        <v>79</v>
      </c>
      <c r="V12" s="10">
        <v>70.0</v>
      </c>
      <c r="W12" s="9" t="s">
        <v>81</v>
      </c>
      <c r="X12" s="8"/>
      <c r="Y12" s="8"/>
      <c r="Z12" s="8"/>
      <c r="AA12" s="8"/>
      <c r="AB12" s="8"/>
      <c r="AC12" s="8"/>
      <c r="AD12" s="8"/>
      <c r="AE12" s="8"/>
      <c r="AF12" s="10">
        <v>15.0</v>
      </c>
      <c r="AG12" s="8"/>
      <c r="AH12" s="9" t="s">
        <v>82</v>
      </c>
      <c r="AI12" s="8"/>
      <c r="AJ12" s="10">
        <v>1.0</v>
      </c>
      <c r="AK12" s="8"/>
      <c r="AL12" s="8"/>
      <c r="AM12" s="6"/>
      <c r="AN12" s="6"/>
    </row>
    <row r="13">
      <c r="A13" s="9" t="s">
        <v>213</v>
      </c>
      <c r="B13" s="3">
        <f t="shared" si="1"/>
        <v>-506.5067896</v>
      </c>
      <c r="C13" s="10">
        <v>-25.2373</v>
      </c>
      <c r="D13" s="10">
        <v>30.09753</v>
      </c>
      <c r="E13" s="10">
        <v>1926.249</v>
      </c>
      <c r="F13" s="9" t="s">
        <v>215</v>
      </c>
      <c r="G13" s="9" t="s">
        <v>41</v>
      </c>
      <c r="H13" s="9" t="s">
        <v>41</v>
      </c>
      <c r="I13" s="11" t="s">
        <v>42</v>
      </c>
      <c r="J13" s="3" t="str">
        <f t="shared" si="2"/>
        <v>South</v>
      </c>
      <c r="K13" s="3" t="s">
        <v>216</v>
      </c>
      <c r="L13" s="3">
        <v>1705.7620481423</v>
      </c>
      <c r="M13" s="1">
        <f t="shared" si="3"/>
        <v>1645.808148</v>
      </c>
      <c r="N13" s="3">
        <f t="shared" si="4"/>
        <v>425.9664934</v>
      </c>
      <c r="O13" s="8"/>
      <c r="P13" s="17" t="s">
        <v>230</v>
      </c>
      <c r="Q13" s="10">
        <v>6.0</v>
      </c>
      <c r="R13" s="8"/>
      <c r="S13" s="8"/>
      <c r="T13" s="8"/>
      <c r="U13" s="8"/>
      <c r="V13" s="8"/>
      <c r="W13" s="8"/>
      <c r="X13" s="8"/>
      <c r="Y13" s="8"/>
      <c r="Z13" s="8"/>
      <c r="AA13" s="8"/>
      <c r="AB13" s="8"/>
      <c r="AC13" s="8"/>
      <c r="AD13" s="8"/>
      <c r="AE13" s="8"/>
      <c r="AF13" s="8"/>
      <c r="AG13" s="8"/>
      <c r="AH13" s="8"/>
      <c r="AI13" s="8"/>
      <c r="AJ13" s="8"/>
      <c r="AK13" s="8"/>
      <c r="AL13" s="8"/>
      <c r="AM13" s="6"/>
      <c r="AN13" s="6"/>
    </row>
    <row r="14">
      <c r="A14" s="9" t="s">
        <v>235</v>
      </c>
      <c r="B14" s="3">
        <f t="shared" si="1"/>
        <v>-500.0442871</v>
      </c>
      <c r="C14" s="10">
        <v>-25.2372</v>
      </c>
      <c r="D14" s="10">
        <v>30.0973</v>
      </c>
      <c r="E14" s="10">
        <v>1924.33</v>
      </c>
      <c r="F14" s="9" t="s">
        <v>238</v>
      </c>
      <c r="G14" s="9" t="s">
        <v>41</v>
      </c>
      <c r="H14" s="9" t="s">
        <v>41</v>
      </c>
      <c r="I14" s="11" t="s">
        <v>42</v>
      </c>
      <c r="J14" s="3" t="str">
        <f t="shared" si="2"/>
        <v>South</v>
      </c>
      <c r="K14" s="3" t="s">
        <v>247</v>
      </c>
      <c r="L14" s="3">
        <v>1731.24543472727</v>
      </c>
      <c r="M14" s="1">
        <f t="shared" si="3"/>
        <v>1670.77734</v>
      </c>
      <c r="N14" s="3">
        <f t="shared" si="4"/>
        <v>432.4289958</v>
      </c>
      <c r="O14" s="8"/>
      <c r="P14" s="9" t="s">
        <v>251</v>
      </c>
      <c r="Q14" s="8"/>
      <c r="R14" s="8"/>
      <c r="S14" s="8"/>
      <c r="T14" s="8"/>
      <c r="U14" s="8"/>
      <c r="V14" s="8"/>
      <c r="W14" s="8"/>
      <c r="X14" s="8"/>
      <c r="Y14" s="8"/>
      <c r="Z14" s="8"/>
      <c r="AA14" s="8"/>
      <c r="AB14" s="8"/>
      <c r="AC14" s="8"/>
      <c r="AD14" s="8"/>
      <c r="AE14" s="8"/>
      <c r="AF14" s="8"/>
      <c r="AG14" s="8"/>
      <c r="AH14" s="8"/>
      <c r="AI14" s="8"/>
      <c r="AJ14" s="8"/>
      <c r="AK14" s="8"/>
      <c r="AL14" s="8"/>
      <c r="AM14" s="6"/>
      <c r="AN14" s="6"/>
    </row>
    <row r="15">
      <c r="A15" s="9" t="s">
        <v>256</v>
      </c>
      <c r="B15" s="3">
        <f t="shared" si="1"/>
        <v>-478.9043511</v>
      </c>
      <c r="C15" s="10">
        <v>-25.2369</v>
      </c>
      <c r="D15" s="10">
        <v>30.09644</v>
      </c>
      <c r="E15" s="10">
        <v>1890.912</v>
      </c>
      <c r="F15" s="9" t="s">
        <v>257</v>
      </c>
      <c r="G15" s="9" t="s">
        <v>41</v>
      </c>
      <c r="H15" s="9" t="s">
        <v>41</v>
      </c>
      <c r="I15" s="11" t="s">
        <v>42</v>
      </c>
      <c r="J15" s="3" t="str">
        <f t="shared" si="2"/>
        <v>South</v>
      </c>
      <c r="K15" s="3" t="s">
        <v>259</v>
      </c>
      <c r="L15" s="3">
        <v>1821.87820145047</v>
      </c>
      <c r="M15" s="1">
        <f t="shared" si="3"/>
        <v>1752.455781</v>
      </c>
      <c r="N15" s="3">
        <f t="shared" si="4"/>
        <v>453.5689318</v>
      </c>
      <c r="O15" s="9" t="s">
        <v>263</v>
      </c>
      <c r="P15" s="9"/>
      <c r="Q15" s="10">
        <v>19.0</v>
      </c>
      <c r="R15" s="8"/>
      <c r="S15" s="8"/>
      <c r="T15" s="9"/>
      <c r="U15" s="10"/>
      <c r="V15" s="10">
        <v>50.0</v>
      </c>
      <c r="W15" s="9" t="s">
        <v>265</v>
      </c>
      <c r="X15" s="10">
        <v>30.0</v>
      </c>
      <c r="Y15" s="9" t="s">
        <v>266</v>
      </c>
      <c r="Z15" s="10">
        <v>15.0</v>
      </c>
      <c r="AA15" s="9" t="s">
        <v>268</v>
      </c>
      <c r="AB15" s="9"/>
      <c r="AC15" s="8"/>
      <c r="AD15" s="9"/>
      <c r="AE15" s="9"/>
      <c r="AF15" s="9"/>
      <c r="AG15" s="9"/>
      <c r="AH15" s="9" t="s">
        <v>269</v>
      </c>
      <c r="AI15" s="8"/>
      <c r="AJ15" s="10">
        <v>2.0</v>
      </c>
      <c r="AK15" s="8"/>
      <c r="AL15" s="8"/>
      <c r="AM15" s="6"/>
      <c r="AN15" s="6"/>
    </row>
    <row r="16">
      <c r="A16" s="9" t="s">
        <v>270</v>
      </c>
      <c r="B16" s="3">
        <f t="shared" si="1"/>
        <v>-478.9043511</v>
      </c>
      <c r="C16" s="10">
        <v>-25.2369</v>
      </c>
      <c r="D16" s="10">
        <v>30.09644</v>
      </c>
      <c r="E16" s="10">
        <v>1890.912</v>
      </c>
      <c r="F16" s="9" t="s">
        <v>257</v>
      </c>
      <c r="G16" s="9" t="s">
        <v>41</v>
      </c>
      <c r="H16" s="9" t="s">
        <v>41</v>
      </c>
      <c r="I16" s="11" t="s">
        <v>273</v>
      </c>
      <c r="J16" s="3" t="str">
        <f t="shared" si="2"/>
        <v>South</v>
      </c>
      <c r="K16" s="3" t="s">
        <v>259</v>
      </c>
      <c r="L16" s="3">
        <v>1821.87820145047</v>
      </c>
      <c r="M16" s="1">
        <f t="shared" si="3"/>
        <v>1752.455781</v>
      </c>
      <c r="N16" s="3">
        <f t="shared" si="4"/>
        <v>453.5689318</v>
      </c>
      <c r="O16" s="9" t="s">
        <v>277</v>
      </c>
      <c r="P16" s="9" t="s">
        <v>278</v>
      </c>
      <c r="Q16" s="9" t="s">
        <v>279</v>
      </c>
      <c r="R16" s="8"/>
      <c r="S16" s="8"/>
      <c r="T16" s="9"/>
      <c r="U16" s="9"/>
      <c r="V16" s="9" t="s">
        <v>280</v>
      </c>
      <c r="W16" s="9" t="s">
        <v>281</v>
      </c>
      <c r="X16" s="9" t="s">
        <v>282</v>
      </c>
      <c r="Y16" s="8"/>
      <c r="Z16" s="9" t="s">
        <v>284</v>
      </c>
      <c r="AA16" s="9" t="s">
        <v>285</v>
      </c>
      <c r="AB16" s="9" t="s">
        <v>286</v>
      </c>
      <c r="AC16" s="8"/>
      <c r="AD16" s="8"/>
      <c r="AE16" s="8"/>
      <c r="AF16" s="8"/>
      <c r="AG16" s="8"/>
      <c r="AH16" s="8"/>
      <c r="AI16" s="8"/>
      <c r="AJ16" s="10">
        <v>3.0</v>
      </c>
      <c r="AK16" s="8"/>
      <c r="AL16" s="8"/>
      <c r="AM16" s="6"/>
      <c r="AN16" s="6"/>
    </row>
    <row r="17">
      <c r="A17" s="9" t="s">
        <v>288</v>
      </c>
      <c r="B17" s="3">
        <f t="shared" si="1"/>
        <v>-476.6624931</v>
      </c>
      <c r="C17" s="10">
        <v>-25.2195</v>
      </c>
      <c r="D17" s="10">
        <v>30.10983</v>
      </c>
      <c r="E17" s="10">
        <v>2004.174</v>
      </c>
      <c r="F17" s="9" t="s">
        <v>290</v>
      </c>
      <c r="G17" s="12" t="s">
        <v>41</v>
      </c>
      <c r="H17" s="8" t="s">
        <v>45</v>
      </c>
      <c r="I17" s="8" t="s">
        <v>45</v>
      </c>
      <c r="J17" s="3" t="str">
        <f t="shared" si="2"/>
        <v>North</v>
      </c>
      <c r="K17" s="3" t="s">
        <v>292</v>
      </c>
      <c r="L17" s="3">
        <v>1800.19161414164</v>
      </c>
      <c r="M17" s="1">
        <f t="shared" si="3"/>
        <v>1761.117655</v>
      </c>
      <c r="N17" s="3">
        <f t="shared" si="4"/>
        <v>455.8107898</v>
      </c>
      <c r="O17" s="8"/>
      <c r="P17" s="19" t="s">
        <v>295</v>
      </c>
      <c r="Q17" s="8"/>
      <c r="R17" s="8"/>
      <c r="S17" s="8"/>
      <c r="T17" s="8"/>
      <c r="U17" s="8"/>
      <c r="V17" s="8"/>
      <c r="W17" s="8"/>
      <c r="X17" s="8"/>
      <c r="Y17" s="8"/>
      <c r="Z17" s="8"/>
      <c r="AA17" s="8"/>
      <c r="AB17" s="8"/>
      <c r="AC17" s="8"/>
      <c r="AD17" s="8"/>
      <c r="AE17" s="8"/>
      <c r="AF17" s="8"/>
      <c r="AG17" s="8"/>
      <c r="AH17" s="8"/>
      <c r="AI17" s="8"/>
      <c r="AJ17" s="8"/>
      <c r="AK17" s="8"/>
      <c r="AL17" s="8"/>
      <c r="AM17" s="6"/>
      <c r="AN17" s="6"/>
    </row>
    <row r="18">
      <c r="A18" s="9" t="s">
        <v>297</v>
      </c>
      <c r="B18" s="3">
        <f t="shared" si="1"/>
        <v>-468.913277</v>
      </c>
      <c r="C18" s="10">
        <v>-25.2207</v>
      </c>
      <c r="D18" s="10">
        <v>30.10839</v>
      </c>
      <c r="E18" s="10">
        <v>1949.503</v>
      </c>
      <c r="F18" s="9" t="s">
        <v>298</v>
      </c>
      <c r="G18" s="11" t="s">
        <v>41</v>
      </c>
      <c r="H18" s="9" t="s">
        <v>111</v>
      </c>
      <c r="I18" s="9" t="s">
        <v>111</v>
      </c>
      <c r="J18" s="3" t="str">
        <f t="shared" si="2"/>
        <v>North</v>
      </c>
      <c r="K18" s="3" t="s">
        <v>300</v>
      </c>
      <c r="L18" s="3">
        <v>1844.7813361315</v>
      </c>
      <c r="M18" s="1">
        <f t="shared" si="3"/>
        <v>1791.058327</v>
      </c>
      <c r="N18" s="3">
        <f t="shared" si="4"/>
        <v>463.5600059</v>
      </c>
      <c r="O18" s="9" t="s">
        <v>301</v>
      </c>
      <c r="P18" s="17" t="s">
        <v>303</v>
      </c>
      <c r="Q18" s="9" t="s">
        <v>304</v>
      </c>
      <c r="R18" s="8"/>
      <c r="S18" s="8"/>
      <c r="T18" s="8"/>
      <c r="U18" s="10"/>
      <c r="V18" s="10">
        <v>60.0</v>
      </c>
      <c r="W18" s="8"/>
      <c r="X18" s="8"/>
      <c r="Y18" s="8"/>
      <c r="Z18" s="8"/>
      <c r="AA18" s="8"/>
      <c r="AB18" s="8"/>
      <c r="AC18" s="8"/>
      <c r="AD18" s="10">
        <v>40.0</v>
      </c>
      <c r="AE18" s="9" t="s">
        <v>307</v>
      </c>
      <c r="AF18" s="8"/>
      <c r="AG18" s="8"/>
      <c r="AH18" s="8"/>
      <c r="AI18" s="8"/>
      <c r="AJ18" s="10">
        <v>0.0</v>
      </c>
      <c r="AK18" s="8"/>
      <c r="AL18" s="8"/>
      <c r="AM18" s="6"/>
      <c r="AN18" s="6"/>
    </row>
    <row r="19">
      <c r="A19" s="9" t="s">
        <v>83</v>
      </c>
      <c r="B19" s="3">
        <f t="shared" si="1"/>
        <v>-440.3743933</v>
      </c>
      <c r="C19" s="10">
        <v>-25.2182</v>
      </c>
      <c r="D19" s="10">
        <v>30.10918</v>
      </c>
      <c r="E19" s="10">
        <v>2019.622</v>
      </c>
      <c r="F19" s="9" t="s">
        <v>85</v>
      </c>
      <c r="G19" s="11" t="s">
        <v>41</v>
      </c>
      <c r="H19" s="9" t="s">
        <v>45</v>
      </c>
      <c r="I19" s="9" t="s">
        <v>45</v>
      </c>
      <c r="J19" s="3" t="str">
        <f t="shared" si="2"/>
        <v>North</v>
      </c>
      <c r="K19" s="3" t="s">
        <v>87</v>
      </c>
      <c r="L19" s="3">
        <v>1936.25878610549</v>
      </c>
      <c r="M19" s="1">
        <f t="shared" si="3"/>
        <v>1901.324106</v>
      </c>
      <c r="N19" s="3">
        <f t="shared" si="4"/>
        <v>492.0988896</v>
      </c>
      <c r="O19" s="8"/>
      <c r="P19" s="17" t="s">
        <v>88</v>
      </c>
      <c r="Q19" s="10">
        <v>20.0</v>
      </c>
      <c r="R19" s="10">
        <v>265.0</v>
      </c>
      <c r="S19" s="10">
        <v>25.0</v>
      </c>
      <c r="T19" s="10">
        <f>R19-90</f>
        <v>175</v>
      </c>
      <c r="U19" s="12" t="s">
        <v>55</v>
      </c>
      <c r="V19" s="8"/>
      <c r="W19" s="8"/>
      <c r="X19" s="8"/>
      <c r="Y19" s="8"/>
      <c r="Z19" s="8"/>
      <c r="AA19" s="8"/>
      <c r="AB19" s="8"/>
      <c r="AC19" s="8"/>
      <c r="AD19" s="8"/>
      <c r="AE19" s="8"/>
      <c r="AF19" s="8"/>
      <c r="AG19" s="8"/>
      <c r="AH19" s="8"/>
      <c r="AI19" s="8"/>
      <c r="AJ19" s="8"/>
      <c r="AK19" s="8"/>
      <c r="AL19" s="8"/>
      <c r="AM19" s="6"/>
      <c r="AN19" s="6"/>
    </row>
    <row r="20">
      <c r="A20" s="13" t="s">
        <v>326</v>
      </c>
      <c r="B20" s="3">
        <f t="shared" si="1"/>
        <v>-439.7975433</v>
      </c>
      <c r="C20" s="14">
        <v>-25.2377</v>
      </c>
      <c r="D20" s="14">
        <v>30.09405</v>
      </c>
      <c r="E20" s="14">
        <v>1898.639</v>
      </c>
      <c r="F20" s="13" t="s">
        <v>329</v>
      </c>
      <c r="G20" s="9" t="s">
        <v>41</v>
      </c>
      <c r="H20" s="9" t="s">
        <v>41</v>
      </c>
      <c r="I20" s="11" t="s">
        <v>42</v>
      </c>
      <c r="J20" s="3" t="str">
        <f t="shared" si="2"/>
        <v>South</v>
      </c>
      <c r="K20" s="3" t="s">
        <v>333</v>
      </c>
      <c r="L20" s="3">
        <v>1970.90486051379</v>
      </c>
      <c r="M20" s="1">
        <f t="shared" si="3"/>
        <v>1903.552884</v>
      </c>
      <c r="N20" s="3">
        <f t="shared" si="4"/>
        <v>492.6757396</v>
      </c>
      <c r="O20" s="9" t="s">
        <v>335</v>
      </c>
      <c r="P20" s="9" t="s">
        <v>336</v>
      </c>
      <c r="Q20" s="8"/>
      <c r="R20" s="8"/>
      <c r="S20" s="8"/>
      <c r="T20" s="8"/>
      <c r="U20" s="8"/>
      <c r="V20" s="8"/>
      <c r="W20" s="8"/>
      <c r="X20" s="8"/>
      <c r="Y20" s="8"/>
      <c r="Z20" s="8"/>
      <c r="AA20" s="8"/>
      <c r="AB20" s="8"/>
      <c r="AC20" s="8"/>
      <c r="AD20" s="8"/>
      <c r="AE20" s="8"/>
      <c r="AF20" s="8"/>
      <c r="AG20" s="8"/>
      <c r="AH20" s="8"/>
      <c r="AI20" s="8"/>
      <c r="AJ20" s="8"/>
      <c r="AK20" s="8"/>
      <c r="AL20" s="8"/>
      <c r="AM20" s="6"/>
      <c r="AN20" s="6"/>
    </row>
    <row r="21">
      <c r="A21" s="9" t="s">
        <v>90</v>
      </c>
      <c r="B21" s="3">
        <f t="shared" si="1"/>
        <v>-425.9582355</v>
      </c>
      <c r="C21" s="10">
        <v>-25.2167</v>
      </c>
      <c r="D21" s="10">
        <v>30.10968</v>
      </c>
      <c r="E21" s="10">
        <v>2030.752</v>
      </c>
      <c r="F21" s="9" t="s">
        <v>91</v>
      </c>
      <c r="G21" s="11" t="s">
        <v>41</v>
      </c>
      <c r="H21" s="9" t="s">
        <v>45</v>
      </c>
      <c r="I21" s="9" t="s">
        <v>45</v>
      </c>
      <c r="J21" s="3" t="str">
        <f t="shared" si="2"/>
        <v>North</v>
      </c>
      <c r="K21" s="3" t="s">
        <v>93</v>
      </c>
      <c r="L21" s="3">
        <v>1988.97626823782</v>
      </c>
      <c r="M21" s="1">
        <f t="shared" si="3"/>
        <v>1957.023863</v>
      </c>
      <c r="N21" s="3">
        <f t="shared" si="4"/>
        <v>506.5150474</v>
      </c>
      <c r="O21" s="8"/>
      <c r="P21" s="19" t="s">
        <v>95</v>
      </c>
      <c r="Q21" s="8"/>
      <c r="R21" s="10">
        <v>315.0</v>
      </c>
      <c r="S21" s="10">
        <v>25.0</v>
      </c>
      <c r="T21" s="10">
        <f t="shared" ref="T21:T22" si="5">R21-90</f>
        <v>225</v>
      </c>
      <c r="U21" s="12" t="s">
        <v>55</v>
      </c>
      <c r="V21" s="8"/>
      <c r="W21" s="8"/>
      <c r="X21" s="8"/>
      <c r="Y21" s="8"/>
      <c r="Z21" s="8"/>
      <c r="AA21" s="8"/>
      <c r="AB21" s="8"/>
      <c r="AC21" s="8"/>
      <c r="AD21" s="8"/>
      <c r="AE21" s="8"/>
      <c r="AF21" s="8"/>
      <c r="AG21" s="8"/>
      <c r="AH21" s="8"/>
      <c r="AI21" s="8"/>
      <c r="AJ21" s="8"/>
      <c r="AK21" s="8"/>
      <c r="AL21" s="8"/>
      <c r="AM21" s="6"/>
      <c r="AN21" s="6"/>
    </row>
    <row r="22">
      <c r="A22" s="13" t="s">
        <v>98</v>
      </c>
      <c r="B22" s="3">
        <f t="shared" si="1"/>
        <v>-422.2966196</v>
      </c>
      <c r="C22" s="14">
        <v>-25.2415</v>
      </c>
      <c r="D22" s="14">
        <v>30.09048</v>
      </c>
      <c r="E22" s="14">
        <v>1932.263</v>
      </c>
      <c r="F22" s="13" t="s">
        <v>100</v>
      </c>
      <c r="G22" s="15" t="s">
        <v>41</v>
      </c>
      <c r="H22" s="13" t="s">
        <v>102</v>
      </c>
      <c r="I22" s="15" t="s">
        <v>73</v>
      </c>
      <c r="J22" s="3" t="str">
        <f t="shared" si="2"/>
        <v>South</v>
      </c>
      <c r="K22" s="3" t="s">
        <v>104</v>
      </c>
      <c r="L22" s="3">
        <v>2029.51371370143</v>
      </c>
      <c r="M22" s="1">
        <f t="shared" si="3"/>
        <v>1971.17126</v>
      </c>
      <c r="N22" s="3">
        <f t="shared" si="4"/>
        <v>510.1766633</v>
      </c>
      <c r="O22" s="13" t="s">
        <v>106</v>
      </c>
      <c r="P22" s="9" t="s">
        <v>107</v>
      </c>
      <c r="Q22" s="10">
        <v>52.0</v>
      </c>
      <c r="R22" s="10">
        <v>330.0</v>
      </c>
      <c r="S22" s="10">
        <v>25.0</v>
      </c>
      <c r="T22" s="10">
        <f t="shared" si="5"/>
        <v>240</v>
      </c>
      <c r="U22" s="12" t="s">
        <v>55</v>
      </c>
      <c r="V22" s="8"/>
      <c r="W22" s="8"/>
      <c r="X22" s="8"/>
      <c r="Y22" s="8"/>
      <c r="Z22" s="8"/>
      <c r="AA22" s="8"/>
      <c r="AB22" s="8"/>
      <c r="AC22" s="8"/>
      <c r="AD22" s="8"/>
      <c r="AE22" s="8"/>
      <c r="AF22" s="8"/>
      <c r="AG22" s="8"/>
      <c r="AH22" s="8"/>
      <c r="AI22" s="8"/>
      <c r="AJ22" s="8"/>
      <c r="AK22" s="8"/>
      <c r="AL22" s="8"/>
      <c r="AM22" s="6"/>
      <c r="AN22" s="6"/>
    </row>
    <row r="23">
      <c r="A23" s="13" t="s">
        <v>368</v>
      </c>
      <c r="B23" s="3">
        <f t="shared" si="1"/>
        <v>-412.4931036</v>
      </c>
      <c r="C23" s="14">
        <v>-25.2409</v>
      </c>
      <c r="D23" s="14">
        <v>30.09036</v>
      </c>
      <c r="E23" s="14">
        <v>1895.294</v>
      </c>
      <c r="F23" s="13" t="s">
        <v>372</v>
      </c>
      <c r="G23" s="15" t="s">
        <v>41</v>
      </c>
      <c r="H23" s="13" t="s">
        <v>72</v>
      </c>
      <c r="I23" s="15" t="s">
        <v>73</v>
      </c>
      <c r="J23" s="3" t="str">
        <f t="shared" si="2"/>
        <v>South</v>
      </c>
      <c r="K23" s="3" t="s">
        <v>373</v>
      </c>
      <c r="L23" s="3">
        <v>2077.29740468702</v>
      </c>
      <c r="M23" s="1">
        <f t="shared" si="3"/>
        <v>2009.049138</v>
      </c>
      <c r="N23" s="3">
        <f t="shared" si="4"/>
        <v>519.9801794</v>
      </c>
      <c r="O23" s="13" t="s">
        <v>378</v>
      </c>
      <c r="P23" s="9" t="s">
        <v>379</v>
      </c>
      <c r="Q23" s="9" t="s">
        <v>381</v>
      </c>
      <c r="R23" s="8"/>
      <c r="S23" s="8"/>
      <c r="T23" s="8"/>
      <c r="U23" s="8"/>
      <c r="V23" s="8"/>
      <c r="W23" s="8"/>
      <c r="X23" s="8"/>
      <c r="Y23" s="8"/>
      <c r="Z23" s="8"/>
      <c r="AA23" s="8"/>
      <c r="AB23" s="8"/>
      <c r="AC23" s="8"/>
      <c r="AD23" s="8"/>
      <c r="AE23" s="8"/>
      <c r="AF23" s="8"/>
      <c r="AG23" s="8"/>
      <c r="AH23" s="8"/>
      <c r="AI23" s="8"/>
      <c r="AJ23" s="8"/>
      <c r="AK23" s="8"/>
      <c r="AL23" s="8"/>
      <c r="AM23" s="6"/>
      <c r="AN23" s="6"/>
    </row>
    <row r="24">
      <c r="A24" s="9" t="s">
        <v>383</v>
      </c>
      <c r="B24" s="3">
        <f t="shared" si="1"/>
        <v>-379.8513391</v>
      </c>
      <c r="C24" s="10">
        <v>-25.23</v>
      </c>
      <c r="D24" s="10">
        <v>30.09696</v>
      </c>
      <c r="E24" s="10">
        <v>1859.976</v>
      </c>
      <c r="F24" s="9" t="s">
        <v>385</v>
      </c>
      <c r="G24" s="9" t="s">
        <v>155</v>
      </c>
      <c r="H24" s="9" t="s">
        <v>200</v>
      </c>
      <c r="I24" s="9" t="s">
        <v>387</v>
      </c>
      <c r="J24" s="3" t="str">
        <f t="shared" si="2"/>
        <v>South</v>
      </c>
      <c r="K24" s="3" t="s">
        <v>392</v>
      </c>
      <c r="L24" s="3">
        <v>2212.87892759638</v>
      </c>
      <c r="M24" s="1">
        <f t="shared" si="3"/>
        <v>2135.167231</v>
      </c>
      <c r="N24" s="3">
        <f t="shared" si="4"/>
        <v>552.6219439</v>
      </c>
      <c r="O24" s="11" t="s">
        <v>395</v>
      </c>
      <c r="P24" s="19" t="s">
        <v>397</v>
      </c>
      <c r="Q24" s="8"/>
      <c r="R24" s="8"/>
      <c r="S24" s="8"/>
      <c r="T24" s="9"/>
      <c r="U24" s="10"/>
      <c r="V24" s="10">
        <v>40.0</v>
      </c>
      <c r="W24" s="9" t="s">
        <v>398</v>
      </c>
      <c r="X24" s="10">
        <v>30.0</v>
      </c>
      <c r="Y24" s="9" t="s">
        <v>399</v>
      </c>
      <c r="Z24" s="10">
        <v>30.0</v>
      </c>
      <c r="AA24" s="9" t="s">
        <v>399</v>
      </c>
      <c r="AB24" s="8"/>
      <c r="AC24" s="9" t="s">
        <v>400</v>
      </c>
      <c r="AD24" s="8"/>
      <c r="AE24" s="8"/>
      <c r="AF24" s="8"/>
      <c r="AG24" s="8"/>
      <c r="AH24" s="8"/>
      <c r="AI24" s="8"/>
      <c r="AJ24" s="10">
        <v>0.0</v>
      </c>
      <c r="AK24" s="8"/>
      <c r="AL24" s="8"/>
      <c r="AM24" s="6"/>
      <c r="AN24" s="6"/>
    </row>
    <row r="25">
      <c r="A25" s="9" t="s">
        <v>402</v>
      </c>
      <c r="B25" s="3">
        <f t="shared" si="1"/>
        <v>-378.9272604</v>
      </c>
      <c r="C25" s="10">
        <v>-25.2155</v>
      </c>
      <c r="D25" s="10">
        <v>30.10829</v>
      </c>
      <c r="E25" s="10">
        <v>1994.197</v>
      </c>
      <c r="F25" s="9" t="s">
        <v>406</v>
      </c>
      <c r="G25" s="9" t="s">
        <v>41</v>
      </c>
      <c r="H25" s="9" t="s">
        <v>41</v>
      </c>
      <c r="I25" s="11" t="s">
        <v>42</v>
      </c>
      <c r="J25" s="3" t="str">
        <f t="shared" si="2"/>
        <v>North</v>
      </c>
      <c r="K25" s="3" t="s">
        <v>407</v>
      </c>
      <c r="L25" s="3">
        <v>2180.48488481824</v>
      </c>
      <c r="M25" s="1">
        <f t="shared" si="3"/>
        <v>2138.737597</v>
      </c>
      <c r="N25" s="3">
        <f t="shared" si="4"/>
        <v>553.5460225</v>
      </c>
      <c r="O25" s="9" t="s">
        <v>408</v>
      </c>
      <c r="P25" s="17" t="s">
        <v>410</v>
      </c>
      <c r="Q25" s="10">
        <v>24.0</v>
      </c>
      <c r="R25" s="8"/>
      <c r="S25" s="8"/>
      <c r="T25" s="8"/>
      <c r="U25" s="10"/>
      <c r="V25" s="10">
        <v>35.0</v>
      </c>
      <c r="W25" s="9" t="s">
        <v>411</v>
      </c>
      <c r="X25" s="10">
        <v>15.0</v>
      </c>
      <c r="Y25" s="9" t="s">
        <v>412</v>
      </c>
      <c r="Z25" s="10">
        <v>45.0</v>
      </c>
      <c r="AA25" s="9" t="s">
        <v>413</v>
      </c>
      <c r="AB25" s="10">
        <v>5.0</v>
      </c>
      <c r="AC25" s="9" t="s">
        <v>414</v>
      </c>
      <c r="AD25" s="8"/>
      <c r="AE25" s="8"/>
      <c r="AF25" s="8"/>
      <c r="AG25" s="8"/>
      <c r="AH25" s="9" t="s">
        <v>415</v>
      </c>
      <c r="AI25" s="8"/>
      <c r="AJ25" s="10">
        <v>2.0</v>
      </c>
      <c r="AK25" s="8"/>
      <c r="AL25" s="8"/>
      <c r="AM25" s="6"/>
      <c r="AN25" s="6"/>
    </row>
    <row r="26">
      <c r="A26" s="9" t="s">
        <v>418</v>
      </c>
      <c r="B26" s="3">
        <f t="shared" si="1"/>
        <v>-351.6273944</v>
      </c>
      <c r="C26" s="10">
        <v>-25.2139</v>
      </c>
      <c r="D26" s="10">
        <v>30.10811</v>
      </c>
      <c r="E26" s="10">
        <v>1955.886</v>
      </c>
      <c r="F26" s="9" t="s">
        <v>419</v>
      </c>
      <c r="G26" s="9" t="s">
        <v>155</v>
      </c>
      <c r="H26" s="9" t="s">
        <v>155</v>
      </c>
      <c r="I26" s="9" t="s">
        <v>157</v>
      </c>
      <c r="J26" s="3" t="str">
        <f t="shared" si="2"/>
        <v>North</v>
      </c>
      <c r="K26" s="3" t="s">
        <v>420</v>
      </c>
      <c r="L26" s="3">
        <v>2296.22886887471</v>
      </c>
      <c r="M26" s="1">
        <f t="shared" si="3"/>
        <v>2244.216179</v>
      </c>
      <c r="N26" s="3">
        <f t="shared" si="4"/>
        <v>580.8458885</v>
      </c>
      <c r="O26" s="9" t="s">
        <v>422</v>
      </c>
      <c r="P26" s="17" t="s">
        <v>423</v>
      </c>
      <c r="Q26" s="10">
        <v>27.0</v>
      </c>
      <c r="R26" s="8"/>
      <c r="S26" s="8"/>
      <c r="T26" s="8"/>
      <c r="U26" s="10"/>
      <c r="V26" s="10">
        <v>45.0</v>
      </c>
      <c r="W26" s="9" t="s">
        <v>426</v>
      </c>
      <c r="X26" s="10">
        <v>50.0</v>
      </c>
      <c r="Y26" s="9" t="s">
        <v>427</v>
      </c>
      <c r="Z26" s="10">
        <v>5.0</v>
      </c>
      <c r="AA26" s="9" t="s">
        <v>429</v>
      </c>
      <c r="AB26" s="8"/>
      <c r="AC26" s="8"/>
      <c r="AD26" s="8"/>
      <c r="AE26" s="8"/>
      <c r="AF26" s="8"/>
      <c r="AG26" s="8"/>
      <c r="AH26" s="9" t="s">
        <v>430</v>
      </c>
      <c r="AI26" s="8"/>
      <c r="AJ26" s="10">
        <v>0.0</v>
      </c>
      <c r="AK26" s="8"/>
      <c r="AL26" s="8"/>
      <c r="AM26" s="6"/>
      <c r="AN26" s="6"/>
    </row>
    <row r="27">
      <c r="A27" s="13" t="s">
        <v>432</v>
      </c>
      <c r="B27" s="3">
        <f t="shared" si="1"/>
        <v>-340.2682689</v>
      </c>
      <c r="C27" s="14">
        <v>-25.2515</v>
      </c>
      <c r="D27" s="14">
        <v>30.07907</v>
      </c>
      <c r="E27" s="21">
        <v>1912.0</v>
      </c>
      <c r="F27" s="13"/>
      <c r="G27" s="13" t="s">
        <v>41</v>
      </c>
      <c r="H27" s="13" t="s">
        <v>41</v>
      </c>
      <c r="I27" s="15" t="s">
        <v>42</v>
      </c>
      <c r="J27" s="3" t="str">
        <f t="shared" si="2"/>
        <v>South</v>
      </c>
      <c r="K27" s="3" t="s">
        <v>441</v>
      </c>
      <c r="L27" s="3">
        <v>2351.87637785717</v>
      </c>
      <c r="M27" s="1">
        <f t="shared" si="3"/>
        <v>2288.10447</v>
      </c>
      <c r="N27" s="3">
        <f t="shared" si="4"/>
        <v>592.205014</v>
      </c>
      <c r="O27" s="13" t="s">
        <v>445</v>
      </c>
      <c r="P27" s="9" t="s">
        <v>446</v>
      </c>
      <c r="Q27" s="10">
        <v>95.0</v>
      </c>
      <c r="R27" s="9"/>
      <c r="S27" s="9"/>
      <c r="T27" s="8"/>
      <c r="U27" s="8"/>
      <c r="V27" s="8"/>
      <c r="W27" s="8"/>
      <c r="X27" s="8"/>
      <c r="Y27" s="8"/>
      <c r="Z27" s="8"/>
      <c r="AA27" s="8"/>
      <c r="AB27" s="8"/>
      <c r="AC27" s="8"/>
      <c r="AD27" s="8"/>
      <c r="AE27" s="8"/>
      <c r="AF27" s="8"/>
      <c r="AG27" s="8"/>
      <c r="AH27" s="8"/>
      <c r="AI27" s="8"/>
      <c r="AJ27" s="8"/>
      <c r="AK27" s="8"/>
      <c r="AL27" s="8"/>
      <c r="AM27" s="6"/>
      <c r="AN27" s="6"/>
    </row>
    <row r="28">
      <c r="A28" s="13" t="s">
        <v>449</v>
      </c>
      <c r="B28" s="3">
        <f t="shared" si="1"/>
        <v>-334.86846</v>
      </c>
      <c r="C28" s="14">
        <v>-25.2518</v>
      </c>
      <c r="D28" s="14">
        <v>30.07858</v>
      </c>
      <c r="E28" s="14">
        <v>1907.783</v>
      </c>
      <c r="F28" s="13" t="s">
        <v>452</v>
      </c>
      <c r="G28" s="13" t="s">
        <v>41</v>
      </c>
      <c r="H28" s="13" t="s">
        <v>41</v>
      </c>
      <c r="I28" s="15" t="s">
        <v>42</v>
      </c>
      <c r="J28" s="3" t="str">
        <f t="shared" si="2"/>
        <v>South</v>
      </c>
      <c r="K28" s="3" t="s">
        <v>453</v>
      </c>
      <c r="L28" s="3">
        <v>2373.86957923925</v>
      </c>
      <c r="M28" s="1">
        <f t="shared" si="3"/>
        <v>2308.96773</v>
      </c>
      <c r="N28" s="3">
        <f t="shared" si="4"/>
        <v>597.604823</v>
      </c>
      <c r="O28" s="13" t="s">
        <v>456</v>
      </c>
      <c r="P28" s="9" t="s">
        <v>457</v>
      </c>
      <c r="Q28" s="8"/>
      <c r="R28" s="8"/>
      <c r="S28" s="8"/>
      <c r="T28" s="8"/>
      <c r="U28" s="8"/>
      <c r="V28" s="8"/>
      <c r="W28" s="8"/>
      <c r="X28" s="8"/>
      <c r="Y28" s="8"/>
      <c r="Z28" s="8"/>
      <c r="AA28" s="8"/>
      <c r="AB28" s="8"/>
      <c r="AC28" s="8"/>
      <c r="AD28" s="8"/>
      <c r="AE28" s="8"/>
      <c r="AF28" s="8"/>
      <c r="AG28" s="8"/>
      <c r="AH28" s="8"/>
      <c r="AI28" s="8"/>
      <c r="AJ28" s="10">
        <v>2.0</v>
      </c>
      <c r="AK28" s="8"/>
      <c r="AL28" s="8"/>
      <c r="AM28" s="6"/>
      <c r="AN28" s="6"/>
    </row>
    <row r="29">
      <c r="A29" s="13" t="s">
        <v>460</v>
      </c>
      <c r="B29" s="3">
        <f t="shared" si="1"/>
        <v>-333.0323242</v>
      </c>
      <c r="C29" s="14">
        <v>-25.2505</v>
      </c>
      <c r="D29" s="14">
        <v>30.07951</v>
      </c>
      <c r="E29" s="14">
        <v>1918.386</v>
      </c>
      <c r="F29" s="13" t="s">
        <v>461</v>
      </c>
      <c r="G29" s="13" t="s">
        <v>41</v>
      </c>
      <c r="H29" s="13" t="s">
        <v>41</v>
      </c>
      <c r="I29" s="15" t="s">
        <v>273</v>
      </c>
      <c r="J29" s="3" t="str">
        <f t="shared" si="2"/>
        <v>South</v>
      </c>
      <c r="K29" s="3" t="s">
        <v>462</v>
      </c>
      <c r="L29" s="3">
        <v>2378.12279773767</v>
      </c>
      <c r="M29" s="1">
        <f t="shared" si="3"/>
        <v>2316.062013</v>
      </c>
      <c r="N29" s="3">
        <f t="shared" si="4"/>
        <v>599.4409587</v>
      </c>
      <c r="O29" s="13" t="s">
        <v>463</v>
      </c>
      <c r="P29" s="9" t="s">
        <v>465</v>
      </c>
      <c r="Q29" s="10">
        <v>96.0</v>
      </c>
      <c r="R29" s="8"/>
      <c r="S29" s="8"/>
      <c r="T29" s="8"/>
      <c r="U29" s="8"/>
      <c r="V29" s="8"/>
      <c r="W29" s="8"/>
      <c r="X29" s="8"/>
      <c r="Y29" s="8"/>
      <c r="Z29" s="8"/>
      <c r="AA29" s="8"/>
      <c r="AB29" s="8"/>
      <c r="AC29" s="8"/>
      <c r="AD29" s="8"/>
      <c r="AE29" s="8"/>
      <c r="AF29" s="8"/>
      <c r="AG29" s="8"/>
      <c r="AH29" s="8"/>
      <c r="AI29" s="8"/>
      <c r="AJ29" s="8"/>
      <c r="AK29" s="8"/>
      <c r="AL29" s="8"/>
      <c r="AM29" s="6"/>
      <c r="AN29" s="6"/>
    </row>
    <row r="30">
      <c r="A30" s="13" t="s">
        <v>468</v>
      </c>
      <c r="B30" s="3">
        <f t="shared" si="1"/>
        <v>-312.0870652</v>
      </c>
      <c r="C30" s="14">
        <v>-25.2498</v>
      </c>
      <c r="D30" s="14">
        <v>30.07904</v>
      </c>
      <c r="E30" s="14">
        <v>1909.604</v>
      </c>
      <c r="F30" s="13" t="s">
        <v>469</v>
      </c>
      <c r="G30" s="13" t="s">
        <v>41</v>
      </c>
      <c r="H30" s="13" t="s">
        <v>41</v>
      </c>
      <c r="I30" s="15" t="s">
        <v>42</v>
      </c>
      <c r="J30" s="3" t="str">
        <f t="shared" si="2"/>
        <v>South</v>
      </c>
      <c r="K30" s="3" t="s">
        <v>470</v>
      </c>
      <c r="L30" s="3">
        <v>2461.40219418361</v>
      </c>
      <c r="M30" s="1">
        <f t="shared" si="3"/>
        <v>2396.98828</v>
      </c>
      <c r="N30" s="3">
        <f t="shared" si="4"/>
        <v>620.3862178</v>
      </c>
      <c r="O30" s="13"/>
      <c r="P30" s="9" t="s">
        <v>472</v>
      </c>
      <c r="Q30" s="9" t="s">
        <v>473</v>
      </c>
      <c r="R30" s="8"/>
      <c r="S30" s="8"/>
      <c r="T30" s="8"/>
      <c r="U30" s="8"/>
      <c r="V30" s="8"/>
      <c r="W30" s="8"/>
      <c r="X30" s="8"/>
      <c r="Y30" s="8"/>
      <c r="Z30" s="8"/>
      <c r="AA30" s="8"/>
      <c r="AB30" s="8"/>
      <c r="AC30" s="8"/>
      <c r="AD30" s="8"/>
      <c r="AE30" s="8"/>
      <c r="AF30" s="8"/>
      <c r="AG30" s="8"/>
      <c r="AH30" s="8"/>
      <c r="AI30" s="8"/>
      <c r="AJ30" s="8"/>
      <c r="AK30" s="8"/>
      <c r="AL30" s="8"/>
      <c r="AM30" s="6"/>
      <c r="AN30" s="6"/>
    </row>
    <row r="31">
      <c r="A31" s="13" t="s">
        <v>133</v>
      </c>
      <c r="B31" s="3">
        <f t="shared" si="1"/>
        <v>-299.1116486</v>
      </c>
      <c r="C31" s="14">
        <v>-25.2188</v>
      </c>
      <c r="D31" s="14">
        <v>30.10195</v>
      </c>
      <c r="E31" s="14">
        <v>1946.436</v>
      </c>
      <c r="F31" s="13" t="s">
        <v>134</v>
      </c>
      <c r="G31" s="13" t="s">
        <v>41</v>
      </c>
      <c r="H31" s="13" t="s">
        <v>41</v>
      </c>
      <c r="I31" s="15" t="s">
        <v>42</v>
      </c>
      <c r="J31" s="3" t="str">
        <f t="shared" si="2"/>
        <v>South</v>
      </c>
      <c r="K31" s="3" t="s">
        <v>137</v>
      </c>
      <c r="L31" s="3">
        <v>2501.66624921082</v>
      </c>
      <c r="M31" s="1">
        <f t="shared" si="3"/>
        <v>2447.12144</v>
      </c>
      <c r="N31" s="3">
        <f t="shared" si="4"/>
        <v>633.3616343</v>
      </c>
      <c r="O31" s="13"/>
      <c r="P31" s="11" t="s">
        <v>139</v>
      </c>
      <c r="Q31" s="10">
        <v>57.0</v>
      </c>
      <c r="R31" s="10">
        <v>235.0</v>
      </c>
      <c r="S31" s="10">
        <v>25.0</v>
      </c>
      <c r="T31" s="10">
        <f>R31-90</f>
        <v>145</v>
      </c>
      <c r="U31" s="12" t="s">
        <v>139</v>
      </c>
      <c r="V31" s="8"/>
      <c r="W31" s="8"/>
      <c r="X31" s="8"/>
      <c r="Y31" s="8"/>
      <c r="Z31" s="8"/>
      <c r="AA31" s="8"/>
      <c r="AB31" s="8"/>
      <c r="AC31" s="8"/>
      <c r="AD31" s="8"/>
      <c r="AE31" s="8"/>
      <c r="AF31" s="8"/>
      <c r="AG31" s="8"/>
      <c r="AH31" s="8"/>
      <c r="AI31" s="8"/>
      <c r="AJ31" s="8"/>
      <c r="AK31" s="8"/>
      <c r="AL31" s="8"/>
      <c r="AM31" s="6"/>
      <c r="AN31" s="6"/>
    </row>
    <row r="32">
      <c r="A32" s="13" t="s">
        <v>481</v>
      </c>
      <c r="B32" s="3">
        <f t="shared" si="1"/>
        <v>-247.5597571</v>
      </c>
      <c r="C32" s="14">
        <v>-25.2143</v>
      </c>
      <c r="D32" s="14">
        <v>30.10287</v>
      </c>
      <c r="E32" s="14">
        <v>1918.959</v>
      </c>
      <c r="F32" s="13" t="s">
        <v>482</v>
      </c>
      <c r="G32" s="13" t="s">
        <v>155</v>
      </c>
      <c r="H32" s="13" t="s">
        <v>483</v>
      </c>
      <c r="I32" s="8" t="s">
        <v>484</v>
      </c>
      <c r="J32" s="3" t="str">
        <f t="shared" si="2"/>
        <v>North</v>
      </c>
      <c r="K32" s="3" t="s">
        <v>487</v>
      </c>
      <c r="L32" s="3">
        <v>2708.20990300531</v>
      </c>
      <c r="M32" s="1">
        <f t="shared" si="3"/>
        <v>2646.302654</v>
      </c>
      <c r="N32" s="3">
        <f t="shared" si="4"/>
        <v>684.9135259</v>
      </c>
      <c r="O32" s="8" t="s">
        <v>491</v>
      </c>
      <c r="P32" s="18" t="s">
        <v>492</v>
      </c>
      <c r="Q32" s="8"/>
      <c r="R32" s="8"/>
      <c r="S32" s="8"/>
      <c r="T32" s="8"/>
      <c r="U32" s="8"/>
      <c r="V32" s="8"/>
      <c r="W32" s="8"/>
      <c r="X32" s="8"/>
      <c r="Y32" s="8"/>
      <c r="Z32" s="8"/>
      <c r="AA32" s="8"/>
      <c r="AB32" s="8"/>
      <c r="AC32" s="8"/>
      <c r="AD32" s="8"/>
      <c r="AE32" s="8"/>
      <c r="AF32" s="8"/>
      <c r="AG32" s="8"/>
      <c r="AH32" s="8"/>
      <c r="AI32" s="8"/>
      <c r="AJ32" s="8"/>
      <c r="AK32" s="8"/>
      <c r="AL32" s="8"/>
      <c r="AM32" s="6"/>
      <c r="AN32" s="6"/>
    </row>
    <row r="33">
      <c r="A33" s="13" t="s">
        <v>152</v>
      </c>
      <c r="B33" s="3">
        <f t="shared" si="1"/>
        <v>-217.9652868</v>
      </c>
      <c r="C33" s="14">
        <v>-25.2135</v>
      </c>
      <c r="D33" s="14">
        <v>30.10206</v>
      </c>
      <c r="E33" s="14">
        <v>1905.534</v>
      </c>
      <c r="F33" s="13" t="s">
        <v>154</v>
      </c>
      <c r="G33" s="8" t="s">
        <v>155</v>
      </c>
      <c r="H33" s="8" t="s">
        <v>155</v>
      </c>
      <c r="I33" s="8" t="s">
        <v>157</v>
      </c>
      <c r="J33" s="3" t="str">
        <f t="shared" si="2"/>
        <v>North</v>
      </c>
      <c r="K33" s="3" t="s">
        <v>159</v>
      </c>
      <c r="L33" s="3">
        <v>2826.15137346887</v>
      </c>
      <c r="M33" s="1">
        <f t="shared" si="3"/>
        <v>2760.646906</v>
      </c>
      <c r="N33" s="3">
        <f t="shared" si="4"/>
        <v>714.5079961</v>
      </c>
      <c r="O33" s="8" t="s">
        <v>162</v>
      </c>
      <c r="P33" s="8" t="s">
        <v>163</v>
      </c>
      <c r="Q33" s="20">
        <v>73.0</v>
      </c>
      <c r="R33" s="20">
        <v>270.0</v>
      </c>
      <c r="S33" s="20">
        <v>10.0</v>
      </c>
      <c r="T33" s="10">
        <f>R33-90</f>
        <v>180</v>
      </c>
      <c r="U33" s="12" t="s">
        <v>55</v>
      </c>
      <c r="V33" s="8"/>
      <c r="W33" s="8"/>
      <c r="X33" s="8"/>
      <c r="Y33" s="8"/>
      <c r="Z33" s="8"/>
      <c r="AA33" s="8"/>
      <c r="AB33" s="8"/>
      <c r="AC33" s="8"/>
      <c r="AD33" s="8"/>
      <c r="AE33" s="8"/>
      <c r="AF33" s="8"/>
      <c r="AG33" s="8"/>
      <c r="AH33" s="8"/>
      <c r="AI33" s="8"/>
      <c r="AJ33" s="10">
        <v>0.0</v>
      </c>
      <c r="AK33" s="8"/>
      <c r="AL33" s="8"/>
      <c r="AM33" s="6"/>
      <c r="AN33" s="6"/>
    </row>
    <row r="34">
      <c r="A34" s="13" t="s">
        <v>504</v>
      </c>
      <c r="B34" s="3">
        <f t="shared" si="1"/>
        <v>-204.194103</v>
      </c>
      <c r="C34" s="14">
        <v>-25.2467</v>
      </c>
      <c r="D34" s="14">
        <v>30.07624</v>
      </c>
      <c r="E34" s="14">
        <v>1865.214</v>
      </c>
      <c r="F34" s="13" t="s">
        <v>505</v>
      </c>
      <c r="G34" s="15" t="s">
        <v>41</v>
      </c>
      <c r="H34" s="13" t="s">
        <v>111</v>
      </c>
      <c r="I34" s="15" t="s">
        <v>506</v>
      </c>
      <c r="J34" s="3" t="str">
        <f t="shared" si="2"/>
        <v>South</v>
      </c>
      <c r="K34" s="3" t="s">
        <v>507</v>
      </c>
      <c r="L34" s="3">
        <v>2890.1628533361</v>
      </c>
      <c r="M34" s="1">
        <f t="shared" si="3"/>
        <v>2813.854675</v>
      </c>
      <c r="N34" s="3">
        <f t="shared" si="4"/>
        <v>728.2791799</v>
      </c>
      <c r="O34" s="13" t="s">
        <v>508</v>
      </c>
      <c r="P34" s="9" t="s">
        <v>509</v>
      </c>
      <c r="Q34" s="22">
        <v>9.9100101102E10</v>
      </c>
      <c r="R34" s="8"/>
      <c r="S34" s="8"/>
      <c r="T34" s="8"/>
      <c r="U34" s="8"/>
      <c r="V34" s="8"/>
      <c r="W34" s="8"/>
      <c r="X34" s="8"/>
      <c r="Y34" s="8"/>
      <c r="Z34" s="8"/>
      <c r="AA34" s="8"/>
      <c r="AB34" s="8"/>
      <c r="AC34" s="8"/>
      <c r="AD34" s="8"/>
      <c r="AE34" s="8"/>
      <c r="AF34" s="8"/>
      <c r="AG34" s="8"/>
      <c r="AH34" s="8"/>
      <c r="AI34" s="8"/>
      <c r="AJ34" s="8"/>
      <c r="AK34" s="8"/>
      <c r="AL34" s="8"/>
      <c r="AM34" s="6"/>
      <c r="AN34" s="6"/>
    </row>
    <row r="35">
      <c r="A35" s="13" t="s">
        <v>168</v>
      </c>
      <c r="B35" s="3">
        <f t="shared" si="1"/>
        <v>-197.2570762</v>
      </c>
      <c r="C35" s="14">
        <v>-25.2122</v>
      </c>
      <c r="D35" s="14">
        <v>30.10208</v>
      </c>
      <c r="E35" s="14">
        <v>1904.925</v>
      </c>
      <c r="F35" s="13" t="s">
        <v>171</v>
      </c>
      <c r="G35" s="8" t="s">
        <v>155</v>
      </c>
      <c r="H35" s="8" t="s">
        <v>155</v>
      </c>
      <c r="I35" s="8" t="s">
        <v>157</v>
      </c>
      <c r="J35" s="3" t="str">
        <f t="shared" si="2"/>
        <v>North</v>
      </c>
      <c r="K35" s="3" t="s">
        <v>175</v>
      </c>
      <c r="L35" s="3">
        <v>2906.32493647349</v>
      </c>
      <c r="M35" s="1">
        <f t="shared" si="3"/>
        <v>2840.657288</v>
      </c>
      <c r="N35" s="3">
        <f t="shared" si="4"/>
        <v>735.2162068</v>
      </c>
      <c r="O35" s="8" t="s">
        <v>162</v>
      </c>
      <c r="P35" s="8" t="s">
        <v>182</v>
      </c>
      <c r="Q35" s="8" t="s">
        <v>183</v>
      </c>
      <c r="R35" s="20">
        <v>320.0</v>
      </c>
      <c r="S35" s="20">
        <v>15.0</v>
      </c>
      <c r="T35" s="10">
        <f>R35-90</f>
        <v>230</v>
      </c>
      <c r="U35" s="12" t="s">
        <v>139</v>
      </c>
      <c r="V35" s="8"/>
      <c r="W35" s="8"/>
      <c r="X35" s="8"/>
      <c r="Y35" s="8"/>
      <c r="Z35" s="8"/>
      <c r="AA35" s="8"/>
      <c r="AB35" s="8"/>
      <c r="AC35" s="8"/>
      <c r="AD35" s="8"/>
      <c r="AE35" s="8"/>
      <c r="AF35" s="8"/>
      <c r="AG35" s="8"/>
      <c r="AH35" s="8"/>
      <c r="AI35" s="8"/>
      <c r="AJ35" s="10">
        <v>1.0</v>
      </c>
      <c r="AK35" s="8"/>
      <c r="AL35" s="8"/>
      <c r="AM35" s="6"/>
      <c r="AN35" s="6"/>
    </row>
    <row r="36">
      <c r="A36" s="13" t="s">
        <v>513</v>
      </c>
      <c r="B36" s="3">
        <f t="shared" si="1"/>
        <v>-165.7760768</v>
      </c>
      <c r="C36" s="14">
        <v>-25.2154</v>
      </c>
      <c r="D36" s="14">
        <v>30.0982</v>
      </c>
      <c r="E36" s="14">
        <v>1902.635</v>
      </c>
      <c r="F36" s="13" t="s">
        <v>515</v>
      </c>
      <c r="G36" s="15" t="s">
        <v>155</v>
      </c>
      <c r="H36" s="13" t="s">
        <v>200</v>
      </c>
      <c r="I36" s="15" t="s">
        <v>276</v>
      </c>
      <c r="J36" s="3" t="str">
        <f t="shared" si="2"/>
        <v>North</v>
      </c>
      <c r="K36" s="3" t="s">
        <v>517</v>
      </c>
      <c r="L36" s="3">
        <v>3028.57178129122</v>
      </c>
      <c r="M36" s="1">
        <f t="shared" si="3"/>
        <v>2962.290529</v>
      </c>
      <c r="N36" s="3">
        <f t="shared" si="4"/>
        <v>766.6972061</v>
      </c>
      <c r="O36" s="15" t="s">
        <v>519</v>
      </c>
      <c r="P36" s="9" t="s">
        <v>520</v>
      </c>
      <c r="Q36" s="8"/>
      <c r="R36" s="8"/>
      <c r="S36" s="8"/>
      <c r="T36" s="8"/>
      <c r="U36" s="8"/>
      <c r="V36" s="8"/>
      <c r="W36" s="8"/>
      <c r="X36" s="8"/>
      <c r="Y36" s="8"/>
      <c r="Z36" s="8"/>
      <c r="AA36" s="8"/>
      <c r="AB36" s="8"/>
      <c r="AC36" s="8"/>
      <c r="AD36" s="8"/>
      <c r="AE36" s="8"/>
      <c r="AF36" s="8"/>
      <c r="AG36" s="8"/>
      <c r="AH36" s="8"/>
      <c r="AI36" s="8"/>
      <c r="AJ36" s="8"/>
      <c r="AK36" s="8"/>
      <c r="AL36" s="8"/>
      <c r="AM36" s="6"/>
      <c r="AN36" s="6"/>
    </row>
    <row r="37">
      <c r="A37" s="13" t="s">
        <v>521</v>
      </c>
      <c r="B37" s="3">
        <f t="shared" si="1"/>
        <v>-165.0697585</v>
      </c>
      <c r="C37" s="14">
        <v>-25.2149</v>
      </c>
      <c r="D37" s="14">
        <v>30.09851</v>
      </c>
      <c r="E37" s="14">
        <v>1891.865</v>
      </c>
      <c r="F37" s="13" t="s">
        <v>524</v>
      </c>
      <c r="G37" s="13" t="s">
        <v>155</v>
      </c>
      <c r="H37" s="13" t="s">
        <v>200</v>
      </c>
      <c r="I37" s="13" t="s">
        <v>201</v>
      </c>
      <c r="J37" s="3" t="str">
        <f t="shared" si="2"/>
        <v>North</v>
      </c>
      <c r="K37" s="3" t="s">
        <v>526</v>
      </c>
      <c r="L37" s="3">
        <v>3034.18659838338</v>
      </c>
      <c r="M37" s="1">
        <f t="shared" si="3"/>
        <v>2965.019534</v>
      </c>
      <c r="N37" s="3">
        <f t="shared" si="4"/>
        <v>767.4035244</v>
      </c>
      <c r="O37" s="13" t="s">
        <v>206</v>
      </c>
      <c r="P37" s="11" t="s">
        <v>528</v>
      </c>
      <c r="Q37" s="8"/>
      <c r="R37" s="8"/>
      <c r="S37" s="8"/>
      <c r="T37" s="8"/>
      <c r="U37" s="10"/>
      <c r="V37" s="10">
        <v>65.0</v>
      </c>
      <c r="W37" s="9" t="s">
        <v>529</v>
      </c>
      <c r="X37" s="10">
        <v>20.0</v>
      </c>
      <c r="Y37" s="9" t="s">
        <v>530</v>
      </c>
      <c r="Z37" s="9" t="s">
        <v>531</v>
      </c>
      <c r="AA37" s="9" t="s">
        <v>532</v>
      </c>
      <c r="AB37" s="8"/>
      <c r="AC37" s="8"/>
      <c r="AD37" s="8"/>
      <c r="AE37" s="8"/>
      <c r="AF37" s="8"/>
      <c r="AG37" s="8"/>
      <c r="AH37" s="8"/>
      <c r="AI37" s="8"/>
      <c r="AJ37" s="8"/>
      <c r="AK37" s="8"/>
      <c r="AL37" s="8"/>
    </row>
    <row r="38">
      <c r="A38" s="13" t="s">
        <v>533</v>
      </c>
      <c r="B38" s="3">
        <f t="shared" si="1"/>
        <v>-145.7271189</v>
      </c>
      <c r="C38" s="14">
        <v>-25.2184</v>
      </c>
      <c r="D38" s="14">
        <v>30.09491</v>
      </c>
      <c r="E38" s="14">
        <v>1872.212</v>
      </c>
      <c r="F38" s="13" t="s">
        <v>534</v>
      </c>
      <c r="G38" s="15" t="s">
        <v>41</v>
      </c>
      <c r="H38" s="13" t="s">
        <v>41</v>
      </c>
      <c r="I38" s="15" t="s">
        <v>73</v>
      </c>
      <c r="J38" s="3" t="str">
        <f t="shared" si="2"/>
        <v>South</v>
      </c>
      <c r="K38" s="3" t="s">
        <v>535</v>
      </c>
      <c r="L38" s="3">
        <v>3114.18682458022</v>
      </c>
      <c r="M38" s="1">
        <f t="shared" si="3"/>
        <v>3039.753754</v>
      </c>
      <c r="N38" s="3">
        <f t="shared" si="4"/>
        <v>786.746164</v>
      </c>
      <c r="O38" s="13" t="s">
        <v>536</v>
      </c>
      <c r="P38" s="8" t="s">
        <v>537</v>
      </c>
      <c r="Q38" s="20">
        <v>60.0</v>
      </c>
      <c r="R38" s="8"/>
      <c r="S38" s="8"/>
      <c r="T38" s="8"/>
      <c r="U38" s="20"/>
      <c r="V38" s="20">
        <v>20.0</v>
      </c>
      <c r="W38" s="8" t="s">
        <v>538</v>
      </c>
      <c r="X38" s="20">
        <v>50.0</v>
      </c>
      <c r="Y38" s="8" t="s">
        <v>539</v>
      </c>
      <c r="Z38" s="8"/>
      <c r="AA38" s="8"/>
      <c r="AB38" s="8"/>
      <c r="AC38" s="8"/>
      <c r="AD38" s="20">
        <v>20.0</v>
      </c>
      <c r="AE38" s="8" t="s">
        <v>540</v>
      </c>
      <c r="AF38" s="8"/>
      <c r="AG38" s="8"/>
      <c r="AH38" s="8" t="s">
        <v>541</v>
      </c>
      <c r="AI38" s="8" t="s">
        <v>542</v>
      </c>
      <c r="AJ38" s="20">
        <v>3.0</v>
      </c>
      <c r="AK38" s="8"/>
      <c r="AL38" s="8"/>
      <c r="AM38" s="8"/>
      <c r="AN38" s="8"/>
    </row>
    <row r="39">
      <c r="A39" s="13" t="s">
        <v>198</v>
      </c>
      <c r="B39" s="3">
        <f t="shared" si="1"/>
        <v>-144.9437703</v>
      </c>
      <c r="C39" s="14">
        <v>-25.215</v>
      </c>
      <c r="D39" s="14">
        <v>30.09749</v>
      </c>
      <c r="E39" s="14">
        <v>1887.978</v>
      </c>
      <c r="F39" s="13" t="s">
        <v>199</v>
      </c>
      <c r="G39" s="13" t="s">
        <v>155</v>
      </c>
      <c r="H39" s="13" t="s">
        <v>200</v>
      </c>
      <c r="I39" s="13" t="s">
        <v>201</v>
      </c>
      <c r="J39" s="3" t="str">
        <f t="shared" si="2"/>
        <v>North</v>
      </c>
      <c r="K39" s="3" t="s">
        <v>202</v>
      </c>
      <c r="L39" s="3">
        <v>3112.98896420066</v>
      </c>
      <c r="M39" s="1">
        <f t="shared" si="3"/>
        <v>3042.780381</v>
      </c>
      <c r="N39" s="3">
        <f t="shared" si="4"/>
        <v>787.5295126</v>
      </c>
      <c r="O39" s="13" t="s">
        <v>206</v>
      </c>
      <c r="P39" s="8"/>
      <c r="Q39" s="9"/>
      <c r="R39" s="10">
        <v>210.0</v>
      </c>
      <c r="S39" s="10">
        <v>5.0</v>
      </c>
      <c r="T39" s="10">
        <f>R39-90</f>
        <v>120</v>
      </c>
      <c r="U39" s="12" t="s">
        <v>139</v>
      </c>
      <c r="V39" s="8"/>
      <c r="W39" s="8"/>
      <c r="X39" s="8"/>
      <c r="Y39" s="8"/>
      <c r="Z39" s="8"/>
      <c r="AA39" s="8"/>
      <c r="AB39" s="8"/>
      <c r="AC39" s="8"/>
      <c r="AD39" s="8"/>
      <c r="AE39" s="8"/>
      <c r="AF39" s="8"/>
      <c r="AG39" s="8"/>
      <c r="AH39" s="8"/>
      <c r="AI39" s="8"/>
      <c r="AJ39" s="10">
        <v>0.0</v>
      </c>
      <c r="AK39" s="8"/>
      <c r="AL39" s="8"/>
      <c r="AM39" s="8"/>
      <c r="AN39" s="8"/>
    </row>
    <row r="40">
      <c r="A40" s="13" t="s">
        <v>545</v>
      </c>
      <c r="B40" s="3">
        <f t="shared" si="1"/>
        <v>-143.7521317</v>
      </c>
      <c r="C40" s="14">
        <v>-25.2102</v>
      </c>
      <c r="D40" s="14">
        <v>30.10109</v>
      </c>
      <c r="E40" s="14">
        <v>1898.285</v>
      </c>
      <c r="F40" s="13" t="s">
        <v>547</v>
      </c>
      <c r="G40" s="13" t="s">
        <v>155</v>
      </c>
      <c r="H40" s="13" t="s">
        <v>155</v>
      </c>
      <c r="I40" s="13" t="s">
        <v>548</v>
      </c>
      <c r="J40" s="3" t="str">
        <f t="shared" si="2"/>
        <v>North</v>
      </c>
      <c r="K40" s="3" t="s">
        <v>549</v>
      </c>
      <c r="L40" s="3">
        <v>3114.83135004694</v>
      </c>
      <c r="M40" s="1">
        <f t="shared" si="3"/>
        <v>3047.384519</v>
      </c>
      <c r="N40" s="3">
        <f t="shared" si="4"/>
        <v>788.7211513</v>
      </c>
      <c r="O40" s="13" t="s">
        <v>551</v>
      </c>
      <c r="P40" s="8"/>
      <c r="Q40" s="10">
        <v>78.0</v>
      </c>
      <c r="R40" s="8"/>
      <c r="S40" s="8"/>
      <c r="T40" s="8"/>
      <c r="U40" s="10"/>
      <c r="V40" s="10">
        <v>20.0</v>
      </c>
      <c r="W40" s="8"/>
      <c r="X40" s="10">
        <v>40.0</v>
      </c>
      <c r="Y40" s="8"/>
      <c r="Z40" s="10">
        <v>35.0</v>
      </c>
      <c r="AA40" s="8"/>
      <c r="AB40" s="8"/>
      <c r="AC40" s="8"/>
      <c r="AD40" s="8"/>
      <c r="AE40" s="8"/>
      <c r="AF40" s="8"/>
      <c r="AG40" s="8"/>
      <c r="AH40" s="9" t="s">
        <v>552</v>
      </c>
      <c r="AI40" s="8"/>
      <c r="AJ40" s="8"/>
      <c r="AK40" s="8"/>
      <c r="AL40" s="8"/>
      <c r="AM40" s="8"/>
      <c r="AN40" s="8"/>
    </row>
    <row r="41">
      <c r="A41" s="13" t="s">
        <v>553</v>
      </c>
      <c r="B41" s="3">
        <f t="shared" si="1"/>
        <v>-143.6567183</v>
      </c>
      <c r="C41" s="14">
        <v>-25.2177</v>
      </c>
      <c r="D41" s="14">
        <v>30.09534</v>
      </c>
      <c r="E41" s="14">
        <v>1871.484</v>
      </c>
      <c r="F41" s="13" t="s">
        <v>554</v>
      </c>
      <c r="G41" s="13" t="s">
        <v>155</v>
      </c>
      <c r="H41" s="13" t="s">
        <v>211</v>
      </c>
      <c r="I41" s="13" t="s">
        <v>157</v>
      </c>
      <c r="J41" s="3" t="str">
        <f t="shared" si="2"/>
        <v>South</v>
      </c>
      <c r="K41" s="3" t="s">
        <v>555</v>
      </c>
      <c r="L41" s="3">
        <v>3122.38130521236</v>
      </c>
      <c r="M41" s="1">
        <f t="shared" si="3"/>
        <v>3047.753168</v>
      </c>
      <c r="N41" s="3">
        <f t="shared" si="4"/>
        <v>788.8165646</v>
      </c>
      <c r="O41" s="13" t="s">
        <v>557</v>
      </c>
      <c r="P41" s="9" t="s">
        <v>558</v>
      </c>
      <c r="Q41" s="10">
        <v>62.0</v>
      </c>
      <c r="R41" s="8"/>
      <c r="S41" s="8"/>
      <c r="T41" s="8"/>
      <c r="U41" s="10"/>
      <c r="V41" s="10">
        <v>20.0</v>
      </c>
      <c r="W41" s="8"/>
      <c r="X41" s="10">
        <v>60.0</v>
      </c>
      <c r="Y41" s="9" t="s">
        <v>530</v>
      </c>
      <c r="Z41" s="10">
        <v>20.0</v>
      </c>
      <c r="AA41" s="9" t="s">
        <v>560</v>
      </c>
      <c r="AB41" s="8"/>
      <c r="AC41" s="8"/>
      <c r="AD41" s="8"/>
      <c r="AE41" s="8"/>
      <c r="AF41" s="8"/>
      <c r="AG41" s="8"/>
      <c r="AH41" s="8"/>
      <c r="AI41" s="8"/>
      <c r="AJ41" s="10">
        <v>0.0</v>
      </c>
      <c r="AK41" s="8"/>
      <c r="AL41" s="8"/>
      <c r="AM41" s="8"/>
      <c r="AN41" s="8"/>
    </row>
    <row r="42">
      <c r="A42" s="13" t="s">
        <v>562</v>
      </c>
      <c r="B42" s="3">
        <f t="shared" si="1"/>
        <v>-143.6567183</v>
      </c>
      <c r="C42" s="14">
        <v>-25.2177</v>
      </c>
      <c r="D42" s="14">
        <v>30.09534</v>
      </c>
      <c r="E42" s="14">
        <v>1871.484</v>
      </c>
      <c r="F42" s="13" t="s">
        <v>554</v>
      </c>
      <c r="G42" s="13" t="s">
        <v>155</v>
      </c>
      <c r="H42" s="13" t="s">
        <v>211</v>
      </c>
      <c r="I42" s="13" t="s">
        <v>157</v>
      </c>
      <c r="J42" s="3" t="str">
        <f t="shared" si="2"/>
        <v>South</v>
      </c>
      <c r="K42" s="3" t="s">
        <v>555</v>
      </c>
      <c r="L42" s="3">
        <v>3122.38130521236</v>
      </c>
      <c r="M42" s="1">
        <f t="shared" si="3"/>
        <v>3047.753168</v>
      </c>
      <c r="N42" s="3">
        <f t="shared" si="4"/>
        <v>788.8165646</v>
      </c>
      <c r="O42" s="13" t="s">
        <v>557</v>
      </c>
      <c r="P42" s="9" t="s">
        <v>563</v>
      </c>
      <c r="Q42" s="10">
        <v>61.0</v>
      </c>
      <c r="R42" s="8"/>
      <c r="S42" s="8"/>
      <c r="T42" s="8"/>
      <c r="U42" s="8"/>
      <c r="V42" s="8"/>
      <c r="W42" s="8"/>
      <c r="X42" s="8"/>
      <c r="Y42" s="8"/>
      <c r="Z42" s="8"/>
      <c r="AA42" s="8"/>
      <c r="AB42" s="8"/>
      <c r="AC42" s="8"/>
      <c r="AD42" s="8"/>
      <c r="AE42" s="8"/>
      <c r="AF42" s="8"/>
      <c r="AG42" s="8"/>
      <c r="AH42" s="8"/>
      <c r="AI42" s="8"/>
      <c r="AJ42" s="8"/>
      <c r="AK42" s="8"/>
      <c r="AL42" s="8"/>
      <c r="AM42" s="8"/>
      <c r="AN42" s="8"/>
    </row>
    <row r="43">
      <c r="A43" s="13" t="s">
        <v>208</v>
      </c>
      <c r="B43" s="3">
        <f t="shared" si="1"/>
        <v>-131.6856156</v>
      </c>
      <c r="C43" s="14">
        <v>-25.2154</v>
      </c>
      <c r="D43" s="14">
        <v>30.09655</v>
      </c>
      <c r="E43" s="14">
        <v>1880.455</v>
      </c>
      <c r="F43" s="13" t="s">
        <v>210</v>
      </c>
      <c r="G43" s="13" t="s">
        <v>155</v>
      </c>
      <c r="H43" s="13" t="s">
        <v>211</v>
      </c>
      <c r="I43" s="13" t="s">
        <v>157</v>
      </c>
      <c r="J43" s="3" t="str">
        <f t="shared" si="2"/>
        <v>North</v>
      </c>
      <c r="K43" s="3" t="s">
        <v>212</v>
      </c>
      <c r="L43" s="3">
        <v>3166.2303219838</v>
      </c>
      <c r="M43" s="1">
        <f t="shared" si="3"/>
        <v>3094.005957</v>
      </c>
      <c r="N43" s="3">
        <f t="shared" si="4"/>
        <v>800.7876673</v>
      </c>
      <c r="O43" s="13" t="s">
        <v>214</v>
      </c>
      <c r="P43" s="8"/>
      <c r="Q43" s="10">
        <v>63.0</v>
      </c>
      <c r="R43" s="10">
        <v>240.0</v>
      </c>
      <c r="S43" s="10">
        <v>10.0</v>
      </c>
      <c r="T43" s="10">
        <f>R43-90</f>
        <v>150</v>
      </c>
      <c r="U43" s="12" t="s">
        <v>139</v>
      </c>
      <c r="V43" s="8"/>
      <c r="W43" s="8"/>
      <c r="X43" s="8"/>
      <c r="Y43" s="8"/>
      <c r="Z43" s="8"/>
      <c r="AA43" s="8"/>
      <c r="AB43" s="8"/>
      <c r="AC43" s="8"/>
      <c r="AD43" s="8"/>
      <c r="AE43" s="8"/>
      <c r="AF43" s="8"/>
      <c r="AG43" s="8"/>
      <c r="AH43" s="8"/>
      <c r="AI43" s="8"/>
      <c r="AJ43" s="8"/>
      <c r="AK43" s="8"/>
      <c r="AL43" s="8"/>
      <c r="AM43" s="8"/>
      <c r="AN43" s="8"/>
    </row>
    <row r="44">
      <c r="A44" s="13" t="s">
        <v>568</v>
      </c>
      <c r="B44" s="3">
        <f t="shared" si="1"/>
        <v>-100.2065065</v>
      </c>
      <c r="C44" s="14">
        <v>-25.208928</v>
      </c>
      <c r="D44" s="14">
        <v>30.099961</v>
      </c>
      <c r="E44" s="21">
        <v>1875.8</v>
      </c>
      <c r="F44" s="13"/>
      <c r="G44" s="13" t="s">
        <v>155</v>
      </c>
      <c r="H44" s="13" t="s">
        <v>200</v>
      </c>
      <c r="I44" s="13" t="s">
        <v>387</v>
      </c>
      <c r="J44" s="3" t="str">
        <f t="shared" si="2"/>
        <v>North</v>
      </c>
      <c r="K44" s="3" t="s">
        <v>571</v>
      </c>
      <c r="L44" s="3">
        <v>3289.10356347213</v>
      </c>
      <c r="M44" s="1">
        <f t="shared" si="3"/>
        <v>3215.631895</v>
      </c>
      <c r="N44" s="3">
        <f t="shared" si="4"/>
        <v>832.2667764</v>
      </c>
      <c r="O44" s="13" t="s">
        <v>573</v>
      </c>
      <c r="P44" s="8" t="s">
        <v>574</v>
      </c>
      <c r="Q44" s="10">
        <v>79.0</v>
      </c>
      <c r="R44" s="8"/>
      <c r="S44" s="8"/>
      <c r="T44" s="8"/>
      <c r="U44" s="8"/>
      <c r="V44" s="8"/>
      <c r="W44" s="8"/>
      <c r="X44" s="8"/>
      <c r="Y44" s="8"/>
      <c r="Z44" s="8"/>
      <c r="AA44" s="8"/>
      <c r="AB44" s="8"/>
      <c r="AC44" s="8"/>
      <c r="AD44" s="8"/>
      <c r="AE44" s="8"/>
      <c r="AF44" s="8"/>
      <c r="AG44" s="8"/>
      <c r="AH44" s="8"/>
      <c r="AI44" s="8"/>
      <c r="AJ44" s="8"/>
      <c r="AK44" s="8"/>
      <c r="AL44" s="8"/>
      <c r="AM44" s="8"/>
      <c r="AN44" s="8"/>
    </row>
    <row r="45">
      <c r="A45" s="13" t="s">
        <v>575</v>
      </c>
      <c r="B45" s="3">
        <f t="shared" si="1"/>
        <v>-99.51107689</v>
      </c>
      <c r="C45" s="14">
        <v>-25.2089</v>
      </c>
      <c r="D45" s="14">
        <v>30.09995</v>
      </c>
      <c r="E45" s="14">
        <v>1875.824</v>
      </c>
      <c r="F45" s="13" t="s">
        <v>577</v>
      </c>
      <c r="G45" s="13" t="s">
        <v>155</v>
      </c>
      <c r="H45" s="13" t="s">
        <v>155</v>
      </c>
      <c r="I45" s="13" t="s">
        <v>201</v>
      </c>
      <c r="J45" s="3" t="str">
        <f t="shared" si="2"/>
        <v>North</v>
      </c>
      <c r="K45" s="3" t="s">
        <v>578</v>
      </c>
      <c r="L45" s="3">
        <v>3291.78406638154</v>
      </c>
      <c r="M45" s="1">
        <f t="shared" si="3"/>
        <v>3218.318829</v>
      </c>
      <c r="N45" s="3">
        <f t="shared" si="4"/>
        <v>832.9622061</v>
      </c>
      <c r="O45" s="13" t="s">
        <v>580</v>
      </c>
      <c r="P45" s="23" t="s">
        <v>581</v>
      </c>
      <c r="Q45" s="8"/>
      <c r="R45" s="8"/>
      <c r="S45" s="8"/>
      <c r="T45" s="8"/>
      <c r="U45" s="8"/>
      <c r="V45" s="8"/>
      <c r="W45" s="8"/>
      <c r="X45" s="8"/>
      <c r="Y45" s="8"/>
      <c r="Z45" s="8"/>
      <c r="AA45" s="8"/>
      <c r="AB45" s="8"/>
      <c r="AC45" s="8"/>
      <c r="AD45" s="8"/>
      <c r="AE45" s="8"/>
      <c r="AF45" s="8"/>
      <c r="AG45" s="8"/>
      <c r="AH45" s="8"/>
      <c r="AI45" s="8"/>
      <c r="AJ45" s="8"/>
      <c r="AK45" s="8"/>
      <c r="AL45" s="8"/>
      <c r="AM45" s="8"/>
      <c r="AN45" s="8"/>
    </row>
    <row r="46">
      <c r="A46" s="13" t="s">
        <v>218</v>
      </c>
      <c r="B46" s="3">
        <f t="shared" si="1"/>
        <v>-93.252916</v>
      </c>
      <c r="C46" s="14">
        <v>-25.2108</v>
      </c>
      <c r="D46" s="14">
        <v>30.0982</v>
      </c>
      <c r="E46" s="14">
        <v>1867.592</v>
      </c>
      <c r="F46" s="13" t="s">
        <v>222</v>
      </c>
      <c r="G46" s="13" t="s">
        <v>155</v>
      </c>
      <c r="H46" s="13" t="s">
        <v>155</v>
      </c>
      <c r="I46" s="13" t="s">
        <v>224</v>
      </c>
      <c r="J46" s="3" t="str">
        <f t="shared" si="2"/>
        <v>North</v>
      </c>
      <c r="K46" s="3" t="s">
        <v>225</v>
      </c>
      <c r="L46" s="3">
        <v>3318.16950104048</v>
      </c>
      <c r="M46" s="1">
        <f t="shared" si="3"/>
        <v>3242.498506</v>
      </c>
      <c r="N46" s="3">
        <f t="shared" si="4"/>
        <v>839.2203669</v>
      </c>
      <c r="O46" s="13" t="s">
        <v>226</v>
      </c>
      <c r="P46" s="8"/>
      <c r="Q46" s="10">
        <v>64.0</v>
      </c>
      <c r="R46" s="10">
        <v>323.0</v>
      </c>
      <c r="S46" s="10">
        <v>16.0</v>
      </c>
      <c r="T46" s="10">
        <f>R46-90</f>
        <v>233</v>
      </c>
      <c r="U46" s="12" t="s">
        <v>139</v>
      </c>
      <c r="V46" s="8"/>
      <c r="W46" s="8"/>
      <c r="X46" s="8"/>
      <c r="Y46" s="8"/>
      <c r="Z46" s="8"/>
      <c r="AA46" s="8"/>
      <c r="AB46" s="8"/>
      <c r="AC46" s="8"/>
      <c r="AD46" s="8"/>
      <c r="AE46" s="8"/>
      <c r="AF46" s="8"/>
      <c r="AG46" s="8"/>
      <c r="AH46" s="8"/>
      <c r="AI46" s="8"/>
      <c r="AJ46" s="8"/>
      <c r="AK46" s="8"/>
      <c r="AL46" s="8"/>
      <c r="AM46" s="8"/>
      <c r="AN46" s="8"/>
    </row>
    <row r="47">
      <c r="A47" s="5" t="s">
        <v>583</v>
      </c>
      <c r="B47" s="3">
        <f t="shared" si="1"/>
        <v>-86.90074614</v>
      </c>
      <c r="C47" s="4">
        <v>-25.2418</v>
      </c>
      <c r="D47" s="4">
        <v>30.07439</v>
      </c>
      <c r="E47" s="4">
        <v>1829.23</v>
      </c>
      <c r="F47" s="5" t="s">
        <v>584</v>
      </c>
      <c r="G47" s="5" t="s">
        <v>155</v>
      </c>
      <c r="H47" s="5" t="s">
        <v>200</v>
      </c>
      <c r="I47" s="5" t="s">
        <v>276</v>
      </c>
      <c r="J47" s="3" t="str">
        <f t="shared" si="2"/>
        <v>South</v>
      </c>
      <c r="K47" s="3" t="s">
        <v>585</v>
      </c>
      <c r="L47" s="3">
        <v>3352.99146762697</v>
      </c>
      <c r="M47" s="1">
        <f t="shared" si="3"/>
        <v>3267.041405</v>
      </c>
      <c r="N47" s="3">
        <f t="shared" si="4"/>
        <v>845.5725368</v>
      </c>
      <c r="O47" s="5"/>
      <c r="P47" s="5" t="s">
        <v>587</v>
      </c>
      <c r="Q47" s="7"/>
      <c r="R47" s="7"/>
      <c r="S47" s="7"/>
      <c r="T47" s="5"/>
      <c r="U47" s="5"/>
      <c r="V47" s="5" t="s">
        <v>49</v>
      </c>
      <c r="W47" s="5" t="s">
        <v>50</v>
      </c>
      <c r="X47" s="7"/>
      <c r="Y47" s="7"/>
      <c r="Z47" s="7"/>
      <c r="AA47" s="7"/>
      <c r="AB47" s="7"/>
      <c r="AC47" s="7"/>
      <c r="AD47" s="7"/>
      <c r="AE47" s="7"/>
      <c r="AF47" s="7"/>
      <c r="AG47" s="7"/>
      <c r="AH47" s="5" t="s">
        <v>51</v>
      </c>
      <c r="AJ47" s="7"/>
      <c r="AK47" s="5" t="s">
        <v>590</v>
      </c>
      <c r="AL47" s="6"/>
      <c r="AM47" s="8"/>
      <c r="AN47" s="8"/>
    </row>
    <row r="48">
      <c r="A48" s="13" t="s">
        <v>591</v>
      </c>
      <c r="B48" s="3">
        <f t="shared" si="1"/>
        <v>-86</v>
      </c>
      <c r="C48" s="14">
        <v>-25.2104</v>
      </c>
      <c r="D48" s="14">
        <v>30.09815</v>
      </c>
      <c r="E48" s="14">
        <v>1862.625</v>
      </c>
      <c r="F48" s="13" t="s">
        <v>594</v>
      </c>
      <c r="G48" s="8" t="s">
        <v>595</v>
      </c>
      <c r="H48" s="8" t="s">
        <v>155</v>
      </c>
      <c r="I48" s="12" t="s">
        <v>595</v>
      </c>
      <c r="J48" s="3" t="str">
        <f t="shared" si="2"/>
        <v>North</v>
      </c>
      <c r="K48" s="3" t="s">
        <v>596</v>
      </c>
      <c r="L48" s="3">
        <v>3347.52352019092</v>
      </c>
      <c r="M48" s="1">
        <f t="shared" si="3"/>
        <v>3270.521621</v>
      </c>
      <c r="N48" s="3">
        <f t="shared" si="4"/>
        <v>846.4732829</v>
      </c>
      <c r="O48" s="8" t="s">
        <v>598</v>
      </c>
      <c r="P48" s="8" t="s">
        <v>599</v>
      </c>
      <c r="Q48" s="8" t="s">
        <v>600</v>
      </c>
      <c r="R48" s="8"/>
      <c r="S48" s="8"/>
      <c r="T48" s="8"/>
      <c r="U48" s="8"/>
      <c r="V48" s="8"/>
      <c r="W48" s="8"/>
      <c r="X48" s="8"/>
      <c r="Y48" s="8"/>
      <c r="Z48" s="8"/>
      <c r="AA48" s="8"/>
      <c r="AB48" s="8"/>
      <c r="AC48" s="8"/>
      <c r="AD48" s="8"/>
      <c r="AE48" s="8"/>
      <c r="AF48" s="8"/>
      <c r="AG48" s="8"/>
      <c r="AH48" s="8"/>
      <c r="AI48" s="8"/>
      <c r="AJ48" s="20">
        <v>2.0</v>
      </c>
      <c r="AK48" s="8"/>
      <c r="AL48" s="8"/>
      <c r="AM48" s="8"/>
      <c r="AN48" s="8"/>
    </row>
    <row r="49">
      <c r="A49" s="13" t="s">
        <v>229</v>
      </c>
      <c r="B49" s="3">
        <f t="shared" si="1"/>
        <v>-71.82844297</v>
      </c>
      <c r="C49" s="14">
        <v>-25.2169</v>
      </c>
      <c r="D49" s="14">
        <v>30.09254</v>
      </c>
      <c r="E49" s="14">
        <v>1847.43</v>
      </c>
      <c r="F49" s="13" t="s">
        <v>232</v>
      </c>
      <c r="G49" s="13" t="s">
        <v>155</v>
      </c>
      <c r="H49" s="13" t="s">
        <v>200</v>
      </c>
      <c r="I49" s="13" t="s">
        <v>201</v>
      </c>
      <c r="J49" s="3" t="str">
        <f t="shared" si="2"/>
        <v>South</v>
      </c>
      <c r="K49" s="3" t="s">
        <v>234</v>
      </c>
      <c r="L49" s="3">
        <v>3406.34969988732</v>
      </c>
      <c r="M49" s="1">
        <f t="shared" si="3"/>
        <v>3325.276313</v>
      </c>
      <c r="N49" s="3">
        <f t="shared" si="4"/>
        <v>860.64484</v>
      </c>
      <c r="O49" s="13" t="s">
        <v>236</v>
      </c>
      <c r="P49" s="9" t="s">
        <v>237</v>
      </c>
      <c r="Q49" s="8"/>
      <c r="R49" s="10">
        <v>310.0</v>
      </c>
      <c r="S49" s="10">
        <v>40.0</v>
      </c>
      <c r="T49" s="10">
        <f>R49-90</f>
        <v>220</v>
      </c>
      <c r="U49" s="12" t="s">
        <v>139</v>
      </c>
      <c r="V49" s="8"/>
      <c r="W49" s="8"/>
      <c r="X49" s="8"/>
      <c r="Y49" s="8"/>
      <c r="Z49" s="8"/>
      <c r="AA49" s="8"/>
      <c r="AB49" s="8"/>
      <c r="AC49" s="8"/>
      <c r="AD49" s="8"/>
      <c r="AE49" s="8"/>
      <c r="AF49" s="8"/>
      <c r="AG49" s="8"/>
      <c r="AH49" s="8"/>
      <c r="AI49" s="8"/>
      <c r="AJ49" s="8"/>
      <c r="AK49" s="8"/>
      <c r="AL49" s="8"/>
      <c r="AM49" s="8"/>
      <c r="AN49" s="8"/>
    </row>
    <row r="50">
      <c r="A50" s="5" t="s">
        <v>606</v>
      </c>
      <c r="B50" s="3">
        <f t="shared" si="1"/>
        <v>-50.64800555</v>
      </c>
      <c r="C50" s="4">
        <v>-25.2174</v>
      </c>
      <c r="D50" s="4">
        <v>30.09118</v>
      </c>
      <c r="E50" s="4">
        <v>1846.863</v>
      </c>
      <c r="F50" s="5" t="s">
        <v>607</v>
      </c>
      <c r="G50" s="5" t="s">
        <v>155</v>
      </c>
      <c r="H50" s="5" t="s">
        <v>200</v>
      </c>
      <c r="I50" s="5" t="s">
        <v>201</v>
      </c>
      <c r="J50" s="3" t="str">
        <f t="shared" si="2"/>
        <v>South</v>
      </c>
      <c r="K50" s="3" t="s">
        <v>608</v>
      </c>
      <c r="L50" s="3">
        <v>3488.33655314411</v>
      </c>
      <c r="M50" s="1">
        <f t="shared" si="3"/>
        <v>3407.111239</v>
      </c>
      <c r="N50" s="3">
        <f t="shared" si="4"/>
        <v>881.8252774</v>
      </c>
      <c r="O50" s="5"/>
      <c r="P50" s="5" t="s">
        <v>609</v>
      </c>
      <c r="Q50" s="7"/>
      <c r="R50" s="7"/>
      <c r="S50" s="7"/>
      <c r="T50" s="5"/>
      <c r="U50" s="5"/>
      <c r="V50" s="5" t="s">
        <v>49</v>
      </c>
      <c r="W50" s="5" t="s">
        <v>50</v>
      </c>
      <c r="X50" s="7"/>
      <c r="Y50" s="7"/>
      <c r="Z50" s="7"/>
      <c r="AA50" s="7"/>
      <c r="AB50" s="7"/>
      <c r="AC50" s="7"/>
      <c r="AD50" s="7"/>
      <c r="AE50" s="7"/>
      <c r="AF50" s="7"/>
      <c r="AG50" s="7"/>
      <c r="AH50" s="5" t="s">
        <v>51</v>
      </c>
      <c r="AJ50" s="7"/>
      <c r="AK50" s="5" t="s">
        <v>544</v>
      </c>
      <c r="AL50" s="6"/>
      <c r="AM50" s="8"/>
      <c r="AN50" s="8"/>
    </row>
    <row r="51">
      <c r="A51" s="13" t="s">
        <v>610</v>
      </c>
      <c r="B51" s="3">
        <f t="shared" si="1"/>
        <v>-33.03637373</v>
      </c>
      <c r="C51" s="14">
        <v>-25.206</v>
      </c>
      <c r="D51" s="14">
        <v>30.0992</v>
      </c>
      <c r="E51" s="14">
        <v>1919.46</v>
      </c>
      <c r="F51" s="13" t="s">
        <v>611</v>
      </c>
      <c r="G51" s="15" t="s">
        <v>612</v>
      </c>
      <c r="H51" s="13" t="s">
        <v>315</v>
      </c>
      <c r="I51" s="15" t="s">
        <v>246</v>
      </c>
      <c r="J51" s="3" t="str">
        <f t="shared" si="2"/>
        <v>North</v>
      </c>
      <c r="K51" s="3" t="s">
        <v>613</v>
      </c>
      <c r="L51" s="3">
        <v>3536.93036571676</v>
      </c>
      <c r="M51" s="1">
        <f t="shared" si="3"/>
        <v>3475.157359</v>
      </c>
      <c r="N51" s="3">
        <f t="shared" si="4"/>
        <v>899.4369092</v>
      </c>
      <c r="O51" s="13" t="s">
        <v>320</v>
      </c>
      <c r="P51" s="9" t="s">
        <v>614</v>
      </c>
      <c r="Q51" s="10">
        <v>81.0</v>
      </c>
      <c r="R51" s="8"/>
      <c r="S51" s="8"/>
      <c r="T51" s="8"/>
      <c r="U51" s="8"/>
      <c r="V51" s="8"/>
      <c r="W51" s="8"/>
      <c r="X51" s="8"/>
      <c r="Y51" s="8"/>
      <c r="Z51" s="8"/>
      <c r="AA51" s="8"/>
      <c r="AB51" s="8"/>
      <c r="AC51" s="8"/>
      <c r="AD51" s="8"/>
      <c r="AE51" s="8"/>
      <c r="AF51" s="8"/>
      <c r="AG51" s="8"/>
      <c r="AH51" s="8"/>
      <c r="AI51" s="8"/>
      <c r="AJ51" s="8"/>
      <c r="AK51" s="8"/>
      <c r="AL51" s="8"/>
      <c r="AM51" s="8"/>
      <c r="AN51" s="8"/>
    </row>
    <row r="52">
      <c r="A52" s="13" t="s">
        <v>616</v>
      </c>
      <c r="B52" s="3">
        <f t="shared" si="1"/>
        <v>161.7524339</v>
      </c>
      <c r="C52" s="14">
        <v>-25.2281</v>
      </c>
      <c r="D52" s="14">
        <v>30.07313</v>
      </c>
      <c r="E52" s="14">
        <v>1803.425</v>
      </c>
      <c r="F52" s="13" t="s">
        <v>618</v>
      </c>
      <c r="G52" s="9" t="s">
        <v>200</v>
      </c>
      <c r="H52" s="9" t="s">
        <v>200</v>
      </c>
      <c r="I52" s="11" t="s">
        <v>201</v>
      </c>
      <c r="J52" s="3" t="str">
        <f t="shared" si="2"/>
        <v>South</v>
      </c>
      <c r="K52" s="3" t="s">
        <v>620</v>
      </c>
      <c r="L52" s="3">
        <v>4320.62801012304</v>
      </c>
      <c r="M52" s="1">
        <f t="shared" si="3"/>
        <v>4227.763519</v>
      </c>
      <c r="N52" s="3">
        <f t="shared" si="4"/>
        <v>1094.225717</v>
      </c>
      <c r="O52" s="9" t="s">
        <v>621</v>
      </c>
      <c r="P52" s="9" t="s">
        <v>622</v>
      </c>
      <c r="Q52" s="8"/>
      <c r="R52" s="8"/>
      <c r="S52" s="8"/>
      <c r="T52" s="8"/>
      <c r="U52" s="8"/>
      <c r="V52" s="8"/>
      <c r="W52" s="8"/>
      <c r="X52" s="8"/>
      <c r="Y52" s="8"/>
      <c r="Z52" s="8"/>
      <c r="AA52" s="8"/>
      <c r="AB52" s="8"/>
      <c r="AC52" s="8"/>
      <c r="AD52" s="8"/>
      <c r="AE52" s="8"/>
      <c r="AF52" s="8"/>
      <c r="AG52" s="8"/>
      <c r="AH52" s="8"/>
      <c r="AI52" s="8"/>
      <c r="AJ52" s="8"/>
      <c r="AK52" s="8"/>
      <c r="AL52" s="8"/>
      <c r="AM52" s="8"/>
      <c r="AN52" s="8"/>
    </row>
    <row r="53">
      <c r="A53" s="13" t="s">
        <v>624</v>
      </c>
      <c r="B53" s="3">
        <f t="shared" si="1"/>
        <v>206.8602608</v>
      </c>
      <c r="C53" s="14">
        <v>-25.227</v>
      </c>
      <c r="D53" s="14">
        <v>30.07188</v>
      </c>
      <c r="E53" s="14">
        <v>1806.182</v>
      </c>
      <c r="F53" s="13" t="s">
        <v>625</v>
      </c>
      <c r="G53" s="9" t="s">
        <v>626</v>
      </c>
      <c r="H53" s="9" t="s">
        <v>246</v>
      </c>
      <c r="I53" s="9" t="s">
        <v>246</v>
      </c>
      <c r="J53" s="3" t="str">
        <f t="shared" si="2"/>
        <v>South</v>
      </c>
      <c r="K53" s="3" t="s">
        <v>627</v>
      </c>
      <c r="L53" s="3">
        <v>4494.17253408707</v>
      </c>
      <c r="M53" s="1">
        <f t="shared" si="3"/>
        <v>4402.046779</v>
      </c>
      <c r="N53" s="3">
        <f t="shared" si="4"/>
        <v>1139.333544</v>
      </c>
      <c r="O53" s="9" t="s">
        <v>320</v>
      </c>
      <c r="P53" s="9" t="s">
        <v>628</v>
      </c>
      <c r="Q53" s="8"/>
      <c r="R53" s="8"/>
      <c r="S53" s="8"/>
      <c r="T53" s="8"/>
      <c r="U53" s="8"/>
      <c r="V53" s="8"/>
      <c r="W53" s="8"/>
      <c r="X53" s="8"/>
      <c r="Y53" s="8"/>
      <c r="Z53" s="8"/>
      <c r="AA53" s="8"/>
      <c r="AB53" s="8"/>
      <c r="AC53" s="8"/>
      <c r="AD53" s="8"/>
      <c r="AE53" s="8"/>
      <c r="AF53" s="8"/>
      <c r="AG53" s="8"/>
      <c r="AH53" s="8"/>
      <c r="AI53" s="8"/>
      <c r="AJ53" s="8"/>
      <c r="AK53" s="8"/>
      <c r="AL53" s="8"/>
      <c r="AM53" s="8"/>
      <c r="AN53" s="8"/>
    </row>
    <row r="54">
      <c r="A54" s="13" t="s">
        <v>241</v>
      </c>
      <c r="B54" s="3">
        <f t="shared" si="1"/>
        <v>333.1442535</v>
      </c>
      <c r="C54" s="14">
        <v>-25.1925</v>
      </c>
      <c r="D54" s="14">
        <v>30.09242</v>
      </c>
      <c r="E54" s="14">
        <v>1916.521</v>
      </c>
      <c r="F54" s="13" t="s">
        <v>243</v>
      </c>
      <c r="G54" s="11" t="s">
        <v>245</v>
      </c>
      <c r="H54" s="9" t="s">
        <v>246</v>
      </c>
      <c r="I54" s="9" t="s">
        <v>246</v>
      </c>
      <c r="J54" s="3" t="str">
        <f t="shared" si="2"/>
        <v>North</v>
      </c>
      <c r="K54" s="3" t="s">
        <v>248</v>
      </c>
      <c r="L54" s="3">
        <v>4952.53116815086</v>
      </c>
      <c r="M54" s="1">
        <f t="shared" si="3"/>
        <v>4889.970659</v>
      </c>
      <c r="N54" s="3">
        <f t="shared" si="4"/>
        <v>1265.617536</v>
      </c>
      <c r="O54" s="11" t="s">
        <v>630</v>
      </c>
      <c r="P54" s="8" t="s">
        <v>250</v>
      </c>
      <c r="Q54" s="10">
        <v>115.0</v>
      </c>
      <c r="R54" s="10">
        <v>220.0</v>
      </c>
      <c r="S54" s="10">
        <v>15.0</v>
      </c>
      <c r="T54" s="10">
        <f t="shared" ref="T54:T60" si="6">R54-90</f>
        <v>130</v>
      </c>
      <c r="U54" s="12" t="s">
        <v>250</v>
      </c>
      <c r="V54" s="8"/>
      <c r="W54" s="8"/>
      <c r="X54" s="8"/>
      <c r="Y54" s="8"/>
      <c r="Z54" s="8"/>
      <c r="AA54" s="8"/>
      <c r="AB54" s="8"/>
      <c r="AC54" s="8"/>
      <c r="AD54" s="8"/>
      <c r="AE54" s="8"/>
      <c r="AF54" s="8"/>
      <c r="AG54" s="8"/>
      <c r="AH54" s="8"/>
      <c r="AI54" s="8"/>
      <c r="AJ54" s="8"/>
      <c r="AK54" s="8"/>
      <c r="AL54" s="8"/>
      <c r="AM54" s="8"/>
      <c r="AN54" s="8"/>
    </row>
    <row r="55">
      <c r="A55" s="13"/>
      <c r="B55" s="3"/>
      <c r="C55" s="14"/>
      <c r="D55" s="14"/>
      <c r="E55" s="14"/>
      <c r="F55" s="13"/>
      <c r="G55" s="11"/>
      <c r="H55" s="9"/>
      <c r="I55" s="9"/>
      <c r="J55" s="3"/>
      <c r="K55" s="3"/>
      <c r="L55" s="3"/>
      <c r="M55" s="1"/>
      <c r="N55" s="3"/>
      <c r="O55" s="9"/>
      <c r="P55" s="12" t="s">
        <v>139</v>
      </c>
      <c r="Q55" s="10">
        <v>115.0</v>
      </c>
      <c r="R55" s="10">
        <v>270.0</v>
      </c>
      <c r="S55" s="10">
        <v>15.0</v>
      </c>
      <c r="T55" s="10">
        <f t="shared" si="6"/>
        <v>180</v>
      </c>
      <c r="U55" s="12" t="s">
        <v>139</v>
      </c>
      <c r="V55" s="8"/>
      <c r="W55" s="8"/>
      <c r="X55" s="8"/>
      <c r="Y55" s="8"/>
      <c r="Z55" s="8"/>
      <c r="AA55" s="8"/>
      <c r="AB55" s="8"/>
      <c r="AC55" s="8"/>
      <c r="AD55" s="8"/>
      <c r="AE55" s="8"/>
      <c r="AF55" s="8"/>
      <c r="AG55" s="8"/>
      <c r="AH55" s="8"/>
      <c r="AI55" s="8"/>
      <c r="AJ55" s="8"/>
      <c r="AK55" s="8"/>
      <c r="AL55" s="8"/>
      <c r="AM55" s="8"/>
      <c r="AN55" s="8"/>
    </row>
    <row r="56">
      <c r="A56" s="13"/>
      <c r="B56" s="3"/>
      <c r="C56" s="14"/>
      <c r="D56" s="14"/>
      <c r="E56" s="14"/>
      <c r="F56" s="13"/>
      <c r="G56" s="11"/>
      <c r="H56" s="9"/>
      <c r="I56" s="9"/>
      <c r="J56" s="3"/>
      <c r="K56" s="3"/>
      <c r="L56" s="3"/>
      <c r="M56" s="1"/>
      <c r="N56" s="3"/>
      <c r="O56" s="9"/>
      <c r="P56" s="12" t="s">
        <v>262</v>
      </c>
      <c r="Q56" s="10">
        <v>115.0</v>
      </c>
      <c r="R56" s="10">
        <v>50.0</v>
      </c>
      <c r="S56" s="10">
        <v>5.0</v>
      </c>
      <c r="T56" s="10">
        <f t="shared" si="6"/>
        <v>-40</v>
      </c>
      <c r="U56" s="12" t="s">
        <v>262</v>
      </c>
      <c r="V56" s="8"/>
      <c r="W56" s="8"/>
      <c r="X56" s="8"/>
      <c r="Y56" s="8"/>
      <c r="Z56" s="8"/>
      <c r="AA56" s="8"/>
      <c r="AB56" s="8"/>
      <c r="AC56" s="8"/>
      <c r="AD56" s="8"/>
      <c r="AE56" s="8"/>
      <c r="AF56" s="8"/>
      <c r="AG56" s="8"/>
      <c r="AH56" s="8"/>
      <c r="AI56" s="8"/>
      <c r="AJ56" s="8"/>
      <c r="AK56" s="8"/>
      <c r="AL56" s="8"/>
      <c r="AM56" s="8"/>
      <c r="AN56" s="8"/>
    </row>
    <row r="57">
      <c r="A57" s="13" t="s">
        <v>302</v>
      </c>
      <c r="B57" s="3">
        <f t="shared" ref="B57:B82" si="7">N57-$N$48-86</f>
        <v>373.0148686</v>
      </c>
      <c r="C57" s="14">
        <v>-25.227</v>
      </c>
      <c r="D57" s="14">
        <v>30.06419</v>
      </c>
      <c r="E57" s="14">
        <v>1807.561</v>
      </c>
      <c r="F57" s="13" t="s">
        <v>305</v>
      </c>
      <c r="G57" s="11" t="s">
        <v>245</v>
      </c>
      <c r="H57" s="9" t="s">
        <v>246</v>
      </c>
      <c r="I57" s="8" t="s">
        <v>306</v>
      </c>
      <c r="J57" s="3" t="str">
        <f t="shared" ref="J57:J82" si="8">IF(((((-25.166768+25.233267)/(30.008173-30.128812))*(D57-30.128812))-25.233267)&lt;C57,"North","South")</f>
        <v>South</v>
      </c>
      <c r="K57" s="3" t="s">
        <v>308</v>
      </c>
      <c r="L57" s="3">
        <v>5135.77513960314</v>
      </c>
      <c r="M57" s="1">
        <f t="shared" ref="M57:M82" si="9">((E57-2150)*tan(15*(PI()/180)))+L57</f>
        <v>5044.018886</v>
      </c>
      <c r="N57" s="3">
        <f t="shared" ref="N57:N82" si="10">M57*sin(15*PI()/180)</f>
        <v>1305.488152</v>
      </c>
      <c r="O57" s="9" t="s">
        <v>309</v>
      </c>
      <c r="P57" s="9" t="s">
        <v>310</v>
      </c>
      <c r="Q57" s="9" t="s">
        <v>311</v>
      </c>
      <c r="R57" s="10">
        <v>310.0</v>
      </c>
      <c r="S57" s="10">
        <v>15.0</v>
      </c>
      <c r="T57" s="10">
        <f t="shared" si="6"/>
        <v>220</v>
      </c>
      <c r="U57" s="12" t="s">
        <v>139</v>
      </c>
      <c r="V57" s="8"/>
      <c r="W57" s="8"/>
      <c r="X57" s="8"/>
      <c r="Y57" s="8"/>
      <c r="Z57" s="8"/>
      <c r="AA57" s="8"/>
      <c r="AB57" s="8"/>
      <c r="AC57" s="8"/>
      <c r="AD57" s="8"/>
      <c r="AE57" s="8"/>
      <c r="AF57" s="8"/>
      <c r="AG57" s="8"/>
      <c r="AH57" s="8"/>
      <c r="AI57" s="8"/>
      <c r="AJ57" s="8"/>
      <c r="AK57" s="8"/>
      <c r="AL57" s="8"/>
      <c r="AM57" s="8"/>
      <c r="AN57" s="8"/>
    </row>
    <row r="58">
      <c r="A58" s="13" t="s">
        <v>312</v>
      </c>
      <c r="B58" s="3">
        <f t="shared" si="7"/>
        <v>397.607089</v>
      </c>
      <c r="C58" s="14">
        <v>-25.1821</v>
      </c>
      <c r="D58" s="14">
        <v>30.09749</v>
      </c>
      <c r="E58" s="14">
        <v>1981.08</v>
      </c>
      <c r="F58" s="13" t="s">
        <v>313</v>
      </c>
      <c r="G58" s="15" t="s">
        <v>314</v>
      </c>
      <c r="H58" s="13" t="s">
        <v>315</v>
      </c>
      <c r="I58" s="13" t="s">
        <v>316</v>
      </c>
      <c r="J58" s="3" t="str">
        <f t="shared" si="8"/>
        <v>North</v>
      </c>
      <c r="K58" s="3" t="s">
        <v>318</v>
      </c>
      <c r="L58" s="3">
        <v>5184.29790667546</v>
      </c>
      <c r="M58" s="1">
        <f t="shared" si="9"/>
        <v>5139.035929</v>
      </c>
      <c r="N58" s="3">
        <f t="shared" si="10"/>
        <v>1330.080372</v>
      </c>
      <c r="O58" s="13" t="s">
        <v>320</v>
      </c>
      <c r="P58" s="9" t="s">
        <v>321</v>
      </c>
      <c r="Q58" s="10">
        <v>90.0</v>
      </c>
      <c r="R58" s="10">
        <v>310.0</v>
      </c>
      <c r="S58" s="10">
        <v>20.0</v>
      </c>
      <c r="T58" s="10">
        <f t="shared" si="6"/>
        <v>220</v>
      </c>
      <c r="U58" s="12" t="s">
        <v>139</v>
      </c>
      <c r="V58" s="8"/>
      <c r="W58" s="8"/>
      <c r="X58" s="8"/>
      <c r="Y58" s="8"/>
      <c r="Z58" s="8"/>
      <c r="AA58" s="8"/>
      <c r="AB58" s="8"/>
      <c r="AC58" s="8"/>
      <c r="AD58" s="8"/>
      <c r="AE58" s="8"/>
      <c r="AF58" s="8"/>
      <c r="AG58" s="8"/>
      <c r="AH58" s="8"/>
      <c r="AI58" s="8"/>
      <c r="AJ58" s="8"/>
      <c r="AK58" s="8"/>
      <c r="AL58" s="8"/>
      <c r="AM58" s="8"/>
      <c r="AN58" s="8"/>
    </row>
    <row r="59">
      <c r="A59" s="13" t="s">
        <v>323</v>
      </c>
      <c r="B59" s="3">
        <f t="shared" si="7"/>
        <v>413.1691355</v>
      </c>
      <c r="C59" s="14">
        <v>-25.1821</v>
      </c>
      <c r="D59" s="14">
        <v>30.09678</v>
      </c>
      <c r="E59" s="14">
        <v>1984.397</v>
      </c>
      <c r="F59" s="13" t="s">
        <v>324</v>
      </c>
      <c r="G59" s="13" t="s">
        <v>325</v>
      </c>
      <c r="H59" s="13" t="s">
        <v>41</v>
      </c>
      <c r="I59" s="13" t="s">
        <v>325</v>
      </c>
      <c r="J59" s="3" t="str">
        <f t="shared" si="8"/>
        <v>North</v>
      </c>
      <c r="K59" s="3" t="s">
        <v>327</v>
      </c>
      <c r="L59" s="3">
        <v>5243.53624971638</v>
      </c>
      <c r="M59" s="1">
        <f t="shared" si="9"/>
        <v>5199.16306</v>
      </c>
      <c r="N59" s="3">
        <f t="shared" si="10"/>
        <v>1345.642418</v>
      </c>
      <c r="O59" s="13" t="s">
        <v>330</v>
      </c>
      <c r="P59" s="9" t="s">
        <v>332</v>
      </c>
      <c r="Q59" s="10">
        <v>89.0</v>
      </c>
      <c r="R59" s="10">
        <v>275.0</v>
      </c>
      <c r="S59" s="10">
        <v>25.0</v>
      </c>
      <c r="T59" s="10">
        <f t="shared" si="6"/>
        <v>185</v>
      </c>
      <c r="U59" s="12" t="s">
        <v>190</v>
      </c>
      <c r="V59" s="8"/>
      <c r="W59" s="8"/>
      <c r="X59" s="8"/>
      <c r="Y59" s="8"/>
      <c r="Z59" s="8"/>
      <c r="AA59" s="8"/>
      <c r="AB59" s="8"/>
      <c r="AC59" s="8"/>
      <c r="AD59" s="8"/>
      <c r="AE59" s="8"/>
      <c r="AF59" s="8"/>
      <c r="AG59" s="8"/>
      <c r="AH59" s="8"/>
      <c r="AI59" s="8"/>
      <c r="AJ59" s="8"/>
      <c r="AK59" s="8"/>
      <c r="AL59" s="8"/>
      <c r="AM59" s="8"/>
      <c r="AN59" s="8"/>
    </row>
    <row r="60">
      <c r="A60" s="13" t="s">
        <v>337</v>
      </c>
      <c r="B60" s="3">
        <f t="shared" si="7"/>
        <v>415.4827361</v>
      </c>
      <c r="C60" s="14">
        <v>-25.1971</v>
      </c>
      <c r="D60" s="14">
        <v>30.08507</v>
      </c>
      <c r="E60" s="14">
        <v>1896.011</v>
      </c>
      <c r="F60" s="13" t="s">
        <v>338</v>
      </c>
      <c r="G60" s="11" t="s">
        <v>200</v>
      </c>
      <c r="H60" s="9" t="s">
        <v>200</v>
      </c>
      <c r="I60" s="9" t="s">
        <v>339</v>
      </c>
      <c r="J60" s="3" t="str">
        <f t="shared" si="8"/>
        <v>North</v>
      </c>
      <c r="K60" s="3" t="s">
        <v>341</v>
      </c>
      <c r="L60" s="3">
        <v>5276.1582735053</v>
      </c>
      <c r="M60" s="1">
        <f t="shared" si="9"/>
        <v>5208.102126</v>
      </c>
      <c r="N60" s="3">
        <f t="shared" si="10"/>
        <v>1347.956019</v>
      </c>
      <c r="O60" s="9" t="s">
        <v>343</v>
      </c>
      <c r="P60" s="9" t="s">
        <v>344</v>
      </c>
      <c r="Q60" s="20">
        <v>113.0</v>
      </c>
      <c r="R60" s="20">
        <v>220.0</v>
      </c>
      <c r="S60" s="10">
        <v>15.0</v>
      </c>
      <c r="T60" s="10">
        <f t="shared" si="6"/>
        <v>130</v>
      </c>
      <c r="U60" s="16" t="s">
        <v>250</v>
      </c>
      <c r="V60" s="10">
        <v>15.0</v>
      </c>
      <c r="W60" s="8"/>
      <c r="X60" s="8"/>
      <c r="Y60" s="8"/>
      <c r="Z60" s="8"/>
      <c r="AA60" s="8"/>
      <c r="AB60" s="8"/>
      <c r="AC60" s="8"/>
      <c r="AD60" s="8"/>
      <c r="AE60" s="8"/>
      <c r="AF60" s="8"/>
      <c r="AG60" s="8"/>
      <c r="AH60" s="8"/>
      <c r="AI60" s="8"/>
      <c r="AJ60" s="8"/>
      <c r="AK60" s="8"/>
      <c r="AL60" s="8"/>
      <c r="AM60" s="8"/>
      <c r="AN60" s="8"/>
    </row>
    <row r="61">
      <c r="A61" s="13" t="s">
        <v>659</v>
      </c>
      <c r="B61" s="3">
        <f t="shared" si="7"/>
        <v>433.5073304</v>
      </c>
      <c r="C61" s="14">
        <v>-25.2255</v>
      </c>
      <c r="D61" s="14">
        <v>30.0625</v>
      </c>
      <c r="E61" s="14">
        <v>1801.147</v>
      </c>
      <c r="F61" s="13" t="s">
        <v>662</v>
      </c>
      <c r="G61" s="11" t="s">
        <v>245</v>
      </c>
      <c r="H61" s="9" t="s">
        <v>315</v>
      </c>
      <c r="I61" s="9" t="s">
        <v>306</v>
      </c>
      <c r="J61" s="3" t="str">
        <f t="shared" si="8"/>
        <v>South</v>
      </c>
      <c r="K61" s="3" t="s">
        <v>663</v>
      </c>
      <c r="L61" s="3">
        <v>5371.21869029384</v>
      </c>
      <c r="M61" s="1">
        <f t="shared" si="9"/>
        <v>5277.743811</v>
      </c>
      <c r="N61" s="3">
        <f t="shared" si="10"/>
        <v>1365.980613</v>
      </c>
      <c r="O61" s="9" t="s">
        <v>309</v>
      </c>
      <c r="P61" s="11" t="s">
        <v>245</v>
      </c>
      <c r="Q61" s="8"/>
      <c r="R61" s="8"/>
      <c r="S61" s="8"/>
      <c r="T61" s="8"/>
      <c r="U61" s="8"/>
      <c r="V61" s="8"/>
      <c r="W61" s="8"/>
      <c r="X61" s="8"/>
      <c r="Y61" s="8"/>
      <c r="Z61" s="8"/>
      <c r="AA61" s="8"/>
      <c r="AB61" s="8"/>
      <c r="AC61" s="8"/>
      <c r="AD61" s="8"/>
      <c r="AE61" s="8"/>
      <c r="AF61" s="8"/>
      <c r="AG61" s="8"/>
      <c r="AH61" s="8"/>
      <c r="AI61" s="8"/>
      <c r="AJ61" s="8"/>
      <c r="AK61" s="8"/>
      <c r="AL61" s="8"/>
      <c r="AM61" s="8"/>
      <c r="AN61" s="8"/>
    </row>
    <row r="62">
      <c r="A62" s="13" t="s">
        <v>665</v>
      </c>
      <c r="B62" s="3">
        <f t="shared" si="7"/>
        <v>451.3986643</v>
      </c>
      <c r="C62" s="14">
        <v>-25.1941</v>
      </c>
      <c r="D62" s="14">
        <v>30.08572</v>
      </c>
      <c r="E62" s="14">
        <v>1911.393</v>
      </c>
      <c r="F62" s="13" t="s">
        <v>666</v>
      </c>
      <c r="G62" s="11" t="s">
        <v>314</v>
      </c>
      <c r="H62" s="11" t="s">
        <v>626</v>
      </c>
      <c r="I62" s="9" t="s">
        <v>246</v>
      </c>
      <c r="J62" s="3" t="str">
        <f t="shared" si="8"/>
        <v>North</v>
      </c>
      <c r="K62" s="3" t="s">
        <v>667</v>
      </c>
      <c r="L62" s="3">
        <v>5410.80516956829</v>
      </c>
      <c r="M62" s="1">
        <f t="shared" si="9"/>
        <v>5346.870617</v>
      </c>
      <c r="N62" s="3">
        <f t="shared" si="10"/>
        <v>1383.871947</v>
      </c>
      <c r="O62" s="9" t="s">
        <v>320</v>
      </c>
      <c r="P62" s="9" t="s">
        <v>669</v>
      </c>
      <c r="Q62" s="22">
        <v>114117.0</v>
      </c>
      <c r="R62" s="8"/>
      <c r="S62" s="8"/>
      <c r="T62" s="8"/>
      <c r="U62" s="8"/>
      <c r="V62" s="8"/>
      <c r="W62" s="8"/>
      <c r="X62" s="8"/>
      <c r="Y62" s="8"/>
      <c r="Z62" s="8"/>
      <c r="AA62" s="8"/>
      <c r="AB62" s="8"/>
      <c r="AC62" s="8"/>
      <c r="AD62" s="8"/>
      <c r="AE62" s="8"/>
      <c r="AF62" s="8"/>
      <c r="AG62" s="8"/>
      <c r="AH62" s="8"/>
      <c r="AI62" s="8"/>
      <c r="AJ62" s="8"/>
      <c r="AK62" s="8"/>
      <c r="AL62" s="8"/>
      <c r="AM62" s="8"/>
      <c r="AN62" s="8"/>
    </row>
    <row r="63">
      <c r="A63" s="13" t="s">
        <v>671</v>
      </c>
      <c r="B63" s="3">
        <f t="shared" si="7"/>
        <v>508.7586963</v>
      </c>
      <c r="C63" s="14">
        <v>-25.2196</v>
      </c>
      <c r="D63" s="14">
        <v>30.06343</v>
      </c>
      <c r="E63" s="14">
        <v>1789.499</v>
      </c>
      <c r="F63" s="13" t="s">
        <v>673</v>
      </c>
      <c r="G63" s="13" t="s">
        <v>314</v>
      </c>
      <c r="H63" s="15" t="s">
        <v>314</v>
      </c>
      <c r="I63" s="13" t="s">
        <v>674</v>
      </c>
      <c r="J63" s="3" t="str">
        <f t="shared" si="8"/>
        <v>South</v>
      </c>
      <c r="K63" s="3" t="s">
        <v>675</v>
      </c>
      <c r="L63" s="3">
        <v>5665.08871356553</v>
      </c>
      <c r="M63" s="1">
        <f t="shared" si="9"/>
        <v>5568.492762</v>
      </c>
      <c r="N63" s="3">
        <f t="shared" si="10"/>
        <v>1441.231979</v>
      </c>
      <c r="O63" s="13" t="s">
        <v>320</v>
      </c>
      <c r="P63" s="9" t="s">
        <v>676</v>
      </c>
      <c r="Q63" s="8"/>
      <c r="R63" s="8"/>
      <c r="S63" s="8"/>
      <c r="T63" s="8"/>
      <c r="U63" s="8"/>
      <c r="V63" s="8"/>
      <c r="W63" s="8"/>
      <c r="X63" s="8"/>
      <c r="Y63" s="8"/>
      <c r="Z63" s="8"/>
      <c r="AA63" s="8"/>
      <c r="AB63" s="8"/>
      <c r="AC63" s="8"/>
      <c r="AD63" s="8"/>
      <c r="AE63" s="8"/>
      <c r="AF63" s="8"/>
      <c r="AG63" s="8"/>
      <c r="AH63" s="8"/>
      <c r="AI63" s="8"/>
      <c r="AJ63" s="8"/>
      <c r="AK63" s="8"/>
      <c r="AL63" s="8"/>
      <c r="AM63" s="8"/>
      <c r="AN63" s="8"/>
    </row>
    <row r="64">
      <c r="A64" s="9" t="s">
        <v>677</v>
      </c>
      <c r="B64" s="3">
        <f t="shared" si="7"/>
        <v>564.3663335</v>
      </c>
      <c r="C64" s="10">
        <v>-25.2274</v>
      </c>
      <c r="D64" s="10">
        <v>30.05494</v>
      </c>
      <c r="E64" s="10">
        <v>1780.451</v>
      </c>
      <c r="F64" s="9" t="s">
        <v>679</v>
      </c>
      <c r="G64" s="11" t="s">
        <v>314</v>
      </c>
      <c r="H64" s="11" t="s">
        <v>314</v>
      </c>
      <c r="I64" s="9" t="s">
        <v>674</v>
      </c>
      <c r="J64" s="3" t="str">
        <f t="shared" si="8"/>
        <v>South</v>
      </c>
      <c r="K64" s="3" t="s">
        <v>680</v>
      </c>
      <c r="L64" s="3">
        <v>5882.36452950038</v>
      </c>
      <c r="M64" s="1">
        <f t="shared" si="9"/>
        <v>5783.344173</v>
      </c>
      <c r="N64" s="3">
        <f t="shared" si="10"/>
        <v>1496.839616</v>
      </c>
      <c r="O64" s="9" t="s">
        <v>682</v>
      </c>
      <c r="P64" s="9" t="s">
        <v>683</v>
      </c>
      <c r="Q64" s="9" t="s">
        <v>684</v>
      </c>
      <c r="R64" s="8"/>
      <c r="S64" s="8"/>
      <c r="T64" s="8"/>
      <c r="U64" s="8"/>
      <c r="V64" s="8"/>
      <c r="W64" s="8"/>
      <c r="X64" s="8"/>
      <c r="Y64" s="8"/>
      <c r="Z64" s="8"/>
      <c r="AA64" s="8"/>
      <c r="AB64" s="8"/>
      <c r="AC64" s="8"/>
      <c r="AD64" s="8"/>
      <c r="AE64" s="8"/>
      <c r="AF64" s="8"/>
      <c r="AG64" s="8"/>
      <c r="AH64" s="8"/>
      <c r="AI64" s="8"/>
      <c r="AJ64" s="8"/>
      <c r="AK64" s="8"/>
      <c r="AL64" s="8"/>
      <c r="AM64" s="8"/>
      <c r="AN64" s="8"/>
    </row>
    <row r="65">
      <c r="A65" s="13" t="s">
        <v>353</v>
      </c>
      <c r="B65" s="3">
        <f t="shared" si="7"/>
        <v>622.4059034</v>
      </c>
      <c r="C65" s="14">
        <v>-25.1916</v>
      </c>
      <c r="D65" s="14">
        <v>30.07954</v>
      </c>
      <c r="E65" s="14">
        <v>1865.446</v>
      </c>
      <c r="F65" s="13" t="s">
        <v>354</v>
      </c>
      <c r="G65" s="11" t="s">
        <v>200</v>
      </c>
      <c r="H65" s="9" t="s">
        <v>246</v>
      </c>
      <c r="I65" s="12" t="s">
        <v>339</v>
      </c>
      <c r="J65" s="3" t="str">
        <f t="shared" si="8"/>
        <v>North</v>
      </c>
      <c r="K65" s="3" t="s">
        <v>355</v>
      </c>
      <c r="L65" s="3">
        <v>6083.83786576056</v>
      </c>
      <c r="M65" s="1">
        <f t="shared" si="9"/>
        <v>6007.591851</v>
      </c>
      <c r="N65" s="3">
        <f t="shared" si="10"/>
        <v>1554.879186</v>
      </c>
      <c r="O65" s="8" t="s">
        <v>358</v>
      </c>
      <c r="P65" s="8" t="s">
        <v>359</v>
      </c>
      <c r="Q65" s="8"/>
      <c r="R65" s="20">
        <v>330.0</v>
      </c>
      <c r="S65" s="20">
        <v>15.0</v>
      </c>
      <c r="T65" s="10">
        <f>R65-90</f>
        <v>240</v>
      </c>
      <c r="U65" s="12" t="s">
        <v>139</v>
      </c>
      <c r="V65" s="8"/>
      <c r="W65" s="8"/>
      <c r="X65" s="8"/>
      <c r="Y65" s="8"/>
      <c r="Z65" s="8"/>
      <c r="AA65" s="8"/>
      <c r="AB65" s="8"/>
      <c r="AC65" s="8"/>
      <c r="AD65" s="8"/>
      <c r="AE65" s="8"/>
      <c r="AF65" s="8"/>
      <c r="AG65" s="8"/>
      <c r="AH65" s="8"/>
      <c r="AI65" s="8"/>
      <c r="AJ65" s="8"/>
      <c r="AK65" s="8"/>
      <c r="AL65" s="8"/>
      <c r="AM65" s="8"/>
      <c r="AN65" s="8"/>
    </row>
    <row r="66">
      <c r="A66" s="13" t="s">
        <v>690</v>
      </c>
      <c r="B66" s="3">
        <f t="shared" si="7"/>
        <v>708.08444</v>
      </c>
      <c r="C66" s="14">
        <v>-25.1827</v>
      </c>
      <c r="D66" s="14">
        <v>30.08279</v>
      </c>
      <c r="E66" s="14">
        <v>2021.631</v>
      </c>
      <c r="F66" s="13" t="s">
        <v>692</v>
      </c>
      <c r="G66" s="15" t="s">
        <v>200</v>
      </c>
      <c r="H66" s="13" t="s">
        <v>315</v>
      </c>
      <c r="I66" s="15" t="s">
        <v>364</v>
      </c>
      <c r="J66" s="3" t="str">
        <f t="shared" si="8"/>
        <v>North</v>
      </c>
      <c r="K66" s="3" t="s">
        <v>694</v>
      </c>
      <c r="L66" s="3">
        <v>6373.02466617038</v>
      </c>
      <c r="M66" s="1">
        <f t="shared" si="9"/>
        <v>6338.628296</v>
      </c>
      <c r="N66" s="3">
        <f t="shared" si="10"/>
        <v>1640.557723</v>
      </c>
      <c r="O66" s="13" t="s">
        <v>695</v>
      </c>
      <c r="P66" s="11" t="s">
        <v>696</v>
      </c>
      <c r="Q66" s="10">
        <v>87.0</v>
      </c>
      <c r="R66" s="8"/>
      <c r="S66" s="8"/>
      <c r="T66" s="8"/>
      <c r="U66" s="8"/>
      <c r="V66" s="8"/>
      <c r="W66" s="8"/>
      <c r="X66" s="8"/>
      <c r="Y66" s="8"/>
      <c r="Z66" s="8"/>
      <c r="AA66" s="8"/>
      <c r="AB66" s="8"/>
      <c r="AC66" s="8"/>
      <c r="AD66" s="8"/>
      <c r="AE66" s="8"/>
      <c r="AF66" s="8"/>
      <c r="AG66" s="8"/>
      <c r="AH66" s="8"/>
      <c r="AI66" s="8"/>
      <c r="AJ66" s="8"/>
      <c r="AK66" s="8"/>
      <c r="AL66" s="8"/>
      <c r="AM66" s="8"/>
      <c r="AN66" s="8"/>
    </row>
    <row r="67">
      <c r="A67" s="13" t="s">
        <v>699</v>
      </c>
      <c r="B67" s="3">
        <f t="shared" si="7"/>
        <v>866.6150989</v>
      </c>
      <c r="C67" s="14">
        <v>-25.1859</v>
      </c>
      <c r="D67" s="14">
        <v>30.0726</v>
      </c>
      <c r="E67" s="14">
        <v>1886.397</v>
      </c>
      <c r="F67" s="13" t="s">
        <v>701</v>
      </c>
      <c r="G67" s="11" t="s">
        <v>200</v>
      </c>
      <c r="H67" s="11" t="s">
        <v>245</v>
      </c>
      <c r="I67" s="9" t="s">
        <v>339</v>
      </c>
      <c r="J67" s="3" t="str">
        <f t="shared" si="8"/>
        <v>North</v>
      </c>
      <c r="K67" s="3" t="s">
        <v>702</v>
      </c>
      <c r="L67" s="3">
        <v>7021.77593802716</v>
      </c>
      <c r="M67" s="1">
        <f t="shared" si="9"/>
        <v>6951.143727</v>
      </c>
      <c r="N67" s="3">
        <f t="shared" si="10"/>
        <v>1799.088382</v>
      </c>
      <c r="O67" s="9" t="s">
        <v>705</v>
      </c>
      <c r="P67" s="8" t="s">
        <v>706</v>
      </c>
      <c r="Q67" s="10">
        <v>112.0</v>
      </c>
      <c r="R67" s="8"/>
      <c r="S67" s="8"/>
      <c r="T67" s="8"/>
      <c r="U67" s="8"/>
      <c r="V67" s="8"/>
      <c r="W67" s="8"/>
      <c r="X67" s="8"/>
      <c r="Y67" s="8"/>
      <c r="Z67" s="8"/>
      <c r="AA67" s="8"/>
      <c r="AB67" s="8"/>
      <c r="AC67" s="8"/>
      <c r="AD67" s="8"/>
      <c r="AE67" s="8"/>
      <c r="AF67" s="8"/>
      <c r="AG67" s="8"/>
      <c r="AH67" s="8"/>
      <c r="AI67" s="8"/>
      <c r="AJ67" s="8"/>
      <c r="AK67" s="8"/>
      <c r="AL67" s="8"/>
      <c r="AM67" s="8"/>
      <c r="AN67" s="8"/>
    </row>
    <row r="68">
      <c r="A68" s="13" t="s">
        <v>708</v>
      </c>
      <c r="B68" s="3">
        <f t="shared" si="7"/>
        <v>892.667525</v>
      </c>
      <c r="C68" s="14">
        <v>-25.1853</v>
      </c>
      <c r="D68" s="14">
        <v>30.07186</v>
      </c>
      <c r="E68" s="14">
        <v>1890.639</v>
      </c>
      <c r="F68" s="13" t="s">
        <v>709</v>
      </c>
      <c r="G68" s="11" t="s">
        <v>200</v>
      </c>
      <c r="H68" s="11" t="s">
        <v>245</v>
      </c>
      <c r="I68" s="11" t="s">
        <v>711</v>
      </c>
      <c r="J68" s="3" t="str">
        <f t="shared" si="8"/>
        <v>North</v>
      </c>
      <c r="K68" s="3" t="s">
        <v>713</v>
      </c>
      <c r="L68" s="3">
        <v>7121.29814250588</v>
      </c>
      <c r="M68" s="1">
        <f t="shared" si="9"/>
        <v>7051.802572</v>
      </c>
      <c r="N68" s="3">
        <f t="shared" si="10"/>
        <v>1825.140808</v>
      </c>
      <c r="O68" s="9" t="s">
        <v>715</v>
      </c>
      <c r="P68" s="11" t="s">
        <v>716</v>
      </c>
      <c r="Q68" s="22">
        <v>111.0</v>
      </c>
      <c r="R68" s="8"/>
      <c r="S68" s="8"/>
      <c r="T68" s="8"/>
      <c r="U68" s="8"/>
      <c r="V68" s="8"/>
      <c r="W68" s="8"/>
      <c r="X68" s="8"/>
      <c r="Y68" s="8"/>
      <c r="Z68" s="8"/>
      <c r="AA68" s="8"/>
      <c r="AB68" s="8"/>
      <c r="AC68" s="8"/>
      <c r="AD68" s="8"/>
      <c r="AE68" s="8"/>
      <c r="AF68" s="8"/>
      <c r="AG68" s="8"/>
      <c r="AH68" s="8"/>
      <c r="AI68" s="8"/>
      <c r="AJ68" s="8"/>
      <c r="AK68" s="8"/>
      <c r="AL68" s="8"/>
      <c r="AM68" s="8"/>
      <c r="AN68" s="8"/>
    </row>
    <row r="69">
      <c r="A69" s="13" t="s">
        <v>361</v>
      </c>
      <c r="B69" s="3">
        <f t="shared" si="7"/>
        <v>1030.39906</v>
      </c>
      <c r="C69" s="14">
        <v>-25.1767</v>
      </c>
      <c r="D69" s="14">
        <v>30.07222</v>
      </c>
      <c r="E69" s="14">
        <v>1967.92</v>
      </c>
      <c r="F69" s="13" t="s">
        <v>362</v>
      </c>
      <c r="G69" s="15" t="s">
        <v>200</v>
      </c>
      <c r="H69" s="13" t="s">
        <v>315</v>
      </c>
      <c r="I69" s="15" t="s">
        <v>364</v>
      </c>
      <c r="J69" s="3" t="str">
        <f t="shared" si="8"/>
        <v>North</v>
      </c>
      <c r="K69" s="3" t="s">
        <v>366</v>
      </c>
      <c r="L69" s="3">
        <v>7632.74454966858</v>
      </c>
      <c r="M69" s="1">
        <f t="shared" si="9"/>
        <v>7583.956361</v>
      </c>
      <c r="N69" s="3">
        <f t="shared" si="10"/>
        <v>1962.872343</v>
      </c>
      <c r="O69" s="13" t="s">
        <v>369</v>
      </c>
      <c r="P69" s="9" t="s">
        <v>371</v>
      </c>
      <c r="Q69" s="10">
        <v>86.0</v>
      </c>
      <c r="R69" s="10">
        <v>230.0</v>
      </c>
      <c r="S69" s="10">
        <v>25.0</v>
      </c>
      <c r="T69" s="10">
        <f>R69-90</f>
        <v>140</v>
      </c>
      <c r="U69" s="12" t="s">
        <v>250</v>
      </c>
      <c r="V69" s="8"/>
      <c r="W69" s="8"/>
      <c r="X69" s="8"/>
      <c r="Y69" s="8"/>
      <c r="Z69" s="8"/>
      <c r="AA69" s="8"/>
      <c r="AB69" s="8"/>
      <c r="AC69" s="8"/>
      <c r="AD69" s="8"/>
      <c r="AE69" s="8"/>
      <c r="AF69" s="8"/>
      <c r="AG69" s="8"/>
      <c r="AH69" s="8"/>
      <c r="AI69" s="8"/>
      <c r="AJ69" s="8"/>
      <c r="AK69" s="8"/>
      <c r="AL69" s="8"/>
      <c r="AM69" s="8"/>
      <c r="AN69" s="8"/>
    </row>
    <row r="70">
      <c r="A70" s="5" t="s">
        <v>722</v>
      </c>
      <c r="B70" s="3">
        <f t="shared" si="7"/>
        <v>1034.872261</v>
      </c>
      <c r="C70" s="4">
        <v>-25.1786</v>
      </c>
      <c r="D70" s="4">
        <v>30.07051</v>
      </c>
      <c r="E70" s="4">
        <v>1946.394</v>
      </c>
      <c r="F70" s="5" t="s">
        <v>724</v>
      </c>
      <c r="G70" s="5" t="s">
        <v>200</v>
      </c>
      <c r="H70" s="5" t="s">
        <v>200</v>
      </c>
      <c r="I70" s="5" t="s">
        <v>364</v>
      </c>
      <c r="J70" s="3" t="str">
        <f t="shared" si="8"/>
        <v>North</v>
      </c>
      <c r="K70" s="3" t="s">
        <v>725</v>
      </c>
      <c r="L70" s="3">
        <v>7655.79554427845</v>
      </c>
      <c r="M70" s="1">
        <f t="shared" si="9"/>
        <v>7601.239481</v>
      </c>
      <c r="N70" s="3">
        <f t="shared" si="10"/>
        <v>1967.345544</v>
      </c>
      <c r="O70" s="5" t="s">
        <v>728</v>
      </c>
      <c r="P70" s="7"/>
      <c r="Q70" s="5">
        <v>91.0</v>
      </c>
      <c r="R70" s="7"/>
      <c r="S70" s="7"/>
      <c r="T70" s="7"/>
      <c r="U70" s="7"/>
      <c r="V70" s="7"/>
      <c r="W70" s="7"/>
      <c r="X70" s="7"/>
      <c r="Y70" s="7"/>
      <c r="Z70" s="7"/>
      <c r="AA70" s="7"/>
      <c r="AB70" s="7"/>
      <c r="AC70" s="7"/>
      <c r="AD70" s="7"/>
      <c r="AE70" s="7"/>
      <c r="AF70" s="7"/>
      <c r="AG70" s="7"/>
      <c r="AH70" s="7"/>
      <c r="AI70" s="7"/>
      <c r="AJ70" s="7"/>
      <c r="AK70" s="7"/>
      <c r="AL70" s="6"/>
      <c r="AM70" s="8"/>
      <c r="AN70" s="8"/>
    </row>
    <row r="71">
      <c r="A71" s="13" t="s">
        <v>384</v>
      </c>
      <c r="B71" s="3">
        <f t="shared" si="7"/>
        <v>1035.657451</v>
      </c>
      <c r="C71" s="14">
        <v>-25.179</v>
      </c>
      <c r="D71" s="14">
        <v>30.07014</v>
      </c>
      <c r="E71" s="14">
        <v>1936.491</v>
      </c>
      <c r="F71" s="13" t="s">
        <v>386</v>
      </c>
      <c r="G71" s="15" t="s">
        <v>200</v>
      </c>
      <c r="H71" s="13" t="s">
        <v>200</v>
      </c>
      <c r="I71" s="13" t="s">
        <v>339</v>
      </c>
      <c r="J71" s="3" t="str">
        <f t="shared" si="8"/>
        <v>North</v>
      </c>
      <c r="K71" s="3" t="s">
        <v>390</v>
      </c>
      <c r="L71" s="3">
        <v>7661.48278621439</v>
      </c>
      <c r="M71" s="1">
        <f t="shared" si="9"/>
        <v>7604.273222</v>
      </c>
      <c r="N71" s="3">
        <f t="shared" si="10"/>
        <v>1968.130734</v>
      </c>
      <c r="O71" s="13" t="s">
        <v>394</v>
      </c>
      <c r="P71" s="9" t="s">
        <v>396</v>
      </c>
      <c r="Q71" s="10">
        <v>85.0</v>
      </c>
      <c r="R71" s="10">
        <v>200.0</v>
      </c>
      <c r="S71" s="10">
        <v>10.0</v>
      </c>
      <c r="T71" s="10">
        <f t="shared" ref="T71:T72" si="11">R71-90</f>
        <v>110</v>
      </c>
      <c r="U71" s="12" t="s">
        <v>250</v>
      </c>
      <c r="V71" s="8"/>
      <c r="W71" s="8"/>
      <c r="X71" s="8"/>
      <c r="Y71" s="8"/>
      <c r="Z71" s="8"/>
      <c r="AA71" s="8"/>
      <c r="AB71" s="8"/>
      <c r="AC71" s="8"/>
      <c r="AD71" s="8"/>
      <c r="AE71" s="8"/>
      <c r="AF71" s="8"/>
      <c r="AG71" s="8"/>
      <c r="AH71" s="8"/>
      <c r="AI71" s="8"/>
      <c r="AJ71" s="8"/>
      <c r="AK71" s="8"/>
      <c r="AL71" s="8"/>
      <c r="AM71" s="8"/>
      <c r="AN71" s="8"/>
    </row>
    <row r="72">
      <c r="A72" s="13" t="s">
        <v>384</v>
      </c>
      <c r="B72" s="3">
        <f t="shared" si="7"/>
        <v>1035.657451</v>
      </c>
      <c r="C72" s="14">
        <v>-25.179</v>
      </c>
      <c r="D72" s="14">
        <v>30.07014</v>
      </c>
      <c r="E72" s="14">
        <v>1936.491</v>
      </c>
      <c r="F72" s="13" t="s">
        <v>386</v>
      </c>
      <c r="G72" s="15" t="s">
        <v>200</v>
      </c>
      <c r="H72" s="13" t="s">
        <v>200</v>
      </c>
      <c r="I72" s="13" t="s">
        <v>348</v>
      </c>
      <c r="J72" s="3" t="str">
        <f t="shared" si="8"/>
        <v>North</v>
      </c>
      <c r="K72" s="3" t="s">
        <v>390</v>
      </c>
      <c r="L72" s="3">
        <v>7661.48278621439</v>
      </c>
      <c r="M72" s="1">
        <f t="shared" si="9"/>
        <v>7604.273222</v>
      </c>
      <c r="N72" s="3">
        <f t="shared" si="10"/>
        <v>1968.130734</v>
      </c>
      <c r="O72" s="13" t="s">
        <v>416</v>
      </c>
      <c r="P72" s="9" t="s">
        <v>417</v>
      </c>
      <c r="Q72" s="8"/>
      <c r="R72" s="10">
        <v>300.0</v>
      </c>
      <c r="S72" s="10">
        <v>10.0</v>
      </c>
      <c r="T72" s="10">
        <f t="shared" si="11"/>
        <v>210</v>
      </c>
      <c r="U72" s="12" t="s">
        <v>139</v>
      </c>
      <c r="V72" s="8"/>
      <c r="W72" s="8"/>
      <c r="X72" s="8"/>
      <c r="Y72" s="8"/>
      <c r="Z72" s="8"/>
      <c r="AA72" s="8"/>
      <c r="AB72" s="8"/>
      <c r="AC72" s="8"/>
      <c r="AD72" s="8"/>
      <c r="AE72" s="8"/>
      <c r="AF72" s="8"/>
      <c r="AG72" s="8"/>
      <c r="AH72" s="8"/>
      <c r="AI72" s="8"/>
      <c r="AJ72" s="8"/>
      <c r="AK72" s="8"/>
      <c r="AL72" s="8"/>
      <c r="AM72" s="8"/>
      <c r="AN72" s="8"/>
    </row>
    <row r="73">
      <c r="A73" s="13" t="s">
        <v>735</v>
      </c>
      <c r="B73" s="3">
        <f t="shared" si="7"/>
        <v>1244.084984</v>
      </c>
      <c r="C73" s="14">
        <v>-25.1705</v>
      </c>
      <c r="D73" s="14">
        <v>30.06651</v>
      </c>
      <c r="E73" s="14">
        <v>1814.129</v>
      </c>
      <c r="F73" s="13" t="s">
        <v>736</v>
      </c>
      <c r="G73" s="13" t="s">
        <v>200</v>
      </c>
      <c r="H73" s="13" t="s">
        <v>200</v>
      </c>
      <c r="I73" s="15" t="s">
        <v>348</v>
      </c>
      <c r="J73" s="3" t="str">
        <f t="shared" si="8"/>
        <v>North</v>
      </c>
      <c r="K73" s="3" t="s">
        <v>738</v>
      </c>
      <c r="L73" s="3">
        <v>8499.57173237229</v>
      </c>
      <c r="M73" s="1">
        <f t="shared" si="9"/>
        <v>8409.575369</v>
      </c>
      <c r="N73" s="3">
        <f t="shared" si="10"/>
        <v>2176.558267</v>
      </c>
      <c r="O73" s="13" t="s">
        <v>739</v>
      </c>
      <c r="P73" s="9" t="s">
        <v>741</v>
      </c>
      <c r="Q73" s="10">
        <v>84.0</v>
      </c>
      <c r="R73" s="8"/>
      <c r="S73" s="8"/>
      <c r="T73" s="8"/>
      <c r="U73" s="8"/>
      <c r="V73" s="8"/>
      <c r="W73" s="8"/>
      <c r="X73" s="8"/>
      <c r="Y73" s="8"/>
      <c r="Z73" s="8"/>
      <c r="AA73" s="8"/>
      <c r="AB73" s="8"/>
      <c r="AC73" s="8"/>
      <c r="AD73" s="8"/>
      <c r="AE73" s="8"/>
      <c r="AF73" s="8"/>
      <c r="AG73" s="8"/>
      <c r="AH73" s="8"/>
      <c r="AI73" s="8"/>
      <c r="AJ73" s="8"/>
      <c r="AK73" s="8"/>
      <c r="AL73" s="8"/>
      <c r="AM73" s="8"/>
      <c r="AN73" s="8"/>
    </row>
    <row r="74">
      <c r="A74" s="13" t="s">
        <v>742</v>
      </c>
      <c r="B74" s="3">
        <f t="shared" si="7"/>
        <v>1416.799042</v>
      </c>
      <c r="C74" s="14">
        <v>-25.2191</v>
      </c>
      <c r="D74" s="14">
        <v>30.0217</v>
      </c>
      <c r="E74" s="14">
        <v>1770.81</v>
      </c>
      <c r="F74" s="13" t="s">
        <v>744</v>
      </c>
      <c r="G74" s="13" t="s">
        <v>200</v>
      </c>
      <c r="H74" s="13" t="s">
        <v>745</v>
      </c>
      <c r="I74" s="13" t="s">
        <v>484</v>
      </c>
      <c r="J74" s="3" t="str">
        <f t="shared" si="8"/>
        <v>South</v>
      </c>
      <c r="K74" s="3" t="s">
        <v>747</v>
      </c>
      <c r="L74" s="3">
        <v>9178.49490266669</v>
      </c>
      <c r="M74" s="1">
        <f t="shared" si="9"/>
        <v>9076.891248</v>
      </c>
      <c r="N74" s="3">
        <f t="shared" si="10"/>
        <v>2349.272325</v>
      </c>
      <c r="O74" s="13" t="s">
        <v>749</v>
      </c>
      <c r="P74" s="9" t="s">
        <v>750</v>
      </c>
      <c r="Q74" s="8"/>
      <c r="R74" s="8"/>
      <c r="S74" s="8"/>
      <c r="T74" s="8"/>
      <c r="U74" s="10"/>
      <c r="V74" s="10">
        <v>50.0</v>
      </c>
      <c r="W74" s="9" t="s">
        <v>751</v>
      </c>
      <c r="X74" s="10">
        <v>10.0</v>
      </c>
      <c r="Y74" s="8"/>
      <c r="Z74" s="10">
        <v>10.0</v>
      </c>
      <c r="AA74" s="8"/>
      <c r="AB74" s="8"/>
      <c r="AC74" s="8"/>
      <c r="AD74" s="10">
        <v>30.0</v>
      </c>
      <c r="AE74" s="8"/>
      <c r="AF74" s="8"/>
      <c r="AG74" s="8"/>
      <c r="AH74" s="8"/>
      <c r="AI74" s="8"/>
      <c r="AJ74" s="10">
        <v>0.0</v>
      </c>
      <c r="AK74" s="8"/>
      <c r="AL74" s="8"/>
      <c r="AM74" s="8"/>
      <c r="AN74" s="8"/>
    </row>
    <row r="75">
      <c r="A75" s="13" t="s">
        <v>752</v>
      </c>
      <c r="B75" s="3">
        <f t="shared" si="7"/>
        <v>1416.799042</v>
      </c>
      <c r="C75" s="14">
        <v>-25.2191</v>
      </c>
      <c r="D75" s="14">
        <v>30.0217</v>
      </c>
      <c r="E75" s="14">
        <v>1770.81</v>
      </c>
      <c r="F75" s="13" t="s">
        <v>744</v>
      </c>
      <c r="G75" s="8" t="s">
        <v>730</v>
      </c>
      <c r="H75" s="8" t="s">
        <v>730</v>
      </c>
      <c r="I75" s="8" t="s">
        <v>730</v>
      </c>
      <c r="J75" s="3" t="str">
        <f t="shared" si="8"/>
        <v>South</v>
      </c>
      <c r="K75" s="3" t="s">
        <v>747</v>
      </c>
      <c r="L75" s="3">
        <v>9178.49490266669</v>
      </c>
      <c r="M75" s="1">
        <f t="shared" si="9"/>
        <v>9076.891248</v>
      </c>
      <c r="N75" s="3">
        <f t="shared" si="10"/>
        <v>2349.272325</v>
      </c>
      <c r="O75" s="8" t="s">
        <v>753</v>
      </c>
      <c r="P75" s="8" t="s">
        <v>754</v>
      </c>
      <c r="Q75" s="20">
        <v>59.0</v>
      </c>
      <c r="R75" s="8"/>
      <c r="S75" s="8"/>
      <c r="T75" s="8"/>
      <c r="U75" s="8"/>
      <c r="V75" s="8"/>
      <c r="W75" s="8"/>
      <c r="X75" s="8"/>
      <c r="Y75" s="8"/>
      <c r="Z75" s="8"/>
      <c r="AA75" s="8"/>
      <c r="AB75" s="8"/>
      <c r="AC75" s="8"/>
      <c r="AD75" s="8"/>
      <c r="AE75" s="8"/>
      <c r="AF75" s="8"/>
      <c r="AG75" s="8"/>
      <c r="AH75" s="8"/>
      <c r="AI75" s="8"/>
      <c r="AJ75" s="8"/>
      <c r="AK75" s="8"/>
      <c r="AL75" s="8"/>
      <c r="AM75" s="8"/>
      <c r="AN75" s="8"/>
    </row>
    <row r="76">
      <c r="A76" s="13" t="s">
        <v>433</v>
      </c>
      <c r="B76" s="3">
        <f t="shared" si="7"/>
        <v>1475.494127</v>
      </c>
      <c r="C76" s="14">
        <v>-25.2009</v>
      </c>
      <c r="D76" s="14">
        <v>30.03275</v>
      </c>
      <c r="E76" s="14">
        <v>1781.409</v>
      </c>
      <c r="F76" s="13" t="s">
        <v>435</v>
      </c>
      <c r="G76" s="9" t="s">
        <v>200</v>
      </c>
      <c r="H76" s="9" t="s">
        <v>200</v>
      </c>
      <c r="I76" s="9" t="s">
        <v>348</v>
      </c>
      <c r="J76" s="3" t="str">
        <f t="shared" si="8"/>
        <v>South</v>
      </c>
      <c r="K76" s="3" t="s">
        <v>437</v>
      </c>
      <c r="L76" s="3">
        <v>9402.43530133033</v>
      </c>
      <c r="M76" s="1">
        <f t="shared" si="9"/>
        <v>9303.671641</v>
      </c>
      <c r="N76" s="3">
        <f t="shared" si="10"/>
        <v>2407.96741</v>
      </c>
      <c r="O76" s="8"/>
      <c r="P76" s="9" t="s">
        <v>443</v>
      </c>
      <c r="Q76" s="8"/>
      <c r="R76" s="10">
        <v>290.0</v>
      </c>
      <c r="S76" s="10">
        <v>10.0</v>
      </c>
      <c r="T76" s="10">
        <f t="shared" ref="T76:T77" si="12">R76-90</f>
        <v>200</v>
      </c>
      <c r="U76" s="12" t="s">
        <v>139</v>
      </c>
      <c r="V76" s="8"/>
      <c r="W76" s="8"/>
      <c r="X76" s="8"/>
      <c r="Y76" s="8"/>
      <c r="Z76" s="8"/>
      <c r="AA76" s="8"/>
      <c r="AB76" s="8"/>
      <c r="AC76" s="8"/>
      <c r="AD76" s="8"/>
      <c r="AE76" s="8"/>
      <c r="AF76" s="8"/>
      <c r="AG76" s="8"/>
      <c r="AH76" s="8"/>
      <c r="AI76" s="8"/>
      <c r="AJ76" s="8"/>
      <c r="AK76" s="8"/>
      <c r="AL76" s="8"/>
      <c r="AM76" s="8"/>
      <c r="AN76" s="8"/>
    </row>
    <row r="77">
      <c r="A77" s="13" t="s">
        <v>447</v>
      </c>
      <c r="B77" s="3">
        <f t="shared" si="7"/>
        <v>1550.527234</v>
      </c>
      <c r="C77" s="14">
        <v>-25.2184</v>
      </c>
      <c r="D77" s="14">
        <v>30.01618</v>
      </c>
      <c r="E77" s="14">
        <v>1815.589</v>
      </c>
      <c r="F77" s="13" t="s">
        <v>450</v>
      </c>
      <c r="G77" s="13" t="s">
        <v>200</v>
      </c>
      <c r="H77" s="13" t="s">
        <v>200</v>
      </c>
      <c r="I77" s="13" t="s">
        <v>348</v>
      </c>
      <c r="J77" s="3" t="str">
        <f t="shared" si="8"/>
        <v>South</v>
      </c>
      <c r="K77" s="3" t="s">
        <v>451</v>
      </c>
      <c r="L77" s="3">
        <v>9683.18245975101</v>
      </c>
      <c r="M77" s="1">
        <f t="shared" si="9"/>
        <v>9593.577302</v>
      </c>
      <c r="N77" s="3">
        <f t="shared" si="10"/>
        <v>2483.000517</v>
      </c>
      <c r="O77" s="13"/>
      <c r="P77" s="9" t="s">
        <v>454</v>
      </c>
      <c r="Q77" s="10">
        <v>58.0</v>
      </c>
      <c r="R77" s="10">
        <v>16.0</v>
      </c>
      <c r="S77" s="10">
        <v>6.0</v>
      </c>
      <c r="T77" s="10">
        <f t="shared" si="12"/>
        <v>-74</v>
      </c>
      <c r="U77" s="12" t="s">
        <v>139</v>
      </c>
      <c r="V77" s="8"/>
      <c r="W77" s="8"/>
      <c r="X77" s="8"/>
      <c r="Y77" s="8"/>
      <c r="Z77" s="8"/>
      <c r="AA77" s="8"/>
      <c r="AB77" s="8"/>
      <c r="AC77" s="8"/>
      <c r="AD77" s="8"/>
      <c r="AE77" s="8"/>
      <c r="AF77" s="8"/>
      <c r="AG77" s="8"/>
      <c r="AH77" s="8"/>
      <c r="AI77" s="8"/>
      <c r="AJ77" s="8"/>
      <c r="AK77" s="8"/>
      <c r="AL77" s="8"/>
      <c r="AM77" s="8"/>
      <c r="AN77" s="8"/>
    </row>
    <row r="78">
      <c r="A78" s="13" t="s">
        <v>760</v>
      </c>
      <c r="B78" s="3">
        <f t="shared" si="7"/>
        <v>2049.948125</v>
      </c>
      <c r="C78" s="14">
        <v>-25.1809</v>
      </c>
      <c r="D78" s="14">
        <v>30.02113</v>
      </c>
      <c r="E78" s="14">
        <v>1745.942</v>
      </c>
      <c r="F78" s="13" t="s">
        <v>762</v>
      </c>
      <c r="G78" s="9" t="s">
        <v>730</v>
      </c>
      <c r="H78" s="9" t="s">
        <v>730</v>
      </c>
      <c r="I78" s="9" t="s">
        <v>730</v>
      </c>
      <c r="J78" s="3" t="str">
        <f t="shared" si="8"/>
        <v>South</v>
      </c>
      <c r="K78" s="3" t="s">
        <v>764</v>
      </c>
      <c r="L78" s="3">
        <v>11631.4584666298</v>
      </c>
      <c r="M78" s="1">
        <f t="shared" si="9"/>
        <v>11523.19145</v>
      </c>
      <c r="N78" s="3">
        <f t="shared" si="10"/>
        <v>2982.421408</v>
      </c>
      <c r="O78" s="8"/>
      <c r="P78" s="9" t="s">
        <v>766</v>
      </c>
      <c r="Q78" s="8"/>
      <c r="R78" s="8"/>
      <c r="S78" s="8"/>
      <c r="T78" s="8"/>
      <c r="U78" s="8"/>
      <c r="V78" s="8"/>
      <c r="W78" s="8"/>
      <c r="X78" s="8"/>
      <c r="Y78" s="8"/>
      <c r="Z78" s="8"/>
      <c r="AA78" s="8"/>
      <c r="AB78" s="8"/>
      <c r="AC78" s="8"/>
      <c r="AD78" s="8"/>
      <c r="AE78" s="8"/>
      <c r="AF78" s="8"/>
      <c r="AG78" s="8"/>
      <c r="AH78" s="8"/>
      <c r="AI78" s="8"/>
      <c r="AJ78" s="8"/>
      <c r="AK78" s="8"/>
      <c r="AL78" s="8"/>
      <c r="AM78" s="8"/>
      <c r="AN78" s="8"/>
    </row>
    <row r="79">
      <c r="A79" s="13" t="s">
        <v>767</v>
      </c>
      <c r="B79" s="3">
        <f t="shared" si="7"/>
        <v>2135.894335</v>
      </c>
      <c r="C79" s="14">
        <v>-25.1777</v>
      </c>
      <c r="D79" s="14">
        <v>30.01951</v>
      </c>
      <c r="E79" s="14">
        <v>1728.683</v>
      </c>
      <c r="F79" s="13" t="s">
        <v>768</v>
      </c>
      <c r="G79" s="9" t="s">
        <v>730</v>
      </c>
      <c r="H79" s="9" t="s">
        <v>730</v>
      </c>
      <c r="I79" s="9" t="s">
        <v>730</v>
      </c>
      <c r="J79" s="3" t="str">
        <f t="shared" si="8"/>
        <v>South</v>
      </c>
      <c r="K79" s="3" t="s">
        <v>769</v>
      </c>
      <c r="L79" s="3">
        <v>11968.1536582777</v>
      </c>
      <c r="M79" s="1">
        <f t="shared" si="9"/>
        <v>11855.26211</v>
      </c>
      <c r="N79" s="3">
        <f t="shared" si="10"/>
        <v>3068.367618</v>
      </c>
      <c r="O79" s="8"/>
      <c r="P79" s="9" t="s">
        <v>770</v>
      </c>
      <c r="Q79" s="8"/>
      <c r="R79" s="8"/>
      <c r="S79" s="8"/>
      <c r="T79" s="8"/>
      <c r="U79" s="8"/>
      <c r="V79" s="8"/>
      <c r="W79" s="8"/>
      <c r="X79" s="8"/>
      <c r="Y79" s="8"/>
      <c r="Z79" s="8"/>
      <c r="AA79" s="8"/>
      <c r="AB79" s="8"/>
      <c r="AC79" s="8"/>
      <c r="AD79" s="8"/>
      <c r="AE79" s="8"/>
      <c r="AF79" s="8"/>
      <c r="AG79" s="8"/>
      <c r="AH79" s="8"/>
      <c r="AI79" s="8"/>
      <c r="AJ79" s="8"/>
      <c r="AK79" s="8"/>
      <c r="AL79" s="8"/>
      <c r="AM79" s="8"/>
      <c r="AN79" s="8"/>
    </row>
    <row r="80">
      <c r="A80" s="13" t="s">
        <v>771</v>
      </c>
      <c r="B80" s="3">
        <f t="shared" si="7"/>
        <v>2175.295674</v>
      </c>
      <c r="C80" s="14">
        <v>-25.1771</v>
      </c>
      <c r="D80" s="14">
        <v>30.01813</v>
      </c>
      <c r="E80" s="14">
        <v>1726.038</v>
      </c>
      <c r="F80" s="13" t="s">
        <v>772</v>
      </c>
      <c r="G80" s="9" t="s">
        <v>200</v>
      </c>
      <c r="H80" s="9" t="s">
        <v>200</v>
      </c>
      <c r="I80" s="9" t="s">
        <v>484</v>
      </c>
      <c r="J80" s="3" t="str">
        <f t="shared" si="8"/>
        <v>South</v>
      </c>
      <c r="K80" s="3" t="s">
        <v>773</v>
      </c>
      <c r="L80" s="3">
        <v>12121.0974671732</v>
      </c>
      <c r="M80" s="1">
        <f t="shared" si="9"/>
        <v>12007.49719</v>
      </c>
      <c r="N80" s="3">
        <f t="shared" si="10"/>
        <v>3107.768957</v>
      </c>
      <c r="O80" s="8"/>
      <c r="P80" s="9" t="s">
        <v>774</v>
      </c>
      <c r="Q80" s="8"/>
      <c r="R80" s="8"/>
      <c r="S80" s="8"/>
      <c r="T80" s="8"/>
      <c r="U80" s="8"/>
      <c r="V80" s="8"/>
      <c r="W80" s="8"/>
      <c r="X80" s="8"/>
      <c r="Y80" s="8"/>
      <c r="Z80" s="8"/>
      <c r="AA80" s="8"/>
      <c r="AB80" s="8"/>
      <c r="AC80" s="8"/>
      <c r="AD80" s="8"/>
      <c r="AE80" s="8"/>
      <c r="AF80" s="8"/>
      <c r="AG80" s="8"/>
      <c r="AH80" s="8"/>
      <c r="AI80" s="8"/>
      <c r="AJ80" s="8"/>
      <c r="AK80" s="8"/>
      <c r="AL80" s="8"/>
      <c r="AM80" s="8"/>
      <c r="AN80" s="8"/>
    </row>
    <row r="81">
      <c r="A81" s="13" t="s">
        <v>486</v>
      </c>
      <c r="B81" s="3">
        <f t="shared" si="7"/>
        <v>2682.4847</v>
      </c>
      <c r="C81" s="14">
        <v>-25.2133</v>
      </c>
      <c r="D81" s="14">
        <v>29.96669</v>
      </c>
      <c r="E81" s="14">
        <v>1526.247</v>
      </c>
      <c r="F81" s="13" t="s">
        <v>489</v>
      </c>
      <c r="G81" s="13" t="s">
        <v>200</v>
      </c>
      <c r="H81" s="13" t="s">
        <v>200</v>
      </c>
      <c r="I81" s="13" t="s">
        <v>348</v>
      </c>
      <c r="J81" s="3" t="str">
        <f t="shared" si="8"/>
        <v>South</v>
      </c>
      <c r="K81" s="3" t="s">
        <v>493</v>
      </c>
      <c r="L81" s="3">
        <v>14134.2592189439</v>
      </c>
      <c r="M81" s="1">
        <f t="shared" si="9"/>
        <v>13967.12511</v>
      </c>
      <c r="N81" s="3">
        <f t="shared" si="10"/>
        <v>3614.957983</v>
      </c>
      <c r="O81" s="13"/>
      <c r="P81" s="9" t="s">
        <v>495</v>
      </c>
      <c r="Q81" s="8"/>
      <c r="R81" s="10">
        <v>250.0</v>
      </c>
      <c r="S81" s="10">
        <v>13.0</v>
      </c>
      <c r="T81" s="10">
        <f t="shared" ref="T81:T82" si="13">R81-90</f>
        <v>160</v>
      </c>
      <c r="U81" s="12" t="s">
        <v>139</v>
      </c>
      <c r="V81" s="8"/>
      <c r="W81" s="8"/>
      <c r="X81" s="8"/>
      <c r="Y81" s="8"/>
      <c r="Z81" s="8"/>
      <c r="AA81" s="8"/>
      <c r="AB81" s="8"/>
      <c r="AC81" s="8"/>
      <c r="AD81" s="8"/>
      <c r="AE81" s="8"/>
      <c r="AF81" s="8"/>
      <c r="AG81" s="8"/>
      <c r="AH81" s="8"/>
      <c r="AI81" s="8"/>
      <c r="AJ81" s="8"/>
      <c r="AK81" s="8"/>
      <c r="AL81" s="8"/>
      <c r="AM81" s="8"/>
      <c r="AN81" s="8"/>
    </row>
    <row r="82">
      <c r="A82" s="13" t="s">
        <v>497</v>
      </c>
      <c r="B82" s="3">
        <f t="shared" si="7"/>
        <v>3266.300221</v>
      </c>
      <c r="C82" s="14">
        <v>-25.199</v>
      </c>
      <c r="D82" s="14">
        <v>29.95029</v>
      </c>
      <c r="E82" s="14">
        <v>1475.559</v>
      </c>
      <c r="F82" s="13" t="s">
        <v>499</v>
      </c>
      <c r="G82" s="13" t="s">
        <v>200</v>
      </c>
      <c r="H82" s="13" t="s">
        <v>200</v>
      </c>
      <c r="I82" s="13" t="s">
        <v>348</v>
      </c>
      <c r="J82" s="3" t="str">
        <f t="shared" si="8"/>
        <v>South</v>
      </c>
      <c r="K82" s="3" t="s">
        <v>501</v>
      </c>
      <c r="L82" s="3">
        <v>16403.5309861866</v>
      </c>
      <c r="M82" s="1">
        <f t="shared" si="9"/>
        <v>16222.81506</v>
      </c>
      <c r="N82" s="3">
        <f t="shared" si="10"/>
        <v>4198.773504</v>
      </c>
      <c r="O82" s="13"/>
      <c r="P82" s="9" t="s">
        <v>502</v>
      </c>
      <c r="Q82" s="8"/>
      <c r="R82" s="10">
        <v>292.0</v>
      </c>
      <c r="S82" s="10">
        <v>12.0</v>
      </c>
      <c r="T82" s="10">
        <f t="shared" si="13"/>
        <v>202</v>
      </c>
      <c r="U82" s="12" t="s">
        <v>139</v>
      </c>
      <c r="V82" s="8"/>
      <c r="W82" s="8"/>
      <c r="X82" s="8"/>
      <c r="Y82" s="8"/>
      <c r="Z82" s="8"/>
      <c r="AA82" s="8"/>
      <c r="AB82" s="8"/>
      <c r="AC82" s="8"/>
      <c r="AD82" s="8"/>
      <c r="AE82" s="8"/>
      <c r="AF82" s="8"/>
      <c r="AG82" s="8"/>
      <c r="AH82" s="8"/>
      <c r="AI82" s="8"/>
      <c r="AJ82" s="8"/>
      <c r="AK82" s="8"/>
      <c r="AL82" s="8"/>
      <c r="AM82" s="8"/>
      <c r="AN82" s="8"/>
    </row>
    <row r="84">
      <c r="A84" s="8"/>
      <c r="C84" s="8"/>
      <c r="D84" s="8"/>
      <c r="E84" s="8"/>
      <c r="F84" s="8"/>
      <c r="G84" s="8"/>
      <c r="H84" s="8"/>
      <c r="I84" s="9"/>
      <c r="M84" s="1"/>
      <c r="O84" s="9"/>
      <c r="P84" s="9"/>
      <c r="V84" s="8"/>
      <c r="W84" s="8"/>
      <c r="X84" s="8"/>
      <c r="Y84" s="8"/>
      <c r="Z84" s="8"/>
      <c r="AA84" s="8"/>
      <c r="AB84" s="8"/>
      <c r="AC84" s="8"/>
      <c r="AD84" s="8"/>
      <c r="AE84" s="8"/>
      <c r="AF84" s="8"/>
      <c r="AG84" s="8"/>
      <c r="AH84" s="8"/>
      <c r="AI84" s="8"/>
      <c r="AJ84" s="8"/>
      <c r="AK84" s="8"/>
      <c r="AL84" s="8"/>
      <c r="AM84" s="8"/>
      <c r="AN84" s="8"/>
    </row>
    <row r="85">
      <c r="A85" s="8"/>
      <c r="C85" s="8"/>
      <c r="D85" s="8"/>
      <c r="E85" s="8"/>
      <c r="F85" s="8"/>
      <c r="G85" s="8"/>
      <c r="H85" s="8"/>
      <c r="I85" s="8"/>
      <c r="K85" s="8"/>
      <c r="L85" s="8"/>
      <c r="M85" s="1"/>
      <c r="N85" s="8"/>
      <c r="O85" s="8"/>
      <c r="P85" s="9"/>
      <c r="V85" s="8"/>
      <c r="W85" s="8"/>
      <c r="X85" s="8"/>
      <c r="Y85" s="8"/>
      <c r="Z85" s="8"/>
      <c r="AA85" s="8"/>
      <c r="AB85" s="8"/>
      <c r="AC85" s="8"/>
      <c r="AD85" s="8"/>
      <c r="AE85" s="8"/>
      <c r="AF85" s="8"/>
      <c r="AG85" s="8"/>
      <c r="AH85" s="8"/>
      <c r="AI85" s="8"/>
      <c r="AJ85" s="8"/>
      <c r="AK85" s="8"/>
      <c r="AL85" s="8"/>
      <c r="AM85" s="8"/>
      <c r="AN85" s="8"/>
    </row>
  </sheetData>
  <mergeCells count="2">
    <mergeCell ref="AH47:AI47"/>
    <mergeCell ref="AH50:AI50"/>
  </mergeCells>
  <conditionalFormatting sqref="G1:G845">
    <cfRule type="containsText" dxfId="0" priority="1" operator="containsText" text="Rz">
      <formula>NOT(ISERROR(SEARCH(("Rz"),(G1))))</formula>
    </cfRule>
  </conditionalFormatting>
  <conditionalFormatting sqref="G1:G845">
    <cfRule type="containsText" dxfId="0" priority="2" operator="containsText" text="Qz">
      <formula>NOT(ISERROR(SEARCH(("Qz"),(G1))))</formula>
    </cfRule>
  </conditionalFormatting>
  <conditionalFormatting sqref="G1:G845">
    <cfRule type="containsText" dxfId="0" priority="3" operator="containsText" text="Hf">
      <formula>NOT(ISERROR(SEARCH(("Hf"),(G1))))</formula>
    </cfRule>
  </conditionalFormatting>
  <conditionalFormatting sqref="G1:G845">
    <cfRule type="containsText" dxfId="1" priority="4" operator="containsText" text="Cz">
      <formula>NOT(ISERROR(SEARCH(("Cz"),(G1))))</formula>
    </cfRule>
  </conditionalFormatting>
  <conditionalFormatting sqref="G1:G845">
    <cfRule type="containsText" dxfId="2" priority="5" operator="containsText" text="MMA">
      <formula>NOT(ISERROR(SEARCH(("MMA"),(G1))))</formula>
    </cfRule>
  </conditionalFormatting>
  <conditionalFormatting sqref="G1:G845">
    <cfRule type="containsText" dxfId="3" priority="6" operator="containsText" text="UMA">
      <formula>NOT(ISERROR(SEARCH(("UMA"),(G1))))</formula>
    </cfRule>
  </conditionalFormatting>
  <conditionalFormatting sqref="G1:G845">
    <cfRule type="containsText" dxfId="4" priority="7" operator="containsText" text="LMA">
      <formula>NOT(ISERROR(SEARCH(("LMA"),(G1))))</formula>
    </cfRule>
  </conditionalFormatting>
  <conditionalFormatting sqref="G1:G845">
    <cfRule type="containsText" dxfId="5" priority="8" operator="containsText" text="TU">
      <formula>NOT(ISERROR(SEARCH(("TU"),(G1))))</formula>
    </cfRule>
  </conditionalFormatting>
  <conditionalFormatting sqref="G1:G845">
    <cfRule type="containsText" dxfId="6" priority="9" operator="containsText" text="Mz">
      <formula>NOT(ISERROR(SEARCH(("Mz"),(G1))))</formula>
    </cfRule>
  </conditionalFormatting>
  <conditionalFormatting sqref="G1:G845">
    <cfRule type="containsText" dxfId="7" priority="10" operator="containsText" text="UG2">
      <formula>NOT(ISERROR(SEARCH(("UG2"),(G1))))</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v>
      </c>
      <c r="B1" s="4">
        <v>-25.2513</v>
      </c>
      <c r="C1" s="4">
        <v>30.07678</v>
      </c>
      <c r="D1" s="4">
        <v>1918.666</v>
      </c>
      <c r="E1" s="5" t="s">
        <v>6</v>
      </c>
      <c r="F1" s="5"/>
      <c r="G1" s="5"/>
      <c r="H1" s="5"/>
      <c r="I1" s="5"/>
      <c r="K1" s="6"/>
      <c r="L1" s="6"/>
      <c r="M1" s="6"/>
      <c r="N1" s="6"/>
      <c r="O1" s="6"/>
      <c r="P1" s="6"/>
      <c r="Q1" s="6"/>
      <c r="R1" s="6"/>
      <c r="S1" s="6"/>
      <c r="T1" s="6"/>
      <c r="U1" s="6"/>
      <c r="V1" s="6"/>
      <c r="W1" s="6"/>
      <c r="X1" s="6"/>
      <c r="Y1" s="6"/>
      <c r="Z1" s="6"/>
      <c r="AA1" s="6"/>
      <c r="AB1" s="6"/>
      <c r="AC1" s="6"/>
      <c r="AD1" s="6"/>
      <c r="AE1" s="6"/>
      <c r="AF1" s="6"/>
      <c r="AG1" s="6"/>
    </row>
    <row r="2">
      <c r="A2" s="5" t="s">
        <v>25</v>
      </c>
      <c r="B2" s="4">
        <v>-25.1856</v>
      </c>
      <c r="C2" s="4">
        <v>30.06971</v>
      </c>
      <c r="D2" s="4">
        <v>1833.513</v>
      </c>
      <c r="E2" s="5" t="s">
        <v>27</v>
      </c>
      <c r="F2" s="5"/>
      <c r="G2" s="5"/>
      <c r="H2" s="5"/>
      <c r="I2" s="5"/>
      <c r="J2" s="7"/>
      <c r="K2" s="7"/>
    </row>
    <row r="3">
      <c r="A3" s="5" t="s">
        <v>33</v>
      </c>
      <c r="B3" s="4">
        <v>-25.1963</v>
      </c>
      <c r="C3" s="4">
        <v>30.0842</v>
      </c>
      <c r="D3" s="4">
        <v>1894.236</v>
      </c>
      <c r="E3" s="5" t="s">
        <v>34</v>
      </c>
      <c r="F3" s="5"/>
      <c r="G3" s="5"/>
      <c r="H3" s="5"/>
      <c r="I3" s="5"/>
      <c r="J3" s="7"/>
      <c r="K3" s="7"/>
    </row>
    <row r="4">
      <c r="A4" s="5" t="s">
        <v>36</v>
      </c>
      <c r="B4" s="4">
        <v>-25.1927</v>
      </c>
      <c r="C4" s="4">
        <v>30.0897</v>
      </c>
      <c r="D4" s="4">
        <v>1925.488</v>
      </c>
      <c r="E4" s="5" t="s">
        <v>37</v>
      </c>
      <c r="F4" s="5"/>
      <c r="G4" s="5"/>
      <c r="H4" s="5"/>
      <c r="I4" s="5"/>
      <c r="J4" s="7"/>
      <c r="K4" s="7"/>
    </row>
  </sheetData>
  <drawing r:id="rId1"/>
</worksheet>
</file>