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Repositories\DissertationBJT\Manuscripts\HydrothermalGoethite\data\"/>
    </mc:Choice>
  </mc:AlternateContent>
  <xr:revisionPtr revIDLastSave="0" documentId="13_ncr:1_{CEC32CD8-8B99-48A1-9963-E54E83A3EB9A}" xr6:coauthVersionLast="47" xr6:coauthVersionMax="47" xr10:uidLastSave="{00000000-0000-0000-0000-000000000000}"/>
  <bookViews>
    <workbookView xWindow="-108" yWindow="-108" windowWidth="23256" windowHeight="12456" xr2:uid="{520F5338-B44B-487F-B878-CEA55A98C4B7}"/>
  </bookViews>
  <sheets>
    <sheet name="Distilled" sheetId="7" r:id="rId1"/>
    <sheet name="Raw Data and Corrections" sheetId="6" r:id="rId2"/>
    <sheet name="Diffusivities" sheetId="4" r:id="rId3"/>
    <sheet name="STD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6" l="1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Q4" i="6"/>
  <c r="Q5" i="6"/>
  <c r="Q6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9" i="6"/>
  <c r="M4" i="6"/>
  <c r="M5" i="6"/>
  <c r="M6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L6" i="6"/>
  <c r="L4" i="6"/>
  <c r="L5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9" i="6"/>
  <c r="W6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41" i="6"/>
  <c r="W42" i="6"/>
  <c r="W43" i="6"/>
  <c r="W44" i="6"/>
  <c r="W45" i="6"/>
  <c r="W46" i="6"/>
  <c r="W47" i="6"/>
  <c r="W48" i="6"/>
  <c r="W49" i="6"/>
  <c r="W50" i="6"/>
  <c r="W51" i="6"/>
  <c r="W52" i="6"/>
  <c r="W53" i="6"/>
  <c r="W54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3" i="6"/>
  <c r="W74" i="6"/>
  <c r="W75" i="6"/>
  <c r="W76" i="6"/>
  <c r="W77" i="6"/>
  <c r="W78" i="6"/>
  <c r="W79" i="6"/>
  <c r="W80" i="6"/>
  <c r="W81" i="6"/>
  <c r="W82" i="6"/>
  <c r="W83" i="6"/>
  <c r="W84" i="6"/>
  <c r="W85" i="6"/>
  <c r="W86" i="6"/>
  <c r="W87" i="6"/>
  <c r="W88" i="6"/>
  <c r="W5" i="6"/>
  <c r="F1" i="6" l="1"/>
  <c r="I4" i="6"/>
  <c r="I5" i="6"/>
  <c r="V5" i="6"/>
  <c r="I6" i="6"/>
  <c r="V6" i="6"/>
  <c r="X6" i="6" s="1"/>
  <c r="I7" i="6"/>
  <c r="L7" i="6" s="1"/>
  <c r="V7" i="6"/>
  <c r="I8" i="6"/>
  <c r="L8" i="6" s="1"/>
  <c r="T8" i="6"/>
  <c r="V8" i="6"/>
  <c r="I9" i="6"/>
  <c r="V9" i="6"/>
  <c r="I10" i="6"/>
  <c r="V10" i="6"/>
  <c r="I11" i="6"/>
  <c r="V11" i="6"/>
  <c r="X11" i="6" s="1"/>
  <c r="I12" i="6"/>
  <c r="V12" i="6"/>
  <c r="I13" i="6"/>
  <c r="V13" i="6"/>
  <c r="I14" i="6"/>
  <c r="V14" i="6"/>
  <c r="I15" i="6"/>
  <c r="V15" i="6"/>
  <c r="X15" i="6" s="1"/>
  <c r="I16" i="6"/>
  <c r="V16" i="6"/>
  <c r="I17" i="6"/>
  <c r="V17" i="6"/>
  <c r="I18" i="6"/>
  <c r="V18" i="6"/>
  <c r="I19" i="6"/>
  <c r="V19" i="6"/>
  <c r="I20" i="6"/>
  <c r="V20" i="6"/>
  <c r="I21" i="6"/>
  <c r="V21" i="6"/>
  <c r="I22" i="6"/>
  <c r="V22" i="6"/>
  <c r="I23" i="6"/>
  <c r="V23" i="6"/>
  <c r="I24" i="6"/>
  <c r="V24" i="6"/>
  <c r="I25" i="6"/>
  <c r="V25" i="6"/>
  <c r="I26" i="6"/>
  <c r="V26" i="6"/>
  <c r="I27" i="6"/>
  <c r="V27" i="6"/>
  <c r="I28" i="6"/>
  <c r="V28" i="6"/>
  <c r="I29" i="6"/>
  <c r="V29" i="6"/>
  <c r="I30" i="6"/>
  <c r="V30" i="6"/>
  <c r="I31" i="6"/>
  <c r="V31" i="6"/>
  <c r="I32" i="6"/>
  <c r="V32" i="6"/>
  <c r="I33" i="6"/>
  <c r="V33" i="6"/>
  <c r="I34" i="6"/>
  <c r="V34" i="6"/>
  <c r="X34" i="6" s="1"/>
  <c r="I35" i="6"/>
  <c r="V35" i="6"/>
  <c r="I36" i="6"/>
  <c r="V36" i="6"/>
  <c r="I37" i="6"/>
  <c r="V37" i="6"/>
  <c r="I38" i="6"/>
  <c r="V38" i="6"/>
  <c r="I39" i="6"/>
  <c r="V39" i="6"/>
  <c r="I40" i="6"/>
  <c r="V40" i="6"/>
  <c r="X40" i="6" s="1"/>
  <c r="I41" i="6"/>
  <c r="V41" i="6"/>
  <c r="I42" i="6"/>
  <c r="V42" i="6"/>
  <c r="I43" i="6"/>
  <c r="V43" i="6"/>
  <c r="I44" i="6"/>
  <c r="V44" i="6"/>
  <c r="I45" i="6"/>
  <c r="V45" i="6"/>
  <c r="I46" i="6"/>
  <c r="V46" i="6"/>
  <c r="X46" i="6" s="1"/>
  <c r="I47" i="6"/>
  <c r="V47" i="6"/>
  <c r="I48" i="6"/>
  <c r="V48" i="6"/>
  <c r="I49" i="6"/>
  <c r="V49" i="6"/>
  <c r="I50" i="6"/>
  <c r="V50" i="6"/>
  <c r="I51" i="6"/>
  <c r="V51" i="6"/>
  <c r="I52" i="6"/>
  <c r="V52" i="6"/>
  <c r="X52" i="6" s="1"/>
  <c r="I53" i="6"/>
  <c r="V53" i="6"/>
  <c r="I54" i="6"/>
  <c r="V54" i="6"/>
  <c r="I55" i="6"/>
  <c r="V55" i="6"/>
  <c r="I56" i="6"/>
  <c r="V56" i="6"/>
  <c r="I57" i="6"/>
  <c r="V57" i="6"/>
  <c r="I58" i="6"/>
  <c r="V58" i="6"/>
  <c r="X58" i="6" s="1"/>
  <c r="I59" i="6"/>
  <c r="V59" i="6"/>
  <c r="I60" i="6"/>
  <c r="V60" i="6"/>
  <c r="I61" i="6"/>
  <c r="V61" i="6"/>
  <c r="I62" i="6"/>
  <c r="V62" i="6"/>
  <c r="I63" i="6"/>
  <c r="V63" i="6"/>
  <c r="I64" i="6"/>
  <c r="V64" i="6"/>
  <c r="X64" i="6" s="1"/>
  <c r="I65" i="6"/>
  <c r="V65" i="6"/>
  <c r="I66" i="6"/>
  <c r="V66" i="6"/>
  <c r="I67" i="6"/>
  <c r="V67" i="6"/>
  <c r="I68" i="6"/>
  <c r="V68" i="6"/>
  <c r="I69" i="6"/>
  <c r="V69" i="6"/>
  <c r="I70" i="6"/>
  <c r="V70" i="6"/>
  <c r="X70" i="6" s="1"/>
  <c r="I71" i="6"/>
  <c r="V71" i="6"/>
  <c r="I72" i="6"/>
  <c r="V72" i="6"/>
  <c r="I73" i="6"/>
  <c r="V73" i="6"/>
  <c r="I74" i="6"/>
  <c r="V74" i="6"/>
  <c r="I75" i="6"/>
  <c r="V75" i="6"/>
  <c r="I76" i="6"/>
  <c r="V76" i="6"/>
  <c r="X76" i="6" s="1"/>
  <c r="I77" i="6"/>
  <c r="V77" i="6"/>
  <c r="I78" i="6"/>
  <c r="V78" i="6"/>
  <c r="I79" i="6"/>
  <c r="V79" i="6"/>
  <c r="I80" i="6"/>
  <c r="V80" i="6"/>
  <c r="I81" i="6"/>
  <c r="V81" i="6"/>
  <c r="I82" i="6"/>
  <c r="V82" i="6"/>
  <c r="I83" i="6"/>
  <c r="V83" i="6"/>
  <c r="I84" i="6"/>
  <c r="V84" i="6"/>
  <c r="I85" i="6"/>
  <c r="V85" i="6"/>
  <c r="I86" i="6"/>
  <c r="V86" i="6"/>
  <c r="I87" i="6"/>
  <c r="V87" i="6"/>
  <c r="I88" i="6"/>
  <c r="V88" i="6"/>
  <c r="D89" i="6"/>
  <c r="E89" i="6" s="1"/>
  <c r="F2" i="5"/>
  <c r="J2" i="5" s="1"/>
  <c r="I2" i="5"/>
  <c r="F3" i="5"/>
  <c r="J3" i="5" s="1"/>
  <c r="I3" i="5"/>
  <c r="F4" i="5"/>
  <c r="J4" i="5" s="1"/>
  <c r="I4" i="5"/>
  <c r="F5" i="5"/>
  <c r="J5" i="5" s="1"/>
  <c r="H5" i="5"/>
  <c r="I5" i="5" s="1"/>
  <c r="F6" i="5"/>
  <c r="J6" i="5" s="1"/>
  <c r="I6" i="5"/>
  <c r="F7" i="5"/>
  <c r="J7" i="5" s="1"/>
  <c r="G14" i="5" s="1"/>
  <c r="I7" i="5"/>
  <c r="F8" i="5"/>
  <c r="I8" i="5"/>
  <c r="I14" i="5" s="1"/>
  <c r="J8" i="5"/>
  <c r="F12" i="5"/>
  <c r="F13" i="5"/>
  <c r="F14" i="5"/>
  <c r="F4" i="4"/>
  <c r="T4" i="4"/>
  <c r="X4" i="4"/>
  <c r="F5" i="4"/>
  <c r="T5" i="4"/>
  <c r="X5" i="4"/>
  <c r="F6" i="4"/>
  <c r="T6" i="4"/>
  <c r="X6" i="4"/>
  <c r="F7" i="4"/>
  <c r="T7" i="4"/>
  <c r="X7" i="4"/>
  <c r="F8" i="4"/>
  <c r="T8" i="4"/>
  <c r="X8" i="4"/>
  <c r="F9" i="4"/>
  <c r="T9" i="4"/>
  <c r="X9" i="4"/>
  <c r="F10" i="4"/>
  <c r="T10" i="4"/>
  <c r="X10" i="4"/>
  <c r="F11" i="4"/>
  <c r="T11" i="4"/>
  <c r="X11" i="4"/>
  <c r="F12" i="4"/>
  <c r="T12" i="4"/>
  <c r="X12" i="4"/>
  <c r="F13" i="4"/>
  <c r="T13" i="4"/>
  <c r="X13" i="4"/>
  <c r="F14" i="4"/>
  <c r="T14" i="4"/>
  <c r="X14" i="4"/>
  <c r="F15" i="4"/>
  <c r="T15" i="4"/>
  <c r="X15" i="4"/>
  <c r="F16" i="4"/>
  <c r="T16" i="4"/>
  <c r="X16" i="4"/>
  <c r="F17" i="4"/>
  <c r="T17" i="4"/>
  <c r="X17" i="4"/>
  <c r="F18" i="4"/>
  <c r="T18" i="4"/>
  <c r="X18" i="4"/>
  <c r="F19" i="4"/>
  <c r="T19" i="4"/>
  <c r="X19" i="4"/>
  <c r="F20" i="4"/>
  <c r="T20" i="4"/>
  <c r="X20" i="4"/>
  <c r="F21" i="4"/>
  <c r="T21" i="4"/>
  <c r="X21" i="4"/>
  <c r="F22" i="4"/>
  <c r="T22" i="4"/>
  <c r="X22" i="4"/>
  <c r="F23" i="4"/>
  <c r="T23" i="4"/>
  <c r="X23" i="4"/>
  <c r="F24" i="4"/>
  <c r="T24" i="4"/>
  <c r="X24" i="4"/>
  <c r="F25" i="4"/>
  <c r="T25" i="4"/>
  <c r="X25" i="4"/>
  <c r="F26" i="4"/>
  <c r="T26" i="4"/>
  <c r="X26" i="4"/>
  <c r="F27" i="4"/>
  <c r="T27" i="4"/>
  <c r="X27" i="4"/>
  <c r="F28" i="4"/>
  <c r="T28" i="4"/>
  <c r="X28" i="4"/>
  <c r="F29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F62" i="4"/>
  <c r="X85" i="6" l="1"/>
  <c r="X32" i="6"/>
  <c r="X42" i="6"/>
  <c r="X79" i="6"/>
  <c r="X43" i="6"/>
  <c r="X19" i="6"/>
  <c r="X54" i="6"/>
  <c r="X18" i="6"/>
  <c r="X20" i="6"/>
  <c r="X55" i="6"/>
  <c r="X66" i="6"/>
  <c r="X26" i="6"/>
  <c r="X67" i="6"/>
  <c r="X23" i="6"/>
  <c r="X73" i="6"/>
  <c r="X61" i="6"/>
  <c r="X49" i="6"/>
  <c r="X37" i="6"/>
  <c r="X29" i="6"/>
  <c r="X30" i="6"/>
  <c r="X78" i="6"/>
  <c r="X10" i="6"/>
  <c r="X22" i="6"/>
  <c r="X33" i="6"/>
  <c r="X45" i="6"/>
  <c r="X57" i="6"/>
  <c r="X69" i="6"/>
  <c r="X81" i="6"/>
  <c r="X82" i="6"/>
  <c r="X14" i="6"/>
  <c r="X24" i="6"/>
  <c r="X36" i="6"/>
  <c r="X48" i="6"/>
  <c r="X60" i="6"/>
  <c r="X72" i="6"/>
  <c r="X84" i="6"/>
  <c r="X5" i="6"/>
  <c r="X12" i="6"/>
  <c r="X16" i="6"/>
  <c r="X27" i="6"/>
  <c r="X39" i="6"/>
  <c r="X51" i="6"/>
  <c r="X63" i="6"/>
  <c r="X75" i="6"/>
  <c r="X87" i="6"/>
  <c r="X88" i="6"/>
  <c r="J13" i="5"/>
  <c r="E13" i="5"/>
  <c r="E12" i="5"/>
  <c r="H13" i="5"/>
  <c r="G13" i="5"/>
  <c r="H14" i="5"/>
  <c r="G12" i="5"/>
  <c r="H12" i="5"/>
  <c r="I13" i="5"/>
  <c r="J14" i="5"/>
  <c r="J12" i="5"/>
  <c r="I12" i="5"/>
  <c r="N38" i="6" l="1"/>
  <c r="O38" i="6" s="1"/>
  <c r="S38" i="6" s="1"/>
  <c r="N69" i="6"/>
  <c r="N59" i="6"/>
  <c r="N74" i="6"/>
  <c r="O74" i="6" s="1"/>
  <c r="N15" i="6"/>
  <c r="N79" i="6"/>
  <c r="N25" i="6"/>
  <c r="N34" i="6"/>
  <c r="O34" i="6" s="1"/>
  <c r="N55" i="6"/>
  <c r="N53" i="6"/>
  <c r="N11" i="6"/>
  <c r="N16" i="6"/>
  <c r="O16" i="6"/>
  <c r="N70" i="6"/>
  <c r="N73" i="6"/>
  <c r="O73" i="6" s="1"/>
  <c r="N56" i="6"/>
  <c r="N14" i="6"/>
  <c r="R14" i="6"/>
  <c r="Y14" i="6" s="1"/>
  <c r="N29" i="6"/>
  <c r="N44" i="6"/>
  <c r="O55" i="6"/>
  <c r="N10" i="6"/>
  <c r="N80" i="6"/>
  <c r="O80" i="6" s="1"/>
  <c r="N85" i="6"/>
  <c r="N58" i="6"/>
  <c r="N62" i="6"/>
  <c r="N51" i="6"/>
  <c r="N52" i="6"/>
  <c r="O52" i="6" s="1"/>
  <c r="N82" i="6"/>
  <c r="N18" i="6"/>
  <c r="O18" i="6" s="1"/>
  <c r="N39" i="6"/>
  <c r="N37" i="6"/>
  <c r="O37" i="6" s="1"/>
  <c r="N22" i="6"/>
  <c r="O22" i="6" s="1"/>
  <c r="N27" i="6"/>
  <c r="N43" i="6"/>
  <c r="O43" i="6" s="1"/>
  <c r="N41" i="6"/>
  <c r="O41" i="6" s="1"/>
  <c r="N40" i="6"/>
  <c r="N31" i="6"/>
  <c r="N77" i="6"/>
  <c r="O77" i="6" s="1"/>
  <c r="N13" i="6"/>
  <c r="N28" i="6"/>
  <c r="O28" i="6" s="1"/>
  <c r="O62" i="6"/>
  <c r="N48" i="6"/>
  <c r="N64" i="6"/>
  <c r="N26" i="6"/>
  <c r="N84" i="6"/>
  <c r="N30" i="6"/>
  <c r="N35" i="6"/>
  <c r="O35" i="6" s="1"/>
  <c r="N20" i="6"/>
  <c r="N66" i="6"/>
  <c r="N87" i="6"/>
  <c r="N23" i="6"/>
  <c r="N6" i="6"/>
  <c r="N33" i="6"/>
  <c r="N75" i="6"/>
  <c r="N65" i="6"/>
  <c r="N68" i="6"/>
  <c r="N88" i="6"/>
  <c r="N24" i="6"/>
  <c r="N78" i="6"/>
  <c r="N61" i="6"/>
  <c r="N76" i="6"/>
  <c r="N12" i="6"/>
  <c r="N5" i="6"/>
  <c r="N42" i="6"/>
  <c r="N21" i="6"/>
  <c r="O21" i="6" s="1"/>
  <c r="N32" i="6"/>
  <c r="N49" i="6"/>
  <c r="O49" i="6" s="1"/>
  <c r="N47" i="6"/>
  <c r="N83" i="6"/>
  <c r="N19" i="6"/>
  <c r="N57" i="6"/>
  <c r="O57" i="6" s="1"/>
  <c r="N50" i="6"/>
  <c r="N4" i="6"/>
  <c r="N81" i="6"/>
  <c r="N54" i="6"/>
  <c r="N86" i="6"/>
  <c r="N17" i="6"/>
  <c r="O17" i="6" s="1"/>
  <c r="N36" i="6"/>
  <c r="N72" i="6"/>
  <c r="N9" i="6"/>
  <c r="N46" i="6"/>
  <c r="N45" i="6"/>
  <c r="N60" i="6"/>
  <c r="O47" i="6"/>
  <c r="S47" i="6" s="1"/>
  <c r="N67" i="6"/>
  <c r="O69" i="6"/>
  <c r="R38" i="6"/>
  <c r="N71" i="6"/>
  <c r="O14" i="6"/>
  <c r="O11" i="6"/>
  <c r="N63" i="6"/>
  <c r="R75" i="6" l="1"/>
  <c r="Y75" i="6" s="1"/>
  <c r="R30" i="6"/>
  <c r="Y30" i="6" s="1"/>
  <c r="AA30" i="6" s="1"/>
  <c r="R39" i="6"/>
  <c r="Y39" i="6" s="1"/>
  <c r="S34" i="6"/>
  <c r="S52" i="6"/>
  <c r="S18" i="6"/>
  <c r="R63" i="6"/>
  <c r="Y63" i="6" s="1"/>
  <c r="S41" i="6"/>
  <c r="S22" i="6"/>
  <c r="S55" i="6"/>
  <c r="R79" i="6"/>
  <c r="Y79" i="6" s="1"/>
  <c r="R41" i="6"/>
  <c r="S37" i="6"/>
  <c r="S21" i="6"/>
  <c r="S43" i="6"/>
  <c r="R85" i="6"/>
  <c r="Y85" i="6" s="1"/>
  <c r="AA85" i="6" s="1"/>
  <c r="R64" i="6"/>
  <c r="R22" i="6"/>
  <c r="Y22" i="6" s="1"/>
  <c r="R35" i="6"/>
  <c r="S74" i="6"/>
  <c r="R18" i="6"/>
  <c r="Y18" i="6" s="1"/>
  <c r="R34" i="6"/>
  <c r="Y34" i="6" s="1"/>
  <c r="AA34" i="6" s="1"/>
  <c r="O53" i="6"/>
  <c r="S53" i="6" s="1"/>
  <c r="R56" i="6"/>
  <c r="R88" i="6"/>
  <c r="Y88" i="6" s="1"/>
  <c r="R25" i="6"/>
  <c r="O31" i="6"/>
  <c r="S31" i="6" s="1"/>
  <c r="R66" i="6"/>
  <c r="Y66" i="6" s="1"/>
  <c r="O85" i="6"/>
  <c r="S85" i="6" s="1"/>
  <c r="S73" i="6"/>
  <c r="O64" i="6"/>
  <c r="S64" i="6" s="1"/>
  <c r="O20" i="6"/>
  <c r="S20" i="6" s="1"/>
  <c r="S28" i="6"/>
  <c r="R82" i="6"/>
  <c r="Y82" i="6" s="1"/>
  <c r="AA82" i="6" s="1"/>
  <c r="S11" i="6"/>
  <c r="R67" i="6"/>
  <c r="Y67" i="6" s="1"/>
  <c r="AA67" i="6" s="1"/>
  <c r="R50" i="6"/>
  <c r="R23" i="6"/>
  <c r="Y23" i="6" s="1"/>
  <c r="R80" i="6"/>
  <c r="R55" i="6"/>
  <c r="Y55" i="6" s="1"/>
  <c r="AA55" i="6" s="1"/>
  <c r="AA56" i="6" s="1"/>
  <c r="R57" i="6"/>
  <c r="Y57" i="6" s="1"/>
  <c r="R84" i="6"/>
  <c r="Y84" i="6" s="1"/>
  <c r="R43" i="6"/>
  <c r="Y43" i="6" s="1"/>
  <c r="AA43" i="6" s="1"/>
  <c r="AA44" i="6" s="1"/>
  <c r="R51" i="6"/>
  <c r="Y51" i="6" s="1"/>
  <c r="R53" i="6"/>
  <c r="R42" i="6"/>
  <c r="Y42" i="6" s="1"/>
  <c r="O42" i="6"/>
  <c r="S42" i="6" s="1"/>
  <c r="O56" i="6"/>
  <c r="S56" i="6" s="1"/>
  <c r="R4" i="6"/>
  <c r="O39" i="6"/>
  <c r="S39" i="6" s="1"/>
  <c r="O26" i="6"/>
  <c r="S26" i="6" s="1"/>
  <c r="O59" i="6"/>
  <c r="S59" i="6" s="1"/>
  <c r="S62" i="6"/>
  <c r="O61" i="6"/>
  <c r="S61" i="6" s="1"/>
  <c r="R76" i="6"/>
  <c r="Y76" i="6" s="1"/>
  <c r="AA76" i="6" s="1"/>
  <c r="AA75" i="6" s="1"/>
  <c r="R11" i="6"/>
  <c r="Y11" i="6" s="1"/>
  <c r="O30" i="6"/>
  <c r="S30" i="6" s="1"/>
  <c r="Z30" i="6" s="1"/>
  <c r="AB30" i="6" s="1"/>
  <c r="AB31" i="6" s="1"/>
  <c r="R19" i="6"/>
  <c r="Y19" i="6" s="1"/>
  <c r="R31" i="6"/>
  <c r="O88" i="6"/>
  <c r="S88" i="6" s="1"/>
  <c r="O54" i="6"/>
  <c r="S54" i="6" s="1"/>
  <c r="O50" i="6"/>
  <c r="S50" i="6" s="1"/>
  <c r="O5" i="6"/>
  <c r="S5" i="6" s="1"/>
  <c r="O23" i="6"/>
  <c r="S23" i="6" s="1"/>
  <c r="R87" i="6"/>
  <c r="Y87" i="6" s="1"/>
  <c r="R60" i="6"/>
  <c r="Y60" i="6" s="1"/>
  <c r="O46" i="6"/>
  <c r="S46" i="6" s="1"/>
  <c r="O66" i="6"/>
  <c r="S66" i="6" s="1"/>
  <c r="Z66" i="6" s="1"/>
  <c r="R62" i="6"/>
  <c r="R16" i="6"/>
  <c r="Y16" i="6" s="1"/>
  <c r="AA16" i="6" s="1"/>
  <c r="AA17" i="6" s="1"/>
  <c r="R15" i="6"/>
  <c r="Y15" i="6" s="1"/>
  <c r="R69" i="6"/>
  <c r="Y69" i="6" s="1"/>
  <c r="O15" i="6"/>
  <c r="S15" i="6" s="1"/>
  <c r="R33" i="6"/>
  <c r="Y33" i="6" s="1"/>
  <c r="O68" i="6"/>
  <c r="S68" i="6" s="1"/>
  <c r="R83" i="6"/>
  <c r="R49" i="6"/>
  <c r="Y49" i="6" s="1"/>
  <c r="AA49" i="6" s="1"/>
  <c r="AA50" i="6" s="1"/>
  <c r="R61" i="6"/>
  <c r="Y61" i="6" s="1"/>
  <c r="AA61" i="6" s="1"/>
  <c r="R65" i="6"/>
  <c r="O27" i="6"/>
  <c r="S27" i="6" s="1"/>
  <c r="R77" i="6"/>
  <c r="O76" i="6"/>
  <c r="S76" i="6" s="1"/>
  <c r="S49" i="6"/>
  <c r="S14" i="6"/>
  <c r="Z14" i="6" s="1"/>
  <c r="S17" i="6"/>
  <c r="R17" i="6"/>
  <c r="O25" i="6"/>
  <c r="S25" i="6" s="1"/>
  <c r="R20" i="6"/>
  <c r="Y20" i="6" s="1"/>
  <c r="AA20" i="6" s="1"/>
  <c r="AA21" i="6" s="1"/>
  <c r="R52" i="6"/>
  <c r="Y52" i="6" s="1"/>
  <c r="AA52" i="6" s="1"/>
  <c r="O36" i="6"/>
  <c r="S36" i="6" s="1"/>
  <c r="O48" i="6"/>
  <c r="S48" i="6" s="1"/>
  <c r="R58" i="6"/>
  <c r="Y58" i="6" s="1"/>
  <c r="AA58" i="6" s="1"/>
  <c r="R74" i="6"/>
  <c r="S16" i="6"/>
  <c r="R71" i="6"/>
  <c r="S69" i="6"/>
  <c r="R72" i="6"/>
  <c r="Y72" i="6" s="1"/>
  <c r="R81" i="6"/>
  <c r="Y81" i="6" s="1"/>
  <c r="R78" i="6"/>
  <c r="Y78" i="6" s="1"/>
  <c r="R70" i="6"/>
  <c r="Y70" i="6" s="1"/>
  <c r="AA70" i="6" s="1"/>
  <c r="R59" i="6"/>
  <c r="R36" i="6"/>
  <c r="Y36" i="6" s="1"/>
  <c r="R40" i="6"/>
  <c r="Y40" i="6" s="1"/>
  <c r="AA40" i="6" s="1"/>
  <c r="AA41" i="6" s="1"/>
  <c r="O19" i="6"/>
  <c r="S19" i="6" s="1"/>
  <c r="R86" i="6"/>
  <c r="O24" i="6"/>
  <c r="S24" i="6" s="1"/>
  <c r="R68" i="6"/>
  <c r="R13" i="6"/>
  <c r="R37" i="6"/>
  <c r="Y37" i="6" s="1"/>
  <c r="AA37" i="6" s="1"/>
  <c r="O29" i="6"/>
  <c r="S29" i="6" s="1"/>
  <c r="S57" i="6"/>
  <c r="O65" i="6"/>
  <c r="S65" i="6" s="1"/>
  <c r="R28" i="6"/>
  <c r="O72" i="6"/>
  <c r="S72" i="6" s="1"/>
  <c r="O84" i="6"/>
  <c r="S84" i="6" s="1"/>
  <c r="O40" i="6"/>
  <c r="S40" i="6" s="1"/>
  <c r="R47" i="6"/>
  <c r="R32" i="6"/>
  <c r="Y32" i="6" s="1"/>
  <c r="O70" i="6"/>
  <c r="S70" i="6" s="1"/>
  <c r="O86" i="6"/>
  <c r="S86" i="6" s="1"/>
  <c r="R29" i="6"/>
  <c r="Y29" i="6" s="1"/>
  <c r="O60" i="6"/>
  <c r="S60" i="6" s="1"/>
  <c r="R26" i="6"/>
  <c r="Y26" i="6" s="1"/>
  <c r="O51" i="6"/>
  <c r="S51" i="6" s="1"/>
  <c r="R46" i="6"/>
  <c r="Y46" i="6" s="1"/>
  <c r="AA46" i="6" s="1"/>
  <c r="AA47" i="6" s="1"/>
  <c r="R21" i="6"/>
  <c r="O13" i="6"/>
  <c r="S13" i="6" s="1"/>
  <c r="R12" i="6"/>
  <c r="Y12" i="6" s="1"/>
  <c r="AA12" i="6" s="1"/>
  <c r="O6" i="6"/>
  <c r="S6" i="6" s="1"/>
  <c r="S77" i="6"/>
  <c r="S80" i="6"/>
  <c r="S35" i="6"/>
  <c r="O9" i="6"/>
  <c r="S9" i="6" s="1"/>
  <c r="U9" i="6" s="1"/>
  <c r="O44" i="6"/>
  <c r="S44" i="6" s="1"/>
  <c r="O12" i="6"/>
  <c r="S12" i="6" s="1"/>
  <c r="O82" i="6"/>
  <c r="S82" i="6" s="1"/>
  <c r="R9" i="6"/>
  <c r="T9" i="6" s="1"/>
  <c r="R54" i="6"/>
  <c r="Y54" i="6" s="1"/>
  <c r="R73" i="6"/>
  <c r="Y73" i="6" s="1"/>
  <c r="AA73" i="6" s="1"/>
  <c r="O45" i="6"/>
  <c r="S45" i="6" s="1"/>
  <c r="O33" i="6"/>
  <c r="S33" i="6" s="1"/>
  <c r="O81" i="6"/>
  <c r="S81" i="6" s="1"/>
  <c r="O10" i="6"/>
  <c r="S10" i="6" s="1"/>
  <c r="R10" i="6"/>
  <c r="Y10" i="6" s="1"/>
  <c r="R44" i="6"/>
  <c r="O4" i="6"/>
  <c r="S4" i="6" s="1"/>
  <c r="R45" i="6"/>
  <c r="Y45" i="6" s="1"/>
  <c r="R5" i="6"/>
  <c r="Y5" i="6" s="1"/>
  <c r="R24" i="6"/>
  <c r="Y24" i="6" s="1"/>
  <c r="AA24" i="6" s="1"/>
  <c r="O32" i="6"/>
  <c r="S32" i="6" s="1"/>
  <c r="R6" i="6"/>
  <c r="Y6" i="6" s="1"/>
  <c r="AA9" i="6" s="1"/>
  <c r="R48" i="6"/>
  <c r="Y48" i="6" s="1"/>
  <c r="R27" i="6"/>
  <c r="Y27" i="6" s="1"/>
  <c r="AA27" i="6" s="1"/>
  <c r="AA28" i="6" s="1"/>
  <c r="O58" i="6"/>
  <c r="S58" i="6" s="1"/>
  <c r="O78" i="6"/>
  <c r="S78" i="6" s="1"/>
  <c r="O63" i="6"/>
  <c r="S63" i="6" s="1"/>
  <c r="Y64" i="6"/>
  <c r="O87" i="6"/>
  <c r="S87" i="6" s="1"/>
  <c r="O79" i="6"/>
  <c r="S79" i="6" s="1"/>
  <c r="Z79" i="6" s="1"/>
  <c r="AB79" i="6" s="1"/>
  <c r="O83" i="6"/>
  <c r="S83" i="6" s="1"/>
  <c r="O71" i="6"/>
  <c r="S71" i="6" s="1"/>
  <c r="AA31" i="6"/>
  <c r="O67" i="6"/>
  <c r="S67" i="6" s="1"/>
  <c r="O75" i="6"/>
  <c r="S75" i="6" s="1"/>
  <c r="AA79" i="6"/>
  <c r="AA71" i="6"/>
  <c r="AA83" i="6"/>
  <c r="Z39" i="6" l="1"/>
  <c r="Z63" i="6"/>
  <c r="Z34" i="6"/>
  <c r="AB34" i="6" s="1"/>
  <c r="AB35" i="6" s="1"/>
  <c r="Z64" i="6"/>
  <c r="AB64" i="6" s="1"/>
  <c r="AB65" i="6" s="1"/>
  <c r="Z82" i="6"/>
  <c r="AB82" i="6" s="1"/>
  <c r="AB83" i="6" s="1"/>
  <c r="Z22" i="6"/>
  <c r="Z16" i="6"/>
  <c r="AB16" i="6" s="1"/>
  <c r="AB17" i="6" s="1"/>
  <c r="Z45" i="6"/>
  <c r="AA51" i="6"/>
  <c r="Z81" i="6"/>
  <c r="Z27" i="6"/>
  <c r="AB27" i="6" s="1"/>
  <c r="AB28" i="6" s="1"/>
  <c r="Z18" i="6"/>
  <c r="AA72" i="6"/>
  <c r="AC71" i="6" s="1"/>
  <c r="Z54" i="6"/>
  <c r="Z42" i="6"/>
  <c r="Z73" i="6"/>
  <c r="AB73" i="6" s="1"/>
  <c r="AB72" i="6" s="1"/>
  <c r="Z32" i="6"/>
  <c r="Z12" i="6"/>
  <c r="AB12" i="6" s="1"/>
  <c r="AB13" i="6" s="1"/>
  <c r="Z23" i="6"/>
  <c r="AA23" i="6"/>
  <c r="AA22" i="6" s="1"/>
  <c r="AC21" i="6" s="1"/>
  <c r="Z87" i="6"/>
  <c r="Z51" i="6"/>
  <c r="Z40" i="6"/>
  <c r="AB40" i="6" s="1"/>
  <c r="AB41" i="6" s="1"/>
  <c r="AA36" i="6"/>
  <c r="Z43" i="6"/>
  <c r="AB43" i="6" s="1"/>
  <c r="AB44" i="6" s="1"/>
  <c r="AA74" i="6"/>
  <c r="AC74" i="6" s="1"/>
  <c r="Z84" i="6"/>
  <c r="Z29" i="6"/>
  <c r="AA42" i="6"/>
  <c r="AC41" i="6" s="1"/>
  <c r="Z60" i="6"/>
  <c r="Z72" i="6"/>
  <c r="Z11" i="6"/>
  <c r="Z6" i="6"/>
  <c r="AB6" i="6" s="1"/>
  <c r="AB9" i="6" s="1"/>
  <c r="AA38" i="6"/>
  <c r="Z10" i="6"/>
  <c r="AA26" i="6"/>
  <c r="AA6" i="6"/>
  <c r="AA77" i="6"/>
  <c r="Z57" i="6"/>
  <c r="Z49" i="6"/>
  <c r="AB49" i="6" s="1"/>
  <c r="AB48" i="6" s="1"/>
  <c r="Z76" i="6"/>
  <c r="AB76" i="6" s="1"/>
  <c r="AB77" i="6" s="1"/>
  <c r="Z19" i="6"/>
  <c r="Z55" i="6"/>
  <c r="AB55" i="6" s="1"/>
  <c r="Z33" i="6"/>
  <c r="AA45" i="6"/>
  <c r="AC44" i="6" s="1"/>
  <c r="Z52" i="6"/>
  <c r="AB52" i="6" s="1"/>
  <c r="AB53" i="6" s="1"/>
  <c r="AA39" i="6"/>
  <c r="AA53" i="6"/>
  <c r="AA19" i="6"/>
  <c r="AA18" i="6" s="1"/>
  <c r="AC17" i="6" s="1"/>
  <c r="AA48" i="6"/>
  <c r="AC47" i="6" s="1"/>
  <c r="AA29" i="6"/>
  <c r="AC28" i="6" s="1"/>
  <c r="AE9" i="6"/>
  <c r="AA54" i="6"/>
  <c r="Z15" i="6"/>
  <c r="Z5" i="6"/>
  <c r="Z37" i="6"/>
  <c r="AB37" i="6" s="1"/>
  <c r="AA15" i="6"/>
  <c r="AA14" i="6" s="1"/>
  <c r="AA69" i="6"/>
  <c r="Z78" i="6"/>
  <c r="Z36" i="6"/>
  <c r="AA81" i="6"/>
  <c r="Z58" i="6"/>
  <c r="AB58" i="6" s="1"/>
  <c r="Z20" i="6"/>
  <c r="AB20" i="6" s="1"/>
  <c r="Z69" i="6"/>
  <c r="AA59" i="6"/>
  <c r="AA57" i="6"/>
  <c r="AC56" i="6" s="1"/>
  <c r="Z70" i="6"/>
  <c r="AB70" i="6" s="1"/>
  <c r="T10" i="6"/>
  <c r="T11" i="6" s="1"/>
  <c r="T12" i="6" s="1"/>
  <c r="AE12" i="6" s="1"/>
  <c r="U10" i="6"/>
  <c r="U11" i="6" s="1"/>
  <c r="U12" i="6" s="1"/>
  <c r="U13" i="6" s="1"/>
  <c r="U14" i="6" s="1"/>
  <c r="U15" i="6" s="1"/>
  <c r="U16" i="6" s="1"/>
  <c r="U17" i="6" s="1"/>
  <c r="U18" i="6" s="1"/>
  <c r="U19" i="6" s="1"/>
  <c r="U20" i="6" s="1"/>
  <c r="U21" i="6" s="1"/>
  <c r="U22" i="6" s="1"/>
  <c r="U23" i="6" s="1"/>
  <c r="U24" i="6" s="1"/>
  <c r="U25" i="6" s="1"/>
  <c r="U26" i="6" s="1"/>
  <c r="U27" i="6" s="1"/>
  <c r="U28" i="6" s="1"/>
  <c r="U29" i="6" s="1"/>
  <c r="U30" i="6" s="1"/>
  <c r="U31" i="6" s="1"/>
  <c r="U32" i="6" s="1"/>
  <c r="U33" i="6" s="1"/>
  <c r="U34" i="6" s="1"/>
  <c r="U35" i="6" s="1"/>
  <c r="U36" i="6" s="1"/>
  <c r="U37" i="6" s="1"/>
  <c r="U38" i="6" s="1"/>
  <c r="U39" i="6" s="1"/>
  <c r="U40" i="6" s="1"/>
  <c r="U41" i="6" s="1"/>
  <c r="U42" i="6" s="1"/>
  <c r="U43" i="6" s="1"/>
  <c r="U44" i="6" s="1"/>
  <c r="U45" i="6" s="1"/>
  <c r="U46" i="6" s="1"/>
  <c r="U47" i="6" s="1"/>
  <c r="U48" i="6" s="1"/>
  <c r="U49" i="6" s="1"/>
  <c r="U50" i="6" s="1"/>
  <c r="U51" i="6" s="1"/>
  <c r="U52" i="6" s="1"/>
  <c r="U53" i="6" s="1"/>
  <c r="U54" i="6" s="1"/>
  <c r="U55" i="6" s="1"/>
  <c r="U56" i="6" s="1"/>
  <c r="U57" i="6" s="1"/>
  <c r="U58" i="6" s="1"/>
  <c r="U59" i="6" s="1"/>
  <c r="U60" i="6" s="1"/>
  <c r="U61" i="6" s="1"/>
  <c r="U62" i="6" s="1"/>
  <c r="U63" i="6" s="1"/>
  <c r="U64" i="6" s="1"/>
  <c r="U65" i="6" s="1"/>
  <c r="U66" i="6" s="1"/>
  <c r="U67" i="6" s="1"/>
  <c r="U68" i="6" s="1"/>
  <c r="U69" i="6" s="1"/>
  <c r="U70" i="6" s="1"/>
  <c r="U71" i="6" s="1"/>
  <c r="U72" i="6" s="1"/>
  <c r="U73" i="6" s="1"/>
  <c r="U74" i="6" s="1"/>
  <c r="U75" i="6" s="1"/>
  <c r="U76" i="6" s="1"/>
  <c r="U77" i="6" s="1"/>
  <c r="U78" i="6" s="1"/>
  <c r="U79" i="6" s="1"/>
  <c r="U80" i="6" s="1"/>
  <c r="U81" i="6" s="1"/>
  <c r="U82" i="6" s="1"/>
  <c r="U83" i="6" s="1"/>
  <c r="U84" i="6" s="1"/>
  <c r="U85" i="6" s="1"/>
  <c r="U86" i="6" s="1"/>
  <c r="U87" i="6" s="1"/>
  <c r="U88" i="6" s="1"/>
  <c r="AB81" i="6"/>
  <c r="AA25" i="6"/>
  <c r="Z24" i="6"/>
  <c r="AB24" i="6" s="1"/>
  <c r="AB25" i="6" s="1"/>
  <c r="Z48" i="6"/>
  <c r="Z88" i="6"/>
  <c r="AB88" i="6" s="1"/>
  <c r="AB87" i="6" s="1"/>
  <c r="Z26" i="6"/>
  <c r="Z46" i="6"/>
  <c r="AB46" i="6" s="1"/>
  <c r="AB63" i="6"/>
  <c r="AA88" i="6"/>
  <c r="AA64" i="6"/>
  <c r="AA11" i="6"/>
  <c r="AA13" i="6"/>
  <c r="AB29" i="6"/>
  <c r="Z75" i="6"/>
  <c r="Z67" i="6"/>
  <c r="AB67" i="6" s="1"/>
  <c r="AA33" i="6"/>
  <c r="AA35" i="6"/>
  <c r="AB33" i="6"/>
  <c r="AB32" i="6" s="1"/>
  <c r="AD31" i="6" s="1"/>
  <c r="AA62" i="6"/>
  <c r="AA60" i="6"/>
  <c r="AA84" i="6"/>
  <c r="AA86" i="6"/>
  <c r="AA68" i="6"/>
  <c r="AA66" i="6"/>
  <c r="Z85" i="6"/>
  <c r="AB85" i="6" s="1"/>
  <c r="AC50" i="6"/>
  <c r="AA80" i="6"/>
  <c r="AA78" i="6"/>
  <c r="Z61" i="6"/>
  <c r="AB61" i="6" s="1"/>
  <c r="AB80" i="6"/>
  <c r="AB78" i="6"/>
  <c r="AB15" i="6" l="1"/>
  <c r="AB14" i="6" s="1"/>
  <c r="AB26" i="6"/>
  <c r="AD25" i="6" s="1"/>
  <c r="AB50" i="6"/>
  <c r="AD13" i="6"/>
  <c r="AB11" i="6"/>
  <c r="AB10" i="6" s="1"/>
  <c r="AD9" i="6" s="1"/>
  <c r="AC53" i="6"/>
  <c r="AC38" i="6"/>
  <c r="AB74" i="6"/>
  <c r="AD77" i="6"/>
  <c r="AB39" i="6"/>
  <c r="AC25" i="6"/>
  <c r="AB42" i="6"/>
  <c r="AD41" i="6" s="1"/>
  <c r="D13" i="4" s="1" a="1"/>
  <c r="D13" i="4" s="1"/>
  <c r="AB51" i="6"/>
  <c r="AB54" i="6"/>
  <c r="AD53" i="6" s="1"/>
  <c r="D17" i="4" s="1" a="1"/>
  <c r="AB56" i="6"/>
  <c r="AB75" i="6"/>
  <c r="AD80" i="6"/>
  <c r="AB71" i="6"/>
  <c r="AB69" i="6"/>
  <c r="AB21" i="6"/>
  <c r="AB19" i="6"/>
  <c r="AB18" i="6" s="1"/>
  <c r="AD17" i="6" s="1"/>
  <c r="D6" i="4" s="1" a="1"/>
  <c r="D6" i="4" s="1"/>
  <c r="AB38" i="6"/>
  <c r="AB36" i="6"/>
  <c r="AD35" i="6" s="1"/>
  <c r="AB59" i="6"/>
  <c r="AB57" i="6"/>
  <c r="AD71" i="6"/>
  <c r="D23" i="4" s="1" a="1"/>
  <c r="AB23" i="6"/>
  <c r="AB22" i="6" s="1"/>
  <c r="AB47" i="6"/>
  <c r="AD47" i="6" s="1"/>
  <c r="D15" i="4" s="1" a="1"/>
  <c r="AB45" i="6"/>
  <c r="AD44" i="6" s="1"/>
  <c r="D14" i="4" s="1" a="1"/>
  <c r="T13" i="6"/>
  <c r="T14" i="6" s="1"/>
  <c r="G37" i="4" a="1"/>
  <c r="AE11" i="6"/>
  <c r="AA10" i="6"/>
  <c r="AA87" i="6"/>
  <c r="AC86" i="6" s="1"/>
  <c r="AC13" i="6"/>
  <c r="AA63" i="6"/>
  <c r="AC62" i="6" s="1"/>
  <c r="AA65" i="6"/>
  <c r="AC65" i="6" s="1"/>
  <c r="AC77" i="6"/>
  <c r="AC83" i="6"/>
  <c r="AC35" i="6"/>
  <c r="AC80" i="6"/>
  <c r="AC59" i="6"/>
  <c r="AA32" i="6"/>
  <c r="AC68" i="6"/>
  <c r="AD28" i="6"/>
  <c r="D9" i="4" s="1" a="1"/>
  <c r="AB86" i="6"/>
  <c r="AD86" i="6" s="1"/>
  <c r="AB84" i="6"/>
  <c r="AD83" i="6" s="1"/>
  <c r="AB68" i="6"/>
  <c r="AB66" i="6"/>
  <c r="AD65" i="6" s="1"/>
  <c r="AB62" i="6"/>
  <c r="AD62" i="6" s="1"/>
  <c r="AB60" i="6"/>
  <c r="AD50" i="6" l="1"/>
  <c r="D16" i="4" s="1" a="1"/>
  <c r="D5" i="4" a="1"/>
  <c r="H5" i="4" s="1"/>
  <c r="D8" i="4" a="1"/>
  <c r="D8" i="4" s="1"/>
  <c r="AD74" i="6"/>
  <c r="D24" i="4" s="1" a="1"/>
  <c r="D24" i="4" s="1"/>
  <c r="D25" i="4" a="1"/>
  <c r="D25" i="4" s="1"/>
  <c r="AD59" i="6"/>
  <c r="D19" i="4" s="1" a="1"/>
  <c r="AD38" i="6"/>
  <c r="D12" i="4" s="1" a="1"/>
  <c r="D12" i="4" s="1"/>
  <c r="AD68" i="6"/>
  <c r="D22" i="4" s="1" a="1"/>
  <c r="AD56" i="6"/>
  <c r="D18" i="4" s="1" a="1"/>
  <c r="D18" i="4" s="1"/>
  <c r="D26" i="4" a="1"/>
  <c r="D26" i="4" s="1"/>
  <c r="AD21" i="6"/>
  <c r="D7" i="4" s="1" a="1"/>
  <c r="D7" i="4" s="1"/>
  <c r="D11" i="4" a="1"/>
  <c r="D11" i="4" s="1"/>
  <c r="D14" i="4"/>
  <c r="D15" i="4"/>
  <c r="T15" i="6"/>
  <c r="AE14" i="6"/>
  <c r="G37" i="4"/>
  <c r="E37" i="4"/>
  <c r="AE13" i="6"/>
  <c r="AE10" i="6"/>
  <c r="AC9" i="6"/>
  <c r="D4" i="4" s="1" a="1"/>
  <c r="H4" i="4" s="1"/>
  <c r="D21" i="4" a="1"/>
  <c r="D27" i="4" a="1"/>
  <c r="D27" i="4" s="1"/>
  <c r="D16" i="4"/>
  <c r="D9" i="4"/>
  <c r="D28" i="4" a="1"/>
  <c r="D23" i="4"/>
  <c r="D20" i="4" a="1"/>
  <c r="D17" i="4"/>
  <c r="AC31" i="6"/>
  <c r="D10" i="4" s="1" a="1"/>
  <c r="D5" i="4" l="1"/>
  <c r="D37" i="4"/>
  <c r="T16" i="6"/>
  <c r="AE15" i="6"/>
  <c r="D4" i="4"/>
  <c r="G4" i="4" s="1"/>
  <c r="G5" i="4" s="1"/>
  <c r="G6" i="4" s="1"/>
  <c r="G7" i="4" s="1"/>
  <c r="G8" i="4" s="1"/>
  <c r="G9" i="4" s="1"/>
  <c r="D21" i="4"/>
  <c r="D19" i="4"/>
  <c r="D10" i="4"/>
  <c r="D28" i="4"/>
  <c r="D22" i="4"/>
  <c r="D20" i="4"/>
  <c r="T17" i="6" l="1"/>
  <c r="G38" i="4" a="1"/>
  <c r="AE16" i="6"/>
  <c r="G10" i="4"/>
  <c r="G11" i="4" s="1"/>
  <c r="G12" i="4" s="1"/>
  <c r="G13" i="4" s="1"/>
  <c r="G14" i="4" s="1"/>
  <c r="G15" i="4" s="1"/>
  <c r="G38" i="4" l="1"/>
  <c r="E38" i="4"/>
  <c r="H6" i="4"/>
  <c r="T18" i="6"/>
  <c r="AE17" i="6"/>
  <c r="G16" i="4"/>
  <c r="T19" i="6" l="1"/>
  <c r="AE18" i="6"/>
  <c r="D38" i="4"/>
  <c r="G17" i="4"/>
  <c r="T20" i="6" l="1"/>
  <c r="AE19" i="6"/>
  <c r="G18" i="4"/>
  <c r="T21" i="6" l="1"/>
  <c r="G39" i="4" a="1"/>
  <c r="AE20" i="6"/>
  <c r="G19" i="4"/>
  <c r="G39" i="4" l="1"/>
  <c r="E39" i="4"/>
  <c r="H7" i="4"/>
  <c r="T22" i="6"/>
  <c r="AE21" i="6"/>
  <c r="G20" i="4"/>
  <c r="T23" i="6" l="1"/>
  <c r="AE22" i="6"/>
  <c r="D39" i="4"/>
  <c r="G21" i="4"/>
  <c r="T24" i="6" l="1"/>
  <c r="AE23" i="6"/>
  <c r="G22" i="4"/>
  <c r="T25" i="6" l="1"/>
  <c r="G40" i="4" a="1"/>
  <c r="AE24" i="6"/>
  <c r="G23" i="4"/>
  <c r="G40" i="4" l="1"/>
  <c r="E40" i="4"/>
  <c r="H8" i="4"/>
  <c r="T26" i="6"/>
  <c r="AE25" i="6"/>
  <c r="G24" i="4"/>
  <c r="T27" i="6" l="1"/>
  <c r="AE26" i="6"/>
  <c r="D40" i="4"/>
  <c r="G25" i="4"/>
  <c r="T28" i="6" l="1"/>
  <c r="G41" i="4" a="1"/>
  <c r="AE27" i="6"/>
  <c r="G26" i="4"/>
  <c r="G41" i="4" l="1"/>
  <c r="E41" i="4"/>
  <c r="H9" i="4"/>
  <c r="T29" i="6"/>
  <c r="AE28" i="6"/>
  <c r="G27" i="4"/>
  <c r="T30" i="6" l="1"/>
  <c r="AE29" i="6"/>
  <c r="D41" i="4"/>
  <c r="G28" i="4"/>
  <c r="D29" i="4" s="1"/>
  <c r="T31" i="6" l="1"/>
  <c r="G42" i="4" a="1"/>
  <c r="AE30" i="6"/>
  <c r="G29" i="4"/>
  <c r="G42" i="4" l="1"/>
  <c r="E42" i="4"/>
  <c r="H10" i="4"/>
  <c r="J10" i="4" s="1"/>
  <c r="T32" i="6"/>
  <c r="AE31" i="6"/>
  <c r="I6" i="4"/>
  <c r="I29" i="4"/>
  <c r="I5" i="4"/>
  <c r="I4" i="4"/>
  <c r="I7" i="4"/>
  <c r="J5" i="4"/>
  <c r="J7" i="4"/>
  <c r="I8" i="4"/>
  <c r="J6" i="4"/>
  <c r="J9" i="4"/>
  <c r="J8" i="4"/>
  <c r="J4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T33" i="6" l="1"/>
  <c r="AE32" i="6"/>
  <c r="D42" i="4"/>
  <c r="L6" i="4"/>
  <c r="P10" i="4"/>
  <c r="AA9" i="4"/>
  <c r="L9" i="4"/>
  <c r="AC9" i="4"/>
  <c r="AB9" i="4"/>
  <c r="N9" i="4"/>
  <c r="N24" i="4"/>
  <c r="AA24" i="4"/>
  <c r="L24" i="4"/>
  <c r="AC24" i="4"/>
  <c r="P25" i="4"/>
  <c r="AB24" i="4"/>
  <c r="P17" i="4"/>
  <c r="AA16" i="4"/>
  <c r="L16" i="4"/>
  <c r="AC16" i="4"/>
  <c r="AB16" i="4"/>
  <c r="N16" i="4"/>
  <c r="N25" i="4"/>
  <c r="AA25" i="4"/>
  <c r="L25" i="4"/>
  <c r="AB25" i="4"/>
  <c r="P26" i="4"/>
  <c r="AC25" i="4"/>
  <c r="N23" i="4"/>
  <c r="AA23" i="4"/>
  <c r="P24" i="4"/>
  <c r="AC23" i="4"/>
  <c r="AB23" i="4"/>
  <c r="L23" i="4"/>
  <c r="P16" i="4"/>
  <c r="AA15" i="4"/>
  <c r="AB15" i="4"/>
  <c r="L15" i="4"/>
  <c r="AC15" i="4"/>
  <c r="N15" i="4"/>
  <c r="P18" i="4"/>
  <c r="AA17" i="4"/>
  <c r="L17" i="4"/>
  <c r="AC17" i="4"/>
  <c r="AB17" i="4"/>
  <c r="N17" i="4"/>
  <c r="P15" i="4"/>
  <c r="AA14" i="4"/>
  <c r="AB14" i="4"/>
  <c r="AC14" i="4"/>
  <c r="L14" i="4"/>
  <c r="N14" i="4"/>
  <c r="P9" i="4"/>
  <c r="AA8" i="4"/>
  <c r="L8" i="4"/>
  <c r="AB8" i="4"/>
  <c r="AC8" i="4"/>
  <c r="N8" i="4"/>
  <c r="P6" i="4"/>
  <c r="AA5" i="4"/>
  <c r="AB5" i="4"/>
  <c r="AC5" i="4"/>
  <c r="L5" i="4"/>
  <c r="N5" i="4"/>
  <c r="N22" i="4"/>
  <c r="P23" i="4"/>
  <c r="AA22" i="4"/>
  <c r="L22" i="4"/>
  <c r="AB22" i="4"/>
  <c r="AC22" i="4"/>
  <c r="P14" i="4"/>
  <c r="AA13" i="4"/>
  <c r="AB13" i="4"/>
  <c r="AC13" i="4"/>
  <c r="L13" i="4"/>
  <c r="N13" i="4"/>
  <c r="N28" i="4"/>
  <c r="AA28" i="4"/>
  <c r="L28" i="4"/>
  <c r="AC28" i="4"/>
  <c r="AB28" i="4"/>
  <c r="P12" i="4"/>
  <c r="AA11" i="4"/>
  <c r="L11" i="4"/>
  <c r="AB11" i="4"/>
  <c r="AC11" i="4"/>
  <c r="N11" i="4"/>
  <c r="P7" i="4"/>
  <c r="AA6" i="4"/>
  <c r="AB6" i="4"/>
  <c r="AC6" i="4"/>
  <c r="N6" i="4"/>
  <c r="P8" i="4"/>
  <c r="AA7" i="4"/>
  <c r="AB7" i="4"/>
  <c r="L7" i="4"/>
  <c r="AC7" i="4"/>
  <c r="N7" i="4"/>
  <c r="N21" i="4"/>
  <c r="P22" i="4"/>
  <c r="AA21" i="4"/>
  <c r="AB21" i="4"/>
  <c r="AC21" i="4"/>
  <c r="L21" i="4"/>
  <c r="P5" i="4"/>
  <c r="AA4" i="4"/>
  <c r="M4" i="4" s="1"/>
  <c r="AC4" i="4"/>
  <c r="Q4" i="4" s="1"/>
  <c r="L4" i="4"/>
  <c r="AB4" i="4"/>
  <c r="O4" i="4" s="1"/>
  <c r="P4" i="4"/>
  <c r="N4" i="4"/>
  <c r="N20" i="4"/>
  <c r="P21" i="4"/>
  <c r="AA20" i="4"/>
  <c r="AB20" i="4"/>
  <c r="AC20" i="4"/>
  <c r="L20" i="4"/>
  <c r="P13" i="4"/>
  <c r="AA12" i="4"/>
  <c r="AC12" i="4"/>
  <c r="L12" i="4"/>
  <c r="AB12" i="4"/>
  <c r="N12" i="4"/>
  <c r="N27" i="4"/>
  <c r="AA27" i="4"/>
  <c r="L27" i="4"/>
  <c r="P28" i="4"/>
  <c r="AB27" i="4"/>
  <c r="AC27" i="4"/>
  <c r="N19" i="4"/>
  <c r="P20" i="4"/>
  <c r="AA19" i="4"/>
  <c r="AB19" i="4"/>
  <c r="AC19" i="4"/>
  <c r="L19" i="4"/>
  <c r="N26" i="4"/>
  <c r="AA26" i="4"/>
  <c r="L26" i="4"/>
  <c r="P27" i="4"/>
  <c r="AB26" i="4"/>
  <c r="AC26" i="4"/>
  <c r="N18" i="4"/>
  <c r="P19" i="4"/>
  <c r="AA18" i="4"/>
  <c r="AC18" i="4"/>
  <c r="L18" i="4"/>
  <c r="AB18" i="4"/>
  <c r="P11" i="4"/>
  <c r="AA10" i="4"/>
  <c r="L10" i="4"/>
  <c r="AB10" i="4"/>
  <c r="AC10" i="4"/>
  <c r="N10" i="4"/>
  <c r="T34" i="6" l="1"/>
  <c r="AE33" i="6"/>
  <c r="M9" i="4"/>
  <c r="R16" i="4"/>
  <c r="W16" i="4" s="1"/>
  <c r="M10" i="4"/>
  <c r="O8" i="4"/>
  <c r="Q9" i="4"/>
  <c r="O7" i="4"/>
  <c r="R6" i="4"/>
  <c r="U6" i="4" s="1"/>
  <c r="Y6" i="4" s="1"/>
  <c r="R25" i="4"/>
  <c r="W25" i="4" s="1"/>
  <c r="R26" i="4"/>
  <c r="W26" i="4" s="1"/>
  <c r="M7" i="4"/>
  <c r="R23" i="4"/>
  <c r="U23" i="4" s="1"/>
  <c r="Y23" i="4" s="1"/>
  <c r="R7" i="4"/>
  <c r="U7" i="4" s="1"/>
  <c r="Y7" i="4" s="1"/>
  <c r="O9" i="4"/>
  <c r="Q10" i="4"/>
  <c r="O5" i="4"/>
  <c r="R9" i="4"/>
  <c r="U9" i="4" s="1"/>
  <c r="Y9" i="4" s="1"/>
  <c r="R22" i="4"/>
  <c r="W22" i="4" s="1"/>
  <c r="R13" i="4"/>
  <c r="U13" i="4" s="1"/>
  <c r="Y13" i="4" s="1"/>
  <c r="R4" i="4"/>
  <c r="U4" i="4" s="1"/>
  <c r="Y4" i="4" s="1"/>
  <c r="O10" i="4"/>
  <c r="Q8" i="4"/>
  <c r="M5" i="4"/>
  <c r="R12" i="4"/>
  <c r="U12" i="4" s="1"/>
  <c r="Y12" i="4" s="1"/>
  <c r="R21" i="4"/>
  <c r="U21" i="4" s="1"/>
  <c r="Y21" i="4" s="1"/>
  <c r="M8" i="4"/>
  <c r="R19" i="4"/>
  <c r="W19" i="4" s="1"/>
  <c r="R28" i="4"/>
  <c r="W28" i="4" s="1"/>
  <c r="R11" i="4"/>
  <c r="U11" i="4" s="1"/>
  <c r="Y11" i="4" s="1"/>
  <c r="R24" i="4"/>
  <c r="R10" i="4"/>
  <c r="U10" i="4" s="1"/>
  <c r="Y10" i="4" s="1"/>
  <c r="R27" i="4"/>
  <c r="W27" i="4" s="1"/>
  <c r="Q7" i="4"/>
  <c r="R14" i="4"/>
  <c r="U14" i="4" s="1"/>
  <c r="Y14" i="4" s="1"/>
  <c r="R17" i="4"/>
  <c r="U17" i="4" s="1"/>
  <c r="Y17" i="4" s="1"/>
  <c r="R15" i="4"/>
  <c r="W15" i="4" s="1"/>
  <c r="R20" i="4"/>
  <c r="U20" i="4" s="1"/>
  <c r="Y20" i="4" s="1"/>
  <c r="O6" i="4"/>
  <c r="R5" i="4"/>
  <c r="W5" i="4" s="1"/>
  <c r="R8" i="4"/>
  <c r="U8" i="4" s="1"/>
  <c r="Y8" i="4" s="1"/>
  <c r="M6" i="4"/>
  <c r="Q5" i="4"/>
  <c r="R18" i="4"/>
  <c r="U18" i="4" s="1"/>
  <c r="Y18" i="4" s="1"/>
  <c r="S4" i="4"/>
  <c r="Q6" i="4"/>
  <c r="T35" i="6" l="1"/>
  <c r="G43" i="4" a="1"/>
  <c r="AE34" i="6"/>
  <c r="U16" i="4"/>
  <c r="Y16" i="4" s="1"/>
  <c r="W23" i="4"/>
  <c r="W7" i="4"/>
  <c r="W21" i="4"/>
  <c r="W10" i="4"/>
  <c r="W6" i="4"/>
  <c r="U25" i="4"/>
  <c r="Y25" i="4" s="1"/>
  <c r="U15" i="4"/>
  <c r="Y15" i="4" s="1"/>
  <c r="S9" i="4"/>
  <c r="V9" i="4" s="1"/>
  <c r="W4" i="4"/>
  <c r="W9" i="4"/>
  <c r="W12" i="4"/>
  <c r="S5" i="4"/>
  <c r="V5" i="4" s="1"/>
  <c r="U26" i="4"/>
  <c r="Y26" i="4" s="1"/>
  <c r="V4" i="4"/>
  <c r="U19" i="4"/>
  <c r="Y19" i="4" s="1"/>
  <c r="S7" i="4"/>
  <c r="V7" i="4" s="1"/>
  <c r="S10" i="4"/>
  <c r="V10" i="4" s="1"/>
  <c r="W18" i="4"/>
  <c r="U5" i="4"/>
  <c r="Y5" i="4" s="1"/>
  <c r="W11" i="4"/>
  <c r="W13" i="4"/>
  <c r="W8" i="4"/>
  <c r="S8" i="4"/>
  <c r="V8" i="4" s="1"/>
  <c r="U27" i="4"/>
  <c r="Y27" i="4" s="1"/>
  <c r="U28" i="4"/>
  <c r="Y28" i="4" s="1"/>
  <c r="W20" i="4"/>
  <c r="U22" i="4"/>
  <c r="Y22" i="4" s="1"/>
  <c r="S6" i="4"/>
  <c r="V6" i="4" s="1"/>
  <c r="W17" i="4"/>
  <c r="W14" i="4"/>
  <c r="U24" i="4"/>
  <c r="Y24" i="4" s="1"/>
  <c r="W24" i="4"/>
  <c r="G43" i="4" l="1"/>
  <c r="E43" i="4"/>
  <c r="H11" i="4"/>
  <c r="J11" i="4" s="1"/>
  <c r="T36" i="6"/>
  <c r="AE35" i="6"/>
  <c r="T37" i="6" l="1"/>
  <c r="AE36" i="6"/>
  <c r="O11" i="4"/>
  <c r="M11" i="4"/>
  <c r="Q11" i="4"/>
  <c r="D43" i="4"/>
  <c r="S11" i="4" l="1"/>
  <c r="V11" i="4" s="1"/>
  <c r="T38" i="6"/>
  <c r="G44" i="4" a="1"/>
  <c r="AE37" i="6"/>
  <c r="G44" i="4" l="1"/>
  <c r="E44" i="4"/>
  <c r="H12" i="4"/>
  <c r="J12" i="4" s="1"/>
  <c r="T39" i="6"/>
  <c r="AE38" i="6"/>
  <c r="T40" i="6" l="1"/>
  <c r="AE39" i="6"/>
  <c r="M12" i="4"/>
  <c r="O12" i="4"/>
  <c r="Q12" i="4"/>
  <c r="D44" i="4"/>
  <c r="S12" i="4" l="1"/>
  <c r="V12" i="4" s="1"/>
  <c r="G45" i="4" a="1"/>
  <c r="T41" i="6"/>
  <c r="AE40" i="6"/>
  <c r="G45" i="4" l="1"/>
  <c r="E45" i="4"/>
  <c r="H13" i="4"/>
  <c r="J13" i="4" s="1"/>
  <c r="T42" i="6"/>
  <c r="AE41" i="6"/>
  <c r="T43" i="6" l="1"/>
  <c r="AE42" i="6"/>
  <c r="Q13" i="4"/>
  <c r="M13" i="4"/>
  <c r="O13" i="4"/>
  <c r="D45" i="4"/>
  <c r="S13" i="4" l="1"/>
  <c r="V13" i="4" s="1"/>
  <c r="G46" i="4" a="1"/>
  <c r="AE43" i="6"/>
  <c r="T44" i="6"/>
  <c r="G46" i="4" l="1"/>
  <c r="E46" i="4"/>
  <c r="H14" i="4"/>
  <c r="J14" i="4" s="1"/>
  <c r="T45" i="6"/>
  <c r="AE44" i="6"/>
  <c r="T46" i="6" l="1"/>
  <c r="AE45" i="6"/>
  <c r="O14" i="4"/>
  <c r="Q14" i="4"/>
  <c r="M14" i="4"/>
  <c r="D46" i="4"/>
  <c r="S14" i="4" l="1"/>
  <c r="V14" i="4" s="1"/>
  <c r="G47" i="4" a="1"/>
  <c r="T47" i="6"/>
  <c r="AE46" i="6"/>
  <c r="T48" i="6" l="1"/>
  <c r="AE47" i="6"/>
  <c r="G47" i="4"/>
  <c r="E47" i="4"/>
  <c r="H15" i="4"/>
  <c r="J15" i="4" s="1"/>
  <c r="M15" i="4" l="1"/>
  <c r="O15" i="4"/>
  <c r="Q15" i="4"/>
  <c r="D47" i="4"/>
  <c r="T49" i="6"/>
  <c r="AE48" i="6"/>
  <c r="G48" i="4" l="1" a="1"/>
  <c r="T50" i="6"/>
  <c r="AE49" i="6"/>
  <c r="S15" i="4"/>
  <c r="V15" i="4" s="1"/>
  <c r="T51" i="6" l="1"/>
  <c r="AE50" i="6"/>
  <c r="G48" i="4"/>
  <c r="E48" i="4"/>
  <c r="H16" i="4"/>
  <c r="J16" i="4" s="1"/>
  <c r="D48" i="4" l="1"/>
  <c r="O16" i="4"/>
  <c r="Q16" i="4"/>
  <c r="M16" i="4"/>
  <c r="T52" i="6"/>
  <c r="AE51" i="6"/>
  <c r="S16" i="4" l="1"/>
  <c r="V16" i="4" s="1"/>
  <c r="G49" i="4" a="1"/>
  <c r="AE52" i="6"/>
  <c r="T53" i="6"/>
  <c r="T54" i="6" l="1"/>
  <c r="AE53" i="6"/>
  <c r="G49" i="4"/>
  <c r="E49" i="4"/>
  <c r="H17" i="4"/>
  <c r="J17" i="4" s="1"/>
  <c r="O17" i="4" l="1"/>
  <c r="Q17" i="4"/>
  <c r="M17" i="4"/>
  <c r="D49" i="4"/>
  <c r="T55" i="6"/>
  <c r="AE54" i="6"/>
  <c r="S17" i="4" l="1"/>
  <c r="V17" i="4" s="1"/>
  <c r="G50" i="4" a="1"/>
  <c r="T56" i="6"/>
  <c r="AE55" i="6"/>
  <c r="T57" i="6" l="1"/>
  <c r="AE56" i="6"/>
  <c r="G50" i="4"/>
  <c r="E50" i="4"/>
  <c r="H18" i="4"/>
  <c r="J18" i="4" s="1"/>
  <c r="Q18" i="4" l="1"/>
  <c r="O18" i="4"/>
  <c r="M18" i="4"/>
  <c r="D50" i="4"/>
  <c r="T58" i="6"/>
  <c r="AE57" i="6"/>
  <c r="S18" i="4" l="1"/>
  <c r="V18" i="4" s="1"/>
  <c r="G51" i="4" a="1"/>
  <c r="T59" i="6"/>
  <c r="AE58" i="6"/>
  <c r="T60" i="6" l="1"/>
  <c r="AE59" i="6"/>
  <c r="G51" i="4"/>
  <c r="E51" i="4"/>
  <c r="H19" i="4"/>
  <c r="J19" i="4" s="1"/>
  <c r="Q19" i="4" l="1"/>
  <c r="M19" i="4"/>
  <c r="O19" i="4"/>
  <c r="D51" i="4"/>
  <c r="T61" i="6"/>
  <c r="AE60" i="6"/>
  <c r="S19" i="4" l="1"/>
  <c r="V19" i="4" s="1"/>
  <c r="G52" i="4" a="1"/>
  <c r="T62" i="6"/>
  <c r="AE61" i="6"/>
  <c r="G52" i="4" l="1"/>
  <c r="E52" i="4"/>
  <c r="H20" i="4"/>
  <c r="J20" i="4" s="1"/>
  <c r="T63" i="6"/>
  <c r="AE62" i="6"/>
  <c r="M20" i="4" l="1"/>
  <c r="Q20" i="4"/>
  <c r="O20" i="4"/>
  <c r="T64" i="6"/>
  <c r="AE63" i="6"/>
  <c r="D52" i="4"/>
  <c r="G53" i="4" l="1" a="1"/>
  <c r="AE64" i="6"/>
  <c r="T65" i="6"/>
  <c r="S20" i="4"/>
  <c r="V20" i="4" s="1"/>
  <c r="T66" i="6" l="1"/>
  <c r="AE65" i="6"/>
  <c r="G53" i="4"/>
  <c r="E53" i="4"/>
  <c r="H21" i="4"/>
  <c r="J21" i="4" s="1"/>
  <c r="O21" i="4" l="1"/>
  <c r="M21" i="4"/>
  <c r="Q21" i="4"/>
  <c r="D53" i="4"/>
  <c r="T67" i="6"/>
  <c r="AE66" i="6"/>
  <c r="G54" i="4" l="1" a="1"/>
  <c r="AE67" i="6"/>
  <c r="T68" i="6"/>
  <c r="S21" i="4"/>
  <c r="V21" i="4" s="1"/>
  <c r="T69" i="6" l="1"/>
  <c r="AE68" i="6"/>
  <c r="G54" i="4"/>
  <c r="E54" i="4"/>
  <c r="H22" i="4"/>
  <c r="J22" i="4" s="1"/>
  <c r="M22" i="4" l="1"/>
  <c r="O22" i="4"/>
  <c r="Q22" i="4"/>
  <c r="D54" i="4"/>
  <c r="T70" i="6"/>
  <c r="AE69" i="6"/>
  <c r="G55" i="4" l="1" a="1"/>
  <c r="AE70" i="6"/>
  <c r="T71" i="6"/>
  <c r="S22" i="4"/>
  <c r="V22" i="4" s="1"/>
  <c r="T72" i="6" l="1"/>
  <c r="AE71" i="6"/>
  <c r="G55" i="4"/>
  <c r="E55" i="4"/>
  <c r="H23" i="4"/>
  <c r="J23" i="4" s="1"/>
  <c r="O23" i="4" l="1"/>
  <c r="M23" i="4"/>
  <c r="Q23" i="4"/>
  <c r="D55" i="4"/>
  <c r="T73" i="6"/>
  <c r="AE72" i="6"/>
  <c r="S23" i="4" l="1"/>
  <c r="V23" i="4" s="1"/>
  <c r="G56" i="4" a="1"/>
  <c r="AE73" i="6"/>
  <c r="T74" i="6"/>
  <c r="T75" i="6" l="1"/>
  <c r="AE74" i="6"/>
  <c r="G56" i="4"/>
  <c r="E56" i="4"/>
  <c r="H24" i="4"/>
  <c r="J24" i="4" s="1"/>
  <c r="M24" i="4" l="1"/>
  <c r="O24" i="4"/>
  <c r="Q24" i="4"/>
  <c r="D56" i="4"/>
  <c r="AE75" i="6"/>
  <c r="T76" i="6"/>
  <c r="G57" i="4" l="1" a="1"/>
  <c r="AE76" i="6"/>
  <c r="T77" i="6"/>
  <c r="S24" i="4"/>
  <c r="V24" i="4" s="1"/>
  <c r="AE77" i="6" l="1"/>
  <c r="T78" i="6"/>
  <c r="G57" i="4"/>
  <c r="E57" i="4"/>
  <c r="H25" i="4"/>
  <c r="J25" i="4" s="1"/>
  <c r="Q25" i="4" l="1"/>
  <c r="O25" i="4"/>
  <c r="M25" i="4"/>
  <c r="D57" i="4"/>
  <c r="AE78" i="6"/>
  <c r="T79" i="6"/>
  <c r="S25" i="4" l="1"/>
  <c r="V25" i="4" s="1"/>
  <c r="G58" i="4" a="1"/>
  <c r="AE79" i="6"/>
  <c r="T80" i="6"/>
  <c r="T81" i="6" l="1"/>
  <c r="AE80" i="6"/>
  <c r="G58" i="4"/>
  <c r="E58" i="4"/>
  <c r="H26" i="4"/>
  <c r="J26" i="4" s="1"/>
  <c r="O26" i="4" l="1"/>
  <c r="Q26" i="4"/>
  <c r="M26" i="4"/>
  <c r="D58" i="4"/>
  <c r="AE81" i="6"/>
  <c r="T82" i="6"/>
  <c r="S26" i="4" l="1"/>
  <c r="V26" i="4" s="1"/>
  <c r="G59" i="4" a="1"/>
  <c r="AE82" i="6"/>
  <c r="T83" i="6"/>
  <c r="AE83" i="6" l="1"/>
  <c r="T84" i="6"/>
  <c r="G59" i="4"/>
  <c r="E59" i="4"/>
  <c r="H27" i="4"/>
  <c r="J27" i="4" s="1"/>
  <c r="AE84" i="6" l="1"/>
  <c r="T85" i="6"/>
  <c r="O27" i="4"/>
  <c r="Q27" i="4"/>
  <c r="M27" i="4"/>
  <c r="D59" i="4"/>
  <c r="S27" i="4" l="1"/>
  <c r="V27" i="4" s="1"/>
  <c r="G60" i="4" a="1"/>
  <c r="AE85" i="6"/>
  <c r="T86" i="6"/>
  <c r="T87" i="6" l="1"/>
  <c r="AE86" i="6"/>
  <c r="G60" i="4"/>
  <c r="E60" i="4"/>
  <c r="H28" i="4"/>
  <c r="J28" i="4" s="1"/>
  <c r="M28" i="4" l="1"/>
  <c r="O28" i="4"/>
  <c r="Q28" i="4"/>
  <c r="D60" i="4"/>
  <c r="T88" i="6"/>
  <c r="AE87" i="6"/>
  <c r="AE88" i="6" l="1"/>
  <c r="G61" i="4" a="1"/>
  <c r="S28" i="4"/>
  <c r="V28" i="4" s="1"/>
  <c r="G61" i="4" l="1"/>
  <c r="E61" i="4"/>
  <c r="D62" i="4" l="1"/>
  <c r="G62" i="4" s="1"/>
  <c r="I61" i="4" s="1"/>
  <c r="D61" i="4"/>
  <c r="AB61" i="4" l="1"/>
  <c r="AA61" i="4"/>
  <c r="AC61" i="4"/>
  <c r="I62" i="4"/>
  <c r="J37" i="4"/>
  <c r="I37" i="4"/>
  <c r="J38" i="4"/>
  <c r="I38" i="4"/>
  <c r="J39" i="4"/>
  <c r="I39" i="4"/>
  <c r="J40" i="4"/>
  <c r="I40" i="4"/>
  <c r="J41" i="4"/>
  <c r="I41" i="4"/>
  <c r="J42" i="4"/>
  <c r="I42" i="4"/>
  <c r="J43" i="4"/>
  <c r="I43" i="4"/>
  <c r="J44" i="4"/>
  <c r="I44" i="4"/>
  <c r="J45" i="4"/>
  <c r="I45" i="4"/>
  <c r="J46" i="4"/>
  <c r="I46" i="4"/>
  <c r="J47" i="4"/>
  <c r="I47" i="4"/>
  <c r="J48" i="4"/>
  <c r="I48" i="4"/>
  <c r="J49" i="4"/>
  <c r="I49" i="4"/>
  <c r="J50" i="4"/>
  <c r="I50" i="4"/>
  <c r="J51" i="4"/>
  <c r="I51" i="4"/>
  <c r="J52" i="4"/>
  <c r="I52" i="4"/>
  <c r="J53" i="4"/>
  <c r="I53" i="4"/>
  <c r="J54" i="4"/>
  <c r="I54" i="4"/>
  <c r="J55" i="4"/>
  <c r="I55" i="4"/>
  <c r="J56" i="4"/>
  <c r="I56" i="4"/>
  <c r="J57" i="4"/>
  <c r="I57" i="4"/>
  <c r="J58" i="4"/>
  <c r="I58" i="4"/>
  <c r="J59" i="4"/>
  <c r="I59" i="4"/>
  <c r="J60" i="4"/>
  <c r="I60" i="4"/>
  <c r="J61" i="4"/>
  <c r="P53" i="4" l="1"/>
  <c r="AB52" i="4"/>
  <c r="AC52" i="4"/>
  <c r="AA52" i="4"/>
  <c r="L52" i="4"/>
  <c r="N52" i="4"/>
  <c r="P61" i="4"/>
  <c r="L60" i="4"/>
  <c r="AA60" i="4"/>
  <c r="M61" i="4" s="1"/>
  <c r="N60" i="4"/>
  <c r="AB60" i="4"/>
  <c r="AC60" i="4"/>
  <c r="Q61" i="4" s="1"/>
  <c r="AC56" i="4"/>
  <c r="L56" i="4"/>
  <c r="AB56" i="4"/>
  <c r="N56" i="4"/>
  <c r="AA56" i="4"/>
  <c r="P57" i="4"/>
  <c r="N44" i="4"/>
  <c r="L44" i="4"/>
  <c r="P45" i="4"/>
  <c r="AB44" i="4"/>
  <c r="AA44" i="4"/>
  <c r="AC44" i="4"/>
  <c r="AA59" i="4"/>
  <c r="L59" i="4"/>
  <c r="AB59" i="4"/>
  <c r="AC59" i="4"/>
  <c r="P60" i="4"/>
  <c r="N59" i="4"/>
  <c r="L47" i="4"/>
  <c r="AC47" i="4"/>
  <c r="P48" i="4"/>
  <c r="AB47" i="4"/>
  <c r="N47" i="4"/>
  <c r="AA47" i="4"/>
  <c r="AA50" i="4"/>
  <c r="N50" i="4"/>
  <c r="P51" i="4"/>
  <c r="AC50" i="4"/>
  <c r="L50" i="4"/>
  <c r="AB50" i="4"/>
  <c r="AC42" i="4"/>
  <c r="L42" i="4"/>
  <c r="AA42" i="4"/>
  <c r="P43" i="4"/>
  <c r="AB42" i="4"/>
  <c r="N42" i="4"/>
  <c r="AA38" i="4"/>
  <c r="L38" i="4"/>
  <c r="AB38" i="4"/>
  <c r="P39" i="4"/>
  <c r="AC38" i="4"/>
  <c r="N38" i="4"/>
  <c r="P49" i="4"/>
  <c r="AA48" i="4"/>
  <c r="AB48" i="4"/>
  <c r="AC48" i="4"/>
  <c r="L48" i="4"/>
  <c r="N48" i="4"/>
  <c r="N40" i="4"/>
  <c r="P41" i="4"/>
  <c r="AB40" i="4"/>
  <c r="AC40" i="4"/>
  <c r="L40" i="4"/>
  <c r="AA40" i="4"/>
  <c r="AC55" i="4"/>
  <c r="L55" i="4"/>
  <c r="AB55" i="4"/>
  <c r="N55" i="4"/>
  <c r="P56" i="4"/>
  <c r="AA55" i="4"/>
  <c r="AA43" i="4"/>
  <c r="N43" i="4"/>
  <c r="AC43" i="4"/>
  <c r="Q43" i="4" s="1"/>
  <c r="P44" i="4"/>
  <c r="L43" i="4"/>
  <c r="AB43" i="4"/>
  <c r="AA58" i="4"/>
  <c r="N58" i="4"/>
  <c r="AC58" i="4"/>
  <c r="P59" i="4"/>
  <c r="AB58" i="4"/>
  <c r="L58" i="4"/>
  <c r="N61" i="4"/>
  <c r="AC51" i="4"/>
  <c r="P52" i="4"/>
  <c r="N51" i="4"/>
  <c r="L51" i="4"/>
  <c r="AB51" i="4"/>
  <c r="O51" i="4" s="1"/>
  <c r="AA51" i="4"/>
  <c r="AB39" i="4"/>
  <c r="AC39" i="4"/>
  <c r="L39" i="4"/>
  <c r="N39" i="4"/>
  <c r="AA39" i="4"/>
  <c r="P40" i="4"/>
  <c r="N54" i="4"/>
  <c r="AA54" i="4"/>
  <c r="L54" i="4"/>
  <c r="P55" i="4"/>
  <c r="AB54" i="4"/>
  <c r="AC54" i="4"/>
  <c r="AC46" i="4"/>
  <c r="L46" i="4"/>
  <c r="AA46" i="4"/>
  <c r="P47" i="4"/>
  <c r="N46" i="4"/>
  <c r="AB46" i="4"/>
  <c r="P58" i="4"/>
  <c r="AC57" i="4"/>
  <c r="Q57" i="4" s="1"/>
  <c r="AA57" i="4"/>
  <c r="L57" i="4"/>
  <c r="AB57" i="4"/>
  <c r="N57" i="4"/>
  <c r="N53" i="4"/>
  <c r="L53" i="4"/>
  <c r="AA53" i="4"/>
  <c r="AB53" i="4"/>
  <c r="O53" i="4" s="1"/>
  <c r="P54" i="4"/>
  <c r="AC53" i="4"/>
  <c r="AB49" i="4"/>
  <c r="AC49" i="4"/>
  <c r="L49" i="4"/>
  <c r="AA49" i="4"/>
  <c r="P50" i="4"/>
  <c r="N49" i="4"/>
  <c r="N45" i="4"/>
  <c r="L45" i="4"/>
  <c r="P46" i="4"/>
  <c r="AB45" i="4"/>
  <c r="AC45" i="4"/>
  <c r="AA45" i="4"/>
  <c r="P42" i="4"/>
  <c r="AC41" i="4"/>
  <c r="L41" i="4"/>
  <c r="AA41" i="4"/>
  <c r="N41" i="4"/>
  <c r="AB41" i="4"/>
  <c r="P38" i="4"/>
  <c r="L37" i="4"/>
  <c r="N37" i="4"/>
  <c r="AB37" i="4"/>
  <c r="O37" i="4" s="1"/>
  <c r="AC37" i="4"/>
  <c r="Q37" i="4" s="1"/>
  <c r="P37" i="4"/>
  <c r="AA37" i="4"/>
  <c r="M37" i="4" s="1"/>
  <c r="L61" i="4"/>
  <c r="M39" i="4" l="1"/>
  <c r="M59" i="4"/>
  <c r="O49" i="4"/>
  <c r="Q49" i="4"/>
  <c r="Q53" i="4"/>
  <c r="M53" i="4"/>
  <c r="Q40" i="4"/>
  <c r="Q45" i="4"/>
  <c r="O39" i="4"/>
  <c r="Q41" i="4"/>
  <c r="O43" i="4"/>
  <c r="M55" i="4"/>
  <c r="O56" i="4"/>
  <c r="O41" i="4"/>
  <c r="M45" i="4"/>
  <c r="R46" i="4"/>
  <c r="W46" i="4" s="1"/>
  <c r="O50" i="4"/>
  <c r="R41" i="4"/>
  <c r="U41" i="4" s="1"/>
  <c r="R54" i="4"/>
  <c r="U54" i="4" s="1"/>
  <c r="Q48" i="4"/>
  <c r="R53" i="4"/>
  <c r="W53" i="4" s="1"/>
  <c r="M44" i="4"/>
  <c r="M42" i="4"/>
  <c r="R55" i="4"/>
  <c r="W55" i="4" s="1"/>
  <c r="R44" i="4"/>
  <c r="U44" i="4" s="1"/>
  <c r="O55" i="4"/>
  <c r="R51" i="4"/>
  <c r="U51" i="4" s="1"/>
  <c r="R43" i="4"/>
  <c r="U43" i="4" s="1"/>
  <c r="R59" i="4"/>
  <c r="U59" i="4" s="1"/>
  <c r="R58" i="4"/>
  <c r="U58" i="4" s="1"/>
  <c r="Q54" i="4"/>
  <c r="O58" i="4"/>
  <c r="Q39" i="4"/>
  <c r="M38" i="4"/>
  <c r="Q55" i="4"/>
  <c r="R42" i="4"/>
  <c r="W42" i="4" s="1"/>
  <c r="Q56" i="4"/>
  <c r="S37" i="4"/>
  <c r="M51" i="4"/>
  <c r="Q50" i="4"/>
  <c r="O59" i="4"/>
  <c r="M50" i="4"/>
  <c r="R38" i="4"/>
  <c r="W38" i="4" s="1"/>
  <c r="O47" i="4"/>
  <c r="R52" i="4"/>
  <c r="U52" i="4" s="1"/>
  <c r="R49" i="4"/>
  <c r="W49" i="4" s="1"/>
  <c r="O48" i="4"/>
  <c r="R50" i="4"/>
  <c r="U50" i="4" s="1"/>
  <c r="R48" i="4"/>
  <c r="W48" i="4" s="1"/>
  <c r="M52" i="4"/>
  <c r="M40" i="4"/>
  <c r="O44" i="4"/>
  <c r="R56" i="4"/>
  <c r="W56" i="4" s="1"/>
  <c r="M48" i="4"/>
  <c r="Q47" i="4"/>
  <c r="M56" i="4"/>
  <c r="Q52" i="4"/>
  <c r="R37" i="4"/>
  <c r="U37" i="4" s="1"/>
  <c r="O45" i="4"/>
  <c r="O40" i="4"/>
  <c r="O42" i="4"/>
  <c r="Q44" i="4"/>
  <c r="O52" i="4"/>
  <c r="R61" i="4"/>
  <c r="U61" i="4" s="1"/>
  <c r="M41" i="4"/>
  <c r="R45" i="4"/>
  <c r="W45" i="4" s="1"/>
  <c r="R57" i="4"/>
  <c r="W57" i="4" s="1"/>
  <c r="R39" i="4"/>
  <c r="W39" i="4" s="1"/>
  <c r="Q58" i="4"/>
  <c r="Q59" i="4"/>
  <c r="R47" i="4"/>
  <c r="O60" i="4"/>
  <c r="O57" i="4"/>
  <c r="O54" i="4"/>
  <c r="R40" i="4"/>
  <c r="Q38" i="4"/>
  <c r="M57" i="4"/>
  <c r="R60" i="4"/>
  <c r="M49" i="4"/>
  <c r="S49" i="4" s="1"/>
  <c r="O46" i="4"/>
  <c r="O38" i="4"/>
  <c r="M43" i="4"/>
  <c r="Q42" i="4"/>
  <c r="M58" i="4"/>
  <c r="Q51" i="4"/>
  <c r="M46" i="4"/>
  <c r="M54" i="4"/>
  <c r="M60" i="4"/>
  <c r="O61" i="4"/>
  <c r="S61" i="4" s="1"/>
  <c r="Q46" i="4"/>
  <c r="M47" i="4"/>
  <c r="Q60" i="4"/>
  <c r="S53" i="4" l="1"/>
  <c r="U46" i="4"/>
  <c r="S39" i="4"/>
  <c r="S59" i="4"/>
  <c r="V59" i="4" s="1"/>
  <c r="W50" i="4"/>
  <c r="S48" i="4"/>
  <c r="V48" i="4" s="1"/>
  <c r="U55" i="4"/>
  <c r="V37" i="4"/>
  <c r="S43" i="4"/>
  <c r="V43" i="4" s="1"/>
  <c r="W43" i="4"/>
  <c r="W37" i="4"/>
  <c r="W61" i="4"/>
  <c r="S41" i="4"/>
  <c r="V41" i="4" s="1"/>
  <c r="U53" i="4"/>
  <c r="W54" i="4"/>
  <c r="W41" i="4"/>
  <c r="S56" i="4"/>
  <c r="V56" i="4" s="1"/>
  <c r="V61" i="4"/>
  <c r="U48" i="4"/>
  <c r="S45" i="4"/>
  <c r="V45" i="4" s="1"/>
  <c r="W44" i="4"/>
  <c r="S44" i="4"/>
  <c r="V44" i="4" s="1"/>
  <c r="S55" i="4"/>
  <c r="V55" i="4" s="1"/>
  <c r="V53" i="4"/>
  <c r="S51" i="4"/>
  <c r="V51" i="4" s="1"/>
  <c r="U42" i="4"/>
  <c r="W51" i="4"/>
  <c r="W52" i="4"/>
  <c r="U57" i="4"/>
  <c r="W59" i="4"/>
  <c r="U45" i="4"/>
  <c r="U39" i="4"/>
  <c r="U38" i="4"/>
  <c r="W58" i="4"/>
  <c r="S40" i="4"/>
  <c r="V40" i="4" s="1"/>
  <c r="V39" i="4"/>
  <c r="S58" i="4"/>
  <c r="V58" i="4" s="1"/>
  <c r="S52" i="4"/>
  <c r="V52" i="4" s="1"/>
  <c r="S50" i="4"/>
  <c r="V50" i="4" s="1"/>
  <c r="S42" i="4"/>
  <c r="V42" i="4" s="1"/>
  <c r="S38" i="4"/>
  <c r="V38" i="4" s="1"/>
  <c r="U49" i="4"/>
  <c r="U56" i="4"/>
  <c r="S47" i="4"/>
  <c r="V47" i="4" s="1"/>
  <c r="V49" i="4"/>
  <c r="W47" i="4"/>
  <c r="U47" i="4"/>
  <c r="S57" i="4"/>
  <c r="V57" i="4" s="1"/>
  <c r="W60" i="4"/>
  <c r="U60" i="4"/>
  <c r="S54" i="4"/>
  <c r="V54" i="4" s="1"/>
  <c r="S46" i="4"/>
  <c r="V46" i="4" s="1"/>
  <c r="W40" i="4"/>
  <c r="U40" i="4"/>
  <c r="S60" i="4"/>
  <c r="V60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<sst xmlns="http://schemas.openxmlformats.org/spreadsheetml/2006/main" count="372" uniqueCount="115">
  <si>
    <t>Avg Temp</t>
  </si>
  <si>
    <t>Analysis</t>
  </si>
  <si>
    <t>Time (min)</t>
  </si>
  <si>
    <t>Set Temp</t>
  </si>
  <si>
    <t>Timestamp</t>
  </si>
  <si>
    <t>2 Int</t>
  </si>
  <si>
    <t>3 Int</t>
  </si>
  <si>
    <t>4 Int</t>
  </si>
  <si>
    <t>Ratio Int</t>
  </si>
  <si>
    <t>Raw nCC</t>
  </si>
  <si>
    <t>BC nCC</t>
  </si>
  <si>
    <t>Diff Cell</t>
  </si>
  <si>
    <t>25C</t>
  </si>
  <si>
    <t>Q9010</t>
  </si>
  <si>
    <t>4He STD</t>
  </si>
  <si>
    <t>Q9011</t>
  </si>
  <si>
    <t>100C</t>
  </si>
  <si>
    <t>150C</t>
  </si>
  <si>
    <t>200C</t>
  </si>
  <si>
    <t>250C</t>
  </si>
  <si>
    <t>270C</t>
  </si>
  <si>
    <t>290C</t>
  </si>
  <si>
    <t>300C</t>
  </si>
  <si>
    <t>285C</t>
  </si>
  <si>
    <t>275C</t>
  </si>
  <si>
    <t>255C</t>
  </si>
  <si>
    <t>320C</t>
  </si>
  <si>
    <t>330C</t>
  </si>
  <si>
    <t>350C</t>
  </si>
  <si>
    <t>370C</t>
  </si>
  <si>
    <t>385C</t>
  </si>
  <si>
    <t>360C</t>
  </si>
  <si>
    <t>340C</t>
  </si>
  <si>
    <t>325C</t>
  </si>
  <si>
    <t>400C</t>
  </si>
  <si>
    <t>Encapsulated Durango Apatite (r = 150 micron, 3.18mg) in tube ID 850 OD 1350 micron</t>
  </si>
  <si>
    <t>total time (seconds)</t>
  </si>
  <si>
    <t>n0 calc</t>
  </si>
  <si>
    <t>G =</t>
  </si>
  <si>
    <t>cm^-2</t>
  </si>
  <si>
    <t>Rest</t>
  </si>
  <si>
    <t>n0</t>
  </si>
  <si>
    <t>R (cm^3 * atm  * atoms^-1 * K^1)</t>
  </si>
  <si>
    <t>K 4He (Swets et al., 1961)</t>
  </si>
  <si>
    <t>Corrected</t>
  </si>
  <si>
    <t>2 sigma</t>
  </si>
  <si>
    <t>Fi+1</t>
  </si>
  <si>
    <t>D&lt;10%</t>
  </si>
  <si>
    <t>D&lt;90%</t>
  </si>
  <si>
    <t>D&gt;90%</t>
  </si>
  <si>
    <t>D/a^2</t>
  </si>
  <si>
    <t>10000/TK</t>
  </si>
  <si>
    <t>ln(d/a^2)</t>
  </si>
  <si>
    <t>Log(D/a2)</t>
  </si>
  <si>
    <t>Delta Regression</t>
  </si>
  <si>
    <t>Derivatives for Error Propagation (signs don't matter, terms are squared)</t>
  </si>
  <si>
    <t>EQ1</t>
  </si>
  <si>
    <t>EQ2</t>
  </si>
  <si>
    <t>EQ3</t>
  </si>
  <si>
    <t>dEQ1/dF</t>
  </si>
  <si>
    <t>dEQ2/dF</t>
  </si>
  <si>
    <t>dEQ3/dF</t>
  </si>
  <si>
    <t>Step</t>
  </si>
  <si>
    <t>Temp ©</t>
  </si>
  <si>
    <t>Minutes</t>
  </si>
  <si>
    <t>Seconds</t>
  </si>
  <si>
    <t>ω</t>
  </si>
  <si>
    <t>Uncorrected</t>
  </si>
  <si>
    <t>-</t>
  </si>
  <si>
    <t>cumulative measured 4He nCC</t>
  </si>
  <si>
    <t>4He unorrected (nccSTP)</t>
  </si>
  <si>
    <t>Type</t>
  </si>
  <si>
    <t>Avg Temp (°C)</t>
  </si>
  <si>
    <t>Permeation</t>
  </si>
  <si>
    <t>Experirmental</t>
  </si>
  <si>
    <t>Uncorrected ln(d/a^2)</t>
  </si>
  <si>
    <t xml:space="preserve">Corrected ln(d/a^2) </t>
  </si>
  <si>
    <t xml:space="preserve">m Measured 4He nccSTP </t>
  </si>
  <si>
    <r>
      <t>n</t>
    </r>
    <r>
      <rPr>
        <vertAlign val="subscript"/>
        <sz val="11"/>
        <color theme="1"/>
        <rFont val="Aptos Narrow"/>
        <family val="2"/>
        <scheme val="minor"/>
      </rPr>
      <t xml:space="preserve">0                  </t>
    </r>
    <r>
      <rPr>
        <sz val="11"/>
        <color theme="1"/>
        <rFont val="Aptos Narrow"/>
        <family val="2"/>
        <scheme val="minor"/>
      </rPr>
      <t xml:space="preserve"> 4He nccSTP in Tube</t>
    </r>
  </si>
  <si>
    <t xml:space="preserve">ω   Apatite-Evolved 4He nccSTP </t>
  </si>
  <si>
    <t>(signs don't matter, terms are squared)</t>
  </si>
  <si>
    <t xml:space="preserve">Derivatives for Error Propagation </t>
  </si>
  <si>
    <t>4He Corrected (nccSTP)</t>
  </si>
  <si>
    <t>Regression Reference ln(D/a2)</t>
  </si>
  <si>
    <r>
      <t>Measurements in grey have corrected yields within 2</t>
    </r>
    <r>
      <rPr>
        <b/>
        <sz val="11"/>
        <color rgb="FF870000"/>
        <rFont val="Aptos Narrow"/>
        <family val="2"/>
      </rPr>
      <t>σ of 0 and are not plotted</t>
    </r>
  </si>
  <si>
    <t>After experiment</t>
  </si>
  <si>
    <t>During experiment</t>
  </si>
  <si>
    <t>Before experiment</t>
  </si>
  <si>
    <r>
      <t>2</t>
    </r>
    <r>
      <rPr>
        <sz val="11"/>
        <color theme="1"/>
        <rFont val="Aptos Narrow"/>
        <family val="2"/>
      </rPr>
      <t>σ</t>
    </r>
  </si>
  <si>
    <t>Blank (nccSTP 4He)</t>
  </si>
  <si>
    <t>Sensitivity (nccSTP 4He / Ratio)</t>
  </si>
  <si>
    <t>Q9057</t>
  </si>
  <si>
    <t>Q9056</t>
  </si>
  <si>
    <t>Q9008</t>
  </si>
  <si>
    <t>Q9007</t>
  </si>
  <si>
    <t>Q9006</t>
  </si>
  <si>
    <t>Sensitivity</t>
  </si>
  <si>
    <t>Blank</t>
  </si>
  <si>
    <t>total</t>
  </si>
  <si>
    <t>sensitivity</t>
  </si>
  <si>
    <t>Automated Reduction</t>
  </si>
  <si>
    <t>±2σ</t>
  </si>
  <si>
    <t>--</t>
  </si>
  <si>
    <r>
      <t>F</t>
    </r>
    <r>
      <rPr>
        <vertAlign val="superscript"/>
        <sz val="11"/>
        <color theme="1"/>
        <rFont val="Aptos Narrow"/>
        <family val="2"/>
        <scheme val="minor"/>
      </rPr>
      <t>He</t>
    </r>
    <r>
      <rPr>
        <vertAlign val="subscript"/>
        <sz val="11"/>
        <color theme="1"/>
        <rFont val="Aptos Narrow"/>
        <family val="2"/>
        <scheme val="minor"/>
      </rPr>
      <t>Tube</t>
    </r>
  </si>
  <si>
    <r>
      <t>F</t>
    </r>
    <r>
      <rPr>
        <vertAlign val="superscript"/>
        <sz val="11"/>
        <color theme="1"/>
        <rFont val="Aptos Narrow"/>
        <family val="2"/>
        <scheme val="minor"/>
      </rPr>
      <t>He</t>
    </r>
    <r>
      <rPr>
        <vertAlign val="subscript"/>
        <sz val="11"/>
        <color theme="1"/>
        <rFont val="Aptos Narrow"/>
        <family val="2"/>
        <scheme val="minor"/>
      </rPr>
      <t>Apatite</t>
    </r>
    <r>
      <rPr>
        <sz val="11"/>
        <color theme="1"/>
        <rFont val="Aptos Narrow"/>
        <family val="2"/>
        <scheme val="minor"/>
      </rPr>
      <t xml:space="preserve"> Corrected</t>
    </r>
  </si>
  <si>
    <t>C_gas/Cap</t>
  </si>
  <si>
    <t>Standard Name</t>
  </si>
  <si>
    <t>Total time between standards (days)</t>
  </si>
  <si>
    <r>
      <rPr>
        <sz val="11"/>
        <rFont val="Aptos Narrow"/>
        <family val="2"/>
      </rPr>
      <t>Σ</t>
    </r>
    <r>
      <rPr>
        <sz val="11"/>
        <rFont val="Aptos Narrow"/>
        <family val="2"/>
        <scheme val="minor"/>
      </rPr>
      <t xml:space="preserve"> 4He</t>
    </r>
  </si>
  <si>
    <t>Σ 4He</t>
  </si>
  <si>
    <r>
      <t>2</t>
    </r>
    <r>
      <rPr>
        <sz val="11"/>
        <rFont val="Aptos Narrow"/>
        <family val="2"/>
      </rPr>
      <t>σ</t>
    </r>
  </si>
  <si>
    <t>2σ</t>
  </si>
  <si>
    <t>STD</t>
  </si>
  <si>
    <t>ln(D/a^2)</t>
  </si>
  <si>
    <t>Manual Reduction with Tracked Sensitivities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</si>
</sst>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vertAlign val="subscript"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rgb="FF870000"/>
      <name val="Aptos Narrow"/>
      <family val="2"/>
      <scheme val="minor"/>
    </font>
    <font>
      <b/>
      <sz val="11"/>
      <color rgb="FF870000"/>
      <name val="Aptos Narrow"/>
      <family val="2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1">
    <xf numFmtId="0" fontId="0" fillId="0" borderId="0" xfId="0"/>
    <xf numFmtId="22" fontId="0" fillId="0" borderId="0" xfId="0" applyNumberFormat="1"/>
    <xf numFmtId="0" fontId="0" fillId="0" borderId="10" xfId="0" applyBorder="1" applyAlignment="1">
      <alignment wrapText="1"/>
    </xf>
    <xf numFmtId="11" fontId="0" fillId="0" borderId="11" xfId="0" applyNumberFormat="1" applyBorder="1"/>
    <xf numFmtId="11" fontId="0" fillId="0" borderId="0" xfId="0" applyNumberFormat="1"/>
    <xf numFmtId="0" fontId="0" fillId="33" borderId="0" xfId="0" applyFill="1"/>
    <xf numFmtId="22" fontId="0" fillId="33" borderId="0" xfId="0" applyNumberFormat="1" applyFill="1"/>
    <xf numFmtId="11" fontId="0" fillId="33" borderId="0" xfId="0" applyNumberFormat="1" applyFill="1"/>
    <xf numFmtId="11" fontId="0" fillId="34" borderId="0" xfId="0" applyNumberFormat="1" applyFill="1"/>
    <xf numFmtId="0" fontId="0" fillId="35" borderId="0" xfId="0" applyFill="1" applyAlignment="1">
      <alignment wrapText="1"/>
    </xf>
    <xf numFmtId="0" fontId="0" fillId="35" borderId="0" xfId="0" applyFill="1"/>
    <xf numFmtId="0" fontId="20" fillId="0" borderId="0" xfId="0" applyFont="1"/>
    <xf numFmtId="0" fontId="0" fillId="0" borderId="0" xfId="0" applyAlignment="1">
      <alignment wrapText="1"/>
    </xf>
    <xf numFmtId="0" fontId="0" fillId="36" borderId="0" xfId="0" applyFill="1"/>
    <xf numFmtId="22" fontId="0" fillId="36" borderId="0" xfId="0" applyNumberFormat="1" applyFill="1"/>
    <xf numFmtId="11" fontId="0" fillId="36" borderId="0" xfId="0" applyNumberFormat="1" applyFill="1"/>
    <xf numFmtId="0" fontId="18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11" fontId="0" fillId="0" borderId="0" xfId="0" applyNumberFormat="1" applyAlignment="1">
      <alignment wrapText="1"/>
    </xf>
    <xf numFmtId="0" fontId="20" fillId="0" borderId="0" xfId="0" applyFont="1" applyAlignment="1">
      <alignment wrapText="1"/>
    </xf>
    <xf numFmtId="0" fontId="0" fillId="39" borderId="0" xfId="0" applyFill="1"/>
    <xf numFmtId="11" fontId="0" fillId="39" borderId="0" xfId="0" applyNumberFormat="1" applyFill="1"/>
    <xf numFmtId="0" fontId="22" fillId="0" borderId="0" xfId="0" applyFont="1"/>
    <xf numFmtId="0" fontId="0" fillId="40" borderId="0" xfId="0" applyFill="1"/>
    <xf numFmtId="11" fontId="0" fillId="40" borderId="0" xfId="0" applyNumberFormat="1" applyFill="1"/>
    <xf numFmtId="0" fontId="18" fillId="40" borderId="0" xfId="0" applyFont="1" applyFill="1"/>
    <xf numFmtId="0" fontId="22" fillId="40" borderId="0" xfId="0" applyFont="1" applyFill="1"/>
    <xf numFmtId="16" fontId="0" fillId="0" borderId="0" xfId="0" applyNumberFormat="1"/>
    <xf numFmtId="2" fontId="0" fillId="0" borderId="12" xfId="0" applyNumberFormat="1" applyBorder="1"/>
    <xf numFmtId="2" fontId="0" fillId="0" borderId="13" xfId="0" applyNumberFormat="1" applyBorder="1"/>
    <xf numFmtId="2" fontId="0" fillId="0" borderId="0" xfId="0" applyNumberFormat="1"/>
    <xf numFmtId="164" fontId="0" fillId="0" borderId="0" xfId="0" applyNumberFormat="1"/>
    <xf numFmtId="164" fontId="0" fillId="0" borderId="13" xfId="0" applyNumberFormat="1" applyBorder="1"/>
    <xf numFmtId="2" fontId="0" fillId="34" borderId="0" xfId="0" applyNumberFormat="1" applyFill="1"/>
    <xf numFmtId="2" fontId="0" fillId="34" borderId="13" xfId="0" applyNumberFormat="1" applyFill="1" applyBorder="1"/>
    <xf numFmtId="2" fontId="0" fillId="36" borderId="12" xfId="0" applyNumberFormat="1" applyFill="1" applyBorder="1"/>
    <xf numFmtId="2" fontId="0" fillId="36" borderId="13" xfId="0" applyNumberFormat="1" applyFill="1" applyBorder="1"/>
    <xf numFmtId="2" fontId="0" fillId="36" borderId="0" xfId="0" applyNumberFormat="1" applyFill="1"/>
    <xf numFmtId="164" fontId="0" fillId="36" borderId="0" xfId="0" applyNumberFormat="1" applyFill="1"/>
    <xf numFmtId="164" fontId="0" fillId="36" borderId="13" xfId="0" applyNumberFormat="1" applyFill="1" applyBorder="1"/>
    <xf numFmtId="164" fontId="0" fillId="36" borderId="12" xfId="0" applyNumberFormat="1" applyFill="1" applyBorder="1"/>
    <xf numFmtId="2" fontId="0" fillId="37" borderId="0" xfId="0" applyNumberFormat="1" applyFill="1"/>
    <xf numFmtId="2" fontId="0" fillId="37" borderId="13" xfId="0" applyNumberFormat="1" applyFill="1" applyBorder="1"/>
    <xf numFmtId="164" fontId="0" fillId="0" borderId="12" xfId="0" applyNumberFormat="1" applyBorder="1"/>
    <xf numFmtId="2" fontId="0" fillId="33" borderId="12" xfId="0" applyNumberFormat="1" applyFill="1" applyBorder="1"/>
    <xf numFmtId="2" fontId="0" fillId="33" borderId="13" xfId="0" applyNumberFormat="1" applyFill="1" applyBorder="1"/>
    <xf numFmtId="2" fontId="0" fillId="38" borderId="0" xfId="0" applyNumberFormat="1" applyFill="1"/>
    <xf numFmtId="2" fontId="0" fillId="38" borderId="13" xfId="0" applyNumberFormat="1" applyFill="1" applyBorder="1"/>
    <xf numFmtId="2" fontId="0" fillId="33" borderId="0" xfId="0" applyNumberFormat="1" applyFill="1"/>
    <xf numFmtId="164" fontId="0" fillId="33" borderId="0" xfId="0" applyNumberFormat="1" applyFill="1"/>
    <xf numFmtId="164" fontId="0" fillId="33" borderId="13" xfId="0" applyNumberFormat="1" applyFill="1" applyBorder="1"/>
    <xf numFmtId="164" fontId="0" fillId="33" borderId="12" xfId="0" applyNumberFormat="1" applyFill="1" applyBorder="1"/>
    <xf numFmtId="2" fontId="20" fillId="0" borderId="13" xfId="0" applyNumberFormat="1" applyFont="1" applyBorder="1"/>
    <xf numFmtId="0" fontId="0" fillId="41" borderId="0" xfId="0" applyFill="1"/>
    <xf numFmtId="11" fontId="0" fillId="41" borderId="0" xfId="0" applyNumberFormat="1" applyFill="1"/>
    <xf numFmtId="0" fontId="0" fillId="41" borderId="0" xfId="0" quotePrefix="1" applyFill="1"/>
    <xf numFmtId="2" fontId="0" fillId="40" borderId="0" xfId="0" applyNumberFormat="1" applyFill="1"/>
    <xf numFmtId="164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/>
    </xf>
    <xf numFmtId="0" fontId="23" fillId="4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42" borderId="0" xfId="0" applyFill="1"/>
    <xf numFmtId="22" fontId="0" fillId="42" borderId="0" xfId="0" applyNumberFormat="1" applyFill="1"/>
    <xf numFmtId="2" fontId="0" fillId="42" borderId="0" xfId="0" applyNumberFormat="1" applyFill="1"/>
    <xf numFmtId="164" fontId="0" fillId="42" borderId="0" xfId="0" applyNumberFormat="1" applyFill="1"/>
    <xf numFmtId="164" fontId="0" fillId="42" borderId="13" xfId="0" applyNumberFormat="1" applyFill="1" applyBorder="1"/>
    <xf numFmtId="164" fontId="0" fillId="42" borderId="12" xfId="0" applyNumberFormat="1" applyFill="1" applyBorder="1"/>
    <xf numFmtId="11" fontId="0" fillId="42" borderId="0" xfId="0" applyNumberFormat="1" applyFill="1"/>
    <xf numFmtId="2" fontId="0" fillId="42" borderId="13" xfId="0" applyNumberFormat="1" applyFill="1" applyBorder="1"/>
    <xf numFmtId="2" fontId="0" fillId="42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Encapsulated Durango Apatite Apparent</a:t>
            </a:r>
            <a:r>
              <a:rPr lang="en-US" baseline="0"/>
              <a:t> Helium Diffusivities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Reference Apatite r = 150 µm (Farley, 2000)</c:v>
          </c:tx>
          <c:spPr>
            <a:ln w="12700" cap="rnd">
              <a:solidFill>
                <a:schemeClr val="tx1">
                  <a:lumMod val="95000"/>
                  <a:lumOff val="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Diffusivities!$T$4:$T$28</c:f>
              <c:numCache>
                <c:formatCode>General</c:formatCode>
                <c:ptCount val="25"/>
                <c:pt idx="0">
                  <c:v>26.809651474530831</c:v>
                </c:pt>
                <c:pt idx="1">
                  <c:v>23.640661938534279</c:v>
                </c:pt>
                <c:pt idx="2">
                  <c:v>21.137180300147961</c:v>
                </c:pt>
                <c:pt idx="3">
                  <c:v>19.1131498470948</c:v>
                </c:pt>
                <c:pt idx="4">
                  <c:v>18.406037180195106</c:v>
                </c:pt>
                <c:pt idx="5">
                  <c:v>17.752529735487308</c:v>
                </c:pt>
                <c:pt idx="6">
                  <c:v>17.44287458573173</c:v>
                </c:pt>
                <c:pt idx="7">
                  <c:v>17.911517105498838</c:v>
                </c:pt>
                <c:pt idx="8">
                  <c:v>18.241517694272162</c:v>
                </c:pt>
                <c:pt idx="9">
                  <c:v>18.932222642938278</c:v>
                </c:pt>
                <c:pt idx="10">
                  <c:v>17.44287458573173</c:v>
                </c:pt>
                <c:pt idx="11">
                  <c:v>17.445917655268666</c:v>
                </c:pt>
                <c:pt idx="12">
                  <c:v>17.448961786773687</c:v>
                </c:pt>
                <c:pt idx="13">
                  <c:v>16.854879487611665</c:v>
                </c:pt>
                <c:pt idx="14">
                  <c:v>16.572754391779913</c:v>
                </c:pt>
                <c:pt idx="15">
                  <c:v>16.041065126724416</c:v>
                </c:pt>
                <c:pt idx="16">
                  <c:v>15.542430836182779</c:v>
                </c:pt>
                <c:pt idx="17">
                  <c:v>15.188335358444714</c:v>
                </c:pt>
                <c:pt idx="18">
                  <c:v>15.787811809283234</c:v>
                </c:pt>
                <c:pt idx="19">
                  <c:v>16.302575806977504</c:v>
                </c:pt>
                <c:pt idx="20">
                  <c:v>16.716817118020728</c:v>
                </c:pt>
                <c:pt idx="21">
                  <c:v>14.856633486851878</c:v>
                </c:pt>
                <c:pt idx="22">
                  <c:v>16.04363869725654</c:v>
                </c:pt>
                <c:pt idx="23">
                  <c:v>14.850014850014851</c:v>
                </c:pt>
                <c:pt idx="24">
                  <c:v>17.445917655268666</c:v>
                </c:pt>
              </c:numCache>
            </c:numRef>
          </c:xVal>
          <c:yVal>
            <c:numRef>
              <c:f>Diffusivities!$X$4:$X$28</c:f>
              <c:numCache>
                <c:formatCode>General</c:formatCode>
                <c:ptCount val="25"/>
                <c:pt idx="0">
                  <c:v>-32.672051845389106</c:v>
                </c:pt>
                <c:pt idx="1">
                  <c:v>-27.409009334675151</c:v>
                </c:pt>
                <c:pt idx="2">
                  <c:v>-23.251239124974674</c:v>
                </c:pt>
                <c:pt idx="3">
                  <c:v>-19.889739127453073</c:v>
                </c:pt>
                <c:pt idx="4">
                  <c:v>-18.715369826613117</c:v>
                </c:pt>
                <c:pt idx="5">
                  <c:v>-17.630027819800972</c:v>
                </c:pt>
                <c:pt idx="6">
                  <c:v>-17.11575404315608</c:v>
                </c:pt>
                <c:pt idx="7">
                  <c:v>-17.894073275783882</c:v>
                </c:pt>
                <c:pt idx="8">
                  <c:v>-18.442136659252419</c:v>
                </c:pt>
                <c:pt idx="9">
                  <c:v>-19.589256100922363</c:v>
                </c:pt>
                <c:pt idx="10">
                  <c:v>-17.11575404315608</c:v>
                </c:pt>
                <c:pt idx="11">
                  <c:v>-17.12080795834072</c:v>
                </c:pt>
                <c:pt idx="12">
                  <c:v>-17.125863637236829</c:v>
                </c:pt>
                <c:pt idx="13">
                  <c:v>-16.139214625040214</c:v>
                </c:pt>
                <c:pt idx="14">
                  <c:v>-15.670662628943196</c:v>
                </c:pt>
                <c:pt idx="15">
                  <c:v>-14.787635666344732</c:v>
                </c:pt>
                <c:pt idx="16">
                  <c:v>-13.959506245716954</c:v>
                </c:pt>
                <c:pt idx="17">
                  <c:v>-13.371426187067927</c:v>
                </c:pt>
                <c:pt idx="18">
                  <c:v>-14.367033780307542</c:v>
                </c:pt>
                <c:pt idx="19">
                  <c:v>-15.221951340645282</c:v>
                </c:pt>
                <c:pt idx="20">
                  <c:v>-15.909921308658687</c:v>
                </c:pt>
                <c:pt idx="21">
                  <c:v>-12.820537321312338</c:v>
                </c:pt>
                <c:pt idx="22">
                  <c:v>-14.791909839850524</c:v>
                </c:pt>
                <c:pt idx="23">
                  <c:v>-12.809545121230707</c:v>
                </c:pt>
                <c:pt idx="24">
                  <c:v>-17.12080795834072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8-4F8A-B5DD-A0918DB35914}"/>
            </c:ext>
          </c:extLst>
        </c:ser>
        <c:ser>
          <c:idx val="1"/>
          <c:order val="1"/>
          <c:tx>
            <c:v>Uncorrected Encapsulated Data</c:v>
          </c:tx>
          <c:spPr>
            <a:ln w="19050" cap="rnd">
              <a:solidFill>
                <a:schemeClr val="accent2">
                  <a:alpha val="5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Diffusivities!$V$37:$V$61</c:f>
                <c:numCache>
                  <c:formatCode>General</c:formatCode>
                  <c:ptCount val="25"/>
                  <c:pt idx="0">
                    <c:v>1.3342674550457578E-2</c:v>
                  </c:pt>
                  <c:pt idx="1">
                    <c:v>1.2749649380468403E-2</c:v>
                  </c:pt>
                  <c:pt idx="2">
                    <c:v>1.3794953686617116E-2</c:v>
                  </c:pt>
                  <c:pt idx="3">
                    <c:v>1.6351388607689456E-2</c:v>
                  </c:pt>
                  <c:pt idx="4">
                    <c:v>1.6238718097672921E-2</c:v>
                  </c:pt>
                  <c:pt idx="5">
                    <c:v>1.761305519291639E-2</c:v>
                  </c:pt>
                  <c:pt idx="6">
                    <c:v>1.9991888056952966E-2</c:v>
                  </c:pt>
                  <c:pt idx="7">
                    <c:v>4.2747557984930372E-2</c:v>
                  </c:pt>
                  <c:pt idx="8">
                    <c:v>3.3733607329706858E-2</c:v>
                  </c:pt>
                  <c:pt idx="9">
                    <c:v>7.1544563064826747E-2</c:v>
                  </c:pt>
                  <c:pt idx="10">
                    <c:v>0.10123432726107522</c:v>
                  </c:pt>
                  <c:pt idx="11">
                    <c:v>2.9611919820820124E-2</c:v>
                  </c:pt>
                  <c:pt idx="12">
                    <c:v>3.3269985492500119E-2</c:v>
                  </c:pt>
                  <c:pt idx="13">
                    <c:v>5.561686653810434E-2</c:v>
                  </c:pt>
                  <c:pt idx="14">
                    <c:v>7.5851187406337034E-2</c:v>
                  </c:pt>
                  <c:pt idx="15">
                    <c:v>5.5585860001252992E-2</c:v>
                  </c:pt>
                  <c:pt idx="16">
                    <c:v>3.3181054093871197E-2</c:v>
                  </c:pt>
                  <c:pt idx="17">
                    <c:v>3.9873558079028079E-2</c:v>
                  </c:pt>
                  <c:pt idx="18">
                    <c:v>6.7397249054941391E-2</c:v>
                  </c:pt>
                  <c:pt idx="19">
                    <c:v>0.13246066958707781</c:v>
                  </c:pt>
                  <c:pt idx="20">
                    <c:v>0.19794079704435477</c:v>
                  </c:pt>
                  <c:pt idx="21">
                    <c:v>4.2408499724606537E-2</c:v>
                  </c:pt>
                  <c:pt idx="22">
                    <c:v>0.31441494768778744</c:v>
                  </c:pt>
                  <c:pt idx="23">
                    <c:v>0.32758532754964131</c:v>
                  </c:pt>
                  <c:pt idx="24">
                    <c:v>0.74514223379267464</c:v>
                  </c:pt>
                </c:numCache>
              </c:numRef>
            </c:plus>
            <c:minus>
              <c:numRef>
                <c:f>Diffusivities!$V$37:$V$61</c:f>
                <c:numCache>
                  <c:formatCode>General</c:formatCode>
                  <c:ptCount val="25"/>
                  <c:pt idx="0">
                    <c:v>1.3342674550457578E-2</c:v>
                  </c:pt>
                  <c:pt idx="1">
                    <c:v>1.2749649380468403E-2</c:v>
                  </c:pt>
                  <c:pt idx="2">
                    <c:v>1.3794953686617116E-2</c:v>
                  </c:pt>
                  <c:pt idx="3">
                    <c:v>1.6351388607689456E-2</c:v>
                  </c:pt>
                  <c:pt idx="4">
                    <c:v>1.6238718097672921E-2</c:v>
                  </c:pt>
                  <c:pt idx="5">
                    <c:v>1.761305519291639E-2</c:v>
                  </c:pt>
                  <c:pt idx="6">
                    <c:v>1.9991888056952966E-2</c:v>
                  </c:pt>
                  <c:pt idx="7">
                    <c:v>4.2747557984930372E-2</c:v>
                  </c:pt>
                  <c:pt idx="8">
                    <c:v>3.3733607329706858E-2</c:v>
                  </c:pt>
                  <c:pt idx="9">
                    <c:v>7.1544563064826747E-2</c:v>
                  </c:pt>
                  <c:pt idx="10">
                    <c:v>0.10123432726107522</c:v>
                  </c:pt>
                  <c:pt idx="11">
                    <c:v>2.9611919820820124E-2</c:v>
                  </c:pt>
                  <c:pt idx="12">
                    <c:v>3.3269985492500119E-2</c:v>
                  </c:pt>
                  <c:pt idx="13">
                    <c:v>5.561686653810434E-2</c:v>
                  </c:pt>
                  <c:pt idx="14">
                    <c:v>7.5851187406337034E-2</c:v>
                  </c:pt>
                  <c:pt idx="15">
                    <c:v>5.5585860001252992E-2</c:v>
                  </c:pt>
                  <c:pt idx="16">
                    <c:v>3.3181054093871197E-2</c:v>
                  </c:pt>
                  <c:pt idx="17">
                    <c:v>3.9873558079028079E-2</c:v>
                  </c:pt>
                  <c:pt idx="18">
                    <c:v>6.7397249054941391E-2</c:v>
                  </c:pt>
                  <c:pt idx="19">
                    <c:v>0.13246066958707781</c:v>
                  </c:pt>
                  <c:pt idx="20">
                    <c:v>0.19794079704435477</c:v>
                  </c:pt>
                  <c:pt idx="21">
                    <c:v>4.2408499724606537E-2</c:v>
                  </c:pt>
                  <c:pt idx="22">
                    <c:v>0.31441494768778744</c:v>
                  </c:pt>
                  <c:pt idx="23">
                    <c:v>0.32758532754964131</c:v>
                  </c:pt>
                  <c:pt idx="24">
                    <c:v>0.74514223379267464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xVal>
            <c:numRef>
              <c:f>Diffusivities!$T$37:$T$61</c:f>
              <c:numCache>
                <c:formatCode>General</c:formatCode>
                <c:ptCount val="25"/>
                <c:pt idx="0">
                  <c:v>26.809651474530831</c:v>
                </c:pt>
                <c:pt idx="1">
                  <c:v>23.640661938534279</c:v>
                </c:pt>
                <c:pt idx="2">
                  <c:v>21.137180300147961</c:v>
                </c:pt>
                <c:pt idx="3">
                  <c:v>19.1131498470948</c:v>
                </c:pt>
                <c:pt idx="4">
                  <c:v>18.406037180195106</c:v>
                </c:pt>
                <c:pt idx="5">
                  <c:v>17.752529735487308</c:v>
                </c:pt>
                <c:pt idx="6">
                  <c:v>17.44287458573173</c:v>
                </c:pt>
                <c:pt idx="7">
                  <c:v>17.911517105498838</c:v>
                </c:pt>
                <c:pt idx="8">
                  <c:v>18.241517694272162</c:v>
                </c:pt>
                <c:pt idx="9">
                  <c:v>18.932222642938278</c:v>
                </c:pt>
                <c:pt idx="10">
                  <c:v>17.44287458573173</c:v>
                </c:pt>
                <c:pt idx="11">
                  <c:v>17.445917655268666</c:v>
                </c:pt>
                <c:pt idx="12">
                  <c:v>17.448961786773687</c:v>
                </c:pt>
                <c:pt idx="13">
                  <c:v>16.854879487611665</c:v>
                </c:pt>
                <c:pt idx="14">
                  <c:v>16.572754391779913</c:v>
                </c:pt>
                <c:pt idx="15">
                  <c:v>16.041065126724416</c:v>
                </c:pt>
                <c:pt idx="16">
                  <c:v>15.542430836182779</c:v>
                </c:pt>
                <c:pt idx="17">
                  <c:v>15.188335358444714</c:v>
                </c:pt>
                <c:pt idx="18">
                  <c:v>15.787811809283234</c:v>
                </c:pt>
                <c:pt idx="19">
                  <c:v>16.302575806977504</c:v>
                </c:pt>
                <c:pt idx="20">
                  <c:v>16.716817118020728</c:v>
                </c:pt>
                <c:pt idx="21">
                  <c:v>14.856633486851878</c:v>
                </c:pt>
                <c:pt idx="22">
                  <c:v>16.04363869725654</c:v>
                </c:pt>
                <c:pt idx="23">
                  <c:v>14.850014850014851</c:v>
                </c:pt>
                <c:pt idx="24">
                  <c:v>17.445917655268666</c:v>
                </c:pt>
              </c:numCache>
            </c:numRef>
          </c:xVal>
          <c:yVal>
            <c:numRef>
              <c:f>Diffusivities!$U$37:$U$61</c:f>
              <c:numCache>
                <c:formatCode>General</c:formatCode>
                <c:ptCount val="25"/>
                <c:pt idx="0">
                  <c:v>-28.39053949869222</c:v>
                </c:pt>
                <c:pt idx="1">
                  <c:v>-26.979612677113852</c:v>
                </c:pt>
                <c:pt idx="2">
                  <c:v>-25.016905436774827</c:v>
                </c:pt>
                <c:pt idx="3">
                  <c:v>-24.010252057463454</c:v>
                </c:pt>
                <c:pt idx="4">
                  <c:v>-22.514439529950113</c:v>
                </c:pt>
                <c:pt idx="5">
                  <c:v>-21.100114741980061</c:v>
                </c:pt>
                <c:pt idx="6">
                  <c:v>-20.072096450080601</c:v>
                </c:pt>
                <c:pt idx="7">
                  <c:v>-20.648810633165578</c:v>
                </c:pt>
                <c:pt idx="8">
                  <c:v>-19.801765832815764</c:v>
                </c:pt>
                <c:pt idx="9">
                  <c:v>-20.215545856576082</c:v>
                </c:pt>
                <c:pt idx="10">
                  <c:v>-20.762090724354959</c:v>
                </c:pt>
                <c:pt idx="11">
                  <c:v>-19.207714508200372</c:v>
                </c:pt>
                <c:pt idx="12">
                  <c:v>-18.753194624500466</c:v>
                </c:pt>
                <c:pt idx="13">
                  <c:v>-17.939341214650344</c:v>
                </c:pt>
                <c:pt idx="14">
                  <c:v>-18.084207841477905</c:v>
                </c:pt>
                <c:pt idx="15">
                  <c:v>-18.109300981675954</c:v>
                </c:pt>
                <c:pt idx="16">
                  <c:v>-16.150588683602056</c:v>
                </c:pt>
                <c:pt idx="17">
                  <c:v>-15.412398302921234</c:v>
                </c:pt>
                <c:pt idx="18">
                  <c:v>-15.329225581061161</c:v>
                </c:pt>
                <c:pt idx="19">
                  <c:v>-15.628958469648287</c:v>
                </c:pt>
                <c:pt idx="20">
                  <c:v>-15.971732655512206</c:v>
                </c:pt>
                <c:pt idx="21">
                  <c:v>-13.685890185867514</c:v>
                </c:pt>
                <c:pt idx="22">
                  <c:v>-15.417287201460262</c:v>
                </c:pt>
                <c:pt idx="23">
                  <c:v>-15.500844177919893</c:v>
                </c:pt>
                <c:pt idx="24">
                  <c:v>-16.498778236627633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8-4F8A-B5DD-A0918DB35914}"/>
            </c:ext>
          </c:extLst>
        </c:ser>
        <c:ser>
          <c:idx val="0"/>
          <c:order val="2"/>
          <c:tx>
            <c:v>Corrected Encapsulated Data</c:v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plus>
            <c:min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4">
                    <a:lumMod val="75000"/>
                  </a:schemeClr>
                </a:solidFill>
                <a:round/>
              </a:ln>
              <a:effectLst/>
            </c:spPr>
          </c:errBars>
          <c:xVal>
            <c:numRef>
              <c:f>(Diffusivities!$T$6:$T$12,Diffusivities!$T$14:$T$27)</c:f>
              <c:numCache>
                <c:formatCode>General</c:formatCode>
                <c:ptCount val="21"/>
                <c:pt idx="0">
                  <c:v>21.137180300147961</c:v>
                </c:pt>
                <c:pt idx="1">
                  <c:v>19.1131498470948</c:v>
                </c:pt>
                <c:pt idx="2">
                  <c:v>18.406037180195106</c:v>
                </c:pt>
                <c:pt idx="3">
                  <c:v>17.752529735487308</c:v>
                </c:pt>
                <c:pt idx="4">
                  <c:v>17.44287458573173</c:v>
                </c:pt>
                <c:pt idx="5">
                  <c:v>17.911517105498838</c:v>
                </c:pt>
                <c:pt idx="6">
                  <c:v>18.241517694272162</c:v>
                </c:pt>
                <c:pt idx="7">
                  <c:v>17.44287458573173</c:v>
                </c:pt>
                <c:pt idx="8">
                  <c:v>17.445917655268666</c:v>
                </c:pt>
                <c:pt idx="9">
                  <c:v>17.448961786773687</c:v>
                </c:pt>
                <c:pt idx="10">
                  <c:v>16.854879487611665</c:v>
                </c:pt>
                <c:pt idx="11">
                  <c:v>16.572754391779913</c:v>
                </c:pt>
                <c:pt idx="12">
                  <c:v>16.041065126724416</c:v>
                </c:pt>
                <c:pt idx="13">
                  <c:v>15.542430836182779</c:v>
                </c:pt>
                <c:pt idx="14">
                  <c:v>15.188335358444714</c:v>
                </c:pt>
                <c:pt idx="15">
                  <c:v>15.787811809283234</c:v>
                </c:pt>
                <c:pt idx="16">
                  <c:v>16.302575806977504</c:v>
                </c:pt>
                <c:pt idx="17">
                  <c:v>16.716817118020728</c:v>
                </c:pt>
                <c:pt idx="18">
                  <c:v>14.856633486851878</c:v>
                </c:pt>
                <c:pt idx="19">
                  <c:v>16.04363869725654</c:v>
                </c:pt>
                <c:pt idx="20">
                  <c:v>14.850014850014851</c:v>
                </c:pt>
              </c:numCache>
            </c:numRef>
          </c:xVal>
          <c:yVal>
            <c:numRef>
              <c:f>(Diffusivities!$U$6:$U$12,Diffusivities!$U$14:$U$27)</c:f>
              <c:numCache>
                <c:formatCode>General</c:formatCode>
                <c:ptCount val="21"/>
                <c:pt idx="0">
                  <c:v>-23.802330317796443</c:v>
                </c:pt>
                <c:pt idx="1">
                  <c:v>-20.210908607030682</c:v>
                </c:pt>
                <c:pt idx="2">
                  <c:v>-19.043016248706532</c:v>
                </c:pt>
                <c:pt idx="3">
                  <c:v>-17.871168025078251</c:v>
                </c:pt>
                <c:pt idx="4">
                  <c:v>-17.338927917036415</c:v>
                </c:pt>
                <c:pt idx="5">
                  <c:v>-18.0392256973884</c:v>
                </c:pt>
                <c:pt idx="6">
                  <c:v>-18.578244701175258</c:v>
                </c:pt>
                <c:pt idx="7">
                  <c:v>-17.167090017443673</c:v>
                </c:pt>
                <c:pt idx="8">
                  <c:v>-17.133840946201374</c:v>
                </c:pt>
                <c:pt idx="9">
                  <c:v>-17.075743130847329</c:v>
                </c:pt>
                <c:pt idx="10">
                  <c:v>-15.964864832885228</c:v>
                </c:pt>
                <c:pt idx="11">
                  <c:v>-15.541779283889625</c:v>
                </c:pt>
                <c:pt idx="12">
                  <c:v>-14.614464569522108</c:v>
                </c:pt>
                <c:pt idx="13">
                  <c:v>-13.899548259232507</c:v>
                </c:pt>
                <c:pt idx="14">
                  <c:v>-13.48117742694868</c:v>
                </c:pt>
                <c:pt idx="15">
                  <c:v>-14.348991629801866</c:v>
                </c:pt>
                <c:pt idx="16">
                  <c:v>-15.003065707582261</c:v>
                </c:pt>
                <c:pt idx="17">
                  <c:v>-15.555887238728513</c:v>
                </c:pt>
                <c:pt idx="18">
                  <c:v>-13.280711902405411</c:v>
                </c:pt>
                <c:pt idx="19">
                  <c:v>-14.924591780350571</c:v>
                </c:pt>
                <c:pt idx="20">
                  <c:v>-13.310687925104068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28-4F8A-B5DD-A0918DB35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438240"/>
        <c:axId val="2132437280"/>
      </c:scatterChart>
      <c:valAx>
        <c:axId val="2132438240"/>
        <c:scaling>
          <c:orientation val="minMax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37280"/>
        <c:crosses val="autoZero"/>
        <c:crossBetween val="midCat"/>
      </c:valAx>
      <c:valAx>
        <c:axId val="2132437280"/>
        <c:scaling>
          <c:orientation val="minMax"/>
          <c:max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ln(D/a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38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Delta Plot</a:t>
            </a:r>
            <a:r>
              <a:rPr lang="en-US" baseline="0"/>
              <a:t> with Farley, 2000 Reference 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Corrected Deltas</c:v>
          </c:tx>
          <c:spPr>
            <a:ln w="25400" cap="rnd">
              <a:solidFill>
                <a:schemeClr val="accent6">
                  <a:lumMod val="40000"/>
                  <a:lumOff val="60000"/>
                  <a:alpha val="5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plus>
            <c:minus>
              <c:numRef>
                <c:f>(Diffusivities!$V$6:$V$12,Diffusivities!$V$14:$V$27)</c:f>
                <c:numCache>
                  <c:formatCode>General</c:formatCode>
                  <c:ptCount val="21"/>
                  <c:pt idx="0">
                    <c:v>0.27582053019696318</c:v>
                  </c:pt>
                  <c:pt idx="1">
                    <c:v>0.19957031780959111</c:v>
                  </c:pt>
                  <c:pt idx="2">
                    <c:v>0.22164490414922655</c:v>
                  </c:pt>
                  <c:pt idx="3">
                    <c:v>0.20363212500835853</c:v>
                  </c:pt>
                  <c:pt idx="4">
                    <c:v>0.25013332563381496</c:v>
                  </c:pt>
                  <c:pt idx="5">
                    <c:v>0.70831059192885226</c:v>
                  </c:pt>
                  <c:pt idx="6">
                    <c:v>1.0903721803949122</c:v>
                  </c:pt>
                  <c:pt idx="7">
                    <c:v>0.19601763472941519</c:v>
                  </c:pt>
                  <c:pt idx="8">
                    <c:v>0.21957967920852314</c:v>
                  </c:pt>
                  <c:pt idx="9">
                    <c:v>0.17838970105993551</c:v>
                  </c:pt>
                  <c:pt idx="10">
                    <c:v>0.1778851146167631</c:v>
                  </c:pt>
                  <c:pt idx="11">
                    <c:v>0.2098583493705472</c:v>
                  </c:pt>
                  <c:pt idx="12">
                    <c:v>0.15121022438201911</c:v>
                  </c:pt>
                  <c:pt idx="13">
                    <c:v>0.14828891887315954</c:v>
                  </c:pt>
                  <c:pt idx="14">
                    <c:v>0.17233635076151957</c:v>
                  </c:pt>
                  <c:pt idx="15">
                    <c:v>0.51221070840147598</c:v>
                  </c:pt>
                  <c:pt idx="16">
                    <c:v>0.90473958173745128</c:v>
                  </c:pt>
                  <c:pt idx="17">
                    <c:v>1.0759329600879592</c:v>
                  </c:pt>
                  <c:pt idx="18">
                    <c:v>7.6085568290109207E-2</c:v>
                  </c:pt>
                  <c:pt idx="19">
                    <c:v>0.9226766942660044</c:v>
                  </c:pt>
                  <c:pt idx="20">
                    <c:v>0.31482949377540381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(Diffusivities!$T$6:$T$12,Diffusivities!$T$14:$T$27)</c:f>
              <c:numCache>
                <c:formatCode>General</c:formatCode>
                <c:ptCount val="21"/>
                <c:pt idx="0">
                  <c:v>21.137180300147961</c:v>
                </c:pt>
                <c:pt idx="1">
                  <c:v>19.1131498470948</c:v>
                </c:pt>
                <c:pt idx="2">
                  <c:v>18.406037180195106</c:v>
                </c:pt>
                <c:pt idx="3">
                  <c:v>17.752529735487308</c:v>
                </c:pt>
                <c:pt idx="4">
                  <c:v>17.44287458573173</c:v>
                </c:pt>
                <c:pt idx="5">
                  <c:v>17.911517105498838</c:v>
                </c:pt>
                <c:pt idx="6">
                  <c:v>18.241517694272162</c:v>
                </c:pt>
                <c:pt idx="7">
                  <c:v>17.44287458573173</c:v>
                </c:pt>
                <c:pt idx="8">
                  <c:v>17.445917655268666</c:v>
                </c:pt>
                <c:pt idx="9">
                  <c:v>17.448961786773687</c:v>
                </c:pt>
                <c:pt idx="10">
                  <c:v>16.854879487611665</c:v>
                </c:pt>
                <c:pt idx="11">
                  <c:v>16.572754391779913</c:v>
                </c:pt>
                <c:pt idx="12">
                  <c:v>16.041065126724416</c:v>
                </c:pt>
                <c:pt idx="13">
                  <c:v>15.542430836182779</c:v>
                </c:pt>
                <c:pt idx="14">
                  <c:v>15.188335358444714</c:v>
                </c:pt>
                <c:pt idx="15">
                  <c:v>15.787811809283234</c:v>
                </c:pt>
                <c:pt idx="16">
                  <c:v>16.302575806977504</c:v>
                </c:pt>
                <c:pt idx="17">
                  <c:v>16.716817118020728</c:v>
                </c:pt>
                <c:pt idx="18">
                  <c:v>14.856633486851878</c:v>
                </c:pt>
                <c:pt idx="19">
                  <c:v>16.04363869725654</c:v>
                </c:pt>
                <c:pt idx="20">
                  <c:v>14.850014850014851</c:v>
                </c:pt>
              </c:numCache>
            </c:numRef>
          </c:xVal>
          <c:yVal>
            <c:numRef>
              <c:f>(Diffusivities!$Y$6:$Y$12,Diffusivities!$Y$14:$Y$27)</c:f>
              <c:numCache>
                <c:formatCode>General</c:formatCode>
                <c:ptCount val="21"/>
                <c:pt idx="0">
                  <c:v>-0.55109119282176877</c:v>
                </c:pt>
                <c:pt idx="1">
                  <c:v>-0.321169479577609</c:v>
                </c:pt>
                <c:pt idx="2">
                  <c:v>-0.32764642209341588</c:v>
                </c:pt>
                <c:pt idx="3">
                  <c:v>-0.24114020527727931</c:v>
                </c:pt>
                <c:pt idx="4">
                  <c:v>-0.22317387388033438</c:v>
                </c:pt>
                <c:pt idx="5">
                  <c:v>-0.14515242160451791</c:v>
                </c:pt>
                <c:pt idx="6">
                  <c:v>-0.13610804192283865</c:v>
                </c:pt>
                <c:pt idx="7">
                  <c:v>-5.1335974287592734E-2</c:v>
                </c:pt>
                <c:pt idx="8">
                  <c:v>-1.3032987860654544E-2</c:v>
                </c:pt>
                <c:pt idx="9">
                  <c:v>5.0120506389500719E-2</c:v>
                </c:pt>
                <c:pt idx="10">
                  <c:v>0.17434979215498636</c:v>
                </c:pt>
                <c:pt idx="11">
                  <c:v>0.12888334505357157</c:v>
                </c:pt>
                <c:pt idx="12">
                  <c:v>0.17317109682262455</c:v>
                </c:pt>
                <c:pt idx="13">
                  <c:v>5.9957986484446835E-2</c:v>
                </c:pt>
                <c:pt idx="14">
                  <c:v>-0.10975123988075275</c:v>
                </c:pt>
                <c:pt idx="15">
                  <c:v>1.8042150505676702E-2</c:v>
                </c:pt>
                <c:pt idx="16">
                  <c:v>0.21888563306302089</c:v>
                </c:pt>
                <c:pt idx="17">
                  <c:v>0.35403406993017406</c:v>
                </c:pt>
                <c:pt idx="18">
                  <c:v>-0.46017458109307263</c:v>
                </c:pt>
                <c:pt idx="19">
                  <c:v>-0.13268194050004745</c:v>
                </c:pt>
                <c:pt idx="20">
                  <c:v>-0.50114280387336052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15-4D04-990E-B594A51DA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6476207"/>
        <c:axId val="996477647"/>
      </c:scatterChart>
      <c:valAx>
        <c:axId val="996476207"/>
        <c:scaling>
          <c:orientation val="minMax"/>
          <c:max val="23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10000/T(K)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77647"/>
        <c:crosses val="autoZero"/>
        <c:crossBetween val="midCat"/>
      </c:valAx>
      <c:valAx>
        <c:axId val="996477647"/>
        <c:scaling>
          <c:orientation val="minMax"/>
          <c:max val="1"/>
          <c:min val="-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</a:t>
                </a:r>
                <a:r>
                  <a:rPr lang="en-US" baseline="0"/>
                  <a:t> ln(D/a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47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455977</xdr:colOff>
      <xdr:row>2</xdr:row>
      <xdr:rowOff>18391</xdr:rowOff>
    </xdr:from>
    <xdr:to>
      <xdr:col>38</xdr:col>
      <xdr:colOff>331705</xdr:colOff>
      <xdr:row>23</xdr:row>
      <xdr:rowOff>53714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00B375-59DC-4829-B5E6-7CCFE2EDE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225070</xdr:colOff>
      <xdr:row>25</xdr:row>
      <xdr:rowOff>42018</xdr:rowOff>
    </xdr:from>
    <xdr:to>
      <xdr:col>39</xdr:col>
      <xdr:colOff>34828</xdr:colOff>
      <xdr:row>44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F17D27-EB02-4084-83DE-611AF4188B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B3F3-C210-495A-8B2A-949E5752BC68}">
  <dimension ref="A1:BL83"/>
  <sheetViews>
    <sheetView tabSelected="1" topLeftCell="A12" zoomScale="70" zoomScaleNormal="70" workbookViewId="0">
      <selection activeCell="P4" sqref="P4"/>
    </sheetView>
  </sheetViews>
  <sheetFormatPr defaultRowHeight="14.4" x14ac:dyDescent="0.3"/>
  <cols>
    <col min="1" max="1" width="14.33203125" customWidth="1"/>
    <col min="2" max="2" width="5.88671875" customWidth="1"/>
    <col min="3" max="3" width="6.6640625" customWidth="1"/>
    <col min="4" max="5" width="10.77734375" style="4" customWidth="1"/>
    <col min="6" max="7" width="10.109375" customWidth="1"/>
    <col min="8" max="10" width="11.109375" customWidth="1"/>
    <col min="11" max="12" width="10.109375" customWidth="1"/>
    <col min="13" max="13" width="12.5546875" customWidth="1"/>
    <col min="14" max="14" width="10.77734375" style="4" customWidth="1"/>
  </cols>
  <sheetData>
    <row r="1" spans="1:64" s="12" customFormat="1" ht="58.2" customHeight="1" x14ac:dyDescent="0.35">
      <c r="A1" s="12" t="s">
        <v>71</v>
      </c>
      <c r="B1" s="12" t="s">
        <v>2</v>
      </c>
      <c r="C1" s="12" t="s">
        <v>72</v>
      </c>
      <c r="D1" s="19" t="s">
        <v>77</v>
      </c>
      <c r="E1" s="19" t="s">
        <v>101</v>
      </c>
      <c r="F1" s="12" t="s">
        <v>78</v>
      </c>
      <c r="G1" s="19" t="s">
        <v>101</v>
      </c>
      <c r="H1" s="20" t="s">
        <v>79</v>
      </c>
      <c r="I1" s="20"/>
      <c r="J1" s="19" t="s">
        <v>104</v>
      </c>
      <c r="K1" s="12" t="s">
        <v>76</v>
      </c>
      <c r="L1" s="19" t="s">
        <v>101</v>
      </c>
      <c r="M1" s="12" t="s">
        <v>75</v>
      </c>
      <c r="N1" s="4" t="s">
        <v>103</v>
      </c>
    </row>
    <row r="2" spans="1:64" s="21" customFormat="1" x14ac:dyDescent="0.3">
      <c r="A2" s="21" t="s">
        <v>73</v>
      </c>
      <c r="B2" s="21">
        <v>15</v>
      </c>
      <c r="C2" s="21">
        <v>24.3</v>
      </c>
      <c r="D2" s="22">
        <v>7.039716057084775E-3</v>
      </c>
      <c r="E2" s="22">
        <v>4.6366283055324726E-4</v>
      </c>
      <c r="F2" s="22">
        <v>1.4795008264813336</v>
      </c>
      <c r="G2" s="22">
        <v>0.17715777449570316</v>
      </c>
      <c r="N2" s="22">
        <v>4.7581697360907782E-3</v>
      </c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1:64" s="5" customFormat="1" x14ac:dyDescent="0.3">
      <c r="A3" s="54" t="s">
        <v>74</v>
      </c>
      <c r="B3" s="54">
        <v>240</v>
      </c>
      <c r="C3" s="54">
        <v>100</v>
      </c>
      <c r="D3" s="55">
        <v>0.16997322315760963</v>
      </c>
      <c r="E3" s="55">
        <v>1.0689647069661123E-3</v>
      </c>
      <c r="F3" s="55">
        <v>1.4724611104242489</v>
      </c>
      <c r="G3" s="55">
        <v>0.17716099951686645</v>
      </c>
      <c r="H3" s="55">
        <v>4.9585314106207479E-2</v>
      </c>
      <c r="I3" s="55">
        <v>0.23714864603814678</v>
      </c>
      <c r="J3" s="55">
        <v>8.0292822199456369E-5</v>
      </c>
      <c r="K3" s="56" t="s">
        <v>102</v>
      </c>
      <c r="L3" s="56" t="s">
        <v>102</v>
      </c>
      <c r="M3" s="54">
        <v>-28.39053949869222</v>
      </c>
      <c r="N3" s="55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1:64" x14ac:dyDescent="0.3">
      <c r="B4">
        <v>15</v>
      </c>
      <c r="C4">
        <v>28</v>
      </c>
      <c r="D4" s="4">
        <v>7.2063927722189457E-3</v>
      </c>
      <c r="E4" s="4">
        <v>3.927736511473889E-4</v>
      </c>
      <c r="F4" s="4">
        <v>1.3520732013728467</v>
      </c>
      <c r="G4" s="4">
        <v>0.15764617940935433</v>
      </c>
    </row>
    <row r="5" spans="1:64" x14ac:dyDescent="0.3">
      <c r="B5">
        <v>15</v>
      </c>
      <c r="C5">
        <v>24</v>
      </c>
      <c r="D5" s="4">
        <v>6.3909671106904369E-3</v>
      </c>
      <c r="E5" s="4">
        <v>3.9211574267154293E-4</v>
      </c>
      <c r="F5" s="4">
        <v>1.3448668086006277</v>
      </c>
      <c r="G5" s="4">
        <v>0.15764569011306748</v>
      </c>
    </row>
    <row r="6" spans="1:64" s="21" customFormat="1" x14ac:dyDescent="0.3">
      <c r="A6" s="21" t="s">
        <v>73</v>
      </c>
      <c r="B6" s="21">
        <v>15</v>
      </c>
      <c r="C6" s="21">
        <v>24</v>
      </c>
      <c r="D6" s="22">
        <v>6.3035258384893274E-3</v>
      </c>
      <c r="E6" s="22">
        <v>3.9224160175015664E-4</v>
      </c>
      <c r="F6" s="22">
        <v>1.3384758414899371</v>
      </c>
      <c r="G6" s="22">
        <v>0.1576452024530707</v>
      </c>
      <c r="N6" s="22">
        <v>4.7094804725593686E-3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1:64" s="5" customFormat="1" x14ac:dyDescent="0.3">
      <c r="A7" s="54" t="s">
        <v>74</v>
      </c>
      <c r="B7" s="54">
        <v>240</v>
      </c>
      <c r="C7" s="54">
        <v>150</v>
      </c>
      <c r="D7" s="55">
        <v>0.30898585806589457</v>
      </c>
      <c r="E7" s="55">
        <v>2.3276047221279456E-3</v>
      </c>
      <c r="F7" s="55">
        <v>1.3321723156514478</v>
      </c>
      <c r="G7" s="55">
        <v>0.15764569042616988</v>
      </c>
      <c r="H7" s="55">
        <v>1.1125652685248788E-2</v>
      </c>
      <c r="I7" s="55">
        <v>0.20543141008811813</v>
      </c>
      <c r="J7" s="55">
        <v>9.8308439706611651E-5</v>
      </c>
      <c r="K7" s="56" t="s">
        <v>102</v>
      </c>
      <c r="L7" s="56" t="s">
        <v>102</v>
      </c>
      <c r="M7" s="54">
        <v>-26.979612677113852</v>
      </c>
      <c r="N7" s="55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64" x14ac:dyDescent="0.3">
      <c r="B8">
        <v>15</v>
      </c>
      <c r="C8">
        <v>28.1</v>
      </c>
      <c r="D8" s="4">
        <v>5.4182507196968302E-3</v>
      </c>
      <c r="E8" s="4">
        <v>3.9240748440552573E-4</v>
      </c>
      <c r="F8" s="4">
        <v>1.0343121102708019</v>
      </c>
      <c r="G8" s="4">
        <v>0.13169845404220318</v>
      </c>
    </row>
    <row r="9" spans="1:64" x14ac:dyDescent="0.3">
      <c r="B9">
        <v>15</v>
      </c>
      <c r="C9">
        <v>24.3</v>
      </c>
      <c r="D9" s="4">
        <v>4.8442464741279461E-3</v>
      </c>
      <c r="E9" s="4">
        <v>3.9173705088924661E-4</v>
      </c>
      <c r="F9" s="4">
        <v>1.028893859551105</v>
      </c>
      <c r="G9" s="4">
        <v>0.13169786943406672</v>
      </c>
    </row>
    <row r="10" spans="1:64" s="21" customFormat="1" x14ac:dyDescent="0.3">
      <c r="A10" s="21" t="s">
        <v>73</v>
      </c>
      <c r="B10" s="21">
        <v>15</v>
      </c>
      <c r="C10" s="21">
        <v>24.2</v>
      </c>
      <c r="D10" s="22">
        <v>4.8470052197368378E-3</v>
      </c>
      <c r="E10" s="22">
        <v>3.9195138874728212E-4</v>
      </c>
      <c r="F10" s="22">
        <v>1.0240496130769772</v>
      </c>
      <c r="G10" s="22">
        <v>0.13169728681926385</v>
      </c>
      <c r="N10" s="22">
        <v>4.7331742113284614E-3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</row>
    <row r="11" spans="1:64" s="5" customFormat="1" x14ac:dyDescent="0.3">
      <c r="A11" s="54" t="s">
        <v>74</v>
      </c>
      <c r="B11" s="54">
        <v>240</v>
      </c>
      <c r="C11" s="54">
        <v>200.1</v>
      </c>
      <c r="D11" s="55">
        <v>0.94159046973591187</v>
      </c>
      <c r="E11" s="55">
        <v>8.4542189523467235E-3</v>
      </c>
      <c r="F11" s="55">
        <v>1.0192026078572403</v>
      </c>
      <c r="G11" s="55">
        <v>0.13169787007179193</v>
      </c>
      <c r="H11" s="55">
        <v>1.6418388917769666</v>
      </c>
      <c r="I11" s="55">
        <v>0.23164910468861188</v>
      </c>
      <c r="J11" s="55">
        <v>2.7569157429746011E-3</v>
      </c>
      <c r="K11" s="54">
        <v>-23.802330317796443</v>
      </c>
      <c r="L11" s="54">
        <v>0.27582053019696318</v>
      </c>
      <c r="M11" s="54">
        <v>-25.016905436774827</v>
      </c>
      <c r="N11" s="55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</row>
    <row r="12" spans="1:64" x14ac:dyDescent="0.3">
      <c r="B12">
        <v>15</v>
      </c>
      <c r="C12">
        <v>29.9</v>
      </c>
      <c r="D12" s="4">
        <v>9.4679763237014158E-3</v>
      </c>
      <c r="E12" s="4">
        <v>4.0549036737306144E-4</v>
      </c>
      <c r="F12" s="4">
        <v>1.7194510298982952</v>
      </c>
      <c r="G12" s="4">
        <v>0.19038252257887187</v>
      </c>
    </row>
    <row r="13" spans="1:64" x14ac:dyDescent="0.3">
      <c r="B13">
        <v>15</v>
      </c>
      <c r="C13">
        <v>23.8</v>
      </c>
      <c r="D13" s="4">
        <v>7.8570307912521342E-3</v>
      </c>
      <c r="E13" s="4">
        <v>4.014349179263114E-4</v>
      </c>
      <c r="F13" s="4">
        <v>1.7099830535745939</v>
      </c>
      <c r="G13" s="4">
        <v>0.19038209075713142</v>
      </c>
    </row>
    <row r="14" spans="1:64" s="21" customFormat="1" x14ac:dyDescent="0.3">
      <c r="A14" s="21" t="s">
        <v>73</v>
      </c>
      <c r="B14" s="21">
        <v>15</v>
      </c>
      <c r="C14" s="21">
        <v>24</v>
      </c>
      <c r="D14" s="22">
        <v>8.0357964711141455E-3</v>
      </c>
      <c r="E14" s="22">
        <v>4.0261459393904441E-4</v>
      </c>
      <c r="F14" s="22">
        <v>1.7021260227833417</v>
      </c>
      <c r="G14" s="22">
        <v>0.190381667528844</v>
      </c>
      <c r="N14" s="22">
        <v>4.7210349665965934E-3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</row>
    <row r="15" spans="1:64" s="5" customFormat="1" x14ac:dyDescent="0.3">
      <c r="A15" s="54" t="s">
        <v>74</v>
      </c>
      <c r="B15" s="54">
        <v>60</v>
      </c>
      <c r="C15" s="54">
        <v>250.2</v>
      </c>
      <c r="D15" s="55">
        <v>1.096544261741629</v>
      </c>
      <c r="E15" s="55">
        <v>1.0927818878512583E-2</v>
      </c>
      <c r="F15" s="55">
        <v>1.6940902263122275</v>
      </c>
      <c r="G15" s="55">
        <v>0.19038209324822161</v>
      </c>
      <c r="H15" s="55">
        <v>3.6974788092208</v>
      </c>
      <c r="I15" s="55">
        <v>0.47601416888333054</v>
      </c>
      <c r="J15" s="55">
        <v>8.7441927012112623E-3</v>
      </c>
      <c r="K15" s="54">
        <v>-20.210908607030682</v>
      </c>
      <c r="L15" s="54">
        <v>0.19957031780959111</v>
      </c>
      <c r="M15" s="54">
        <v>-24.010252057463454</v>
      </c>
      <c r="N15" s="5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 spans="1:64" x14ac:dyDescent="0.3">
      <c r="B16">
        <v>15</v>
      </c>
      <c r="C16">
        <v>33</v>
      </c>
      <c r="D16" s="4">
        <v>2.6533466034787269E-2</v>
      </c>
      <c r="E16" s="4">
        <v>4.9953195156504822E-4</v>
      </c>
      <c r="F16" s="4">
        <v>4.2950247737913987</v>
      </c>
      <c r="G16" s="4">
        <v>0.43614760153263687</v>
      </c>
    </row>
    <row r="17" spans="1:64" x14ac:dyDescent="0.3">
      <c r="B17">
        <v>15</v>
      </c>
      <c r="C17">
        <v>23.5</v>
      </c>
      <c r="D17" s="4">
        <v>2.0157553712899845E-2</v>
      </c>
      <c r="E17" s="4">
        <v>4.6327781067587875E-4</v>
      </c>
      <c r="F17" s="4">
        <v>4.2684913077566113</v>
      </c>
      <c r="G17" s="4">
        <v>0.43614731546863977</v>
      </c>
    </row>
    <row r="18" spans="1:64" s="21" customFormat="1" x14ac:dyDescent="0.3">
      <c r="A18" s="21" t="s">
        <v>73</v>
      </c>
      <c r="B18" s="21">
        <v>15</v>
      </c>
      <c r="C18" s="21">
        <v>24</v>
      </c>
      <c r="D18" s="22">
        <v>2.0031988602260062E-2</v>
      </c>
      <c r="E18" s="22">
        <v>4.6537633445826294E-4</v>
      </c>
      <c r="F18" s="22">
        <v>4.2483337540437116</v>
      </c>
      <c r="G18" s="22">
        <v>0.43614706942059273</v>
      </c>
      <c r="N18" s="22">
        <v>4.715257736799261E-3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</row>
    <row r="19" spans="1:64" s="5" customFormat="1" x14ac:dyDescent="0.3">
      <c r="A19" s="54" t="s">
        <v>74</v>
      </c>
      <c r="B19" s="54">
        <v>60</v>
      </c>
      <c r="C19" s="54">
        <v>270.3</v>
      </c>
      <c r="D19" s="55">
        <v>2.5076806030410816</v>
      </c>
      <c r="E19" s="55">
        <v>2.7419363118434046E-2</v>
      </c>
      <c r="F19" s="55">
        <v>4.2283017654414516</v>
      </c>
      <c r="G19" s="55">
        <v>0.4361473177027505</v>
      </c>
      <c r="H19" s="55">
        <v>5.2581583200694721</v>
      </c>
      <c r="I19" s="55">
        <v>0.82875712549062674</v>
      </c>
      <c r="J19" s="55">
        <v>1.7258656685156804E-2</v>
      </c>
      <c r="K19" s="54">
        <v>-19.043016248706532</v>
      </c>
      <c r="L19" s="54">
        <v>0.22164490414922655</v>
      </c>
      <c r="M19" s="54">
        <v>-22.514439529950113</v>
      </c>
      <c r="N19" s="55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 spans="1:64" x14ac:dyDescent="0.3">
      <c r="B20">
        <v>15</v>
      </c>
      <c r="C20">
        <v>33.9</v>
      </c>
      <c r="D20" s="4">
        <v>4.4142937519886051E-2</v>
      </c>
      <c r="E20" s="4">
        <v>6.6904189722499362E-4</v>
      </c>
      <c r="F20" s="4">
        <v>6.9787794824698421</v>
      </c>
      <c r="G20" s="4">
        <v>0.70417474311307271</v>
      </c>
    </row>
    <row r="21" spans="1:64" s="21" customFormat="1" x14ac:dyDescent="0.3">
      <c r="A21" s="21" t="s">
        <v>73</v>
      </c>
      <c r="B21" s="21">
        <v>15</v>
      </c>
      <c r="C21" s="21">
        <v>23.6</v>
      </c>
      <c r="D21" s="22">
        <v>3.2460046238294529E-2</v>
      </c>
      <c r="E21" s="22">
        <v>5.7270787551267634E-4</v>
      </c>
      <c r="F21" s="22">
        <v>6.9346365449499565</v>
      </c>
      <c r="G21" s="22">
        <v>0.70417442528204732</v>
      </c>
      <c r="N21" s="22">
        <v>4.6808576091753595E-3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</row>
    <row r="22" spans="1:64" s="5" customFormat="1" x14ac:dyDescent="0.3">
      <c r="A22" s="54" t="s">
        <v>74</v>
      </c>
      <c r="B22" s="54">
        <v>60</v>
      </c>
      <c r="C22" s="54">
        <v>290.3</v>
      </c>
      <c r="D22" s="55">
        <v>4.9788581351457823</v>
      </c>
      <c r="E22" s="55">
        <v>5.8309247683364179E-2</v>
      </c>
      <c r="F22" s="55">
        <v>6.9021764987116621</v>
      </c>
      <c r="G22" s="55">
        <v>0.70417465817481129</v>
      </c>
      <c r="H22" s="55">
        <v>8.9926263591844844</v>
      </c>
      <c r="I22" s="55">
        <v>1.3052909818799254</v>
      </c>
      <c r="J22" s="55">
        <v>3.1820293782334197E-2</v>
      </c>
      <c r="K22" s="54">
        <v>-17.871168025078251</v>
      </c>
      <c r="L22" s="54">
        <v>0.20363212500835853</v>
      </c>
      <c r="M22" s="54">
        <v>-21.100114741980061</v>
      </c>
      <c r="N22" s="55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 spans="1:64" x14ac:dyDescent="0.3">
      <c r="B23">
        <v>15</v>
      </c>
      <c r="C23">
        <v>33.6</v>
      </c>
      <c r="D23" s="4">
        <v>6.8163750008768079E-2</v>
      </c>
      <c r="E23" s="4">
        <v>9.5428101650634248E-4</v>
      </c>
      <c r="F23" s="4">
        <v>10.915944722750364</v>
      </c>
      <c r="G23" s="4">
        <v>1.0975074622962924</v>
      </c>
    </row>
    <row r="24" spans="1:64" s="21" customFormat="1" x14ac:dyDescent="0.3">
      <c r="A24" s="21" t="s">
        <v>73</v>
      </c>
      <c r="B24" s="21">
        <v>15</v>
      </c>
      <c r="C24" s="21">
        <v>23.6</v>
      </c>
      <c r="D24" s="22">
        <v>5.0498404420574641E-2</v>
      </c>
      <c r="E24" s="22">
        <v>7.7586969567826477E-4</v>
      </c>
      <c r="F24" s="22">
        <v>10.847780972741596</v>
      </c>
      <c r="G24" s="22">
        <v>1.0975070474232906</v>
      </c>
      <c r="N24" s="22">
        <v>4.6551828938533601E-3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 spans="1:64" s="5" customFormat="1" x14ac:dyDescent="0.3">
      <c r="A25" s="54" t="s">
        <v>74</v>
      </c>
      <c r="B25" s="54">
        <v>60</v>
      </c>
      <c r="C25" s="54">
        <v>300.3</v>
      </c>
      <c r="D25" s="55">
        <v>7.2425431450799698</v>
      </c>
      <c r="E25" s="55">
        <v>9.0504533025694667E-2</v>
      </c>
      <c r="F25" s="55">
        <v>10.797282568321021</v>
      </c>
      <c r="G25" s="55">
        <v>1.0975073216692333</v>
      </c>
      <c r="H25" s="55">
        <v>9.5082280268323043</v>
      </c>
      <c r="I25" s="55">
        <v>1.7092683045581891</v>
      </c>
      <c r="J25" s="55">
        <v>4.7216837621001949E-2</v>
      </c>
      <c r="K25" s="54">
        <v>-17.338927917036415</v>
      </c>
      <c r="L25" s="54">
        <v>0.25013332563381496</v>
      </c>
      <c r="M25" s="54">
        <v>-20.072096450080601</v>
      </c>
      <c r="N25" s="5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</row>
    <row r="26" spans="1:64" x14ac:dyDescent="0.3">
      <c r="B26">
        <v>15</v>
      </c>
      <c r="C26">
        <v>34.200000000000003</v>
      </c>
      <c r="D26" s="4">
        <v>8.4341605982923035E-2</v>
      </c>
      <c r="E26" s="4">
        <v>1.2002647341758208E-3</v>
      </c>
      <c r="F26" s="4">
        <v>13.062967450073355</v>
      </c>
      <c r="G26" s="4">
        <v>1.3072431852381001</v>
      </c>
    </row>
    <row r="27" spans="1:64" x14ac:dyDescent="0.3">
      <c r="B27">
        <v>15</v>
      </c>
      <c r="C27">
        <v>23.5</v>
      </c>
      <c r="D27" s="4">
        <v>6.1603994143912051E-2</v>
      </c>
      <c r="E27" s="4">
        <v>9.4346981697731268E-4</v>
      </c>
      <c r="F27" s="4">
        <v>12.978625844090432</v>
      </c>
      <c r="G27" s="4">
        <v>1.3072426342175432</v>
      </c>
    </row>
    <row r="28" spans="1:64" s="21" customFormat="1" x14ac:dyDescent="0.3">
      <c r="A28" s="21" t="s">
        <v>73</v>
      </c>
      <c r="B28" s="21">
        <v>15</v>
      </c>
      <c r="C28" s="21">
        <v>24.1</v>
      </c>
      <c r="D28" s="22">
        <v>6.0966654459305401E-2</v>
      </c>
      <c r="E28" s="22">
        <v>9.4853966715292316E-4</v>
      </c>
      <c r="F28" s="22">
        <v>12.91702184994652</v>
      </c>
      <c r="G28" s="22">
        <v>1.3072422937545762</v>
      </c>
      <c r="N28" s="22">
        <v>4.7198692676638787E-3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 spans="1:64" s="5" customFormat="1" x14ac:dyDescent="0.3">
      <c r="A29" s="54" t="s">
        <v>74</v>
      </c>
      <c r="B29" s="54">
        <v>60</v>
      </c>
      <c r="C29" s="54">
        <v>285.3</v>
      </c>
      <c r="D29" s="55">
        <v>5.9192547327268086</v>
      </c>
      <c r="E29" s="55">
        <v>7.989535984252516E-2</v>
      </c>
      <c r="F29" s="55">
        <v>12.856055195487215</v>
      </c>
      <c r="G29" s="55">
        <v>1.3072426378864124</v>
      </c>
      <c r="H29" s="55">
        <v>3.5751128512312391</v>
      </c>
      <c r="I29" s="55">
        <v>1.6845150628351038</v>
      </c>
      <c r="J29" s="55">
        <v>5.3005969053991409E-2</v>
      </c>
      <c r="K29" s="54">
        <v>-18.0392256973884</v>
      </c>
      <c r="L29" s="54">
        <v>0.70831059192885226</v>
      </c>
      <c r="M29" s="54">
        <v>-20.648810633165578</v>
      </c>
      <c r="N29" s="55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 spans="1:64" x14ac:dyDescent="0.3">
      <c r="B30">
        <v>15</v>
      </c>
      <c r="C30">
        <v>36.799999999999997</v>
      </c>
      <c r="D30" s="4">
        <v>7.2903363379024005E-2</v>
      </c>
      <c r="E30" s="4">
        <v>1.1364359715931496E-3</v>
      </c>
      <c r="F30" s="4">
        <v>10.511913313991645</v>
      </c>
      <c r="G30" s="4">
        <v>1.0593981376639101</v>
      </c>
    </row>
    <row r="31" spans="1:64" s="21" customFormat="1" x14ac:dyDescent="0.3">
      <c r="A31" s="21" t="s">
        <v>73</v>
      </c>
      <c r="B31" s="21">
        <v>15</v>
      </c>
      <c r="C31" s="21">
        <v>23.6</v>
      </c>
      <c r="D31" s="22">
        <v>4.846148864920144E-2</v>
      </c>
      <c r="E31" s="22">
        <v>8.3811800635243063E-4</v>
      </c>
      <c r="F31" s="22">
        <v>10.43900995061262</v>
      </c>
      <c r="G31" s="22">
        <v>1.0593975281257944</v>
      </c>
      <c r="N31" s="22">
        <v>4.6423452873859405E-3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</row>
    <row r="32" spans="1:64" s="5" customFormat="1" x14ac:dyDescent="0.3">
      <c r="A32" s="54" t="s">
        <v>74</v>
      </c>
      <c r="B32" s="54">
        <v>80</v>
      </c>
      <c r="C32" s="54">
        <v>275.2</v>
      </c>
      <c r="D32" s="55">
        <v>5.3824800323392781</v>
      </c>
      <c r="E32" s="55">
        <v>7.7292050528567621E-2</v>
      </c>
      <c r="F32" s="55">
        <v>10.390548461963419</v>
      </c>
      <c r="G32" s="55">
        <v>1.0593978596546416</v>
      </c>
      <c r="H32" s="55">
        <v>2.5210171532273193</v>
      </c>
      <c r="I32" s="55">
        <v>1.3076850640132609</v>
      </c>
      <c r="J32" s="55">
        <v>5.7088217713590406E-2</v>
      </c>
      <c r="K32" s="54">
        <v>-18.578244701175258</v>
      </c>
      <c r="L32" s="54">
        <v>1.0903721803949122</v>
      </c>
      <c r="M32" s="54">
        <v>-19.801765832815764</v>
      </c>
      <c r="N32" s="55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1:64" x14ac:dyDescent="0.3">
      <c r="B33">
        <v>15</v>
      </c>
      <c r="C33">
        <v>37</v>
      </c>
      <c r="D33" s="4">
        <v>5.2427731266911685E-2</v>
      </c>
      <c r="E33" s="4">
        <v>9.2166797926921079E-4</v>
      </c>
      <c r="F33" s="4">
        <v>7.5290855828514607</v>
      </c>
      <c r="G33" s="4">
        <v>0.76272035539089955</v>
      </c>
    </row>
    <row r="34" spans="1:64" s="21" customFormat="1" x14ac:dyDescent="0.3">
      <c r="A34" s="21" t="s">
        <v>73</v>
      </c>
      <c r="B34" s="21">
        <v>15</v>
      </c>
      <c r="C34" s="21">
        <v>23.6</v>
      </c>
      <c r="D34" s="22">
        <v>3.4869197300240108E-2</v>
      </c>
      <c r="E34" s="22">
        <v>7.032415257933461E-4</v>
      </c>
      <c r="F34" s="22">
        <v>7.476657851584549</v>
      </c>
      <c r="G34" s="22">
        <v>0.762719798520896</v>
      </c>
      <c r="N34" s="22">
        <v>4.6637412052833449E-3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1:64" s="5" customFormat="1" x14ac:dyDescent="0.3">
      <c r="A35" s="54" t="s">
        <v>74</v>
      </c>
      <c r="B35" s="54">
        <v>100</v>
      </c>
      <c r="C35" s="54">
        <v>255.2</v>
      </c>
      <c r="D35" s="55">
        <v>3.3818033740681752</v>
      </c>
      <c r="E35" s="55">
        <v>5.1757901631188832E-2</v>
      </c>
      <c r="F35" s="55">
        <v>7.4417886542843092</v>
      </c>
      <c r="G35" s="55">
        <v>0.76272012272156542</v>
      </c>
      <c r="H35" s="55">
        <v>0.60143930751904229</v>
      </c>
      <c r="I35" s="55">
        <v>0.90195738458505448</v>
      </c>
      <c r="J35" s="55">
        <v>5.8062120173479136E-2</v>
      </c>
      <c r="K35" s="56" t="s">
        <v>102</v>
      </c>
      <c r="L35" s="56" t="s">
        <v>102</v>
      </c>
      <c r="M35" s="54">
        <v>-20.215545856576082</v>
      </c>
      <c r="N35" s="5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1:64" x14ac:dyDescent="0.3">
      <c r="B36">
        <v>15</v>
      </c>
      <c r="C36">
        <v>37.1</v>
      </c>
      <c r="D36" s="4">
        <v>3.2063067890180708E-2</v>
      </c>
      <c r="E36" s="4">
        <v>6.9073226201088402E-4</v>
      </c>
      <c r="F36" s="4">
        <v>4.6614245877351763</v>
      </c>
      <c r="G36" s="4">
        <v>0.47865045453007582</v>
      </c>
    </row>
    <row r="37" spans="1:64" s="21" customFormat="1" x14ac:dyDescent="0.3">
      <c r="A37" s="21" t="s">
        <v>73</v>
      </c>
      <c r="B37" s="21">
        <v>15</v>
      </c>
      <c r="C37" s="21">
        <v>23.6</v>
      </c>
      <c r="D37" s="22">
        <v>2.1471284491128007E-2</v>
      </c>
      <c r="E37" s="22">
        <v>5.6416692068157282E-4</v>
      </c>
      <c r="F37" s="22">
        <v>4.6293615198449958</v>
      </c>
      <c r="G37" s="22">
        <v>0.47864995613787575</v>
      </c>
      <c r="N37" s="22">
        <v>4.6380660484357517E-3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1:64" s="5" customFormat="1" x14ac:dyDescent="0.3">
      <c r="A38" s="54" t="s">
        <v>74</v>
      </c>
      <c r="B38" s="54">
        <v>60</v>
      </c>
      <c r="C38" s="54">
        <v>300.3</v>
      </c>
      <c r="D38" s="55">
        <v>3.6843248913318933</v>
      </c>
      <c r="E38" s="55">
        <v>5.9302486251600728E-2</v>
      </c>
      <c r="F38" s="55">
        <v>4.6078902353538673</v>
      </c>
      <c r="G38" s="55">
        <v>0.47865028861905518</v>
      </c>
      <c r="H38" s="55">
        <v>6.6769386443019538</v>
      </c>
      <c r="I38" s="55">
        <v>0.91078037198591966</v>
      </c>
      <c r="J38" s="55">
        <v>6.8873995767436538E-2</v>
      </c>
      <c r="K38" s="54">
        <v>-17.167090017443673</v>
      </c>
      <c r="L38" s="54">
        <v>0.19601763472941519</v>
      </c>
      <c r="M38" s="54">
        <v>-20.762090724354959</v>
      </c>
      <c r="N38" s="55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1:64" x14ac:dyDescent="0.3">
      <c r="B39">
        <v>15</v>
      </c>
      <c r="C39">
        <v>36.299999999999997</v>
      </c>
      <c r="D39" s="4">
        <v>5.1808901820002154E-2</v>
      </c>
      <c r="E39" s="4">
        <v>1.0035100298549106E-3</v>
      </c>
      <c r="F39" s="4">
        <v>7.6005039883239283</v>
      </c>
      <c r="G39" s="4">
        <v>0.77259174362924954</v>
      </c>
    </row>
    <row r="40" spans="1:64" s="21" customFormat="1" x14ac:dyDescent="0.3">
      <c r="A40" s="21" t="s">
        <v>73</v>
      </c>
      <c r="B40" s="21">
        <v>15</v>
      </c>
      <c r="C40" s="21">
        <v>23.6</v>
      </c>
      <c r="D40" s="22">
        <v>3.5129788832977224E-2</v>
      </c>
      <c r="E40" s="22">
        <v>7.6566699024131952E-4</v>
      </c>
      <c r="F40" s="22">
        <v>7.5486950865039262</v>
      </c>
      <c r="G40" s="22">
        <v>0.77259109190548136</v>
      </c>
      <c r="N40" s="22">
        <v>4.6537565010122961E-3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1:64" s="5" customFormat="1" x14ac:dyDescent="0.3">
      <c r="A41" s="54" t="s">
        <v>74</v>
      </c>
      <c r="B41" s="54">
        <v>120</v>
      </c>
      <c r="C41" s="54">
        <v>300.2</v>
      </c>
      <c r="D41" s="55">
        <v>9.7782249071619365</v>
      </c>
      <c r="E41" s="55">
        <v>0.16710203546022898</v>
      </c>
      <c r="F41" s="55">
        <v>7.5135652976709491</v>
      </c>
      <c r="G41" s="55">
        <v>0.77259147130785999</v>
      </c>
      <c r="H41" s="55">
        <v>11.113966590277643</v>
      </c>
      <c r="I41" s="55">
        <v>1.1975668729731148</v>
      </c>
      <c r="J41" s="55">
        <v>8.6870690140542203E-2</v>
      </c>
      <c r="K41" s="54">
        <v>-17.133840946201374</v>
      </c>
      <c r="L41" s="54">
        <v>0.21957967920852314</v>
      </c>
      <c r="M41" s="54">
        <v>-19.207714508200372</v>
      </c>
      <c r="N41" s="55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1:64" x14ac:dyDescent="0.3">
      <c r="B42">
        <v>15</v>
      </c>
      <c r="C42">
        <v>35.700000000000003</v>
      </c>
      <c r="D42" s="4">
        <v>5.9481306959122696E-2</v>
      </c>
      <c r="E42" s="4">
        <v>1.1818531522153411E-3</v>
      </c>
      <c r="F42" s="4">
        <v>8.8493069807866558</v>
      </c>
      <c r="G42" s="4">
        <v>0.89963645071218012</v>
      </c>
    </row>
    <row r="43" spans="1:64" s="21" customFormat="1" x14ac:dyDescent="0.3">
      <c r="A43" s="21" t="s">
        <v>73</v>
      </c>
      <c r="B43" s="21">
        <v>15</v>
      </c>
      <c r="C43" s="21">
        <v>23.6</v>
      </c>
      <c r="D43" s="22">
        <v>4.0868095039172679E-2</v>
      </c>
      <c r="E43" s="22">
        <v>8.9112412578672411E-4</v>
      </c>
      <c r="F43" s="22">
        <v>8.7898256738275329</v>
      </c>
      <c r="G43" s="22">
        <v>0.89963567441111159</v>
      </c>
      <c r="N43" s="22">
        <v>4.6494773111213084E-3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1:64" s="5" customFormat="1" x14ac:dyDescent="0.3">
      <c r="A44" s="54" t="s">
        <v>74</v>
      </c>
      <c r="B44" s="54">
        <v>180</v>
      </c>
      <c r="C44" s="54">
        <v>300.10000000000002</v>
      </c>
      <c r="D44" s="55">
        <v>14.578231917867367</v>
      </c>
      <c r="E44" s="55">
        <v>0.26693762669236953</v>
      </c>
      <c r="F44" s="55">
        <v>8.7489575787883602</v>
      </c>
      <c r="G44" s="55">
        <v>0.8996361157575562</v>
      </c>
      <c r="H44" s="55">
        <v>13.792105763034851</v>
      </c>
      <c r="I44" s="55">
        <v>1.2412315132789731</v>
      </c>
      <c r="J44" s="55">
        <v>0.10920405871446076</v>
      </c>
      <c r="K44" s="54">
        <v>-17.075743130847329</v>
      </c>
      <c r="L44" s="54">
        <v>0.17838970105993551</v>
      </c>
      <c r="M44" s="54">
        <v>-18.753194624500466</v>
      </c>
      <c r="N44" s="55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1:64" x14ac:dyDescent="0.3">
      <c r="B45">
        <v>15</v>
      </c>
      <c r="C45">
        <v>35.9</v>
      </c>
      <c r="D45" s="4">
        <v>5.4671953518279547E-2</v>
      </c>
      <c r="E45" s="4">
        <v>1.1722987248742323E-3</v>
      </c>
      <c r="F45" s="4">
        <v>7.9628314239558424</v>
      </c>
      <c r="G45" s="4">
        <v>0.81243758667193111</v>
      </c>
    </row>
    <row r="46" spans="1:64" s="21" customFormat="1" x14ac:dyDescent="0.3">
      <c r="A46" s="21" t="s">
        <v>73</v>
      </c>
      <c r="B46" s="21">
        <v>15</v>
      </c>
      <c r="C46" s="21">
        <v>23.6</v>
      </c>
      <c r="D46" s="22">
        <v>3.7817796358830084E-2</v>
      </c>
      <c r="E46" s="22">
        <v>8.903435294194481E-4</v>
      </c>
      <c r="F46" s="22">
        <v>7.9081594704375631</v>
      </c>
      <c r="G46" s="22">
        <v>0.81243674089310558</v>
      </c>
      <c r="N46" s="22">
        <v>4.7821236408043255E-3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1:64" s="5" customFormat="1" x14ac:dyDescent="0.3">
      <c r="A47" s="54" t="s">
        <v>74</v>
      </c>
      <c r="B47" s="54">
        <v>60</v>
      </c>
      <c r="C47" s="54">
        <v>320.3</v>
      </c>
      <c r="D47" s="55">
        <v>7.493591770992321</v>
      </c>
      <c r="E47" s="55">
        <v>0.14330127387824992</v>
      </c>
      <c r="F47" s="55">
        <v>7.8703416740787331</v>
      </c>
      <c r="G47" s="55">
        <v>0.81243722875346591</v>
      </c>
      <c r="H47" s="55">
        <v>11.358315176506476</v>
      </c>
      <c r="I47" s="55">
        <v>1.4517859610795756</v>
      </c>
      <c r="J47" s="55">
        <v>0.12759642341742936</v>
      </c>
      <c r="K47" s="54">
        <v>-15.964864832885228</v>
      </c>
      <c r="L47" s="54">
        <v>0.1778851146167631</v>
      </c>
      <c r="M47" s="54">
        <v>-17.939341214650344</v>
      </c>
      <c r="N47" s="55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1:64" x14ac:dyDescent="0.3">
      <c r="B48">
        <v>15</v>
      </c>
      <c r="C48">
        <v>36.9</v>
      </c>
      <c r="D48" s="4">
        <v>8.1287100047050698E-2</v>
      </c>
      <c r="E48" s="4">
        <v>1.7149482342483857E-3</v>
      </c>
      <c r="F48" s="4">
        <v>11.735065079592889</v>
      </c>
      <c r="G48" s="4">
        <v>1.1946099660675888</v>
      </c>
    </row>
    <row r="49" spans="1:64" s="21" customFormat="1" x14ac:dyDescent="0.3">
      <c r="A49" s="21" t="s">
        <v>73</v>
      </c>
      <c r="B49" s="21">
        <v>15</v>
      </c>
      <c r="C49" s="21">
        <v>23.5</v>
      </c>
      <c r="D49" s="22">
        <v>5.4130422755187993E-2</v>
      </c>
      <c r="E49" s="22">
        <v>1.2199746623552997E-3</v>
      </c>
      <c r="F49" s="22">
        <v>11.653777979545838</v>
      </c>
      <c r="G49" s="22">
        <v>1.194608735101397</v>
      </c>
      <c r="N49" s="22">
        <v>4.6448819301513344E-3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1:64" s="5" customFormat="1" x14ac:dyDescent="0.3">
      <c r="A50" s="54" t="s">
        <v>74</v>
      </c>
      <c r="B50" s="54">
        <v>60</v>
      </c>
      <c r="C50" s="54">
        <v>330.4</v>
      </c>
      <c r="D50" s="55">
        <v>11.180109624612276</v>
      </c>
      <c r="E50" s="55">
        <v>0.22272937324682579</v>
      </c>
      <c r="F50" s="55">
        <v>11.59964755679065</v>
      </c>
      <c r="G50" s="55">
        <v>1.1946093580408352</v>
      </c>
      <c r="H50" s="55">
        <v>14.462752797544418</v>
      </c>
      <c r="I50" s="55">
        <v>1.9418385862229495</v>
      </c>
      <c r="J50" s="55">
        <v>0.15101576157873689</v>
      </c>
      <c r="K50" s="54">
        <v>-15.541779283889625</v>
      </c>
      <c r="L50" s="54">
        <v>0.2098583493705472</v>
      </c>
      <c r="M50" s="54">
        <v>-18.084207841477905</v>
      </c>
      <c r="N50" s="55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1:64" x14ac:dyDescent="0.3">
      <c r="B51">
        <v>15</v>
      </c>
      <c r="C51">
        <v>37.4</v>
      </c>
      <c r="D51" s="4">
        <v>0.10764278027220629</v>
      </c>
      <c r="E51" s="4">
        <v>2.304209175324359E-3</v>
      </c>
      <c r="F51" s="4">
        <v>14.88229072972279</v>
      </c>
      <c r="G51" s="4">
        <v>1.514607937031456</v>
      </c>
    </row>
    <row r="52" spans="1:64" s="21" customFormat="1" x14ac:dyDescent="0.3">
      <c r="A52" s="21" t="s">
        <v>73</v>
      </c>
      <c r="B52" s="21">
        <v>15</v>
      </c>
      <c r="C52" s="21">
        <v>23.7</v>
      </c>
      <c r="D52" s="22">
        <v>6.9057864353456996E-2</v>
      </c>
      <c r="E52" s="22">
        <v>1.5581563031087315E-3</v>
      </c>
      <c r="F52" s="22">
        <v>14.774647949450584</v>
      </c>
      <c r="G52" s="22">
        <v>1.514606184306257</v>
      </c>
      <c r="N52" s="22">
        <v>4.6740785018857256E-3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1:64" s="5" customFormat="1" x14ac:dyDescent="0.3">
      <c r="A53" s="54" t="s">
        <v>74</v>
      </c>
      <c r="B53" s="54">
        <v>60</v>
      </c>
      <c r="C53" s="54">
        <v>350.4</v>
      </c>
      <c r="D53" s="55">
        <v>19.775025953331546</v>
      </c>
      <c r="E53" s="55">
        <v>0.40976217098293632</v>
      </c>
      <c r="F53" s="55">
        <v>14.705590085097127</v>
      </c>
      <c r="G53" s="55">
        <v>1.5146069857853635</v>
      </c>
      <c r="H53" s="55">
        <v>28.330053300207055</v>
      </c>
      <c r="I53" s="55">
        <v>2.8402388266383878</v>
      </c>
      <c r="J53" s="55">
        <v>0.19689023012929271</v>
      </c>
      <c r="K53" s="54">
        <v>-14.614464569522108</v>
      </c>
      <c r="L53" s="54">
        <v>0.15121022438201911</v>
      </c>
      <c r="M53" s="54">
        <v>-18.109300981675954</v>
      </c>
      <c r="N53" s="55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1:64" x14ac:dyDescent="0.3">
      <c r="B54">
        <v>15</v>
      </c>
      <c r="C54">
        <v>37</v>
      </c>
      <c r="D54" s="4">
        <v>0.1614716298716633</v>
      </c>
      <c r="E54" s="4">
        <v>3.5110734942770381E-3</v>
      </c>
      <c r="F54" s="4">
        <v>23.260617431972641</v>
      </c>
      <c r="G54" s="4">
        <v>2.3674917601093637</v>
      </c>
    </row>
    <row r="55" spans="1:64" s="21" customFormat="1" x14ac:dyDescent="0.3">
      <c r="A55" s="21" t="s">
        <v>73</v>
      </c>
      <c r="B55" s="21">
        <v>15</v>
      </c>
      <c r="C55" s="21">
        <v>23.5</v>
      </c>
      <c r="D55" s="22">
        <v>0.10709573156497755</v>
      </c>
      <c r="E55" s="22">
        <v>2.4059912656608949E-3</v>
      </c>
      <c r="F55" s="22">
        <v>23.099145802100978</v>
      </c>
      <c r="G55" s="22">
        <v>2.3674891565852314</v>
      </c>
      <c r="N55" s="22">
        <v>4.6363502998122419E-3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1:64" s="5" customFormat="1" x14ac:dyDescent="0.3">
      <c r="A56" s="54" t="s">
        <v>74</v>
      </c>
      <c r="B56" s="54">
        <v>60</v>
      </c>
      <c r="C56" s="54">
        <v>370.4</v>
      </c>
      <c r="D56" s="55">
        <v>32.965737428283738</v>
      </c>
      <c r="E56" s="55">
        <v>0.70952774598317825</v>
      </c>
      <c r="F56" s="55">
        <v>22.992050070535999</v>
      </c>
      <c r="G56" s="55">
        <v>2.3674903791446802</v>
      </c>
      <c r="H56" s="55">
        <v>41.343332028472403</v>
      </c>
      <c r="I56" s="55">
        <v>4.0397891565935922</v>
      </c>
      <c r="J56" s="55">
        <v>0.26383692326881758</v>
      </c>
      <c r="K56" s="54">
        <v>-13.899548259232507</v>
      </c>
      <c r="L56" s="54">
        <v>0.14828891887315954</v>
      </c>
      <c r="M56" s="54">
        <v>-16.150588683602056</v>
      </c>
      <c r="N56" s="55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1:64" x14ac:dyDescent="0.3">
      <c r="B57">
        <v>15</v>
      </c>
      <c r="C57">
        <v>37.299999999999997</v>
      </c>
      <c r="D57" s="4">
        <v>0.22071872233457121</v>
      </c>
      <c r="E57" s="4">
        <v>4.9272483697296579E-3</v>
      </c>
      <c r="F57" s="4">
        <v>31.369644670724657</v>
      </c>
      <c r="G57" s="4">
        <v>3.1955369051332481</v>
      </c>
    </row>
    <row r="58" spans="1:64" s="21" customFormat="1" x14ac:dyDescent="0.3">
      <c r="A58" s="21" t="s">
        <v>73</v>
      </c>
      <c r="B58" s="21">
        <v>15</v>
      </c>
      <c r="C58" s="21">
        <v>23.5</v>
      </c>
      <c r="D58" s="22">
        <v>0.14472737495521715</v>
      </c>
      <c r="E58" s="22">
        <v>3.3144660489006173E-3</v>
      </c>
      <c r="F58" s="22">
        <v>31.148925948390087</v>
      </c>
      <c r="G58" s="22">
        <v>3.1955331064302999</v>
      </c>
      <c r="N58" s="22">
        <v>4.6463038627724274E-3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1:64" s="5" customFormat="1" x14ac:dyDescent="0.3">
      <c r="A59" s="54" t="s">
        <v>74</v>
      </c>
      <c r="B59" s="54">
        <v>60</v>
      </c>
      <c r="C59" s="54">
        <v>385.4</v>
      </c>
      <c r="D59" s="55">
        <v>42.322241868712808</v>
      </c>
      <c r="E59" s="55">
        <v>0.94499922259240543</v>
      </c>
      <c r="F59" s="55">
        <v>31.00419857343487</v>
      </c>
      <c r="G59" s="55">
        <v>3.1955348253425861</v>
      </c>
      <c r="H59" s="55">
        <v>44.783772075614529</v>
      </c>
      <c r="I59" s="55">
        <v>4.7710075941316221</v>
      </c>
      <c r="J59" s="55">
        <v>0.33635467400820723</v>
      </c>
      <c r="K59" s="54">
        <v>-13.48117742694868</v>
      </c>
      <c r="L59" s="54">
        <v>0.17233635076151957</v>
      </c>
      <c r="M59" s="54">
        <v>-15.412398302921234</v>
      </c>
      <c r="N59" s="55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1:64" x14ac:dyDescent="0.3">
      <c r="B60">
        <v>15</v>
      </c>
      <c r="C60">
        <v>37.799999999999997</v>
      </c>
      <c r="D60" s="4">
        <v>0.23927395252136488</v>
      </c>
      <c r="E60" s="4">
        <v>5.5260832679519256E-3</v>
      </c>
      <c r="F60" s="4">
        <v>33.46572878033659</v>
      </c>
      <c r="G60" s="4">
        <v>3.4143882486594994</v>
      </c>
    </row>
    <row r="61" spans="1:64" s="21" customFormat="1" x14ac:dyDescent="0.3">
      <c r="A61" s="21" t="s">
        <v>73</v>
      </c>
      <c r="B61" s="21">
        <v>15</v>
      </c>
      <c r="C61" s="21">
        <v>23.5</v>
      </c>
      <c r="D61" s="22">
        <v>0.15480541400940423</v>
      </c>
      <c r="E61" s="22">
        <v>3.6627871843709567E-3</v>
      </c>
      <c r="F61" s="22">
        <v>33.226454827815225</v>
      </c>
      <c r="G61" s="22">
        <v>3.4143837767579375</v>
      </c>
      <c r="N61" s="22">
        <v>4.6591011533319016E-3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1:64" s="5" customFormat="1" x14ac:dyDescent="0.3">
      <c r="A62" s="54" t="s">
        <v>74</v>
      </c>
      <c r="B62" s="54">
        <v>60</v>
      </c>
      <c r="C62" s="54">
        <v>360.4</v>
      </c>
      <c r="D62" s="55">
        <v>27.527865171069852</v>
      </c>
      <c r="E62" s="55">
        <v>0.63694140302147184</v>
      </c>
      <c r="F62" s="55">
        <v>33.071649413805822</v>
      </c>
      <c r="G62" s="55">
        <v>3.4143857413885965</v>
      </c>
      <c r="H62" s="55">
        <v>15.32951848324867</v>
      </c>
      <c r="I62" s="55">
        <v>4.0773667157577069</v>
      </c>
      <c r="J62" s="55">
        <v>0.36117755401139512</v>
      </c>
      <c r="K62" s="56">
        <v>-14.348991629801866</v>
      </c>
      <c r="L62" s="56">
        <v>0.51221070840147598</v>
      </c>
      <c r="M62" s="54">
        <v>-15.329225581061161</v>
      </c>
      <c r="N62" s="55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1:64" x14ac:dyDescent="0.3">
      <c r="B63">
        <v>15</v>
      </c>
      <c r="C63">
        <v>39.6</v>
      </c>
      <c r="D63" s="4">
        <v>0.16196445705795803</v>
      </c>
      <c r="E63" s="4">
        <v>3.9238405203305847E-3</v>
      </c>
      <c r="F63" s="4">
        <v>20.87330272598464</v>
      </c>
      <c r="G63" s="4">
        <v>2.1356954354233362</v>
      </c>
    </row>
    <row r="64" spans="1:64" s="21" customFormat="1" x14ac:dyDescent="0.3">
      <c r="A64" s="21" t="s">
        <v>73</v>
      </c>
      <c r="B64" s="21">
        <v>15</v>
      </c>
      <c r="C64" s="21">
        <v>23.6</v>
      </c>
      <c r="D64" s="22">
        <v>9.6326439995977217E-2</v>
      </c>
      <c r="E64" s="22">
        <v>2.4237602142298054E-3</v>
      </c>
      <c r="F64" s="22">
        <v>20.711338268926681</v>
      </c>
      <c r="G64" s="22">
        <v>2.135691830850988</v>
      </c>
      <c r="N64" s="22">
        <v>4.6509037100946893E-3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s="5" customFormat="1" x14ac:dyDescent="0.3">
      <c r="A65" s="54" t="s">
        <v>74</v>
      </c>
      <c r="B65" s="54">
        <v>60</v>
      </c>
      <c r="C65" s="54">
        <v>340.4</v>
      </c>
      <c r="D65" s="55">
        <v>14.777545427467654</v>
      </c>
      <c r="E65" s="55">
        <v>0.35394125620942218</v>
      </c>
      <c r="F65" s="55">
        <v>20.615011828930704</v>
      </c>
      <c r="G65" s="55">
        <v>2.1356932061925984</v>
      </c>
      <c r="H65" s="55">
        <v>7.4056558378177257</v>
      </c>
      <c r="I65" s="55">
        <v>2.55747788992654</v>
      </c>
      <c r="J65" s="55">
        <v>0.37316943140845338</v>
      </c>
      <c r="K65" s="54">
        <v>-15.003065707582261</v>
      </c>
      <c r="L65" s="54">
        <v>0.90473958173745128</v>
      </c>
      <c r="M65" s="54">
        <v>-15.628958469648287</v>
      </c>
      <c r="N65" s="5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x14ac:dyDescent="0.3">
      <c r="B66">
        <v>15</v>
      </c>
      <c r="C66">
        <v>40</v>
      </c>
      <c r="D66" s="4">
        <v>0.10285559106489196</v>
      </c>
      <c r="E66" s="4">
        <v>2.6395684951311823E-3</v>
      </c>
      <c r="F66" s="4">
        <v>13.243122239280778</v>
      </c>
      <c r="G66" s="4">
        <v>1.3617023439940106</v>
      </c>
    </row>
    <row r="67" spans="1:64" s="21" customFormat="1" x14ac:dyDescent="0.3">
      <c r="A67" s="21" t="s">
        <v>73</v>
      </c>
      <c r="B67" s="21">
        <v>15</v>
      </c>
      <c r="C67" s="21">
        <v>23.5</v>
      </c>
      <c r="D67" s="22">
        <v>6.1016302534671968E-2</v>
      </c>
      <c r="E67" s="22">
        <v>1.6584384424551358E-3</v>
      </c>
      <c r="F67" s="22">
        <v>13.140266648215887</v>
      </c>
      <c r="G67" s="22">
        <v>1.3616997856785256</v>
      </c>
      <c r="N67" s="22">
        <v>4.6434599972867696E-3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s="5" customFormat="1" x14ac:dyDescent="0.3">
      <c r="A68" s="54" t="s">
        <v>74</v>
      </c>
      <c r="B68" s="54">
        <v>100</v>
      </c>
      <c r="C68" s="54">
        <v>325.2</v>
      </c>
      <c r="D68" s="55">
        <v>12.370782730645312</v>
      </c>
      <c r="E68" s="55">
        <v>0.30812916003894203</v>
      </c>
      <c r="F68" s="55">
        <v>13.079250345681215</v>
      </c>
      <c r="G68" s="55">
        <v>1.3617007955990221</v>
      </c>
      <c r="H68" s="55">
        <v>6.7885433898562955</v>
      </c>
      <c r="I68" s="55">
        <v>1.5986131603737967</v>
      </c>
      <c r="J68" s="55">
        <v>0.3841620270432724</v>
      </c>
      <c r="K68" s="54">
        <v>-15.555887238728513</v>
      </c>
      <c r="L68" s="54">
        <v>1.0759329600879592</v>
      </c>
      <c r="M68" s="54">
        <v>-13.685890185867514</v>
      </c>
      <c r="N68" s="55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x14ac:dyDescent="0.3">
      <c r="B69">
        <v>15</v>
      </c>
      <c r="C69">
        <v>40.1</v>
      </c>
      <c r="D69" s="4">
        <v>5.8880482098796157E-2</v>
      </c>
      <c r="E69" s="4">
        <v>1.6538702549558451E-3</v>
      </c>
      <c r="F69" s="4">
        <v>7.4970110048921974</v>
      </c>
      <c r="G69" s="4">
        <v>0.77871137176683403</v>
      </c>
    </row>
    <row r="70" spans="1:64" s="21" customFormat="1" x14ac:dyDescent="0.3">
      <c r="A70" s="21" t="s">
        <v>73</v>
      </c>
      <c r="B70" s="21">
        <v>15</v>
      </c>
      <c r="C70" s="21">
        <v>24</v>
      </c>
      <c r="D70" s="22">
        <v>3.5083445462255565E-2</v>
      </c>
      <c r="E70" s="22">
        <v>1.0872055359819818E-3</v>
      </c>
      <c r="F70" s="22">
        <v>7.4381305227934016</v>
      </c>
      <c r="G70" s="22">
        <v>0.77870961547432049</v>
      </c>
      <c r="N70" s="22">
        <v>4.7167020469385257E-3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</row>
    <row r="71" spans="1:64" s="5" customFormat="1" x14ac:dyDescent="0.3">
      <c r="A71" s="54" t="s">
        <v>74</v>
      </c>
      <c r="B71" s="54">
        <v>240</v>
      </c>
      <c r="C71" s="54">
        <v>400.1</v>
      </c>
      <c r="D71" s="55">
        <v>101.06899096074194</v>
      </c>
      <c r="E71" s="55">
        <v>2.6643425430232681</v>
      </c>
      <c r="F71" s="55">
        <v>7.4030470773311459</v>
      </c>
      <c r="G71" s="55">
        <v>0.77871037443201019</v>
      </c>
      <c r="H71" s="55">
        <v>109.98923129912342</v>
      </c>
      <c r="I71" s="55">
        <v>3.2490485062783758</v>
      </c>
      <c r="J71" s="55">
        <v>0.5622660877262281</v>
      </c>
      <c r="K71" s="54">
        <v>-13.280711902405411</v>
      </c>
      <c r="L71" s="54">
        <v>7.6085568290109207E-2</v>
      </c>
      <c r="M71" s="54">
        <v>-13.703345857358576</v>
      </c>
      <c r="N71" s="55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</row>
    <row r="72" spans="1:64" x14ac:dyDescent="0.3">
      <c r="B72">
        <v>15</v>
      </c>
      <c r="C72">
        <v>34.9</v>
      </c>
      <c r="D72" s="4">
        <v>0.10960215690130307</v>
      </c>
      <c r="E72" s="4">
        <v>3.0764927935110474E-3</v>
      </c>
      <c r="F72" s="4">
        <v>16.323287415712624</v>
      </c>
      <c r="G72" s="4">
        <v>1.6885512021665219</v>
      </c>
    </row>
    <row r="73" spans="1:64" s="21" customFormat="1" x14ac:dyDescent="0.3">
      <c r="A73" s="21" t="s">
        <v>73</v>
      </c>
      <c r="B73" s="21">
        <v>15</v>
      </c>
      <c r="C73" s="21">
        <v>23.8</v>
      </c>
      <c r="D73" s="22">
        <v>7.5672531694387063E-2</v>
      </c>
      <c r="E73" s="22">
        <v>2.2008207085975539E-3</v>
      </c>
      <c r="F73" s="22">
        <v>16.213685258811321</v>
      </c>
      <c r="G73" s="22">
        <v>1.6885483995225301</v>
      </c>
      <c r="N73" s="22">
        <v>4.6672012245496663E-3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</row>
    <row r="74" spans="1:64" s="5" customFormat="1" x14ac:dyDescent="0.3">
      <c r="A74" s="54" t="s">
        <v>74</v>
      </c>
      <c r="B74" s="54">
        <v>90</v>
      </c>
      <c r="C74" s="54">
        <v>350.3</v>
      </c>
      <c r="D74" s="55">
        <v>14.878930696166217</v>
      </c>
      <c r="E74" s="55">
        <v>0.4060662495858815</v>
      </c>
      <c r="F74" s="55">
        <v>16.138012727116934</v>
      </c>
      <c r="G74" s="55">
        <v>1.6885498337750915</v>
      </c>
      <c r="H74" s="55">
        <v>5.8007597520409249</v>
      </c>
      <c r="I74" s="55">
        <v>1.8876885185255603</v>
      </c>
      <c r="J74" s="55">
        <v>0.57165917880143569</v>
      </c>
      <c r="K74" s="54">
        <v>-14.924591780350571</v>
      </c>
      <c r="L74" s="54">
        <v>0.9226766942660044</v>
      </c>
      <c r="M74" s="54">
        <v>-15.417287201460262</v>
      </c>
      <c r="N74" s="55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</row>
    <row r="75" spans="1:64" x14ac:dyDescent="0.3">
      <c r="B75">
        <v>15</v>
      </c>
      <c r="C75">
        <v>39.5</v>
      </c>
      <c r="D75" s="4">
        <v>5.6705357732313819E-2</v>
      </c>
      <c r="E75" s="4">
        <v>1.7447242875873177E-3</v>
      </c>
      <c r="F75" s="4">
        <v>7.0598417829916418</v>
      </c>
      <c r="G75" s="4">
        <v>0.73978213196764342</v>
      </c>
    </row>
    <row r="76" spans="1:64" s="21" customFormat="1" x14ac:dyDescent="0.3">
      <c r="A76" s="21" t="s">
        <v>73</v>
      </c>
      <c r="B76" s="21">
        <v>15</v>
      </c>
      <c r="C76" s="21">
        <v>24</v>
      </c>
      <c r="D76" s="22">
        <v>3.2950789861669674E-2</v>
      </c>
      <c r="E76" s="22">
        <v>1.1217150671062094E-3</v>
      </c>
      <c r="F76" s="22">
        <v>7.0031364252593278</v>
      </c>
      <c r="G76" s="22">
        <v>0.73978007455983297</v>
      </c>
      <c r="N76" s="22">
        <v>4.7051475025990941E-3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s="5" customFormat="1" x14ac:dyDescent="0.3">
      <c r="A77" s="54" t="s">
        <v>74</v>
      </c>
      <c r="B77" s="54">
        <v>60</v>
      </c>
      <c r="C77" s="54">
        <v>400.4</v>
      </c>
      <c r="D77" s="55">
        <v>14.213963266343054</v>
      </c>
      <c r="E77" s="55">
        <v>0.39956991681462029</v>
      </c>
      <c r="F77" s="55">
        <v>6.9701856353976579</v>
      </c>
      <c r="G77" s="55">
        <v>0.73978092497741776</v>
      </c>
      <c r="H77" s="55">
        <v>18.117517289967918</v>
      </c>
      <c r="I77" s="55">
        <v>1.4114442681642989</v>
      </c>
      <c r="J77" s="55">
        <v>0.60099662721092073</v>
      </c>
      <c r="K77" s="54">
        <v>-13.310687925104068</v>
      </c>
      <c r="L77" s="54">
        <v>0.31482949377540381</v>
      </c>
      <c r="M77" s="54">
        <v>-15.500844177919893</v>
      </c>
      <c r="N77" s="55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x14ac:dyDescent="0.3">
      <c r="B78">
        <v>15</v>
      </c>
      <c r="C78">
        <v>40.4</v>
      </c>
      <c r="D78" s="4">
        <v>8.6596460997336033E-2</v>
      </c>
      <c r="E78" s="4">
        <v>2.6286023829178613E-3</v>
      </c>
      <c r="F78" s="4">
        <v>10.873739659022522</v>
      </c>
      <c r="G78" s="4">
        <v>1.1336855766702543</v>
      </c>
    </row>
    <row r="79" spans="1:64" s="21" customFormat="1" x14ac:dyDescent="0.3">
      <c r="A79" s="21" t="s">
        <v>73</v>
      </c>
      <c r="B79" s="21">
        <v>15</v>
      </c>
      <c r="C79" s="21">
        <v>24</v>
      </c>
      <c r="D79" s="22">
        <v>5.0817420326325309E-2</v>
      </c>
      <c r="E79" s="22">
        <v>1.6428332414967373E-3</v>
      </c>
      <c r="F79" s="22">
        <v>10.787143198025186</v>
      </c>
      <c r="G79" s="22">
        <v>1.133682529282197</v>
      </c>
      <c r="N79" s="22">
        <v>4.7109247919902009E-3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s="5" customFormat="1" x14ac:dyDescent="0.3">
      <c r="A80" s="54" t="s">
        <v>74</v>
      </c>
      <c r="B80" s="54">
        <v>120</v>
      </c>
      <c r="C80" s="54">
        <v>300.2</v>
      </c>
      <c r="D80" s="55">
        <v>7.6532802989470143</v>
      </c>
      <c r="E80" s="55">
        <v>0.22313324505948492</v>
      </c>
      <c r="F80" s="55">
        <v>10.736325777698861</v>
      </c>
      <c r="G80" s="55">
        <v>1.1336837196064602</v>
      </c>
      <c r="H80" s="55">
        <v>0.70246648635252917</v>
      </c>
      <c r="I80" s="55">
        <v>1.2259902068947057</v>
      </c>
      <c r="J80" s="55">
        <v>0.60213412160228363</v>
      </c>
      <c r="K80" s="54" t="s">
        <v>102</v>
      </c>
      <c r="L80" s="54" t="s">
        <v>102</v>
      </c>
      <c r="M80" s="54">
        <v>-16.498778236627633</v>
      </c>
      <c r="N80" s="55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x14ac:dyDescent="0.3">
      <c r="B81">
        <v>15</v>
      </c>
      <c r="C81">
        <v>39.4</v>
      </c>
      <c r="D81" s="4">
        <v>2.905099046714766E-2</v>
      </c>
      <c r="E81" s="4">
        <v>1.0721309270199119E-3</v>
      </c>
      <c r="F81" s="4">
        <v>3.785511965104376</v>
      </c>
      <c r="G81" s="4">
        <v>0.40990824125675746</v>
      </c>
    </row>
    <row r="82" spans="1:64" s="21" customFormat="1" x14ac:dyDescent="0.3">
      <c r="A82" s="21" t="s">
        <v>73</v>
      </c>
      <c r="B82" s="21">
        <v>15</v>
      </c>
      <c r="C82" s="21">
        <v>23.7</v>
      </c>
      <c r="D82" s="22">
        <v>1.7579493139719862E-2</v>
      </c>
      <c r="E82" s="22">
        <v>7.6773895328723541E-4</v>
      </c>
      <c r="F82" s="22">
        <v>3.7564609746372284</v>
      </c>
      <c r="G82" s="22">
        <v>0.40990683915431736</v>
      </c>
      <c r="N82" s="22">
        <v>4.679801882253698E-3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x14ac:dyDescent="0.3">
      <c r="F83" s="8"/>
      <c r="G8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674F3-CA80-4D41-AE69-30B2094212EF}">
  <dimension ref="A1:AG89"/>
  <sheetViews>
    <sheetView zoomScale="55" zoomScaleNormal="55" workbookViewId="0">
      <selection activeCell="W19" sqref="W19"/>
    </sheetView>
  </sheetViews>
  <sheetFormatPr defaultRowHeight="14.4" x14ac:dyDescent="0.3"/>
  <cols>
    <col min="5" max="5" width="14.44140625" customWidth="1"/>
    <col min="6" max="7" width="9" style="31" bestFit="1" customWidth="1"/>
    <col min="8" max="8" width="9.5546875" style="31" bestFit="1" customWidth="1"/>
    <col min="9" max="9" width="9" style="32" bestFit="1" customWidth="1"/>
    <col min="10" max="10" width="12.109375" style="32" bestFit="1" customWidth="1"/>
    <col min="11" max="18" width="9" style="32" bestFit="1" customWidth="1"/>
    <col min="19" max="19" width="8.88671875" style="32"/>
    <col min="20" max="20" width="8.88671875" style="33"/>
    <col min="21" max="21" width="8.88671875" style="32"/>
    <col min="23" max="23" width="12" style="4" bestFit="1" customWidth="1"/>
    <col min="24" max="24" width="12" style="4" customWidth="1"/>
    <col min="25" max="26" width="8.88671875" style="31"/>
    <col min="27" max="27" width="8.88671875" style="30"/>
    <col min="28" max="28" width="8.88671875" style="31"/>
    <col min="29" max="29" width="8.88671875" style="30"/>
    <col min="30" max="30" width="8.88671875" style="29"/>
    <col min="31" max="31" width="12.6640625" bestFit="1" customWidth="1"/>
    <col min="33" max="33" width="13.77734375" customWidth="1"/>
  </cols>
  <sheetData>
    <row r="1" spans="1:33" ht="58.2" thickBot="1" x14ac:dyDescent="0.35">
      <c r="C1" t="s">
        <v>35</v>
      </c>
      <c r="E1" t="s">
        <v>38</v>
      </c>
      <c r="F1" s="31">
        <f>2/(LN(0.135/0.085)*((0.085/2)^2))</f>
        <v>2393.4503618048802</v>
      </c>
      <c r="G1" s="31" t="s">
        <v>39</v>
      </c>
      <c r="J1" s="33"/>
      <c r="K1" s="44"/>
      <c r="V1" s="2" t="s">
        <v>42</v>
      </c>
      <c r="W1" s="3">
        <v>1.3621000000000001E-22</v>
      </c>
    </row>
    <row r="2" spans="1:33" ht="14.4" customHeight="1" x14ac:dyDescent="0.3">
      <c r="J2" s="33" t="s">
        <v>100</v>
      </c>
      <c r="K2" s="44"/>
      <c r="L2" s="58" t="s">
        <v>114</v>
      </c>
      <c r="M2" s="58"/>
      <c r="N2" s="58"/>
      <c r="O2" s="58"/>
      <c r="P2" s="58"/>
      <c r="Q2" s="58"/>
      <c r="R2" s="58"/>
      <c r="S2" s="59"/>
      <c r="V2" s="12"/>
    </row>
    <row r="3" spans="1:33" ht="16.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s="31" t="s">
        <v>5</v>
      </c>
      <c r="G3" s="31" t="s">
        <v>6</v>
      </c>
      <c r="H3" s="31" t="s">
        <v>7</v>
      </c>
      <c r="I3" s="32" t="s">
        <v>8</v>
      </c>
      <c r="J3" s="33" t="s">
        <v>9</v>
      </c>
      <c r="K3" s="44" t="s">
        <v>10</v>
      </c>
      <c r="L3" s="32" t="s">
        <v>99</v>
      </c>
      <c r="M3" s="32" t="s">
        <v>88</v>
      </c>
      <c r="N3" s="32" t="s">
        <v>9</v>
      </c>
      <c r="O3" s="32" t="s">
        <v>88</v>
      </c>
      <c r="P3" s="32" t="s">
        <v>97</v>
      </c>
      <c r="Q3" s="32" t="s">
        <v>88</v>
      </c>
      <c r="R3" s="32" t="s">
        <v>10</v>
      </c>
      <c r="S3" s="32" t="s">
        <v>88</v>
      </c>
      <c r="T3" s="33" t="s">
        <v>69</v>
      </c>
      <c r="U3" s="32" t="s">
        <v>88</v>
      </c>
      <c r="V3" t="s">
        <v>36</v>
      </c>
      <c r="W3" s="4" t="s">
        <v>43</v>
      </c>
      <c r="X3" s="4" t="s">
        <v>103</v>
      </c>
      <c r="Y3" s="31" t="s">
        <v>37</v>
      </c>
      <c r="Z3" s="31" t="s">
        <v>88</v>
      </c>
      <c r="AA3" s="30" t="s">
        <v>41</v>
      </c>
      <c r="AB3" s="31" t="s">
        <v>88</v>
      </c>
      <c r="AC3" s="53" t="s">
        <v>66</v>
      </c>
      <c r="AD3" s="29" t="s">
        <v>88</v>
      </c>
      <c r="AE3" t="s">
        <v>105</v>
      </c>
    </row>
    <row r="4" spans="1:33" x14ac:dyDescent="0.3">
      <c r="A4">
        <v>53.3</v>
      </c>
      <c r="B4" t="s">
        <v>11</v>
      </c>
      <c r="C4">
        <v>15</v>
      </c>
      <c r="D4" t="s">
        <v>12</v>
      </c>
      <c r="E4" s="1">
        <v>45235.417708333334</v>
      </c>
      <c r="F4" s="31">
        <v>656.74479199999996</v>
      </c>
      <c r="G4" s="31">
        <v>7880.3732339999997</v>
      </c>
      <c r="H4" s="31">
        <v>33.250194</v>
      </c>
      <c r="I4" s="32">
        <f t="shared" ref="I4:I35" si="0">H4/G4</f>
        <v>4.2193679173140545E-3</v>
      </c>
      <c r="J4" s="33">
        <v>1.2772E-2</v>
      </c>
      <c r="K4" s="44">
        <v>7.835E-3</v>
      </c>
      <c r="L4" s="32">
        <f>(((E4-STDs!$F$12)/STDs!$E$12)*STDs!$G$13)+((1-((E4-STDs!$F$12)/STDs!$E$12))*STDs!$G$12)</f>
        <v>3.2892162776097531</v>
      </c>
      <c r="M4" s="32">
        <f>(((E4-STDs!$F$12)/STDs!$E$12)*STDs!$H$13)+((1-((E4-STDs!$F$12)/STDs!$E$12))*STDs!$H$12)</f>
        <v>2.6028269491977556E-2</v>
      </c>
      <c r="N4" s="32">
        <f>I4*L4</f>
        <v>1.387841363485375E-2</v>
      </c>
      <c r="O4" s="32">
        <f>(M4/L4)*N4</f>
        <v>1.0982284523765429E-4</v>
      </c>
      <c r="P4" s="32">
        <f>(((E4-STDs!$F$12)/STDs!$E$12)*STDs!$I$13)+((1-((E4-STDs!$F$12)/STDs!$E$12))*STDs!$I$12)</f>
        <v>5.376713978738748E-3</v>
      </c>
      <c r="Q4" s="32">
        <f>(((E4-STDs!$F$12)/STDs!$E$12)*STDs!$J$13)+((1-((E4-STDs!$F$12)/STDs!$E$12))*STDs!$J$12)</f>
        <v>3.8710164082179048E-4</v>
      </c>
      <c r="R4" s="32">
        <f>N4-P4</f>
        <v>8.5016996561150023E-3</v>
      </c>
      <c r="S4" s="32">
        <f>O4+Q4</f>
        <v>4.969244860594448E-4</v>
      </c>
      <c r="T4" s="33">
        <v>0</v>
      </c>
      <c r="U4" s="32">
        <v>0</v>
      </c>
      <c r="AE4" s="4"/>
      <c r="AG4" s="4"/>
    </row>
    <row r="5" spans="1:33" x14ac:dyDescent="0.3">
      <c r="A5">
        <v>24.3</v>
      </c>
      <c r="B5" t="s">
        <v>11</v>
      </c>
      <c r="C5">
        <v>15</v>
      </c>
      <c r="D5" t="s">
        <v>12</v>
      </c>
      <c r="E5" s="1">
        <v>45235.458726851852</v>
      </c>
      <c r="F5" s="31">
        <v>814.49786600000004</v>
      </c>
      <c r="G5" s="31">
        <v>7861.8650170000001</v>
      </c>
      <c r="H5" s="31">
        <v>30.103684999999999</v>
      </c>
      <c r="I5" s="32">
        <f t="shared" si="0"/>
        <v>3.8290768074630754E-3</v>
      </c>
      <c r="J5" s="33">
        <v>1.159E-2</v>
      </c>
      <c r="K5" s="44">
        <v>6.6530000000000001E-3</v>
      </c>
      <c r="L5" s="32">
        <f>(((E5-STDs!$F$12)/STDs!$E$12)*STDs!$G$13)+((1-((E5-STDs!$F$12)/STDs!$E$12))*STDs!$G$12)</f>
        <v>3.2929816441055921</v>
      </c>
      <c r="M5" s="32">
        <f>(((E5-STDs!$F$12)/STDs!$E$12)*STDs!$H$13)+((1-((E5-STDs!$F$12)/STDs!$E$12))*STDs!$H$12)</f>
        <v>2.317932580587654E-2</v>
      </c>
      <c r="N5" s="32">
        <f>I5*L5</f>
        <v>1.260907964084635E-2</v>
      </c>
      <c r="O5" s="32">
        <f>(M5/L5)*N5</f>
        <v>8.8755418855912221E-5</v>
      </c>
      <c r="P5" s="32">
        <f>(((E5-STDs!$F$12)/STDs!$E$12)*STDs!$I$13)+((1-((E5-STDs!$F$12)/STDs!$E$12))*STDs!$I$12)</f>
        <v>5.3830215920951533E-3</v>
      </c>
      <c r="Q5" s="32">
        <f>(((E5-STDs!$F$12)/STDs!$E$12)*STDs!$J$13)+((1-((E5-STDs!$F$12)/STDs!$E$12))*STDs!$J$12)</f>
        <v>3.870768210301624E-4</v>
      </c>
      <c r="R5" s="32">
        <f>N5-P5</f>
        <v>7.2260580487511971E-3</v>
      </c>
      <c r="S5" s="32">
        <f>O5+Q5</f>
        <v>4.7583223988607463E-4</v>
      </c>
      <c r="T5" s="33">
        <v>0</v>
      </c>
      <c r="U5" s="32">
        <v>0</v>
      </c>
      <c r="V5">
        <f>((E5-E4)*24*3600)-(5*60)</f>
        <v>3243.9999999012798</v>
      </c>
      <c r="W5" s="4">
        <f>(0.000304*199000000000000000)*EXP(-(5580-680)/(1.987*(A5+273)))</f>
        <v>15113410716.254675</v>
      </c>
      <c r="X5" s="4">
        <f>1-EXP(-W5*$W$1*$F$1*(A5+273)*V5)</f>
        <v>4.7406751163694416E-3</v>
      </c>
      <c r="Y5" s="31">
        <f>R5/(X5)</f>
        <v>1.5242677195490122</v>
      </c>
      <c r="Z5" s="31">
        <f>(((S5/R5)*Y5)^2+(Y5*0.1)^2)^0.5</f>
        <v>0.18250619135834925</v>
      </c>
      <c r="AE5" s="4"/>
    </row>
    <row r="6" spans="1:33" s="13" customFormat="1" x14ac:dyDescent="0.3">
      <c r="A6" s="13">
        <v>24.3</v>
      </c>
      <c r="B6" s="13" t="s">
        <v>11</v>
      </c>
      <c r="C6" s="13">
        <v>15</v>
      </c>
      <c r="D6" s="13" t="s">
        <v>12</v>
      </c>
      <c r="E6" s="14">
        <v>45235.499884259261</v>
      </c>
      <c r="F6" s="38">
        <v>915.96126500000003</v>
      </c>
      <c r="G6" s="38">
        <v>7752.5459140000003</v>
      </c>
      <c r="H6" s="38">
        <v>29.227761999999998</v>
      </c>
      <c r="I6" s="39">
        <f t="shared" si="0"/>
        <v>3.7700856369284829E-3</v>
      </c>
      <c r="J6" s="40">
        <v>1.1410999999999999E-2</v>
      </c>
      <c r="K6" s="41">
        <v>6.4739999999999997E-3</v>
      </c>
      <c r="L6" s="39">
        <f>(((E6-STDs!$F$12)/STDs!$E$12)*STDs!$G$13)+((1-((E6-STDs!$F$12)/STDs!$E$12))*STDs!$G$12)</f>
        <v>3.2967597601496945</v>
      </c>
      <c r="M6" s="39">
        <f>(((E6-STDs!$F$12)/STDs!$E$12)*STDs!$H$13)+((1-((E6-STDs!$F$12)/STDs!$E$12))*STDs!$H$12)</f>
        <v>2.0320735583358493E-2</v>
      </c>
      <c r="N6" s="39">
        <f>I6*L6</f>
        <v>1.2429066620144154E-2</v>
      </c>
      <c r="O6" s="39">
        <f>(M6/L6)*N6</f>
        <v>7.661091335464139E-5</v>
      </c>
      <c r="P6" s="39">
        <f>(((E6-STDs!$F$12)/STDs!$E$12)*STDs!$I$13)+((1-((E6-STDs!$F$12)/STDs!$E$12))*STDs!$I$12)</f>
        <v>5.3893505630593789E-3</v>
      </c>
      <c r="Q6" s="39">
        <f>(((E6-STDs!$F$12)/STDs!$E$12)*STDs!$J$13)+((1-((E6-STDs!$F$12)/STDs!$E$12))*STDs!$J$12)</f>
        <v>3.8705191719860587E-4</v>
      </c>
      <c r="R6" s="39">
        <f>N6-P6</f>
        <v>7.039716057084775E-3</v>
      </c>
      <c r="S6" s="39">
        <f>O6+Q6</f>
        <v>4.6366283055324726E-4</v>
      </c>
      <c r="T6" s="40">
        <v>0</v>
      </c>
      <c r="U6" s="39">
        <v>0</v>
      </c>
      <c r="V6" s="13">
        <f>((E6-E5)*24*3600)-(5*60)</f>
        <v>3256.0000001918525</v>
      </c>
      <c r="W6" s="15">
        <f>(0.000304*199000000000000000)*EXP(-(5580-680)/(1.987*(A6+273)))</f>
        <v>15113410716.254675</v>
      </c>
      <c r="X6" s="15">
        <f>1-EXP(-W6*$W$1*$F$1*(A6+273)*V6)</f>
        <v>4.7581697360907782E-3</v>
      </c>
      <c r="Y6" s="38">
        <f t="shared" ref="Y6:Y69" si="1">R6/(X6)</f>
        <v>1.4795008264813336</v>
      </c>
      <c r="Z6" s="38">
        <f>(((S6/R6)*Y6)^2+(Y6*0.1)^2)^0.5</f>
        <v>0.17715777449570316</v>
      </c>
      <c r="AA6" s="37">
        <f>Y6</f>
        <v>1.4795008264813336</v>
      </c>
      <c r="AB6" s="38">
        <f>Z6</f>
        <v>0.17715777449570316</v>
      </c>
      <c r="AC6" s="37"/>
      <c r="AD6" s="36"/>
      <c r="AE6" s="15"/>
    </row>
    <row r="7" spans="1:33" s="62" customFormat="1" x14ac:dyDescent="0.3">
      <c r="A7" s="62" t="s">
        <v>112</v>
      </c>
      <c r="B7" s="62" t="s">
        <v>14</v>
      </c>
      <c r="E7" s="63">
        <v>45235.551921296297</v>
      </c>
      <c r="F7" s="64">
        <v>936.58464100000003</v>
      </c>
      <c r="G7" s="64">
        <v>7849.1800819999999</v>
      </c>
      <c r="H7" s="64">
        <v>9522.7807200000007</v>
      </c>
      <c r="I7" s="65">
        <f t="shared" si="0"/>
        <v>1.2132198039178586</v>
      </c>
      <c r="J7" s="66">
        <v>3.9979979999999999</v>
      </c>
      <c r="K7" s="67">
        <v>3.992623</v>
      </c>
      <c r="L7" s="65">
        <f>J7/I7</f>
        <v>3.2953616377586643</v>
      </c>
      <c r="M7" s="65"/>
      <c r="N7" s="65"/>
      <c r="O7" s="65"/>
      <c r="P7" s="65">
        <f>J7-K7</f>
        <v>5.3749999999999076E-3</v>
      </c>
      <c r="Q7" s="65"/>
      <c r="R7" s="65"/>
      <c r="S7" s="65"/>
      <c r="T7" s="66">
        <v>0</v>
      </c>
      <c r="U7" s="65">
        <v>0</v>
      </c>
      <c r="V7" s="62">
        <f>((E7-E6)*24*3600)-(5*60)</f>
        <v>4195.9999999031425</v>
      </c>
      <c r="W7" s="68"/>
      <c r="X7" s="68"/>
      <c r="Y7" s="64"/>
      <c r="Z7" s="64"/>
      <c r="AA7" s="69" t="s">
        <v>68</v>
      </c>
      <c r="AB7" s="64"/>
      <c r="AC7" s="69"/>
      <c r="AD7" s="70"/>
      <c r="AE7" s="68"/>
    </row>
    <row r="8" spans="1:33" s="62" customFormat="1" x14ac:dyDescent="0.3">
      <c r="A8" s="62" t="s">
        <v>112</v>
      </c>
      <c r="B8" s="62" t="s">
        <v>14</v>
      </c>
      <c r="E8" s="63">
        <v>45235.586354166669</v>
      </c>
      <c r="F8" s="64">
        <v>917.64049</v>
      </c>
      <c r="G8" s="64">
        <v>7734.4131799999996</v>
      </c>
      <c r="H8" s="64">
        <v>9337.7775629999996</v>
      </c>
      <c r="I8" s="65">
        <f t="shared" si="0"/>
        <v>1.2073026544723591</v>
      </c>
      <c r="J8" s="66">
        <v>3.9972249999999998</v>
      </c>
      <c r="K8" s="67">
        <v>3.991825</v>
      </c>
      <c r="L8" s="65">
        <f>J8/I8</f>
        <v>3.3108723692378126</v>
      </c>
      <c r="M8" s="65"/>
      <c r="N8" s="65"/>
      <c r="O8" s="65"/>
      <c r="P8" s="65">
        <f>J8-K8</f>
        <v>5.3999999999998494E-3</v>
      </c>
      <c r="Q8" s="65"/>
      <c r="R8" s="65"/>
      <c r="S8" s="65"/>
      <c r="T8" s="66">
        <f>T7</f>
        <v>0</v>
      </c>
      <c r="U8" s="65">
        <v>0</v>
      </c>
      <c r="V8" s="62">
        <f>((E8-E7)*24*3600)-(5*60)</f>
        <v>2675.0000001629815</v>
      </c>
      <c r="W8" s="68"/>
      <c r="X8" s="68"/>
      <c r="Y8" s="64"/>
      <c r="Z8" s="64"/>
      <c r="AA8" s="69" t="s">
        <v>68</v>
      </c>
      <c r="AB8" s="64"/>
      <c r="AC8" s="69"/>
      <c r="AD8" s="70"/>
      <c r="AE8" s="68"/>
    </row>
    <row r="9" spans="1:33" s="5" customFormat="1" x14ac:dyDescent="0.3">
      <c r="A9" s="5">
        <v>100</v>
      </c>
      <c r="B9" s="5" t="s">
        <v>11</v>
      </c>
      <c r="C9" s="5">
        <v>240</v>
      </c>
      <c r="D9" s="5" t="s">
        <v>16</v>
      </c>
      <c r="E9" s="6">
        <v>45235.766747685186</v>
      </c>
      <c r="F9" s="49">
        <v>880.96997099999999</v>
      </c>
      <c r="G9" s="49">
        <v>7864.4797850000004</v>
      </c>
      <c r="H9" s="49">
        <v>417.97250300000002</v>
      </c>
      <c r="I9" s="50">
        <f t="shared" si="0"/>
        <v>5.3146872320430284E-2</v>
      </c>
      <c r="J9" s="51">
        <v>0.17596400000000001</v>
      </c>
      <c r="K9" s="52">
        <v>0.17056399999999999</v>
      </c>
      <c r="L9" s="50">
        <f>(((E9-STDs!$F$13)/STDs!$E$13)*STDs!$G$14)+((1-((E9-STDs!$F$13)/STDs!$E$13)))*STDs!$G$13</f>
        <v>3.2997455346446531</v>
      </c>
      <c r="M9" s="50">
        <f>(((E9-STDs!$F$13)/STDs!$E$13)*STDs!$H$14)+((1-((E9-STDs!$F$13)/STDs!$E$13))*STDs!$H$13)</f>
        <v>1.8756896338983441E-2</v>
      </c>
      <c r="N9" s="50">
        <f>I9*L9</f>
        <v>0.17537115461966934</v>
      </c>
      <c r="O9" s="50">
        <f t="shared" ref="O9:P40" si="2">(M9/L9)*N9</f>
        <v>9.9687037485549925E-4</v>
      </c>
      <c r="P9" s="50">
        <f>(((E9-STDs!$F$13)/STDs!$E$13)*STDs!$I$14)+((1-((E9-STDs!$F$13)/STDs!$E$13))*STDs!$I$13)</f>
        <v>5.3979314620597098E-3</v>
      </c>
      <c r="Q9" s="50">
        <f>(((E9-STDs!$F$13)/STDs!$E$13)*STDs!$J$14)+((1-((E9-STDs!$F$13)/STDs!$E$13))*STDs!$J$13)</f>
        <v>3.8592097698182036E-4</v>
      </c>
      <c r="R9" s="50">
        <f t="shared" ref="R9:R40" si="3">N9-P9</f>
        <v>0.16997322315760963</v>
      </c>
      <c r="S9" s="50">
        <f t="shared" ref="S9:S40" si="4">(O9^2+Q9^2)^0.5</f>
        <v>1.0689647069661123E-3</v>
      </c>
      <c r="T9" s="51">
        <f t="shared" ref="T9:T40" si="5">R9+T8</f>
        <v>0.16997322315760963</v>
      </c>
      <c r="U9" s="50">
        <f t="shared" ref="U9:U40" si="6">(S9^2+U8^2)^0.5</f>
        <v>1.0689647069661123E-3</v>
      </c>
      <c r="V9" s="5">
        <f>((E9-E8)*24*3600)-(5*60)</f>
        <v>15285.999999800697</v>
      </c>
      <c r="W9" s="7">
        <f>(0.000304*199000000000000000)*EXP(-(5580-680)/(1.987*(A9+273)))</f>
        <v>81368987856.687698</v>
      </c>
      <c r="X9" s="7"/>
      <c r="Y9" s="49"/>
      <c r="Z9" s="49"/>
      <c r="AA9" s="48">
        <f>Y6-R6</f>
        <v>1.4724611104242489</v>
      </c>
      <c r="AB9" s="47">
        <f>(AB6^2+S9^2)^0.5</f>
        <v>0.17716099951686645</v>
      </c>
      <c r="AC9" s="46">
        <f>R9+AA10-AA9</f>
        <v>4.9585314106207479E-2</v>
      </c>
      <c r="AD9" s="45">
        <f>(S9^2+AB9^2+AB10^2)^0.5</f>
        <v>0.23714864603814678</v>
      </c>
      <c r="AE9" s="7">
        <f>0.2*AA9/($D$89-T9)</f>
        <v>4.7699852169037771E-4</v>
      </c>
    </row>
    <row r="10" spans="1:33" x14ac:dyDescent="0.3">
      <c r="A10">
        <v>28</v>
      </c>
      <c r="B10" t="s">
        <v>11</v>
      </c>
      <c r="C10">
        <v>15</v>
      </c>
      <c r="D10" t="s">
        <v>12</v>
      </c>
      <c r="E10" s="1">
        <v>45235.80773148148</v>
      </c>
      <c r="F10" s="31">
        <v>1023.811159</v>
      </c>
      <c r="G10" s="31">
        <v>7730.9795860000004</v>
      </c>
      <c r="H10" s="31">
        <v>29.535947</v>
      </c>
      <c r="I10" s="32">
        <f t="shared" si="0"/>
        <v>3.8204663033241642E-3</v>
      </c>
      <c r="J10" s="33">
        <v>1.2648E-2</v>
      </c>
      <c r="K10" s="44">
        <v>7.2480000000000001E-3</v>
      </c>
      <c r="L10" s="32">
        <f>(((E10-STDs!$F$13)/STDs!$E$13)*STDs!$G$14)+((1-((E10-STDs!$F$13)/STDs!$E$13)))*STDs!$G$13</f>
        <v>3.2990463006733037</v>
      </c>
      <c r="M10" s="32">
        <f>(((E10-STDs!$F$13)/STDs!$E$13)*STDs!$H$14)+((1-((E10-STDs!$F$13)/STDs!$E$13))*STDs!$H$13)</f>
        <v>1.9430142584216561E-2</v>
      </c>
      <c r="N10" s="32">
        <f>I10*L10</f>
        <v>1.2603895224828595E-2</v>
      </c>
      <c r="O10" s="32">
        <f t="shared" si="2"/>
        <v>7.4232205011783269E-5</v>
      </c>
      <c r="P10" s="32">
        <f>(((E10-STDs!$F$13)/STDs!$E$13)*STDs!$I$14)+((1-((E10-STDs!$F$13)/STDs!$E$13))*STDs!$I$13)</f>
        <v>5.3975024526096496E-3</v>
      </c>
      <c r="Q10" s="32">
        <f>(((E10-STDs!$F$13)/STDs!$E$13)*STDs!$J$14)+((1-((E10-STDs!$F$13)/STDs!$E$13))*STDs!$J$13)</f>
        <v>3.8569511375533309E-4</v>
      </c>
      <c r="R10" s="32">
        <f t="shared" si="3"/>
        <v>7.2063927722189457E-3</v>
      </c>
      <c r="S10" s="32">
        <f t="shared" si="4"/>
        <v>3.927736511473889E-4</v>
      </c>
      <c r="T10" s="33">
        <f t="shared" si="5"/>
        <v>0.17717961592982856</v>
      </c>
      <c r="U10" s="32">
        <f t="shared" si="6"/>
        <v>1.1388400615427951E-3</v>
      </c>
      <c r="V10">
        <f>((E10-E9)*24*3600)-(5*60)</f>
        <v>3240.9999998286366</v>
      </c>
      <c r="W10" s="4">
        <f>(0.000304*199000000000000000)*EXP(-(5580-680)/(1.987*(A10+273)))</f>
        <v>16735705992.732498</v>
      </c>
      <c r="X10" s="4">
        <f>1-EXP(-W10*$W$1*$F$1*(A10+273)*V10)</f>
        <v>5.308449732699061E-3</v>
      </c>
      <c r="Y10" s="31">
        <f t="shared" si="1"/>
        <v>1.357532450166931</v>
      </c>
      <c r="Z10" s="31">
        <f>(((S10/R10)*Y10)^2+(Y10*0.1)^2)^0.5</f>
        <v>0.15460758132937141</v>
      </c>
      <c r="AA10" s="43">
        <f>AA11+R10</f>
        <v>1.3520732013728467</v>
      </c>
      <c r="AB10" s="42">
        <f>(S10^2+AB11^2)^0.5</f>
        <v>0.15764617940935433</v>
      </c>
      <c r="AE10" s="4">
        <f>0.2*AA10/($D$89-T10)</f>
        <v>4.3800440077673041E-4</v>
      </c>
    </row>
    <row r="11" spans="1:33" x14ac:dyDescent="0.3">
      <c r="A11">
        <v>24</v>
      </c>
      <c r="B11" t="s">
        <v>11</v>
      </c>
      <c r="C11">
        <v>15</v>
      </c>
      <c r="D11" t="s">
        <v>12</v>
      </c>
      <c r="E11" s="1">
        <v>45235.85015046296</v>
      </c>
      <c r="F11" s="31">
        <v>1051.7217989999999</v>
      </c>
      <c r="G11" s="31">
        <v>7742.8886629999997</v>
      </c>
      <c r="H11" s="31">
        <v>27.672663</v>
      </c>
      <c r="I11" s="32">
        <f t="shared" si="0"/>
        <v>3.5739456169938217E-3</v>
      </c>
      <c r="J11" s="33">
        <v>1.183E-2</v>
      </c>
      <c r="K11" s="44">
        <v>6.43E-3</v>
      </c>
      <c r="L11" s="32">
        <f>(((E11-STDs!$F$13)/STDs!$E$13)*STDs!$G$14)+((1-((E11-STDs!$F$13)/STDs!$E$13)))*STDs!$G$13</f>
        <v>3.2983225806775271</v>
      </c>
      <c r="M11" s="32">
        <f>(((E11-STDs!$F$13)/STDs!$E$13)*STDs!$H$14)+((1-((E11-STDs!$F$13)/STDs!$E$13))*STDs!$H$13)</f>
        <v>2.0126964806422107E-2</v>
      </c>
      <c r="N11" s="32">
        <f>I11*L11</f>
        <v>1.1788025530644199E-2</v>
      </c>
      <c r="O11" s="32">
        <f t="shared" si="2"/>
        <v>7.1932677653301191E-5</v>
      </c>
      <c r="P11" s="32">
        <f>(((E11-STDs!$F$13)/STDs!$E$13)*STDs!$I$14)+((1-((E11-STDs!$F$13)/STDs!$E$13))*STDs!$I$13)</f>
        <v>5.3970584199537625E-3</v>
      </c>
      <c r="Q11" s="32">
        <f>(((E11-STDs!$F$13)/STDs!$E$13)*STDs!$J$14)+((1-((E11-STDs!$F$13)/STDs!$E$13))*STDs!$J$13)</f>
        <v>3.8546134116987911E-4</v>
      </c>
      <c r="R11" s="32">
        <f t="shared" si="3"/>
        <v>6.3909671106904369E-3</v>
      </c>
      <c r="S11" s="32">
        <f t="shared" si="4"/>
        <v>3.9211574267154293E-4</v>
      </c>
      <c r="T11" s="33">
        <f t="shared" si="5"/>
        <v>0.18357058304051899</v>
      </c>
      <c r="U11" s="32">
        <f t="shared" si="6"/>
        <v>1.204454831625351E-3</v>
      </c>
      <c r="V11">
        <f>((E11-E10)*24*3600)-(5*60)</f>
        <v>3364.9999998975545</v>
      </c>
      <c r="W11" s="4">
        <f>(0.000304*199000000000000000)*EXP(-(5580-680)/(1.987*(A11+273)))</f>
        <v>14987311470.674414</v>
      </c>
      <c r="X11" s="4">
        <f>1-EXP(-W11*$W$1*$F$1*(A11+273)*V11)</f>
        <v>4.8712311830851895E-3</v>
      </c>
      <c r="Y11" s="31">
        <f t="shared" si="1"/>
        <v>1.3119818933830039</v>
      </c>
      <c r="Z11" s="31">
        <f>(((S11/R11)*Y11)^2+(Y11*0.1)^2)^0.5</f>
        <v>0.15392403265857424</v>
      </c>
      <c r="AA11" s="43">
        <f>AA12+R11</f>
        <v>1.3448668086006277</v>
      </c>
      <c r="AB11" s="42">
        <f>(S11^2+AB12^2)^0.5</f>
        <v>0.15764569011306748</v>
      </c>
      <c r="AE11" s="4">
        <f>0.2*AA11/($D$89-T11)</f>
        <v>4.35674398311148E-4</v>
      </c>
    </row>
    <row r="12" spans="1:33" s="13" customFormat="1" x14ac:dyDescent="0.3">
      <c r="A12" s="13">
        <v>24</v>
      </c>
      <c r="B12" s="13" t="s">
        <v>11</v>
      </c>
      <c r="C12" s="13">
        <v>15</v>
      </c>
      <c r="D12" s="13" t="s">
        <v>12</v>
      </c>
      <c r="E12" s="14">
        <v>45235.891273148147</v>
      </c>
      <c r="F12" s="38">
        <v>1057.6855009999999</v>
      </c>
      <c r="G12" s="38">
        <v>7748.2243049999997</v>
      </c>
      <c r="H12" s="38">
        <v>27.491157000000001</v>
      </c>
      <c r="I12" s="39">
        <f t="shared" si="0"/>
        <v>3.54805900266203E-3</v>
      </c>
      <c r="J12" s="40">
        <v>1.1745E-2</v>
      </c>
      <c r="K12" s="41">
        <v>6.3449999999999999E-3</v>
      </c>
      <c r="L12" s="39">
        <f>(((E12-STDs!$F$13)/STDs!$E$13)*STDs!$G$14)+((1-((E12-STDs!$F$13)/STDs!$E$13)))*STDs!$G$13</f>
        <v>3.2976209770908542</v>
      </c>
      <c r="M12" s="39">
        <f>(((E12-STDs!$F$13)/STDs!$E$13)*STDs!$H$14)+((1-((E12-STDs!$F$13)/STDs!$E$13))*STDs!$H$13)</f>
        <v>2.080249259786783E-2</v>
      </c>
      <c r="N12" s="39">
        <f>I12*L12</f>
        <v>1.1700153795134366E-2</v>
      </c>
      <c r="O12" s="39">
        <f t="shared" si="2"/>
        <v>7.3808471139675202E-5</v>
      </c>
      <c r="P12" s="39">
        <f>(((E12-STDs!$F$13)/STDs!$E$13)*STDs!$I$14)+((1-((E12-STDs!$F$13)/STDs!$E$13))*STDs!$I$13)</f>
        <v>5.3966279566450386E-3</v>
      </c>
      <c r="Q12" s="39">
        <f>(((E12-STDs!$F$13)/STDs!$E$13)*STDs!$J$14)+((1-((E12-STDs!$F$13)/STDs!$E$13))*STDs!$J$13)</f>
        <v>3.8523471252153828E-4</v>
      </c>
      <c r="R12" s="39">
        <f t="shared" si="3"/>
        <v>6.3035258384893274E-3</v>
      </c>
      <c r="S12" s="39">
        <f t="shared" si="4"/>
        <v>3.9224160175015664E-4</v>
      </c>
      <c r="T12" s="40">
        <f t="shared" si="5"/>
        <v>0.18987410887900832</v>
      </c>
      <c r="U12" s="39">
        <f t="shared" si="6"/>
        <v>1.2667142201653778E-3</v>
      </c>
      <c r="V12" s="13">
        <f>((E12-E11)*24*3600)-(5*60)</f>
        <v>3253.0000001192093</v>
      </c>
      <c r="W12" s="15">
        <f>(0.000304*199000000000000000)*EXP(-(5580-680)/(1.987*(A12+273)))</f>
        <v>14987311470.674414</v>
      </c>
      <c r="X12" s="15">
        <f>1-EXP(-W12*$W$1*$F$1*(A12+273)*V12)</f>
        <v>4.7094804725593686E-3</v>
      </c>
      <c r="Y12" s="38">
        <f t="shared" si="1"/>
        <v>1.3384758414899371</v>
      </c>
      <c r="Z12" s="38">
        <f>(((S12/R12)*Y12)^2+(Y12*0.1)^2)^0.5</f>
        <v>0.1576452024530707</v>
      </c>
      <c r="AA12" s="37">
        <f>Y12</f>
        <v>1.3384758414899371</v>
      </c>
      <c r="AB12" s="38">
        <f>Z12</f>
        <v>0.1576452024530707</v>
      </c>
      <c r="AC12" s="37"/>
      <c r="AD12" s="36"/>
      <c r="AE12" s="15">
        <f>0.2*AA12/($D$89-T12)</f>
        <v>4.3360844897602675E-4</v>
      </c>
    </row>
    <row r="13" spans="1:33" s="5" customFormat="1" x14ac:dyDescent="0.3">
      <c r="A13" s="5">
        <v>150</v>
      </c>
      <c r="B13" s="5" t="s">
        <v>11</v>
      </c>
      <c r="C13" s="5">
        <v>240</v>
      </c>
      <c r="D13" s="5" t="s">
        <v>17</v>
      </c>
      <c r="E13" s="6">
        <v>45236.08929398148</v>
      </c>
      <c r="F13" s="49">
        <v>831.40539200000001</v>
      </c>
      <c r="G13" s="49">
        <v>7867.4311729999999</v>
      </c>
      <c r="H13" s="49">
        <v>750.81487300000003</v>
      </c>
      <c r="I13" s="50">
        <f t="shared" si="0"/>
        <v>9.5433294107064956E-2</v>
      </c>
      <c r="J13" s="51">
        <v>0.31596400000000002</v>
      </c>
      <c r="K13" s="52">
        <v>0.31056400000000001</v>
      </c>
      <c r="L13" s="50">
        <f>(((E13-STDs!$F$13)/STDs!$E$13)*STDs!$G$14)+((1-((E13-STDs!$F$13)/STDs!$E$13)))*STDs!$G$13</f>
        <v>3.2942424981254774</v>
      </c>
      <c r="M13" s="50">
        <f>(((E13-STDs!$F$13)/STDs!$E$13)*STDs!$H$14)+((1-((E13-STDs!$F$13)/STDs!$E$13))*STDs!$H$13)</f>
        <v>2.4055407031716061E-2</v>
      </c>
      <c r="N13" s="50">
        <f>I13*L13</f>
        <v>0.31438041318360105</v>
      </c>
      <c r="O13" s="50">
        <f t="shared" si="2"/>
        <v>2.2956867341229173E-3</v>
      </c>
      <c r="P13" s="50">
        <f>(((E13-STDs!$F$13)/STDs!$E$13)*STDs!$I$14)+((1-((E13-STDs!$F$13)/STDs!$E$13))*STDs!$I$13)</f>
        <v>5.3945551177064814E-3</v>
      </c>
      <c r="Q13" s="50">
        <f>(((E13-STDs!$F$13)/STDs!$E$13)*STDs!$J$14)+((1-((E13-STDs!$F$13)/STDs!$E$13))*STDs!$J$13)</f>
        <v>3.8414341234018883E-4</v>
      </c>
      <c r="R13" s="50">
        <f t="shared" si="3"/>
        <v>0.30898585806589457</v>
      </c>
      <c r="S13" s="50">
        <f t="shared" si="4"/>
        <v>2.3276047221279456E-3</v>
      </c>
      <c r="T13" s="51">
        <f t="shared" si="5"/>
        <v>0.49885996694490287</v>
      </c>
      <c r="U13" s="50">
        <f t="shared" si="6"/>
        <v>2.6499638974977549E-3</v>
      </c>
      <c r="V13" s="5">
        <f>((E13-E12)*24*3600)-(5*60)</f>
        <v>16809.000000008382</v>
      </c>
      <c r="W13" s="7">
        <f>(0.000304*199000000000000000)*EXP(-(5580-680)/(1.987*(A13+273)))</f>
        <v>177767458919.01859</v>
      </c>
      <c r="X13" s="7"/>
      <c r="Y13" s="49"/>
      <c r="Z13" s="49"/>
      <c r="AA13" s="48">
        <f>AA12-R12</f>
        <v>1.3321723156514478</v>
      </c>
      <c r="AB13" s="47">
        <f>(AB12^2+S12^2)^0.5</f>
        <v>0.15764569042616988</v>
      </c>
      <c r="AC13" s="46">
        <f>R13+AA14-AA13</f>
        <v>1.1125652685248788E-2</v>
      </c>
      <c r="AD13" s="45">
        <f>(S13^2+AB13^2+AB14^2)^0.5</f>
        <v>0.20543141008811813</v>
      </c>
      <c r="AE13" s="7">
        <f>0.2*AA13/($D$89-T13)</f>
        <v>4.3178248146681674E-4</v>
      </c>
    </row>
    <row r="14" spans="1:33" x14ac:dyDescent="0.3">
      <c r="A14">
        <v>28.1</v>
      </c>
      <c r="B14" t="s">
        <v>11</v>
      </c>
      <c r="C14">
        <v>15</v>
      </c>
      <c r="D14" t="s">
        <v>12</v>
      </c>
      <c r="E14" s="1">
        <v>45236.130381944444</v>
      </c>
      <c r="F14" s="31">
        <v>933.10524199999998</v>
      </c>
      <c r="G14" s="31">
        <v>7806.0964739999999</v>
      </c>
      <c r="H14" s="31">
        <v>25.626653999999998</v>
      </c>
      <c r="I14" s="32">
        <f t="shared" si="0"/>
        <v>3.2829025474326976E-3</v>
      </c>
      <c r="J14" s="33">
        <v>1.0867999999999999E-2</v>
      </c>
      <c r="K14" s="44">
        <v>5.4669999999999996E-3</v>
      </c>
      <c r="L14" s="32">
        <f>(((E14-STDs!$F$13)/STDs!$E$13)*STDs!$G$14)+((1-((E14-STDs!$F$13)/STDs!$E$13)))*STDs!$G$13</f>
        <v>3.2935414869426358</v>
      </c>
      <c r="M14" s="32">
        <f>(((E14-STDs!$F$13)/STDs!$E$13)*STDs!$H$14)+((1-((E14-STDs!$F$13)/STDs!$E$13))*STDs!$H$13)</f>
        <v>2.4730364436608632E-2</v>
      </c>
      <c r="N14" s="32">
        <f>I14*L14</f>
        <v>1.0812375737559254E-2</v>
      </c>
      <c r="O14" s="32">
        <f t="shared" si="2"/>
        <v>8.1187376407881474E-5</v>
      </c>
      <c r="P14" s="32">
        <f>(((E14-STDs!$F$13)/STDs!$E$13)*STDs!$I$14)+((1-((E14-STDs!$F$13)/STDs!$E$13))*STDs!$I$13)</f>
        <v>5.3941250178624238E-3</v>
      </c>
      <c r="Q14" s="32">
        <f>(((E14-STDs!$F$13)/STDs!$E$13)*STDs!$J$14)+((1-((E14-STDs!$F$13)/STDs!$E$13))*STDs!$J$13)</f>
        <v>3.8391697504731138E-4</v>
      </c>
      <c r="R14" s="32">
        <f t="shared" si="3"/>
        <v>5.4182507196968302E-3</v>
      </c>
      <c r="S14" s="32">
        <f t="shared" si="4"/>
        <v>3.9240748440552573E-4</v>
      </c>
      <c r="T14" s="33">
        <f t="shared" si="5"/>
        <v>0.50427821766459968</v>
      </c>
      <c r="U14" s="32">
        <f t="shared" si="6"/>
        <v>2.678860259860332E-3</v>
      </c>
      <c r="V14">
        <f>((E14-E13)*24*3600)-(5*60)</f>
        <v>3250.0000000465661</v>
      </c>
      <c r="W14" s="4">
        <f>(0.000304*199000000000000000)*EXP(-(5580-680)/(1.987*(A14+273)))</f>
        <v>16781305062.268059</v>
      </c>
      <c r="X14" s="4">
        <f>1-EXP(-W14*$W$1*$F$1*(A14+273)*V14)</f>
        <v>5.3393851135643544E-3</v>
      </c>
      <c r="Y14" s="31">
        <f t="shared" si="1"/>
        <v>1.0147705408872125</v>
      </c>
      <c r="Z14" s="31">
        <f>(((S14/R14)*Y14)^2+(Y14*0.1)^2)^0.5</f>
        <v>0.12529491230322751</v>
      </c>
      <c r="AA14" s="43">
        <f>AA15+R14</f>
        <v>1.0343121102708019</v>
      </c>
      <c r="AB14" s="42">
        <f>(S14^2+AB15^2)^0.5</f>
        <v>0.13169845404220318</v>
      </c>
      <c r="AE14" s="4">
        <f>0.2*AA14/($D$89-T14)</f>
        <v>3.3524324582815274E-4</v>
      </c>
    </row>
    <row r="15" spans="1:33" x14ac:dyDescent="0.3">
      <c r="A15">
        <v>24.3</v>
      </c>
      <c r="B15" t="s">
        <v>11</v>
      </c>
      <c r="C15">
        <v>15</v>
      </c>
      <c r="D15" t="s">
        <v>12</v>
      </c>
      <c r="E15" s="1">
        <v>45236.171527777777</v>
      </c>
      <c r="F15" s="31">
        <v>945.61404000000005</v>
      </c>
      <c r="G15" s="31">
        <v>7820.0070390000001</v>
      </c>
      <c r="H15" s="31">
        <v>24.313596</v>
      </c>
      <c r="I15" s="32">
        <f t="shared" si="0"/>
        <v>3.1091527000862078E-3</v>
      </c>
      <c r="J15" s="33">
        <v>1.0292000000000001E-2</v>
      </c>
      <c r="K15" s="44">
        <v>4.8919999999999996E-3</v>
      </c>
      <c r="L15" s="32">
        <f>(((E15-STDs!$F$13)/STDs!$E$13)*STDs!$G$14)+((1-((E15-STDs!$F$13)/STDs!$E$13)))*STDs!$G$13</f>
        <v>3.2928394884201175</v>
      </c>
      <c r="M15" s="32">
        <f>(((E15-STDs!$F$13)/STDs!$E$13)*STDs!$H$14)+((1-((E15-STDs!$F$13)/STDs!$E$13))*STDs!$H$13)</f>
        <v>2.5406272485716613E-2</v>
      </c>
      <c r="N15" s="32">
        <f>I15*L15</f>
        <v>1.0237940786371896E-2</v>
      </c>
      <c r="O15" s="32">
        <f t="shared" si="2"/>
        <v>7.8991980698091735E-5</v>
      </c>
      <c r="P15" s="32">
        <f>(((E15-STDs!$F$13)/STDs!$E$13)*STDs!$I$14)+((1-((E15-STDs!$F$13)/STDs!$E$13))*STDs!$I$13)</f>
        <v>5.3936943122439495E-3</v>
      </c>
      <c r="Q15" s="32">
        <f>(((E15-STDs!$F$13)/STDs!$E$13)*STDs!$J$14)+((1-((E15-STDs!$F$13)/STDs!$E$13))*STDs!$J$13)</f>
        <v>3.8369021882867502E-4</v>
      </c>
      <c r="R15" s="32">
        <f t="shared" si="3"/>
        <v>4.8442464741279461E-3</v>
      </c>
      <c r="S15" s="32">
        <f t="shared" si="4"/>
        <v>3.9173705088924661E-4</v>
      </c>
      <c r="T15" s="33">
        <f t="shared" si="5"/>
        <v>0.50912246413872764</v>
      </c>
      <c r="U15" s="32">
        <f t="shared" si="6"/>
        <v>2.7073511425188958E-3</v>
      </c>
      <c r="V15">
        <f>((E15-E14)*24*3600)-(5*60)</f>
        <v>3254.9999999580905</v>
      </c>
      <c r="W15" s="4">
        <f>(0.000304*199000000000000000)*EXP(-(5580-680)/(1.987*(A15+273)))</f>
        <v>15113410716.254675</v>
      </c>
      <c r="X15" s="4">
        <f>1-EXP(-W15*$W$1*$F$1*(A15+273)*V15)</f>
        <v>4.7567118625541083E-3</v>
      </c>
      <c r="Y15" s="31">
        <f t="shared" si="1"/>
        <v>1.0184023363413979</v>
      </c>
      <c r="Z15" s="31">
        <f>(((S15/R15)*Y15)^2+(Y15*0.1)^2)^0.5</f>
        <v>0.13097217846491552</v>
      </c>
      <c r="AA15" s="43">
        <f>AA16+R15</f>
        <v>1.028893859551105</v>
      </c>
      <c r="AB15" s="42">
        <f>(S15^2+AB16^2)^0.5</f>
        <v>0.13169786943406672</v>
      </c>
      <c r="AE15" s="4">
        <f>0.2*AA15/($D$89-T15)</f>
        <v>3.3348969000861954E-4</v>
      </c>
    </row>
    <row r="16" spans="1:33" s="13" customFormat="1" x14ac:dyDescent="0.3">
      <c r="A16" s="13">
        <v>24.2</v>
      </c>
      <c r="B16" s="13" t="s">
        <v>11</v>
      </c>
      <c r="C16" s="13">
        <v>15</v>
      </c>
      <c r="D16" s="13" t="s">
        <v>12</v>
      </c>
      <c r="E16" s="14">
        <v>45236.212604166663</v>
      </c>
      <c r="F16" s="38">
        <v>952.35267599999997</v>
      </c>
      <c r="G16" s="38">
        <v>7799.0326139999997</v>
      </c>
      <c r="H16" s="38">
        <v>24.259062</v>
      </c>
      <c r="I16" s="39">
        <f t="shared" si="0"/>
        <v>3.1105219327397984E-3</v>
      </c>
      <c r="J16" s="40">
        <v>1.0297000000000001E-2</v>
      </c>
      <c r="K16" s="41">
        <v>4.8970000000000003E-3</v>
      </c>
      <c r="L16" s="39">
        <f>(((E16-STDs!$F$13)/STDs!$E$13)*STDs!$G$14)+((1-((E16-STDs!$F$13)/STDs!$E$13)))*STDs!$G$13</f>
        <v>3.2921386747052606</v>
      </c>
      <c r="M16" s="39">
        <f>(((E16-STDs!$F$13)/STDs!$E$13)*STDs!$H$14)+((1-((E16-STDs!$F$13)/STDs!$E$13))*STDs!$H$13)</f>
        <v>2.6081039761718293E-2</v>
      </c>
      <c r="N16" s="39">
        <f>I16*L16</f>
        <v>1.0240269553291645E-2</v>
      </c>
      <c r="O16" s="39">
        <f t="shared" si="2"/>
        <v>8.1125646207483513E-5</v>
      </c>
      <c r="P16" s="39">
        <f>(((E16-STDs!$F$13)/STDs!$E$13)*STDs!$I$14)+((1-((E16-STDs!$F$13)/STDs!$E$13))*STDs!$I$13)</f>
        <v>5.3932643335548071E-3</v>
      </c>
      <c r="Q16" s="39">
        <f>(((E16-STDs!$F$13)/STDs!$E$13)*STDs!$J$14)+((1-((E16-STDs!$F$13)/STDs!$E$13))*STDs!$J$13)</f>
        <v>3.8346384532096542E-4</v>
      </c>
      <c r="R16" s="39">
        <f t="shared" si="3"/>
        <v>4.8470052197368378E-3</v>
      </c>
      <c r="S16" s="39">
        <f t="shared" si="4"/>
        <v>3.9195138874728212E-4</v>
      </c>
      <c r="T16" s="40">
        <f t="shared" si="5"/>
        <v>0.51396946935846444</v>
      </c>
      <c r="U16" s="39">
        <f t="shared" si="6"/>
        <v>2.7355760088214132E-3</v>
      </c>
      <c r="V16" s="13">
        <f>((E16-E15)*24*3600)-(5*60)</f>
        <v>3248.9999998128042</v>
      </c>
      <c r="W16" s="15">
        <f>(0.000304*199000000000000000)*EXP(-(5580-680)/(1.987*(A16+273)))</f>
        <v>15071288513.544641</v>
      </c>
      <c r="X16" s="15">
        <f>1-EXP(-W16*$W$1*$F$1*(A16+273)*V16)</f>
        <v>4.7331742113284614E-3</v>
      </c>
      <c r="Y16" s="38">
        <f t="shared" si="1"/>
        <v>1.0240496130769772</v>
      </c>
      <c r="Z16" s="38">
        <f>(((S16/R16)*Y16)^2+(Y16*0.1)^2)^0.5</f>
        <v>0.13169728681926385</v>
      </c>
      <c r="AA16" s="37">
        <f>Y16</f>
        <v>1.0240496130769772</v>
      </c>
      <c r="AB16" s="38">
        <f>Z16</f>
        <v>0.13169728681926385</v>
      </c>
      <c r="AC16" s="37"/>
      <c r="AD16" s="36"/>
      <c r="AE16" s="15">
        <f>0.2*AA16/($D$89-T16)</f>
        <v>3.3192215842940833E-4</v>
      </c>
    </row>
    <row r="17" spans="1:31" s="5" customFormat="1" x14ac:dyDescent="0.3">
      <c r="A17" s="5">
        <v>200.1</v>
      </c>
      <c r="B17" s="5" t="s">
        <v>11</v>
      </c>
      <c r="C17" s="5">
        <v>240</v>
      </c>
      <c r="D17" s="5" t="s">
        <v>18</v>
      </c>
      <c r="E17" s="6">
        <v>45236.410416666666</v>
      </c>
      <c r="F17" s="49">
        <v>791.265083</v>
      </c>
      <c r="G17" s="49">
        <v>7925.1602629999998</v>
      </c>
      <c r="H17" s="49">
        <v>2282.0068630000001</v>
      </c>
      <c r="I17" s="50">
        <f t="shared" si="0"/>
        <v>0.28794456985986128</v>
      </c>
      <c r="J17" s="51">
        <v>0.95335899999999996</v>
      </c>
      <c r="K17" s="52">
        <v>0.947959</v>
      </c>
      <c r="L17" s="50">
        <f>(((E17-STDs!$F$13)/STDs!$E$13)*STDs!$G$14)+((1-((E17-STDs!$F$13)/STDs!$E$13)))*STDs!$G$13</f>
        <v>3.2887637501627456</v>
      </c>
      <c r="M17" s="50">
        <f>(((E17-STDs!$F$13)/STDs!$E$13)*STDs!$H$14)+((1-((E17-STDs!$F$13)/STDs!$E$13))*STDs!$H$13)</f>
        <v>2.9330531876367152E-2</v>
      </c>
      <c r="N17" s="50">
        <f>I17*L17</f>
        <v>0.94698166341131607</v>
      </c>
      <c r="O17" s="50">
        <f t="shared" si="2"/>
        <v>8.4455673849014902E-3</v>
      </c>
      <c r="P17" s="50">
        <f>(((E17-STDs!$F$13)/STDs!$E$13)*STDs!$I$14)+((1-((E17-STDs!$F$13)/STDs!$E$13))*STDs!$I$13)</f>
        <v>5.3911936754041682E-3</v>
      </c>
      <c r="Q17" s="50">
        <f>(((E17-STDs!$F$13)/STDs!$E$13)*STDs!$J$14)+((1-((E17-STDs!$F$13)/STDs!$E$13))*STDs!$J$13)</f>
        <v>3.8237369327235622E-4</v>
      </c>
      <c r="R17" s="50">
        <f t="shared" si="3"/>
        <v>0.94159046973591187</v>
      </c>
      <c r="S17" s="50">
        <f t="shared" si="4"/>
        <v>8.4542189523467235E-3</v>
      </c>
      <c r="T17" s="51">
        <f t="shared" si="5"/>
        <v>1.4555599390943763</v>
      </c>
      <c r="U17" s="50">
        <f t="shared" si="6"/>
        <v>8.885786076327621E-3</v>
      </c>
      <c r="V17" s="5">
        <f>((E17-E16)*24*3600)-(5*60)</f>
        <v>16791.000000201166</v>
      </c>
      <c r="W17" s="7">
        <f>(0.000304*199000000000000000)*EXP(-(5580-680)/(1.987*(A17+273)))</f>
        <v>329587596466.93298</v>
      </c>
      <c r="X17" s="7"/>
      <c r="Y17" s="49"/>
      <c r="Z17" s="49"/>
      <c r="AA17" s="48">
        <f>AA16-R16</f>
        <v>1.0192026078572403</v>
      </c>
      <c r="AB17" s="47">
        <f>(AB16^2+S16^2)^0.5</f>
        <v>0.13169787007179193</v>
      </c>
      <c r="AC17" s="46">
        <f>R17+AA18-AA17</f>
        <v>1.6418388917769666</v>
      </c>
      <c r="AD17" s="45">
        <f>(S17^2+AB17^2+AB18^2)^0.5</f>
        <v>0.23164910468861188</v>
      </c>
      <c r="AE17" s="7">
        <f>0.2*AA17/($D$89-T17)</f>
        <v>3.3085599086943855E-4</v>
      </c>
    </row>
    <row r="18" spans="1:31" x14ac:dyDescent="0.3">
      <c r="A18">
        <v>29.9</v>
      </c>
      <c r="B18" t="s">
        <v>11</v>
      </c>
      <c r="C18">
        <v>15</v>
      </c>
      <c r="D18" t="s">
        <v>12</v>
      </c>
      <c r="E18" s="1">
        <v>45236.451504629629</v>
      </c>
      <c r="F18" s="31">
        <v>872.70805700000005</v>
      </c>
      <c r="G18" s="31">
        <v>7868.7416190000004</v>
      </c>
      <c r="H18" s="31">
        <v>35.558805999999997</v>
      </c>
      <c r="I18" s="32">
        <f t="shared" si="0"/>
        <v>4.5189952500332567E-3</v>
      </c>
      <c r="J18" s="33">
        <v>1.4959E-2</v>
      </c>
      <c r="K18" s="44">
        <v>9.5589999999999998E-3</v>
      </c>
      <c r="L18" s="32">
        <f>(((E18-STDs!$F$13)/STDs!$E$13)*STDs!$G$14)+((1-((E18-STDs!$F$13)/STDs!$E$13)))*STDs!$G$13</f>
        <v>3.288062738979904</v>
      </c>
      <c r="M18" s="32">
        <f>(((E18-STDs!$F$13)/STDs!$E$13)*STDs!$H$14)+((1-((E18-STDs!$F$13)/STDs!$E$13))*STDs!$H$13)</f>
        <v>3.000548928125972E-2</v>
      </c>
      <c r="N18" s="32">
        <f>I18*L18</f>
        <v>1.4858739899261526E-2</v>
      </c>
      <c r="O18" s="32">
        <f t="shared" si="2"/>
        <v>1.3559466353693647E-4</v>
      </c>
      <c r="P18" s="32">
        <f>(((E18-STDs!$F$13)/STDs!$E$13)*STDs!$I$14)+((1-((E18-STDs!$F$13)/STDs!$E$13))*STDs!$I$13)</f>
        <v>5.3907635755601107E-3</v>
      </c>
      <c r="Q18" s="32">
        <f>(((E18-STDs!$F$13)/STDs!$E$13)*STDs!$J$14)+((1-((E18-STDs!$F$13)/STDs!$E$13))*STDs!$J$13)</f>
        <v>3.8214725597947882E-4</v>
      </c>
      <c r="R18" s="32">
        <f t="shared" si="3"/>
        <v>9.4679763237014158E-3</v>
      </c>
      <c r="S18" s="32">
        <f t="shared" si="4"/>
        <v>4.0549036737306144E-4</v>
      </c>
      <c r="T18" s="33">
        <f t="shared" si="5"/>
        <v>1.4650279154180776</v>
      </c>
      <c r="U18" s="32">
        <f t="shared" si="6"/>
        <v>8.8950332563903414E-3</v>
      </c>
      <c r="V18">
        <f>((E18-E17)*24*3600)-(5*60)</f>
        <v>3250.0000000465661</v>
      </c>
      <c r="W18" s="4">
        <f>(0.000304*199000000000000000)*EXP(-(5580-680)/(1.987*(A18+273)))</f>
        <v>17618251808.099915</v>
      </c>
      <c r="X18" s="4">
        <f>1-EXP(-W18*$W$1*$F$1*(A18+273)*V18)</f>
        <v>5.6383447648677976E-3</v>
      </c>
      <c r="Y18" s="31">
        <f t="shared" si="1"/>
        <v>1.6792120238364692</v>
      </c>
      <c r="Z18" s="31">
        <f>(((S18/R18)*Y18)^2+(Y18*0.1)^2)^0.5</f>
        <v>0.18267326572577239</v>
      </c>
      <c r="AA18" s="43">
        <f>AA19+R18</f>
        <v>1.7194510298982952</v>
      </c>
      <c r="AB18" s="42">
        <f>(S18^2+AB19^2)^0.5</f>
        <v>0.19038252257887187</v>
      </c>
      <c r="AE18" s="4">
        <f>0.2*AA18/($D$89-T18)</f>
        <v>5.5818088815047116E-4</v>
      </c>
    </row>
    <row r="19" spans="1:31" x14ac:dyDescent="0.3">
      <c r="A19">
        <v>23.8</v>
      </c>
      <c r="B19" t="s">
        <v>11</v>
      </c>
      <c r="C19">
        <v>15</v>
      </c>
      <c r="D19" t="s">
        <v>12</v>
      </c>
      <c r="E19" s="1">
        <v>45236.492650462962</v>
      </c>
      <c r="F19" s="31">
        <v>903.34538799999996</v>
      </c>
      <c r="G19" s="31">
        <v>7850.6411870000002</v>
      </c>
      <c r="H19" s="31">
        <v>31.636412</v>
      </c>
      <c r="I19" s="32">
        <f t="shared" si="0"/>
        <v>4.0297870258530263E-3</v>
      </c>
      <c r="J19" s="33">
        <v>1.3339E-2</v>
      </c>
      <c r="K19" s="44">
        <v>7.9389999999999999E-3</v>
      </c>
      <c r="L19" s="32">
        <f>(((E19-STDs!$F$13)/STDs!$E$13)*STDs!$G$14)+((1-((E19-STDs!$F$13)/STDs!$E$13)))*STDs!$G$13</f>
        <v>3.2873607404573857</v>
      </c>
      <c r="M19" s="32">
        <f>(((E19-STDs!$F$13)/STDs!$E$13)*STDs!$H$14)+((1-((E19-STDs!$F$13)/STDs!$E$13))*STDs!$H$13)</f>
        <v>3.0681397330367705E-2</v>
      </c>
      <c r="N19" s="32">
        <f>I19*L19</f>
        <v>1.324736366119377E-2</v>
      </c>
      <c r="O19" s="32">
        <f t="shared" si="2"/>
        <v>1.2363949689695746E-4</v>
      </c>
      <c r="P19" s="32">
        <f>(((E19-STDs!$F$13)/STDs!$E$13)*STDs!$I$14)+((1-((E19-STDs!$F$13)/STDs!$E$13))*STDs!$I$13)</f>
        <v>5.3903328699416364E-3</v>
      </c>
      <c r="Q19" s="32">
        <f>(((E19-STDs!$F$13)/STDs!$E$13)*STDs!$J$14)+((1-((E19-STDs!$F$13)/STDs!$E$13))*STDs!$J$13)</f>
        <v>3.8192049976084241E-4</v>
      </c>
      <c r="R19" s="32">
        <f t="shared" si="3"/>
        <v>7.8570307912521342E-3</v>
      </c>
      <c r="S19" s="32">
        <f t="shared" si="4"/>
        <v>4.014349179263114E-4</v>
      </c>
      <c r="T19" s="33">
        <f t="shared" si="5"/>
        <v>1.4728849462093299</v>
      </c>
      <c r="U19" s="32">
        <f t="shared" si="6"/>
        <v>8.9040870742384728E-3</v>
      </c>
      <c r="V19">
        <f>((E19-E18)*24*3600)-(5*60)</f>
        <v>3254.9999999580905</v>
      </c>
      <c r="W19" s="4">
        <f>(0.000304*199000000000000000)*EXP(-(5580-680)/(1.987*(A19+273)))</f>
        <v>14903690115.472437</v>
      </c>
      <c r="X19" s="4">
        <f>1-EXP(-W19*$W$1*$F$1*(A19+273)*V19)</f>
        <v>4.6829900085980647E-3</v>
      </c>
      <c r="Y19" s="31">
        <f t="shared" si="1"/>
        <v>1.6777808145707052</v>
      </c>
      <c r="Z19" s="31">
        <f>(((S19/R19)*Y19)^2+(Y19*0.1)^2)^0.5</f>
        <v>0.18840842080359405</v>
      </c>
      <c r="AA19" s="43">
        <f>AA20+R19</f>
        <v>1.7099830535745939</v>
      </c>
      <c r="AB19" s="42">
        <f>(S19^2+AB20^2)^0.5</f>
        <v>0.19038209075713142</v>
      </c>
      <c r="AE19" s="4">
        <f>0.2*AA19/($D$89-T19)</f>
        <v>5.5511440316792125E-4</v>
      </c>
    </row>
    <row r="20" spans="1:31" s="13" customFormat="1" x14ac:dyDescent="0.3">
      <c r="A20" s="13">
        <v>24</v>
      </c>
      <c r="B20" s="13" t="s">
        <v>11</v>
      </c>
      <c r="C20" s="13">
        <v>15</v>
      </c>
      <c r="D20" s="13" t="s">
        <v>12</v>
      </c>
      <c r="E20" s="14">
        <v>45236.533865740741</v>
      </c>
      <c r="F20" s="38">
        <v>916.376982</v>
      </c>
      <c r="G20" s="38">
        <v>7827.0215859999998</v>
      </c>
      <c r="H20" s="38">
        <v>31.972673</v>
      </c>
      <c r="I20" s="39">
        <f t="shared" si="0"/>
        <v>4.0849092657657586E-3</v>
      </c>
      <c r="J20" s="40">
        <v>1.3523E-2</v>
      </c>
      <c r="K20" s="41">
        <v>8.123E-3</v>
      </c>
      <c r="L20" s="39">
        <f>(((E20-STDs!$F$13)/STDs!$E$13)*STDs!$G$14)+((1-((E20-STDs!$F$13)/STDs!$E$13)))*STDs!$G$13</f>
        <v>3.2866575571272052</v>
      </c>
      <c r="M20" s="39">
        <f>(((E20-STDs!$F$13)/STDs!$E$13)*STDs!$H$14)+((1-((E20-STDs!$F$13)/STDs!$E$13))*STDs!$H$13)</f>
        <v>3.1358446152581987E-2</v>
      </c>
      <c r="N20" s="39">
        <f>I20*L20</f>
        <v>1.3425697908507974E-2</v>
      </c>
      <c r="O20" s="39">
        <f t="shared" si="2"/>
        <v>1.2809640724869875E-4</v>
      </c>
      <c r="P20" s="39">
        <f>(((E20-STDs!$F$13)/STDs!$E$13)*STDs!$I$14)+((1-((E20-STDs!$F$13)/STDs!$E$13))*STDs!$I$13)</f>
        <v>5.3899014373938294E-3</v>
      </c>
      <c r="Q20" s="39">
        <f>(((E20-STDs!$F$13)/STDs!$E$13)*STDs!$J$14)+((1-((E20-STDs!$F$13)/STDs!$E$13))*STDs!$J$13)</f>
        <v>3.8169336083127925E-4</v>
      </c>
      <c r="R20" s="39">
        <f t="shared" si="3"/>
        <v>8.0357964711141455E-3</v>
      </c>
      <c r="S20" s="39">
        <f t="shared" si="4"/>
        <v>4.0261459393904441E-4</v>
      </c>
      <c r="T20" s="40">
        <f t="shared" si="5"/>
        <v>1.480920742680444</v>
      </c>
      <c r="U20" s="39">
        <f t="shared" si="6"/>
        <v>8.9131849042232564E-3</v>
      </c>
      <c r="V20" s="13">
        <f>((E20-E19)*24*3600)-(5*60)</f>
        <v>3261.0000001033768</v>
      </c>
      <c r="W20" s="15">
        <f>(0.000304*199000000000000000)*EXP(-(5580-680)/(1.987*(A20+273)))</f>
        <v>14987311470.674414</v>
      </c>
      <c r="X20" s="15">
        <f>1-EXP(-W20*$W$1*$F$1*(A20+273)*V20)</f>
        <v>4.7210349665965934E-3</v>
      </c>
      <c r="Y20" s="38">
        <f t="shared" si="1"/>
        <v>1.7021260227833417</v>
      </c>
      <c r="Z20" s="38">
        <f>(((S20/R20)*Y20)^2+(Y20*0.1)^2)^0.5</f>
        <v>0.190381667528844</v>
      </c>
      <c r="AA20" s="37">
        <f>Y20</f>
        <v>1.7021260227833417</v>
      </c>
      <c r="AB20" s="38">
        <f>Z20</f>
        <v>0.190381667528844</v>
      </c>
      <c r="AC20" s="37"/>
      <c r="AD20" s="36"/>
      <c r="AE20" s="15">
        <f>0.2*AA20/($D$89-T20)</f>
        <v>5.5257097067950233E-4</v>
      </c>
    </row>
    <row r="21" spans="1:31" s="5" customFormat="1" x14ac:dyDescent="0.3">
      <c r="A21" s="5">
        <v>250.2</v>
      </c>
      <c r="B21" s="5" t="s">
        <v>11</v>
      </c>
      <c r="C21" s="5">
        <v>60</v>
      </c>
      <c r="D21" s="5" t="s">
        <v>19</v>
      </c>
      <c r="E21" s="6">
        <v>45236.607094907406</v>
      </c>
      <c r="F21" s="49">
        <v>892.57697599999995</v>
      </c>
      <c r="G21" s="49">
        <v>7873.4075910000001</v>
      </c>
      <c r="H21" s="49">
        <v>2640.7588649999998</v>
      </c>
      <c r="I21" s="50">
        <f t="shared" si="0"/>
        <v>0.33540228096645475</v>
      </c>
      <c r="J21" s="51">
        <v>1.110473</v>
      </c>
      <c r="K21" s="52">
        <v>1.105073</v>
      </c>
      <c r="L21" s="50">
        <f>(((E21-STDs!$F$13)/STDs!$E$13)*STDs!$G$14)+((1-((E21-STDs!$F$13)/STDs!$E$13)))*STDs!$G$13</f>
        <v>3.2854081774782893</v>
      </c>
      <c r="M21" s="50">
        <f>(((E21-STDs!$F$13)/STDs!$E$13)*STDs!$H$14)+((1-((E21-STDs!$F$13)/STDs!$E$13))*STDs!$H$13)</f>
        <v>3.2561391364011517E-2</v>
      </c>
      <c r="N21" s="50">
        <f>I21*L21</f>
        <v>1.1019333966320612</v>
      </c>
      <c r="O21" s="50">
        <f t="shared" si="2"/>
        <v>1.0921164934930885E-2</v>
      </c>
      <c r="P21" s="50">
        <f>(((E21-STDs!$F$13)/STDs!$E$13)*STDs!$I$14)+((1-((E21-STDs!$F$13)/STDs!$E$13))*STDs!$I$13)</f>
        <v>5.3891348904323566E-3</v>
      </c>
      <c r="Q21" s="50">
        <f>(((E21-STDs!$F$13)/STDs!$E$13)*STDs!$J$14)+((1-((E21-STDs!$F$13)/STDs!$E$13))*STDs!$J$13)</f>
        <v>3.812897921687511E-4</v>
      </c>
      <c r="R21" s="50">
        <f t="shared" si="3"/>
        <v>1.096544261741629</v>
      </c>
      <c r="S21" s="50">
        <f t="shared" si="4"/>
        <v>1.0927818878512583E-2</v>
      </c>
      <c r="T21" s="51">
        <f t="shared" si="5"/>
        <v>2.577465004422073</v>
      </c>
      <c r="U21" s="50">
        <f t="shared" si="6"/>
        <v>1.4101847062652797E-2</v>
      </c>
      <c r="V21" s="5">
        <f>((E21-E20)*24*3600)-(5*60)</f>
        <v>6026.9999998155981</v>
      </c>
      <c r="W21" s="7">
        <f>(0.000304*199000000000000000)*EXP(-(5580-680)/(1.987*(A21+273)))</f>
        <v>542926517051.42358</v>
      </c>
      <c r="X21" s="7"/>
      <c r="Y21" s="49"/>
      <c r="Z21" s="49"/>
      <c r="AA21" s="48">
        <f>AA20-R20</f>
        <v>1.6940902263122275</v>
      </c>
      <c r="AB21" s="47">
        <f>(AB20^2+S20^2)^0.5</f>
        <v>0.19038209324822161</v>
      </c>
      <c r="AC21" s="46">
        <f>R21+AA22-AA21</f>
        <v>3.6974788092208</v>
      </c>
      <c r="AD21" s="45">
        <f>(S21^2+AB21^2+AB22^2)^0.5</f>
        <v>0.47601416888333054</v>
      </c>
      <c r="AE21" s="7">
        <f>0.2*AA21/($D$89-T21)</f>
        <v>5.5094288008748435E-4</v>
      </c>
    </row>
    <row r="22" spans="1:31" x14ac:dyDescent="0.3">
      <c r="A22">
        <v>33</v>
      </c>
      <c r="B22" t="s">
        <v>11</v>
      </c>
      <c r="C22">
        <v>15</v>
      </c>
      <c r="D22" t="s">
        <v>12</v>
      </c>
      <c r="E22" s="1">
        <v>45236.648090277777</v>
      </c>
      <c r="F22" s="31">
        <v>909.96202600000004</v>
      </c>
      <c r="G22" s="31">
        <v>7826.0567639999999</v>
      </c>
      <c r="H22" s="31">
        <v>76.056888999999998</v>
      </c>
      <c r="I22" s="32">
        <f t="shared" si="0"/>
        <v>9.7184177541189114E-3</v>
      </c>
      <c r="J22" s="33">
        <v>3.2173E-2</v>
      </c>
      <c r="K22" s="44">
        <v>2.6773000000000002E-2</v>
      </c>
      <c r="L22" s="32">
        <f>(((E22-STDs!$F$13)/STDs!$E$13)*STDs!$G$14)+((1-((E22-STDs!$F$13)/STDs!$E$13)))*STDs!$G$13</f>
        <v>3.2847087460389552</v>
      </c>
      <c r="M22" s="32">
        <f>(((E22-STDs!$F$13)/STDs!$E$13)*STDs!$H$14)+((1-((E22-STDs!$F$13)/STDs!$E$13))*STDs!$H$13)</f>
        <v>3.3234827738135533E-2</v>
      </c>
      <c r="N22" s="32">
        <f>I22*L22</f>
        <v>3.1922171794614651E-2</v>
      </c>
      <c r="O22" s="32">
        <f t="shared" si="2"/>
        <v>3.2298993994538003E-4</v>
      </c>
      <c r="P22" s="32">
        <f>(((E22-STDs!$F$13)/STDs!$E$13)*STDs!$I$14)+((1-((E22-STDs!$F$13)/STDs!$E$13))*STDs!$I$13)</f>
        <v>5.3887057598273821E-3</v>
      </c>
      <c r="Q22" s="32">
        <f>(((E22-STDs!$F$13)/STDs!$E$13)*STDs!$J$14)+((1-((E22-STDs!$F$13)/STDs!$E$13))*STDs!$J$13)</f>
        <v>3.8106386515709609E-4</v>
      </c>
      <c r="R22" s="32">
        <f t="shared" si="3"/>
        <v>2.6533466034787269E-2</v>
      </c>
      <c r="S22" s="32">
        <f t="shared" si="4"/>
        <v>4.9953195156504822E-4</v>
      </c>
      <c r="T22" s="33">
        <f t="shared" si="5"/>
        <v>2.6039984704568604</v>
      </c>
      <c r="U22" s="32">
        <f t="shared" si="6"/>
        <v>1.4110691788466067E-2</v>
      </c>
      <c r="V22">
        <f>((E22-E21)*24*3600)-(5*60)</f>
        <v>3242.0000000623986</v>
      </c>
      <c r="W22" s="4">
        <f>(0.000304*199000000000000000)*EXP(-(5580-680)/(1.987*(A22+273)))</f>
        <v>19132981106.763039</v>
      </c>
      <c r="X22" s="4">
        <f>1-EXP(-W22*$W$1*$F$1*(A22+273)*V22)</f>
        <v>6.1688964848924943E-3</v>
      </c>
      <c r="Y22" s="31">
        <f t="shared" si="1"/>
        <v>4.3011689529508565</v>
      </c>
      <c r="Z22" s="31">
        <f>(((S22/R22)*Y22)^2+(Y22*0.1)^2)^0.5</f>
        <v>0.43767298314475855</v>
      </c>
      <c r="AA22" s="43">
        <f>AA23+R22</f>
        <v>4.2950247737913987</v>
      </c>
      <c r="AB22" s="42">
        <f>(S22^2+AB23^2)^0.5</f>
        <v>0.43614760153263687</v>
      </c>
      <c r="AE22" s="4">
        <f>0.2*AA22/($D$89-T22)</f>
        <v>1.3968650441363137E-3</v>
      </c>
    </row>
    <row r="23" spans="1:31" x14ac:dyDescent="0.3">
      <c r="A23">
        <v>23.5</v>
      </c>
      <c r="B23" t="s">
        <v>11</v>
      </c>
      <c r="C23">
        <v>15</v>
      </c>
      <c r="D23" t="s">
        <v>12</v>
      </c>
      <c r="E23" s="1">
        <v>45236.689328703702</v>
      </c>
      <c r="F23" s="31">
        <v>904.40350799999999</v>
      </c>
      <c r="G23" s="31">
        <v>7834.5351250000003</v>
      </c>
      <c r="H23" s="31">
        <v>60.943778999999999</v>
      </c>
      <c r="I23" s="32">
        <f t="shared" si="0"/>
        <v>7.7788634587301056E-3</v>
      </c>
      <c r="J23" s="33">
        <v>2.5753000000000002E-2</v>
      </c>
      <c r="K23" s="44">
        <v>2.0353E-2</v>
      </c>
      <c r="L23" s="32">
        <f>(((E23-STDs!$F$13)/STDs!$E$13)*STDs!$G$14)+((1-((E23-STDs!$F$13)/STDs!$E$13)))*STDs!$G$13</f>
        <v>3.2840051677729294</v>
      </c>
      <c r="M23" s="32">
        <f>(((E23-STDs!$F$13)/STDs!$E$13)*STDs!$H$14)+((1-((E23-STDs!$F$13)/STDs!$E$13))*STDs!$H$13)</f>
        <v>3.3912256818012076E-2</v>
      </c>
      <c r="N23" s="32">
        <f>I23*L23</f>
        <v>2.554582779786967E-2</v>
      </c>
      <c r="O23" s="32">
        <f t="shared" si="2"/>
        <v>2.6379881536470499E-4</v>
      </c>
      <c r="P23" s="32">
        <f>(((E23-STDs!$F$13)/STDs!$E$13)*STDs!$I$14)+((1-((E23-STDs!$F$13)/STDs!$E$13))*STDs!$I$13)</f>
        <v>5.3882740849698239E-3</v>
      </c>
      <c r="Q23" s="32">
        <f>(((E23-STDs!$F$13)/STDs!$E$13)*STDs!$J$14)+((1-((E23-STDs!$F$13)/STDs!$E$13))*STDs!$J$13)</f>
        <v>3.8083659865723729E-4</v>
      </c>
      <c r="R23" s="32">
        <f t="shared" si="3"/>
        <v>2.0157553712899845E-2</v>
      </c>
      <c r="S23" s="32">
        <f t="shared" si="4"/>
        <v>4.6327781067587875E-4</v>
      </c>
      <c r="T23" s="33">
        <f t="shared" si="5"/>
        <v>2.6241560241697601</v>
      </c>
      <c r="U23" s="32">
        <f t="shared" si="6"/>
        <v>1.4118294836096473E-2</v>
      </c>
      <c r="V23">
        <f>((E23-E22)*24*3600)-(5*60)</f>
        <v>3262.999999942258</v>
      </c>
      <c r="W23" s="4">
        <f>(0.000304*199000000000000000)*EXP(-(5580-680)/(1.987*(A23+273)))</f>
        <v>14778922909.376841</v>
      </c>
      <c r="X23" s="4">
        <f>1-EXP(-W23*$W$1*$F$1*(A23+273)*V23)</f>
        <v>4.6505696439781419E-3</v>
      </c>
      <c r="Y23" s="31">
        <f t="shared" si="1"/>
        <v>4.334426802746874</v>
      </c>
      <c r="Z23" s="31">
        <f>(((S23/R23)*Y23)^2+(Y23*0.1)^2)^0.5</f>
        <v>0.4447428358878438</v>
      </c>
      <c r="AA23" s="43">
        <f>AA24+R23</f>
        <v>4.2684913077566113</v>
      </c>
      <c r="AB23" s="42">
        <f>(S23^2+AB24^2)^0.5</f>
        <v>0.43614731546863977</v>
      </c>
      <c r="AE23" s="4">
        <f>0.2*AA23/($D$89-T23)</f>
        <v>1.3882811077594425E-3</v>
      </c>
    </row>
    <row r="24" spans="1:31" s="13" customFormat="1" x14ac:dyDescent="0.3">
      <c r="A24" s="13">
        <v>24</v>
      </c>
      <c r="B24" s="13" t="s">
        <v>11</v>
      </c>
      <c r="C24" s="13">
        <v>15</v>
      </c>
      <c r="D24" s="13" t="s">
        <v>12</v>
      </c>
      <c r="E24" s="14">
        <v>45236.730497685188</v>
      </c>
      <c r="F24" s="38">
        <v>900.76550099999997</v>
      </c>
      <c r="G24" s="38">
        <v>7839.2887140000003</v>
      </c>
      <c r="H24" s="38">
        <v>60.692971</v>
      </c>
      <c r="I24" s="39">
        <f t="shared" si="0"/>
        <v>7.7421527914401031E-3</v>
      </c>
      <c r="J24" s="40">
        <v>2.5631000000000001E-2</v>
      </c>
      <c r="K24" s="41">
        <v>2.0230999999999999E-2</v>
      </c>
      <c r="L24" s="39">
        <f>(((E24-STDs!$F$13)/STDs!$E$13)*STDs!$G$14)+((1-((E24-STDs!$F$13)/STDs!$E$13)))*STDs!$G$13</f>
        <v>3.2833027743144405</v>
      </c>
      <c r="M24" s="39">
        <f>(((E24-STDs!$F$13)/STDs!$E$13)*STDs!$H$14)+((1-((E24-STDs!$F$13)/STDs!$E$13))*STDs!$H$13)</f>
        <v>3.4588545124901837E-2</v>
      </c>
      <c r="N24" s="39">
        <f>I24*L24</f>
        <v>2.5419831739301582E-2</v>
      </c>
      <c r="O24" s="39">
        <f t="shared" si="2"/>
        <v>2.677898011906107E-4</v>
      </c>
      <c r="P24" s="39">
        <f>(((E24-STDs!$F$13)/STDs!$E$13)*STDs!$I$14)+((1-((E24-STDs!$F$13)/STDs!$E$13))*STDs!$I$13)</f>
        <v>5.387843137041522E-3</v>
      </c>
      <c r="Q24" s="39">
        <f>(((E24-STDs!$F$13)/STDs!$E$13)*STDs!$J$14)+((1-((E24-STDs!$F$13)/STDs!$E$13))*STDs!$J$13)</f>
        <v>3.8060971486826529E-4</v>
      </c>
      <c r="R24" s="39">
        <f t="shared" si="3"/>
        <v>2.0031988602260062E-2</v>
      </c>
      <c r="S24" s="39">
        <f t="shared" si="4"/>
        <v>4.6537633445826294E-4</v>
      </c>
      <c r="T24" s="40">
        <f t="shared" si="5"/>
        <v>2.6441880127720201</v>
      </c>
      <c r="U24" s="39">
        <f t="shared" si="6"/>
        <v>1.4125962771139608E-2</v>
      </c>
      <c r="V24" s="13">
        <f>((E24-E23)*24*3600)-(5*60)</f>
        <v>3257.0000004256144</v>
      </c>
      <c r="W24" s="15">
        <f>(0.000304*199000000000000000)*EXP(-(5580-680)/(1.987*(A24+273)))</f>
        <v>14987311470.674414</v>
      </c>
      <c r="X24" s="15">
        <f>1-EXP(-W24*$W$1*$F$1*(A24+273)*V24)</f>
        <v>4.715257736799261E-3</v>
      </c>
      <c r="Y24" s="38">
        <f t="shared" si="1"/>
        <v>4.2483337540437116</v>
      </c>
      <c r="Z24" s="38">
        <f>(((S24/R24)*Y24)^2+(Y24*0.1)^2)^0.5</f>
        <v>0.43614706942059273</v>
      </c>
      <c r="AA24" s="37">
        <f>Y24</f>
        <v>4.2483337540437116</v>
      </c>
      <c r="AB24" s="38">
        <f>Z24</f>
        <v>0.43614706942059273</v>
      </c>
      <c r="AC24" s="37"/>
      <c r="AD24" s="36"/>
      <c r="AE24" s="15">
        <f>0.2*AA24/($D$89-T24)</f>
        <v>1.3817700916540375E-3</v>
      </c>
    </row>
    <row r="25" spans="1:31" s="5" customFormat="1" x14ac:dyDescent="0.3">
      <c r="A25" s="5">
        <v>270.3</v>
      </c>
      <c r="B25" s="5" t="s">
        <v>11</v>
      </c>
      <c r="C25" s="5">
        <v>60</v>
      </c>
      <c r="D25" s="5" t="s">
        <v>20</v>
      </c>
      <c r="E25" s="6">
        <v>45236.804606481484</v>
      </c>
      <c r="F25" s="49">
        <v>859.57514100000003</v>
      </c>
      <c r="G25" s="49">
        <v>7938.4229310000001</v>
      </c>
      <c r="H25" s="49">
        <v>6078.476748</v>
      </c>
      <c r="I25" s="50">
        <f t="shared" si="0"/>
        <v>0.76570331422670834</v>
      </c>
      <c r="J25" s="51">
        <v>2.5351409999999999</v>
      </c>
      <c r="K25" s="52">
        <v>2.529741</v>
      </c>
      <c r="L25" s="50">
        <f>(((E25-STDs!$F$13)/STDs!$E$13)*STDs!$G$14)+((1-((E25-STDs!$F$13)/STDs!$E$13)))*STDs!$G$13</f>
        <v>3.2820383871021419</v>
      </c>
      <c r="M25" s="50">
        <f>(((E25-STDs!$F$13)/STDs!$E$13)*STDs!$H$14)+((1-((E25-STDs!$F$13)/STDs!$E$13))*STDs!$H$13)</f>
        <v>3.5805940128692433E-2</v>
      </c>
      <c r="N25" s="50">
        <f>I25*L25</f>
        <v>2.5130676704233905</v>
      </c>
      <c r="O25" s="50">
        <f t="shared" si="2"/>
        <v>2.7416727025542893E-2</v>
      </c>
      <c r="P25" s="50">
        <f>(((E25-STDs!$F$13)/STDs!$E$13)*STDs!$I$14)+((1-((E25-STDs!$F$13)/STDs!$E$13))*STDs!$I$13)</f>
        <v>5.3870673823087183E-3</v>
      </c>
      <c r="Q25" s="50">
        <f>(((E25-STDs!$F$13)/STDs!$E$13)*STDs!$J$14)+((1-((E25-STDs!$F$13)/STDs!$E$13))*STDs!$J$13)</f>
        <v>3.802012985341046E-4</v>
      </c>
      <c r="R25" s="50">
        <f t="shared" si="3"/>
        <v>2.5076806030410816</v>
      </c>
      <c r="S25" s="50">
        <f t="shared" si="4"/>
        <v>2.7419363118434046E-2</v>
      </c>
      <c r="T25" s="51">
        <f t="shared" si="5"/>
        <v>5.1518686158131022</v>
      </c>
      <c r="U25" s="50">
        <f t="shared" si="6"/>
        <v>3.0844193911207397E-2</v>
      </c>
      <c r="V25" s="5">
        <f>((E25-E24)*24*3600)-(5*60)</f>
        <v>6102.9999999795109</v>
      </c>
      <c r="W25" s="7">
        <f>(0.000304*199000000000000000)*EXP(-(5580-680)/(1.987*(A25+273)))</f>
        <v>646355738342.14526</v>
      </c>
      <c r="X25" s="7"/>
      <c r="Y25" s="49"/>
      <c r="Z25" s="49"/>
      <c r="AA25" s="48">
        <f>AA24-R24</f>
        <v>4.2283017654414516</v>
      </c>
      <c r="AB25" s="47">
        <f>(AB24^2+S24^2)^0.5</f>
        <v>0.4361473177027505</v>
      </c>
      <c r="AC25" s="46">
        <f>R25+AA26-AA25</f>
        <v>5.2581583200694721</v>
      </c>
      <c r="AD25" s="45">
        <f>(S25^2+AB25^2+AB26^2)^0.5</f>
        <v>0.82875712549062674</v>
      </c>
      <c r="AE25" s="7">
        <f>0.2*AA25/($D$89-T25)</f>
        <v>1.3808861007793755E-3</v>
      </c>
    </row>
    <row r="26" spans="1:31" x14ac:dyDescent="0.3">
      <c r="A26">
        <v>33.9</v>
      </c>
      <c r="B26" t="s">
        <v>11</v>
      </c>
      <c r="C26">
        <v>15</v>
      </c>
      <c r="D26" t="s">
        <v>12</v>
      </c>
      <c r="E26" s="1">
        <v>45236.845752314817</v>
      </c>
      <c r="F26" s="31">
        <v>868.20482100000004</v>
      </c>
      <c r="G26" s="31">
        <v>7895.7965160000003</v>
      </c>
      <c r="H26" s="31">
        <v>119.181758</v>
      </c>
      <c r="I26" s="32">
        <f t="shared" si="0"/>
        <v>1.5094329971458955E-2</v>
      </c>
      <c r="J26" s="33">
        <v>4.9972000000000003E-2</v>
      </c>
      <c r="K26" s="44">
        <v>4.4572000000000001E-2</v>
      </c>
      <c r="L26" s="32">
        <f>(((E26-STDs!$F$13)/STDs!$E$13)*STDs!$G$14)+((1-((E26-STDs!$F$13)/STDs!$E$13)))*STDs!$G$13</f>
        <v>3.2813363885796232</v>
      </c>
      <c r="M26" s="32">
        <f>(((E26-STDs!$F$13)/STDs!$E$13)*STDs!$H$14)+((1-((E26-STDs!$F$13)/STDs!$E$13))*STDs!$H$13)</f>
        <v>3.6481848177800411E-2</v>
      </c>
      <c r="N26" s="32">
        <f>I26*L26</f>
        <v>4.9529574196576297E-2</v>
      </c>
      <c r="O26" s="32">
        <f t="shared" si="2"/>
        <v>5.5066905436438804E-4</v>
      </c>
      <c r="P26" s="32">
        <f>(((E26-STDs!$F$13)/STDs!$E$13)*STDs!$I$14)+((1-((E26-STDs!$F$13)/STDs!$E$13))*STDs!$I$13)</f>
        <v>5.386636676690244E-3</v>
      </c>
      <c r="Q26" s="32">
        <f>(((E26-STDs!$F$13)/STDs!$E$13)*STDs!$J$14)+((1-((E26-STDs!$F$13)/STDs!$E$13))*STDs!$J$13)</f>
        <v>3.7997454231546819E-4</v>
      </c>
      <c r="R26" s="32">
        <f t="shared" si="3"/>
        <v>4.4142937519886051E-2</v>
      </c>
      <c r="S26" s="32">
        <f t="shared" si="4"/>
        <v>6.6904189722499362E-4</v>
      </c>
      <c r="T26" s="33">
        <f t="shared" si="5"/>
        <v>5.1960115533329878</v>
      </c>
      <c r="U26" s="32">
        <f t="shared" si="6"/>
        <v>3.0851449157088325E-2</v>
      </c>
      <c r="V26">
        <f>((E26-E25)*24*3600)-(5*60)</f>
        <v>3254.9999999580905</v>
      </c>
      <c r="W26" s="4">
        <f>(0.000304*199000000000000000)*EXP(-(5580-680)/(1.987*(A26+273)))</f>
        <v>19590540040.921219</v>
      </c>
      <c r="X26" s="4">
        <f>1-EXP(-W26*$W$1*$F$1*(A26+273)*V26)</f>
        <v>6.3597936117831821E-3</v>
      </c>
      <c r="Y26" s="31">
        <f t="shared" si="1"/>
        <v>6.9409386867680274</v>
      </c>
      <c r="Z26" s="31">
        <f>(((S26/R26)*Y26)^2+(Y26*0.1)^2)^0.5</f>
        <v>0.7020206983751881</v>
      </c>
      <c r="AA26" s="43">
        <f>AA27+R26</f>
        <v>6.9787794824698421</v>
      </c>
      <c r="AB26" s="42">
        <f>(S26^2+AB27^2)^0.5</f>
        <v>0.70417474311307271</v>
      </c>
      <c r="AE26" s="4">
        <f>0.2*AA26/($D$89-T26)</f>
        <v>2.2793061643927616E-3</v>
      </c>
    </row>
    <row r="27" spans="1:31" s="13" customFormat="1" x14ac:dyDescent="0.3">
      <c r="A27" s="13">
        <v>23.6</v>
      </c>
      <c r="B27" s="13" t="s">
        <v>11</v>
      </c>
      <c r="C27" s="13">
        <v>15</v>
      </c>
      <c r="D27" s="13" t="s">
        <v>12</v>
      </c>
      <c r="E27" s="14">
        <v>45236.887118055558</v>
      </c>
      <c r="F27" s="38">
        <v>857.73407099999997</v>
      </c>
      <c r="G27" s="38">
        <v>7932.5060880000001</v>
      </c>
      <c r="H27" s="38">
        <v>91.511554000000004</v>
      </c>
      <c r="I27" s="39">
        <f t="shared" si="0"/>
        <v>1.1536272772413661E-2</v>
      </c>
      <c r="J27" s="40">
        <v>3.8191000000000003E-2</v>
      </c>
      <c r="K27" s="41">
        <v>3.2791000000000001E-2</v>
      </c>
      <c r="L27" s="39">
        <f>(((E27-STDs!$F$13)/STDs!$E$13)*STDs!$G$14)+((1-((E27-STDs!$F$13)/STDs!$E$13)))*STDs!$G$13</f>
        <v>3.2806306381662593</v>
      </c>
      <c r="M27" s="39">
        <f>(((E27-STDs!$F$13)/STDs!$E$13)*STDs!$H$14)+((1-((E27-STDs!$F$13)/STDs!$E$13))*STDs!$H$13)</f>
        <v>3.7161368674998668E-2</v>
      </c>
      <c r="N27" s="39">
        <f>I27*L27</f>
        <v>3.7846249907423468E-2</v>
      </c>
      <c r="O27" s="39">
        <f t="shared" si="2"/>
        <v>4.2870368563101302E-4</v>
      </c>
      <c r="P27" s="39">
        <f>(((E27-STDs!$F$13)/STDs!$E$13)*STDs!$I$14)+((1-((E27-STDs!$F$13)/STDs!$E$13))*STDs!$I$13)</f>
        <v>5.3862036691289372E-3</v>
      </c>
      <c r="Q27" s="39">
        <f>(((E27-STDs!$F$13)/STDs!$E$13)*STDs!$J$14)+((1-((E27-STDs!$F$13)/STDs!$E$13))*STDs!$J$13)</f>
        <v>3.7974657417892368E-4</v>
      </c>
      <c r="R27" s="39">
        <f t="shared" si="3"/>
        <v>3.2460046238294529E-2</v>
      </c>
      <c r="S27" s="39">
        <f t="shared" si="4"/>
        <v>5.7270787551267634E-4</v>
      </c>
      <c r="T27" s="40">
        <f t="shared" si="5"/>
        <v>5.2284715995712823</v>
      </c>
      <c r="U27" s="39">
        <f t="shared" si="6"/>
        <v>3.0856764402689408E-2</v>
      </c>
      <c r="V27" s="13">
        <f>((E27-E26)*24*3600)-(5*60)</f>
        <v>3273.9999999990687</v>
      </c>
      <c r="W27" s="15">
        <f>(0.000304*199000000000000000)*EXP(-(5580-680)/(1.987*(A27+273)))</f>
        <v>14820423493.51034</v>
      </c>
      <c r="X27" s="15">
        <f>1-EXP(-W27*$W$1*$F$1*(A27+273)*V27)</f>
        <v>4.6808576091753595E-3</v>
      </c>
      <c r="Y27" s="38">
        <f t="shared" si="1"/>
        <v>6.9346365449499565</v>
      </c>
      <c r="Z27" s="38">
        <f>(((S27/R27)*Y27)^2+(Y27*0.1)^2)^0.5</f>
        <v>0.70417442528204732</v>
      </c>
      <c r="AA27" s="37">
        <f>Y27</f>
        <v>6.9346365449499565</v>
      </c>
      <c r="AB27" s="38">
        <f>Z27</f>
        <v>0.70417442528204732</v>
      </c>
      <c r="AC27" s="37"/>
      <c r="AD27" s="36"/>
      <c r="AE27" s="15">
        <f>0.2*AA27/($D$89-T27)</f>
        <v>2.2650089121634539E-3</v>
      </c>
    </row>
    <row r="28" spans="1:31" s="5" customFormat="1" x14ac:dyDescent="0.3">
      <c r="A28" s="5">
        <v>290.3</v>
      </c>
      <c r="B28" s="5" t="s">
        <v>11</v>
      </c>
      <c r="C28" s="5">
        <v>60</v>
      </c>
      <c r="D28" s="5" t="s">
        <v>21</v>
      </c>
      <c r="E28" s="6">
        <v>45236.960312499999</v>
      </c>
      <c r="F28" s="49">
        <v>839.17258100000004</v>
      </c>
      <c r="G28" s="49">
        <v>8018.0565299999998</v>
      </c>
      <c r="H28" s="49">
        <v>12186.426754</v>
      </c>
      <c r="I28" s="50">
        <f t="shared" si="0"/>
        <v>1.5198728904446874</v>
      </c>
      <c r="J28" s="51">
        <v>5.0322019999999998</v>
      </c>
      <c r="K28" s="52">
        <v>5.026802</v>
      </c>
      <c r="L28" s="50">
        <f>(((E28-STDs!$F$13)/STDs!$E$13)*STDs!$G$14)+((1-((E28-STDs!$F$13)/STDs!$E$13)))*STDs!$G$13</f>
        <v>3.2793818509211743</v>
      </c>
      <c r="M28" s="50">
        <f>(((E28-STDs!$F$13)/STDs!$E$13)*STDs!$H$14)+((1-((E28-STDs!$F$13)/STDs!$E$13))*STDs!$H$13)</f>
        <v>3.8363743499875043E-2</v>
      </c>
      <c r="N28" s="50">
        <f>I28*L28</f>
        <v>4.9842435726314145</v>
      </c>
      <c r="O28" s="50">
        <f t="shared" si="2"/>
        <v>5.8308013721433676E-2</v>
      </c>
      <c r="P28" s="50">
        <f>(((E28-STDs!$F$13)/STDs!$E$13)*STDs!$I$14)+((1-((E28-STDs!$F$13)/STDs!$E$13))*STDs!$I$13)</f>
        <v>5.385437485632129E-3</v>
      </c>
      <c r="Q28" s="50">
        <f>(((E28-STDs!$F$13)/STDs!$E$13)*STDs!$J$14)+((1-((E28-STDs!$F$13)/STDs!$E$13))*STDs!$J$13)</f>
        <v>3.7934319687185896E-4</v>
      </c>
      <c r="R28" s="50">
        <f t="shared" si="3"/>
        <v>4.9788581351457823</v>
      </c>
      <c r="S28" s="50">
        <f t="shared" si="4"/>
        <v>5.8309247683364179E-2</v>
      </c>
      <c r="T28" s="51">
        <f t="shared" si="5"/>
        <v>10.207329734717064</v>
      </c>
      <c r="U28" s="50">
        <f t="shared" si="6"/>
        <v>6.5970510645310232E-2</v>
      </c>
      <c r="V28" s="5">
        <f>((E28-E27)*24*3600)-(5*60)</f>
        <v>6023.999999742955</v>
      </c>
      <c r="W28" s="7">
        <f>(0.000304*199000000000000000)*EXP(-(5580-680)/(1.987*(A28+273)))</f>
        <v>759383465308.97864</v>
      </c>
      <c r="X28" s="7"/>
      <c r="Y28" s="49"/>
      <c r="Z28" s="49"/>
      <c r="AA28" s="48">
        <f>AA27-R27</f>
        <v>6.9021764987116621</v>
      </c>
      <c r="AB28" s="47">
        <f>(AB27^2+S27^2)^0.5</f>
        <v>0.70417465817481129</v>
      </c>
      <c r="AC28" s="46">
        <f>R28+AA29-AA28</f>
        <v>8.9926263591844844</v>
      </c>
      <c r="AD28" s="45">
        <f>(S28^2+AB28^2+AB29^2)^0.5</f>
        <v>1.3052909818799254</v>
      </c>
      <c r="AE28" s="7">
        <f>0.2*AA28/($D$89-T28)</f>
        <v>2.2728876629290623E-3</v>
      </c>
    </row>
    <row r="29" spans="1:31" x14ac:dyDescent="0.3">
      <c r="A29">
        <v>33.6</v>
      </c>
      <c r="B29" t="s">
        <v>11</v>
      </c>
      <c r="C29">
        <v>15</v>
      </c>
      <c r="D29" t="s">
        <v>12</v>
      </c>
      <c r="E29" s="1">
        <v>45237.001423611109</v>
      </c>
      <c r="F29" s="31">
        <v>849.53464099999997</v>
      </c>
      <c r="G29" s="31">
        <v>7918.6851800000004</v>
      </c>
      <c r="H29" s="31">
        <v>177.635321</v>
      </c>
      <c r="I29" s="32">
        <f t="shared" si="0"/>
        <v>2.2432426212453619E-2</v>
      </c>
      <c r="J29" s="33">
        <v>7.4267E-2</v>
      </c>
      <c r="K29" s="44">
        <v>6.8866999999999998E-2</v>
      </c>
      <c r="L29" s="32">
        <f>(((E29-STDs!$F$13)/STDs!$E$13)*STDs!$G$14)+((1-((E29-STDs!$F$13)/STDs!$E$13)))*STDs!$G$13</f>
        <v>3.2786804448024869</v>
      </c>
      <c r="M29" s="32">
        <f>(((E29-STDs!$F$13)/STDs!$E$13)*STDs!$H$14)+((1-((E29-STDs!$F$13)/STDs!$E$13))*STDs!$H$13)</f>
        <v>3.9039081162429878E-2</v>
      </c>
      <c r="N29" s="32">
        <f>I29*L29</f>
        <v>7.3548757152246402E-2</v>
      </c>
      <c r="O29" s="32">
        <f t="shared" si="2"/>
        <v>8.7574130757819629E-4</v>
      </c>
      <c r="P29" s="32">
        <f>(((E29-STDs!$F$13)/STDs!$E$13)*STDs!$I$14)+((1-((E29-STDs!$F$13)/STDs!$E$13))*STDs!$I$13)</f>
        <v>5.3850071434783193E-3</v>
      </c>
      <c r="Q29" s="32">
        <f>(((E29-STDs!$F$13)/STDs!$E$13)*STDs!$J$14)+((1-((E29-STDs!$F$13)/STDs!$E$13))*STDs!$J$13)</f>
        <v>3.7911663200868598E-4</v>
      </c>
      <c r="R29" s="32">
        <f t="shared" si="3"/>
        <v>6.8163750008768079E-2</v>
      </c>
      <c r="S29" s="32">
        <f t="shared" si="4"/>
        <v>9.5428101650634248E-4</v>
      </c>
      <c r="T29" s="33">
        <f t="shared" si="5"/>
        <v>10.275493484725832</v>
      </c>
      <c r="U29" s="32">
        <f t="shared" si="6"/>
        <v>6.5977412248901177E-2</v>
      </c>
      <c r="V29">
        <f>((E29-E28)*24*3600)-(5*60)</f>
        <v>3251.9999998854473</v>
      </c>
      <c r="W29" s="4">
        <f>(0.000304*199000000000000000)*EXP(-(5580-680)/(1.987*(A29+273)))</f>
        <v>19437116968.562279</v>
      </c>
      <c r="X29" s="4">
        <f>1-EXP(-W29*$W$1*$F$1*(A29+273)*V29)</f>
        <v>6.2982038532430895E-3</v>
      </c>
      <c r="Y29" s="31">
        <f t="shared" si="1"/>
        <v>10.822728447201499</v>
      </c>
      <c r="Z29" s="31">
        <f>(((S29/R29)*Y29)^2+(Y29*0.1)^2)^0.5</f>
        <v>1.0928273982175953</v>
      </c>
      <c r="AA29" s="43">
        <f>AA30+R29</f>
        <v>10.915944722750364</v>
      </c>
      <c r="AB29" s="42">
        <f>(S29^2+AB30^2)^0.5</f>
        <v>1.0975074622962924</v>
      </c>
      <c r="AE29" s="4">
        <f>0.2*AA29/($D$89-T29)</f>
        <v>3.5950255625324633E-3</v>
      </c>
    </row>
    <row r="30" spans="1:31" s="13" customFormat="1" x14ac:dyDescent="0.3">
      <c r="A30" s="13">
        <v>23.6</v>
      </c>
      <c r="B30" s="13" t="s">
        <v>11</v>
      </c>
      <c r="C30" s="13">
        <v>15</v>
      </c>
      <c r="D30" s="13" t="s">
        <v>12</v>
      </c>
      <c r="E30" s="14">
        <v>45237.042581018519</v>
      </c>
      <c r="F30" s="38">
        <v>842.61915899999997</v>
      </c>
      <c r="G30" s="38">
        <v>7935.7330899999997</v>
      </c>
      <c r="H30" s="38">
        <v>135.28839600000001</v>
      </c>
      <c r="I30" s="39">
        <f t="shared" si="0"/>
        <v>1.7048002303716593E-2</v>
      </c>
      <c r="J30" s="40">
        <v>5.6439999999999997E-2</v>
      </c>
      <c r="K30" s="41">
        <v>5.1040000000000002E-2</v>
      </c>
      <c r="L30" s="39">
        <f>(((E30-STDs!$F$13)/STDs!$E$13)*STDs!$G$14)+((1-((E30-STDs!$F$13)/STDs!$E$13)))*STDs!$G$13</f>
        <v>3.2779782488119835</v>
      </c>
      <c r="M30" s="39">
        <f>(((E30-STDs!$F$13)/STDs!$E$13)*STDs!$H$14)+((1-((E30-STDs!$F$13)/STDs!$E$13))*STDs!$H$13)</f>
        <v>3.9715179340428751E-2</v>
      </c>
      <c r="N30" s="39">
        <f>I30*L30</f>
        <v>5.5882980737279576E-2</v>
      </c>
      <c r="O30" s="39">
        <f t="shared" si="2"/>
        <v>6.7706446888814696E-4</v>
      </c>
      <c r="P30" s="39">
        <f>(((E30-STDs!$F$13)/STDs!$E$13)*STDs!$I$14)+((1-((E30-STDs!$F$13)/STDs!$E$13))*STDs!$I$13)</f>
        <v>5.3845763167049317E-3</v>
      </c>
      <c r="Q30" s="39">
        <f>(((E30-STDs!$F$13)/STDs!$E$13)*STDs!$J$14)+((1-((E30-STDs!$F$13)/STDs!$E$13))*STDs!$J$13)</f>
        <v>3.7888981200488177E-4</v>
      </c>
      <c r="R30" s="39">
        <f t="shared" si="3"/>
        <v>5.0498404420574641E-2</v>
      </c>
      <c r="S30" s="39">
        <f t="shared" si="4"/>
        <v>7.7586969567826477E-4</v>
      </c>
      <c r="T30" s="40">
        <f t="shared" si="5"/>
        <v>10.325991889146406</v>
      </c>
      <c r="U30" s="39">
        <f t="shared" si="6"/>
        <v>6.5981974059936457E-2</v>
      </c>
      <c r="V30" s="13">
        <f>((E30-E29)*24*3600)-(5*60)</f>
        <v>3256.0000001918525</v>
      </c>
      <c r="W30" s="15">
        <f>(0.000304*199000000000000000)*EXP(-(5580-680)/(1.987*(A30+273)))</f>
        <v>14820423493.51034</v>
      </c>
      <c r="X30" s="15">
        <f>1-EXP(-W30*$W$1*$F$1*(A30+273)*V30)</f>
        <v>4.6551828938533601E-3</v>
      </c>
      <c r="Y30" s="38">
        <f t="shared" si="1"/>
        <v>10.847780972741596</v>
      </c>
      <c r="Z30" s="38">
        <f>(((S30/R30)*Y30)^2+(Y30*0.1)^2)^0.5</f>
        <v>1.0975070474232906</v>
      </c>
      <c r="AA30" s="37">
        <f>Y30</f>
        <v>10.847780972741596</v>
      </c>
      <c r="AB30" s="38">
        <f>Z30</f>
        <v>1.0975070474232906</v>
      </c>
      <c r="AC30" s="37"/>
      <c r="AD30" s="36"/>
      <c r="AE30" s="15">
        <f>0.2*AA30/($D$89-T30)</f>
        <v>3.5728738131667781E-3</v>
      </c>
    </row>
    <row r="31" spans="1:31" s="5" customFormat="1" x14ac:dyDescent="0.3">
      <c r="A31" s="5">
        <v>300.3</v>
      </c>
      <c r="B31" s="5" t="s">
        <v>11</v>
      </c>
      <c r="C31" s="5">
        <v>60</v>
      </c>
      <c r="D31" s="5" t="s">
        <v>22</v>
      </c>
      <c r="E31" s="6">
        <v>45237.115682870368</v>
      </c>
      <c r="F31" s="49">
        <v>822.72520899999995</v>
      </c>
      <c r="G31" s="49">
        <v>8049.6072590000003</v>
      </c>
      <c r="H31" s="49">
        <v>17805.234761</v>
      </c>
      <c r="I31" s="50">
        <f t="shared" si="0"/>
        <v>2.2119383204804874</v>
      </c>
      <c r="J31" s="51">
        <v>7.323607</v>
      </c>
      <c r="K31" s="52">
        <v>7.3182070000000001</v>
      </c>
      <c r="L31" s="50">
        <f>(((E31-STDs!$F$13)/STDs!$E$13)*STDs!$G$14)+((1-((E31-STDs!$F$13)/STDs!$E$13)))*STDs!$G$13</f>
        <v>3.2767310413104056</v>
      </c>
      <c r="M31" s="50">
        <f>(((E31-STDs!$F$13)/STDs!$E$13)*STDs!$H$14)+((1-((E31-STDs!$F$13)/STDs!$E$13))*STDs!$H$13)</f>
        <v>4.0916033134536574E-2</v>
      </c>
      <c r="N31" s="50">
        <f>I31*L31</f>
        <v>7.2479269561824173</v>
      </c>
      <c r="O31" s="50">
        <f t="shared" si="2"/>
        <v>9.0503741612330796E-2</v>
      </c>
      <c r="P31" s="50">
        <f>(((E31-STDs!$F$13)/STDs!$E$13)*STDs!$I$14)+((1-((E31-STDs!$F$13)/STDs!$E$13))*STDs!$I$13)</f>
        <v>5.3838111024472066E-3</v>
      </c>
      <c r="Q31" s="50">
        <f>(((E31-STDs!$F$13)/STDs!$E$13)*STDs!$J$14)+((1-((E31-STDs!$F$13)/STDs!$E$13))*STDs!$J$13)</f>
        <v>3.7848694497903939E-4</v>
      </c>
      <c r="R31" s="50">
        <f t="shared" si="3"/>
        <v>7.2425431450799698</v>
      </c>
      <c r="S31" s="50">
        <f t="shared" si="4"/>
        <v>9.0504533025694667E-2</v>
      </c>
      <c r="T31" s="51">
        <f t="shared" si="5"/>
        <v>17.568535034226375</v>
      </c>
      <c r="U31" s="50">
        <f t="shared" si="6"/>
        <v>0.11200308656034969</v>
      </c>
      <c r="V31" s="5">
        <f>((E31-E30)*24*3600)-(5*60)</f>
        <v>6015.9999997587875</v>
      </c>
      <c r="W31" s="7">
        <f>(0.000304*199000000000000000)*EXP(-(5580-680)/(1.987*(A31+273)))</f>
        <v>819642883937.08691</v>
      </c>
      <c r="X31" s="7"/>
      <c r="Y31" s="49"/>
      <c r="Z31" s="49"/>
      <c r="AA31" s="48">
        <f>AA30-R30</f>
        <v>10.797282568321021</v>
      </c>
      <c r="AB31" s="47">
        <f>(AB30^2+S30^2)^0.5</f>
        <v>1.0975073216692333</v>
      </c>
      <c r="AC31" s="46">
        <f>R31+AA32-AA31</f>
        <v>9.5082280268323043</v>
      </c>
      <c r="AD31" s="45">
        <f>(S31^2+AB31^2+AB32^2)^0.5</f>
        <v>1.7092683045581891</v>
      </c>
      <c r="AE31" s="7">
        <f>0.2*AA31/($D$89-T31)</f>
        <v>3.599169382292663E-3</v>
      </c>
    </row>
    <row r="32" spans="1:31" x14ac:dyDescent="0.3">
      <c r="A32">
        <v>34.200000000000003</v>
      </c>
      <c r="B32" t="s">
        <v>11</v>
      </c>
      <c r="C32">
        <v>15</v>
      </c>
      <c r="D32" t="s">
        <v>12</v>
      </c>
      <c r="E32" s="1">
        <v>45237.156759259262</v>
      </c>
      <c r="F32" s="31">
        <v>822.32302000000004</v>
      </c>
      <c r="G32" s="31">
        <v>7934.5987459999997</v>
      </c>
      <c r="H32" s="31">
        <v>217.31538499999999</v>
      </c>
      <c r="I32" s="32">
        <f t="shared" si="0"/>
        <v>2.7388326991273922E-2</v>
      </c>
      <c r="J32" s="33">
        <v>9.0673000000000004E-2</v>
      </c>
      <c r="K32" s="44">
        <v>8.5273000000000002E-2</v>
      </c>
      <c r="L32" s="32">
        <f>(((E32-STDs!$F$13)/STDs!$E$13)*STDs!$G$14)+((1-((E32-STDs!$F$13)/STDs!$E$13)))*STDs!$G$13</f>
        <v>3.2760302275954247</v>
      </c>
      <c r="M32" s="32">
        <f>(((E32-STDs!$F$13)/STDs!$E$13)*STDs!$H$14)+((1-((E32-STDs!$F$13)/STDs!$E$13))*STDs!$H$13)</f>
        <v>4.1590800410657776E-2</v>
      </c>
      <c r="N32" s="32">
        <f>I32*L32</f>
        <v>8.9724987106681017E-2</v>
      </c>
      <c r="O32" s="32">
        <f t="shared" si="2"/>
        <v>1.1391024414759048E-3</v>
      </c>
      <c r="P32" s="32">
        <f>(((E32-STDs!$F$13)/STDs!$E$13)*STDs!$I$14)+((1-((E32-STDs!$F$13)/STDs!$E$13))*STDs!$I$13)</f>
        <v>5.3833811237579869E-3</v>
      </c>
      <c r="Q32" s="32">
        <f>(((E32-STDs!$F$13)/STDs!$E$13)*STDs!$J$14)+((1-((E32-STDs!$F$13)/STDs!$E$13))*STDs!$J$13)</f>
        <v>3.7826057147128972E-4</v>
      </c>
      <c r="R32" s="32">
        <f t="shared" si="3"/>
        <v>8.4341605982923035E-2</v>
      </c>
      <c r="S32" s="32">
        <f t="shared" si="4"/>
        <v>1.2002647341758208E-3</v>
      </c>
      <c r="T32" s="33">
        <f t="shared" si="5"/>
        <v>17.6528766402093</v>
      </c>
      <c r="U32" s="32">
        <f t="shared" si="6"/>
        <v>0.11200951760666274</v>
      </c>
      <c r="V32">
        <f>((E32-E31)*24*3600)-(5*60)</f>
        <v>3249.0000004414469</v>
      </c>
      <c r="W32" s="4">
        <f>(0.000304*199000000000000000)*EXP(-(5580-680)/(1.987*(A32+273)))</f>
        <v>19744870922.008472</v>
      </c>
      <c r="X32" s="4">
        <f>1-EXP(-W32*$W$1*$F$1*(A32+273)*V32)</f>
        <v>6.4041907967062883E-3</v>
      </c>
      <c r="Y32" s="31">
        <f t="shared" si="1"/>
        <v>13.169752223231763</v>
      </c>
      <c r="Z32" s="31">
        <f>(((S32/R32)*Y32)^2+(Y32*0.1)^2)^0.5</f>
        <v>1.3302441441746826</v>
      </c>
      <c r="AA32" s="43">
        <f>AA33+R32</f>
        <v>13.062967450073355</v>
      </c>
      <c r="AB32" s="42">
        <f>(S32^2+AB33^2)^0.5</f>
        <v>1.3072431852381001</v>
      </c>
      <c r="AE32" s="4">
        <f>0.2*AA32/($D$89-T32)</f>
        <v>4.3550256504461858E-3</v>
      </c>
    </row>
    <row r="33" spans="1:31" x14ac:dyDescent="0.3">
      <c r="A33">
        <v>23.5</v>
      </c>
      <c r="B33" t="s">
        <v>11</v>
      </c>
      <c r="C33">
        <v>15</v>
      </c>
      <c r="D33" t="s">
        <v>12</v>
      </c>
      <c r="E33" s="1">
        <v>45237.197858796295</v>
      </c>
      <c r="F33" s="31">
        <v>813.62278300000003</v>
      </c>
      <c r="G33" s="31">
        <v>7930.922869</v>
      </c>
      <c r="H33" s="31">
        <v>162.20303100000001</v>
      </c>
      <c r="I33" s="32">
        <f t="shared" si="0"/>
        <v>2.0451974338826472E-2</v>
      </c>
      <c r="J33" s="33">
        <v>6.7710999999999993E-2</v>
      </c>
      <c r="K33" s="44">
        <v>6.2310999999999998E-2</v>
      </c>
      <c r="L33" s="32">
        <f>(((E33-STDs!$F$13)/STDs!$E$13)*STDs!$G$14)+((1-((E33-STDs!$F$13)/STDs!$E$13)))*STDs!$G$13</f>
        <v>3.2753290189447224</v>
      </c>
      <c r="M33" s="32">
        <f>(((E33-STDs!$F$13)/STDs!$E$13)*STDs!$H$14)+((1-((E33-STDs!$F$13)/STDs!$E$13))*STDs!$H$13)</f>
        <v>4.2265947944321716E-2</v>
      </c>
      <c r="N33" s="32">
        <f>I33*L33</f>
        <v>6.6986945046671145E-2</v>
      </c>
      <c r="O33" s="32">
        <f t="shared" si="2"/>
        <v>8.6442208276344323E-4</v>
      </c>
      <c r="P33" s="32">
        <f>(((E33-STDs!$F$13)/STDs!$E$13)*STDs!$I$14)+((1-((E33-STDs!$F$13)/STDs!$E$13))*STDs!$I$13)</f>
        <v>5.3829509027590924E-3</v>
      </c>
      <c r="Q33" s="32">
        <f>(((E33-STDs!$F$13)/STDs!$E$13)*STDs!$J$14)+((1-((E33-STDs!$F$13)/STDs!$E$13))*STDs!$J$13)</f>
        <v>3.7803407039328459E-4</v>
      </c>
      <c r="R33" s="32">
        <f t="shared" si="3"/>
        <v>6.1603994143912051E-2</v>
      </c>
      <c r="S33" s="32">
        <f t="shared" si="4"/>
        <v>9.4346981697731268E-4</v>
      </c>
      <c r="T33" s="33">
        <f t="shared" si="5"/>
        <v>17.714480634353212</v>
      </c>
      <c r="U33" s="32">
        <f t="shared" si="6"/>
        <v>0.11201349101680938</v>
      </c>
      <c r="V33">
        <f>((E33-E32)*24*3600)-(5*60)</f>
        <v>3250.9999996516854</v>
      </c>
      <c r="W33" s="4">
        <f>(0.000304*199000000000000000)*EXP(-(5580-680)/(1.987*(A33+273)))</f>
        <v>14778922909.376841</v>
      </c>
      <c r="X33" s="4">
        <f>1-EXP(-W33*$W$1*$F$1*(A33+273)*V33)</f>
        <v>4.6335064058878883E-3</v>
      </c>
      <c r="Y33" s="31">
        <f t="shared" si="1"/>
        <v>13.295329443298197</v>
      </c>
      <c r="Z33" s="31">
        <f>(((S33/R33)*Y33)^2+(Y33*0.1)^2)^0.5</f>
        <v>1.3450347714208923</v>
      </c>
      <c r="AA33" s="43">
        <f>AA34+R33</f>
        <v>12.978625844090432</v>
      </c>
      <c r="AB33" s="42">
        <f>(S33^2+AB34^2)^0.5</f>
        <v>1.3072426342175432</v>
      </c>
      <c r="AE33" s="4">
        <f>0.2*AA33/($D$89-T33)</f>
        <v>4.3273516170790503E-3</v>
      </c>
    </row>
    <row r="34" spans="1:31" s="13" customFormat="1" x14ac:dyDescent="0.3">
      <c r="A34" s="13">
        <v>24.1</v>
      </c>
      <c r="B34" s="13" t="s">
        <v>11</v>
      </c>
      <c r="C34" s="13">
        <v>15</v>
      </c>
      <c r="D34" s="13" t="s">
        <v>12</v>
      </c>
      <c r="E34" s="14">
        <v>45237.238946759258</v>
      </c>
      <c r="F34" s="38">
        <v>814.91559099999995</v>
      </c>
      <c r="G34" s="38">
        <v>7953.0132359999998</v>
      </c>
      <c r="H34" s="38">
        <v>161.14070599999999</v>
      </c>
      <c r="I34" s="39">
        <f t="shared" si="0"/>
        <v>2.0261591577715815E-2</v>
      </c>
      <c r="J34" s="40">
        <v>6.7080000000000001E-2</v>
      </c>
      <c r="K34" s="41">
        <v>6.1679999999999999E-2</v>
      </c>
      <c r="L34" s="39">
        <f>(((E34-STDs!$F$13)/STDs!$E$13)*STDs!$G$14)+((1-((E34-STDs!$F$13)/STDs!$E$13)))*STDs!$G$13</f>
        <v>3.2746280077618808</v>
      </c>
      <c r="M34" s="39">
        <f>(((E34-STDs!$F$13)/STDs!$E$13)*STDs!$H$14)+((1-((E34-STDs!$F$13)/STDs!$E$13))*STDs!$H$13)</f>
        <v>4.2940905349214298E-2</v>
      </c>
      <c r="N34" s="39">
        <f>I34*L34</f>
        <v>6.6349175262220436E-2</v>
      </c>
      <c r="O34" s="39">
        <f t="shared" si="2"/>
        <v>8.7005108616313234E-4</v>
      </c>
      <c r="P34" s="39">
        <f>(((E34-STDs!$F$13)/STDs!$E$13)*STDs!$I$14)+((1-((E34-STDs!$F$13)/STDs!$E$13))*STDs!$I$13)</f>
        <v>5.3825208029150348E-3</v>
      </c>
      <c r="Q34" s="39">
        <f>(((E34-STDs!$F$13)/STDs!$E$13)*STDs!$J$14)+((1-((E34-STDs!$F$13)/STDs!$E$13))*STDs!$J$13)</f>
        <v>3.7780763310040714E-4</v>
      </c>
      <c r="R34" s="39">
        <f t="shared" si="3"/>
        <v>6.0966654459305401E-2</v>
      </c>
      <c r="S34" s="39">
        <f t="shared" si="4"/>
        <v>9.4853966715292316E-4</v>
      </c>
      <c r="T34" s="40">
        <f t="shared" si="5"/>
        <v>17.775447288812519</v>
      </c>
      <c r="U34" s="39">
        <f t="shared" si="6"/>
        <v>0.11201750710167138</v>
      </c>
      <c r="V34" s="13">
        <f>((E34-E33)*24*3600)-(5*60)</f>
        <v>3250.0000000465661</v>
      </c>
      <c r="W34" s="15">
        <f>(0.000304*199000000000000000)*EXP(-(5580-680)/(1.987*(A34+273)))</f>
        <v>15029255471.479141</v>
      </c>
      <c r="X34" s="15">
        <f>1-EXP(-W34*$W$1*$F$1*(A34+273)*V34)</f>
        <v>4.7198692676638787E-3</v>
      </c>
      <c r="Y34" s="38">
        <f t="shared" si="1"/>
        <v>12.91702184994652</v>
      </c>
      <c r="Z34" s="38">
        <f>(((S34/R34)*Y34)^2+(Y34*0.1)^2)^0.5</f>
        <v>1.3072422937545762</v>
      </c>
      <c r="AA34" s="37">
        <f>Y34</f>
        <v>12.91702184994652</v>
      </c>
      <c r="AB34" s="38">
        <f>Z34</f>
        <v>1.3072422937545762</v>
      </c>
      <c r="AC34" s="37"/>
      <c r="AD34" s="36"/>
      <c r="AE34" s="15">
        <f>0.2*AA34/($D$89-T34)</f>
        <v>4.3072493069532579E-3</v>
      </c>
    </row>
    <row r="35" spans="1:31" s="5" customFormat="1" x14ac:dyDescent="0.3">
      <c r="A35" s="5">
        <v>285.3</v>
      </c>
      <c r="B35" s="5" t="s">
        <v>11</v>
      </c>
      <c r="C35" s="5">
        <v>60</v>
      </c>
      <c r="D35" s="5" t="s">
        <v>23</v>
      </c>
      <c r="E35" s="6">
        <v>45237.312060185184</v>
      </c>
      <c r="F35" s="49">
        <v>764.29577300000005</v>
      </c>
      <c r="G35" s="49">
        <v>8052.9038229999996</v>
      </c>
      <c r="H35" s="49">
        <v>14575.307187</v>
      </c>
      <c r="I35" s="50">
        <f t="shared" si="0"/>
        <v>1.8099442769167666</v>
      </c>
      <c r="J35" s="51">
        <v>5.9926009999999996</v>
      </c>
      <c r="K35" s="52">
        <v>5.9872009999999998</v>
      </c>
      <c r="L35" s="50">
        <f>(((E35-STDs!$F$13)/STDs!$E$13)*STDs!$G$14)+((1-((E35-STDs!$F$13)/STDs!$E$13)))*STDs!$G$13</f>
        <v>3.2733806027923178</v>
      </c>
      <c r="M35" s="50">
        <f>(((E35-STDs!$F$13)/STDs!$E$13)*STDs!$H$14)+((1-((E35-STDs!$F$13)/STDs!$E$13))*STDs!$H$13)</f>
        <v>4.4141949272213002E-2</v>
      </c>
      <c r="N35" s="50">
        <f>I35*L35</f>
        <v>5.9246364881943112</v>
      </c>
      <c r="O35" s="50">
        <f t="shared" si="2"/>
        <v>7.9894468457192155E-2</v>
      </c>
      <c r="P35" s="50">
        <f>(((E35-STDs!$F$13)/STDs!$E$13)*STDs!$I$14)+((1-((E35-STDs!$F$13)/STDs!$E$13))*STDs!$I$13)</f>
        <v>5.3817554675023955E-3</v>
      </c>
      <c r="Q35" s="50">
        <f>(((E35-STDs!$F$13)/STDs!$E$13)*STDs!$J$14)+((1-((E35-STDs!$F$13)/STDs!$E$13))*STDs!$J$13)</f>
        <v>3.7740470228939696E-4</v>
      </c>
      <c r="R35" s="50">
        <f t="shared" si="3"/>
        <v>5.9192547327268086</v>
      </c>
      <c r="S35" s="50">
        <f t="shared" si="4"/>
        <v>7.989535984252516E-2</v>
      </c>
      <c r="T35" s="51">
        <f t="shared" si="5"/>
        <v>23.694702021539328</v>
      </c>
      <c r="U35" s="50">
        <f t="shared" si="6"/>
        <v>0.13759066255251329</v>
      </c>
      <c r="V35" s="5">
        <f>((E35-E34)*24*3600)-(5*60)</f>
        <v>6016.9999999925494</v>
      </c>
      <c r="W35" s="7">
        <f>(0.000304*199000000000000000)*EXP(-(5580-680)/(1.987*(A35+273)))</f>
        <v>730186604934.27527</v>
      </c>
      <c r="X35" s="7"/>
      <c r="Y35" s="49"/>
      <c r="Z35" s="49"/>
      <c r="AA35" s="48">
        <f>AA34-R34</f>
        <v>12.856055195487215</v>
      </c>
      <c r="AB35" s="47">
        <f>(AB34^2+S34^2)^0.5</f>
        <v>1.3072426378864124</v>
      </c>
      <c r="AC35" s="46">
        <f>R35+AA36-AA35</f>
        <v>3.5751128512312391</v>
      </c>
      <c r="AD35" s="45">
        <f>(S35^2+AB35^2+AB36^2)^0.5</f>
        <v>1.6845150628351038</v>
      </c>
      <c r="AE35" s="7">
        <f>0.2*AA35/($D$89-T35)</f>
        <v>4.3296491080493027E-3</v>
      </c>
    </row>
    <row r="36" spans="1:31" x14ac:dyDescent="0.3">
      <c r="A36">
        <v>36.799999999999997</v>
      </c>
      <c r="B36" t="s">
        <v>11</v>
      </c>
      <c r="C36">
        <v>15</v>
      </c>
      <c r="D36" t="s">
        <v>12</v>
      </c>
      <c r="E36" s="1">
        <v>45237.353067129632</v>
      </c>
      <c r="F36" s="31">
        <v>759.74501599999996</v>
      </c>
      <c r="G36" s="31">
        <v>7974.2255949999999</v>
      </c>
      <c r="H36" s="31">
        <v>190.748741</v>
      </c>
      <c r="I36" s="32">
        <f t="shared" ref="I36:I67" si="7">H36/G36</f>
        <v>2.3920660223057059E-2</v>
      </c>
      <c r="J36" s="33">
        <v>7.9194000000000001E-2</v>
      </c>
      <c r="K36" s="44">
        <v>7.3793999999999998E-2</v>
      </c>
      <c r="L36" s="32">
        <f>(((E36-STDs!$F$13)/STDs!$E$13)*STDs!$G$14)+((1-((E36-STDs!$F$13)/STDs!$E$13)))*STDs!$G$13</f>
        <v>3.2726809738849987</v>
      </c>
      <c r="M36" s="32">
        <f>(((E36-STDs!$F$13)/STDs!$E$13)*STDs!$H$14)+((1-((E36-STDs!$F$13)/STDs!$E$13))*STDs!$H$13)</f>
        <v>4.4815575775227906E-2</v>
      </c>
      <c r="N36" s="32">
        <f>I36*L36</f>
        <v>7.8284689594766518E-2</v>
      </c>
      <c r="O36" s="32">
        <f t="shared" si="2"/>
        <v>1.0720181608198935E-3</v>
      </c>
      <c r="P36" s="32">
        <f>(((E36-STDs!$F$13)/STDs!$E$13)*STDs!$I$14)+((1-((E36-STDs!$F$13)/STDs!$E$13))*STDs!$I$13)</f>
        <v>5.3813262157425086E-3</v>
      </c>
      <c r="Q36" s="32">
        <f>(((E36-STDs!$F$13)/STDs!$E$13)*STDs!$J$14)+((1-((E36-STDs!$F$13)/STDs!$E$13))*STDs!$J$13)</f>
        <v>3.771787114925741E-4</v>
      </c>
      <c r="R36" s="32">
        <f t="shared" si="3"/>
        <v>7.2903363379024005E-2</v>
      </c>
      <c r="S36" s="32">
        <f t="shared" si="4"/>
        <v>1.1364359715931496E-3</v>
      </c>
      <c r="T36" s="33">
        <f t="shared" si="5"/>
        <v>23.767605384918351</v>
      </c>
      <c r="U36" s="32">
        <f t="shared" si="6"/>
        <v>0.13759535569326864</v>
      </c>
      <c r="V36">
        <f>((E36-E35)*24*3600)-(5*60)</f>
        <v>3243.0000002961606</v>
      </c>
      <c r="W36" s="4">
        <f>(0.000304*199000000000000000)*EXP(-(5580-680)/(1.987*(A36+273)))</f>
        <v>21120922313.358467</v>
      </c>
      <c r="X36" s="4">
        <f>1-EXP(-W36*$W$1*$F$1*(A36+273)*V36)</f>
        <v>6.8940324139281639E-3</v>
      </c>
      <c r="Y36" s="31">
        <f t="shared" si="1"/>
        <v>10.574850682705778</v>
      </c>
      <c r="Z36" s="31">
        <f>(((S36/R36)*Y36)^2+(Y36*0.1)^2)^0.5</f>
        <v>1.0702560567822499</v>
      </c>
      <c r="AA36" s="43">
        <f>AA37+R36</f>
        <v>10.511913313991645</v>
      </c>
      <c r="AB36" s="42">
        <f>(S36^2+AB37^2)^0.5</f>
        <v>1.0593981376639101</v>
      </c>
      <c r="AE36" s="4">
        <f>0.2*AA36/($D$89-T36)</f>
        <v>3.5406260578083226E-3</v>
      </c>
    </row>
    <row r="37" spans="1:31" s="13" customFormat="1" x14ac:dyDescent="0.3">
      <c r="A37" s="13">
        <v>23.6</v>
      </c>
      <c r="B37" s="13" t="s">
        <v>11</v>
      </c>
      <c r="C37" s="13">
        <v>15</v>
      </c>
      <c r="D37" s="13" t="s">
        <v>12</v>
      </c>
      <c r="E37" s="14">
        <v>45237.394120370373</v>
      </c>
      <c r="F37" s="38">
        <v>757.339022</v>
      </c>
      <c r="G37" s="38">
        <v>7970.4664720000001</v>
      </c>
      <c r="H37" s="38">
        <v>131.15876399999999</v>
      </c>
      <c r="I37" s="39">
        <f t="shared" si="7"/>
        <v>1.6455594470004564E-2</v>
      </c>
      <c r="J37" s="40">
        <v>5.4477999999999999E-2</v>
      </c>
      <c r="K37" s="41">
        <v>4.9077999999999997E-2</v>
      </c>
      <c r="L37" s="39">
        <f>(((E37-STDs!$F$13)/STDs!$E$13)*STDs!$G$14)+((1-((E37-STDs!$F$13)/STDs!$E$13)))*STDs!$G$13</f>
        <v>3.271980555105988</v>
      </c>
      <c r="M37" s="39">
        <f>(((E37-STDs!$F$13)/STDs!$E$13)*STDs!$H$14)+((1-((E37-STDs!$F$13)/STDs!$E$13))*STDs!$H$13)</f>
        <v>4.5489962793567332E-2</v>
      </c>
      <c r="N37" s="39">
        <f>I37*L37</f>
        <v>5.3842385128564554E-2</v>
      </c>
      <c r="O37" s="39">
        <f t="shared" si="2"/>
        <v>7.4856438018653998E-4</v>
      </c>
      <c r="P37" s="39">
        <f>(((E37-STDs!$F$13)/STDs!$E$13)*STDs!$I$14)+((1-((E37-STDs!$F$13)/STDs!$E$13))*STDs!$I$13)</f>
        <v>5.3808964793631165E-3</v>
      </c>
      <c r="Q37" s="39">
        <f>(((E37-STDs!$F$13)/STDs!$E$13)*STDs!$J$14)+((1-((E37-STDs!$F$13)/STDs!$E$13))*STDs!$J$13)</f>
        <v>3.7695246555516013E-4</v>
      </c>
      <c r="R37" s="39">
        <f t="shared" si="3"/>
        <v>4.846148864920144E-2</v>
      </c>
      <c r="S37" s="39">
        <f t="shared" si="4"/>
        <v>8.3811800635243063E-4</v>
      </c>
      <c r="T37" s="40">
        <f t="shared" si="5"/>
        <v>23.816066873567554</v>
      </c>
      <c r="U37" s="39">
        <f t="shared" si="6"/>
        <v>0.13759790823319112</v>
      </c>
      <c r="V37" s="13">
        <f>((E37-E36)*24*3600)-(5*60)</f>
        <v>3246.999999973923</v>
      </c>
      <c r="W37" s="15">
        <f>(0.000304*199000000000000000)*EXP(-(5580-680)/(1.987*(A37+273)))</f>
        <v>14820423493.51034</v>
      </c>
      <c r="X37" s="15">
        <f>1-EXP(-W37*$W$1*$F$1*(A37+273)*V37)</f>
        <v>4.6423452873859405E-3</v>
      </c>
      <c r="Y37" s="38">
        <f t="shared" si="1"/>
        <v>10.43900995061262</v>
      </c>
      <c r="Z37" s="38">
        <f>(((S37/R37)*Y37)^2+(Y37*0.1)^2)^0.5</f>
        <v>1.0593975281257944</v>
      </c>
      <c r="AA37" s="37">
        <f>Y37</f>
        <v>10.43900995061262</v>
      </c>
      <c r="AB37" s="38">
        <f>Z37</f>
        <v>1.0593975281257944</v>
      </c>
      <c r="AC37" s="37"/>
      <c r="AD37" s="36"/>
      <c r="AE37" s="15">
        <f>0.2*AA37/($D$89-T37)</f>
        <v>3.5163577075384999E-3</v>
      </c>
    </row>
    <row r="38" spans="1:31" s="5" customFormat="1" x14ac:dyDescent="0.3">
      <c r="A38" s="5">
        <v>275.2</v>
      </c>
      <c r="B38" s="5" t="s">
        <v>11</v>
      </c>
      <c r="C38" s="5">
        <v>80</v>
      </c>
      <c r="D38" s="5" t="s">
        <v>24</v>
      </c>
      <c r="E38" s="6">
        <v>45237.48097222222</v>
      </c>
      <c r="F38" s="49">
        <v>711.21128899999997</v>
      </c>
      <c r="G38" s="49">
        <v>8000.6567709999999</v>
      </c>
      <c r="H38" s="49">
        <v>13180.380721</v>
      </c>
      <c r="I38" s="50">
        <f t="shared" si="7"/>
        <v>1.6474123435434649</v>
      </c>
      <c r="J38" s="51">
        <v>5.2871360000000003</v>
      </c>
      <c r="K38" s="52">
        <v>5.2817360000000004</v>
      </c>
      <c r="L38" s="50">
        <f>(((E38-STDs!$F$13)/STDs!$E$13)*STDs!$G$14)+((1-((E38-STDs!$F$13)/STDs!$E$13)))*STDs!$G$13</f>
        <v>3.2704987556931142</v>
      </c>
      <c r="M38" s="50">
        <f>(((E38-STDs!$F$13)/STDs!$E$13)*STDs!$H$14)+((1-((E38-STDs!$F$13)/STDs!$E$13))*STDs!$H$13)</f>
        <v>4.6916689657224453E-2</v>
      </c>
      <c r="N38" s="50">
        <f>I38*L38</f>
        <v>5.3878600196723792</v>
      </c>
      <c r="O38" s="50">
        <f t="shared" si="2"/>
        <v>7.729113365950957E-2</v>
      </c>
      <c r="P38" s="50">
        <f>(((E38-STDs!$F$13)/STDs!$E$13)*STDs!$I$14)+((1-((E38-STDs!$F$13)/STDs!$E$13))*STDs!$I$13)</f>
        <v>5.3799873331012594E-3</v>
      </c>
      <c r="Q38" s="50">
        <f>(((E38-STDs!$F$13)/STDs!$E$13)*STDs!$J$14)+((1-((E38-STDs!$F$13)/STDs!$E$13))*STDs!$J$13)</f>
        <v>3.7647382176765555E-4</v>
      </c>
      <c r="R38" s="50">
        <f t="shared" si="3"/>
        <v>5.3824800323392781</v>
      </c>
      <c r="S38" s="50">
        <f t="shared" si="4"/>
        <v>7.7292050528567621E-2</v>
      </c>
      <c r="T38" s="51">
        <f t="shared" si="5"/>
        <v>29.198546905906831</v>
      </c>
      <c r="U38" s="50">
        <f t="shared" si="6"/>
        <v>0.1578202947185828</v>
      </c>
      <c r="V38" s="5">
        <f>((E38-E37)*24*3600)-(5*60)</f>
        <v>7203.9999996079132</v>
      </c>
      <c r="W38" s="7">
        <f>(0.000304*199000000000000000)*EXP(-(5580-680)/(1.987*(A38+273)))</f>
        <v>673118247451.83813</v>
      </c>
      <c r="X38" s="7"/>
      <c r="Y38" s="49"/>
      <c r="Z38" s="49"/>
      <c r="AA38" s="48">
        <f>AA37-R37</f>
        <v>10.390548461963419</v>
      </c>
      <c r="AB38" s="47">
        <f>(AB37^2+S37^2)^0.5</f>
        <v>1.0593978596546416</v>
      </c>
      <c r="AC38" s="46">
        <f>R38+AA39-AA38</f>
        <v>2.5210171532273193</v>
      </c>
      <c r="AD38" s="45">
        <f>(S38^2+AB38^2+AB39^2)^0.5</f>
        <v>1.3076850640132609</v>
      </c>
      <c r="AE38" s="7">
        <f>0.2*AA38/($D$89-T38)</f>
        <v>3.532052974708118E-3</v>
      </c>
    </row>
    <row r="39" spans="1:31" x14ac:dyDescent="0.3">
      <c r="A39">
        <v>37</v>
      </c>
      <c r="B39" t="s">
        <v>11</v>
      </c>
      <c r="C39">
        <v>15</v>
      </c>
      <c r="D39" t="s">
        <v>12</v>
      </c>
      <c r="E39" s="1">
        <v>45237.522037037037</v>
      </c>
      <c r="F39" s="31">
        <v>712.23831800000005</v>
      </c>
      <c r="G39" s="31">
        <v>7963.5705319999997</v>
      </c>
      <c r="H39" s="31">
        <v>140.78924799999999</v>
      </c>
      <c r="I39" s="32">
        <f t="shared" si="7"/>
        <v>1.7679161305129004E-2</v>
      </c>
      <c r="J39" s="33">
        <v>5.8529999999999999E-2</v>
      </c>
      <c r="K39" s="44">
        <v>5.3129999999999997E-2</v>
      </c>
      <c r="L39" s="32">
        <f>(((E39-STDs!$F$13)/STDs!$E$13)*STDs!$G$14)+((1-((E39-STDs!$F$13)/STDs!$E$13)))*STDs!$G$13</f>
        <v>3.2697981394461189</v>
      </c>
      <c r="M39" s="32">
        <f>(((E39-STDs!$F$13)/STDs!$E$13)*STDs!$H$14)+((1-((E39-STDs!$F$13)/STDs!$E$13))*STDs!$H$13)</f>
        <v>4.7591266804454767E-2</v>
      </c>
      <c r="N39" s="32">
        <f>I39*L39</f>
        <v>5.7807288742478639E-2</v>
      </c>
      <c r="O39" s="32">
        <f t="shared" si="2"/>
        <v>8.4137368255138723E-4</v>
      </c>
      <c r="P39" s="32">
        <f>(((E39-STDs!$F$13)/STDs!$E$13)*STDs!$I$14)+((1-((E39-STDs!$F$13)/STDs!$E$13))*STDs!$I$13)</f>
        <v>5.379557475566954E-3</v>
      </c>
      <c r="Q39" s="32">
        <f>(((E39-STDs!$F$13)/STDs!$E$13)*STDs!$J$14)+((1-((E39-STDs!$F$13)/STDs!$E$13))*STDs!$J$13)</f>
        <v>3.7624751204507368E-4</v>
      </c>
      <c r="R39" s="32">
        <f t="shared" si="3"/>
        <v>5.2427731266911685E-2</v>
      </c>
      <c r="S39" s="32">
        <f t="shared" si="4"/>
        <v>9.2166797926921079E-4</v>
      </c>
      <c r="T39" s="33">
        <f t="shared" si="5"/>
        <v>29.250974637173741</v>
      </c>
      <c r="U39" s="32">
        <f t="shared" si="6"/>
        <v>0.15782298595871372</v>
      </c>
      <c r="V39">
        <f>((E39-E38)*24*3600)-(5*60)</f>
        <v>3248.0000002076849</v>
      </c>
      <c r="W39" s="4">
        <f>(0.000304*199000000000000000)*EXP(-(5580-680)/(1.987*(A39+273)))</f>
        <v>21229668396.533699</v>
      </c>
      <c r="X39" s="4">
        <f>1-EXP(-W39*$W$1*$F$1*(A39+273)*V39)</f>
        <v>6.9445159355083774E-3</v>
      </c>
      <c r="Y39" s="31">
        <f t="shared" si="1"/>
        <v>7.5495155823375155</v>
      </c>
      <c r="Z39" s="31">
        <f>(((S39/R39)*Y39)^2+(Y39*0.1)^2)^0.5</f>
        <v>0.76652863037317454</v>
      </c>
      <c r="AA39" s="43">
        <f>AA40+R39</f>
        <v>7.5290855828514607</v>
      </c>
      <c r="AB39" s="42">
        <f>(S39^2+AB40^2)^0.5</f>
        <v>0.76272035539089955</v>
      </c>
      <c r="AE39" s="4">
        <f>0.2*AA39/($D$89-T39)</f>
        <v>2.5595856769056275E-3</v>
      </c>
    </row>
    <row r="40" spans="1:31" s="13" customFormat="1" x14ac:dyDescent="0.3">
      <c r="A40" s="13">
        <v>23.6</v>
      </c>
      <c r="B40" s="13" t="s">
        <v>11</v>
      </c>
      <c r="C40" s="13">
        <v>15</v>
      </c>
      <c r="D40" s="13" t="s">
        <v>12</v>
      </c>
      <c r="E40" s="14">
        <v>45237.563263888886</v>
      </c>
      <c r="F40" s="38">
        <v>708.39179899999999</v>
      </c>
      <c r="G40" s="38">
        <v>7950.8800570000003</v>
      </c>
      <c r="H40" s="38">
        <v>97.889358999999999</v>
      </c>
      <c r="I40" s="39">
        <f t="shared" si="7"/>
        <v>1.2311764018351358E-2</v>
      </c>
      <c r="J40" s="40">
        <v>4.0759999999999998E-2</v>
      </c>
      <c r="K40" s="41">
        <v>3.5360000000000003E-2</v>
      </c>
      <c r="L40" s="39">
        <f>(((E40-STDs!$F$13)/STDs!$E$13)*STDs!$G$14)+((1-((E40-STDs!$F$13)/STDs!$E$13)))*STDs!$G$13</f>
        <v>3.2690947586480776</v>
      </c>
      <c r="M40" s="39">
        <f>(((E40-STDs!$F$13)/STDs!$E$13)*STDs!$H$14)+((1-((E40-STDs!$F$13)/STDs!$E$13))*STDs!$H$13)</f>
        <v>4.8268505755440422E-2</v>
      </c>
      <c r="N40" s="39">
        <f>I40*L40</f>
        <v>4.0248323222104421E-2</v>
      </c>
      <c r="O40" s="39">
        <f t="shared" si="2"/>
        <v>5.9427045237941685E-4</v>
      </c>
      <c r="P40" s="39">
        <f>(((E40-STDs!$F$13)/STDs!$E$13)*STDs!$I$14)+((1-((E40-STDs!$F$13)/STDs!$E$13))*STDs!$I$13)</f>
        <v>5.3791259218643099E-3</v>
      </c>
      <c r="Q40" s="39">
        <f>(((E40-STDs!$F$13)/STDs!$E$13)*STDs!$J$14)+((1-((E40-STDs!$F$13)/STDs!$E$13))*STDs!$J$13)</f>
        <v>3.7602030933038278E-4</v>
      </c>
      <c r="R40" s="39">
        <f t="shared" si="3"/>
        <v>3.4869197300240108E-2</v>
      </c>
      <c r="S40" s="39">
        <f t="shared" si="4"/>
        <v>7.032415257933461E-4</v>
      </c>
      <c r="T40" s="40">
        <f t="shared" si="5"/>
        <v>29.28584383447398</v>
      </c>
      <c r="U40" s="39">
        <f t="shared" si="6"/>
        <v>0.15782455273362236</v>
      </c>
      <c r="V40" s="13">
        <f>((E40-E39)*24*3600)-(5*60)</f>
        <v>3261.999999708496</v>
      </c>
      <c r="W40" s="15">
        <f>(0.000304*199000000000000000)*EXP(-(5580-680)/(1.987*(A40+273)))</f>
        <v>14820423493.51034</v>
      </c>
      <c r="X40" s="15">
        <f>1-EXP(-W40*$W$1*$F$1*(A40+273)*V40)</f>
        <v>4.6637412052833449E-3</v>
      </c>
      <c r="Y40" s="38">
        <f t="shared" si="1"/>
        <v>7.476657851584549</v>
      </c>
      <c r="Z40" s="38">
        <f>(((S40/R40)*Y40)^2+(Y40*0.1)^2)^0.5</f>
        <v>0.762719798520896</v>
      </c>
      <c r="AA40" s="37">
        <f>Y40</f>
        <v>7.476657851584549</v>
      </c>
      <c r="AB40" s="38">
        <f>Z40</f>
        <v>0.762719798520896</v>
      </c>
      <c r="AC40" s="37"/>
      <c r="AD40" s="36"/>
      <c r="AE40" s="15">
        <f>0.2*AA40/($D$89-T40)</f>
        <v>2.5419130218398453E-3</v>
      </c>
    </row>
    <row r="41" spans="1:31" s="5" customFormat="1" x14ac:dyDescent="0.3">
      <c r="A41" s="5">
        <v>255.2</v>
      </c>
      <c r="B41" s="5" t="s">
        <v>11</v>
      </c>
      <c r="C41" s="5">
        <v>100</v>
      </c>
      <c r="D41" s="5" t="s">
        <v>25</v>
      </c>
      <c r="E41" s="6">
        <v>45237.664155092592</v>
      </c>
      <c r="F41" s="49">
        <v>662.870814</v>
      </c>
      <c r="G41" s="49">
        <v>8049.5998129999998</v>
      </c>
      <c r="H41" s="49">
        <v>8344.7624510000005</v>
      </c>
      <c r="I41" s="50">
        <f t="shared" si="7"/>
        <v>1.0366679890748502</v>
      </c>
      <c r="J41" s="51">
        <v>3.4323410000000001</v>
      </c>
      <c r="K41" s="52">
        <v>3.4269409999999998</v>
      </c>
      <c r="L41" s="50">
        <f>(((E41-STDs!$F$13)/STDs!$E$13)*STDs!$G$14)+((1-((E41-STDs!$F$13)/STDs!$E$13)))*STDs!$G$13</f>
        <v>3.2673734306252773</v>
      </c>
      <c r="M41" s="50">
        <f>(((E41-STDs!$F$13)/STDs!$E$13)*STDs!$H$14)+((1-((E41-STDs!$F$13)/STDs!$E$13))*STDs!$H$13)</f>
        <v>4.9925858909962935E-2</v>
      </c>
      <c r="N41" s="50">
        <f>I41*L41</f>
        <v>3.3871814438829011</v>
      </c>
      <c r="O41" s="50">
        <f t="shared" ref="O41:P72" si="8">(M41/L41)*N41</f>
        <v>5.1756539759025971E-2</v>
      </c>
      <c r="P41" s="50">
        <f>(((E41-STDs!$F$13)/STDs!$E$13)*STDs!$I$14)+((1-((E41-STDs!$F$13)/STDs!$E$13))*STDs!$I$13)</f>
        <v>5.3780698147260809E-3</v>
      </c>
      <c r="Q41" s="50">
        <f>(((E41-STDs!$F$13)/STDs!$E$13)*STDs!$J$14)+((1-((E41-STDs!$F$13)/STDs!$E$13))*STDs!$J$13)</f>
        <v>3.7546429415234099E-4</v>
      </c>
      <c r="R41" s="50">
        <f t="shared" ref="R41:R72" si="9">N41-P41</f>
        <v>3.3818033740681752</v>
      </c>
      <c r="S41" s="50">
        <f t="shared" ref="S41:S72" si="10">(O41^2+Q41^2)^0.5</f>
        <v>5.1757901631188832E-2</v>
      </c>
      <c r="T41" s="51">
        <f t="shared" ref="T41:T72" si="11">R41+T40</f>
        <v>32.667647208542157</v>
      </c>
      <c r="U41" s="50">
        <f t="shared" ref="U41:U72" si="12">(S41^2+U40^2)^0.5</f>
        <v>0.16609476158757014</v>
      </c>
      <c r="V41" s="5">
        <f>((E41-E40)*24*3600)-(5*60)</f>
        <v>8417.0000002719462</v>
      </c>
      <c r="W41" s="7">
        <f>(0.000304*199000000000000000)*EXP(-(5580-680)/(1.987*(A41+273)))</f>
        <v>567698892732.06018</v>
      </c>
      <c r="X41" s="7"/>
      <c r="Y41" s="49"/>
      <c r="Z41" s="49"/>
      <c r="AA41" s="48">
        <f>AA40-R40</f>
        <v>7.4417886542843092</v>
      </c>
      <c r="AB41" s="47">
        <f>(AB40^2+S40^2)^0.5</f>
        <v>0.76272012272156542</v>
      </c>
      <c r="AC41" s="46">
        <f>R41+AA42-AA41</f>
        <v>0.60143930751904229</v>
      </c>
      <c r="AD41" s="45">
        <f>(S41^2+AB41^2+AB42^2)^0.5</f>
        <v>0.90195738458505448</v>
      </c>
      <c r="AE41" s="7">
        <f>0.2*AA41/($D$89-T41)</f>
        <v>2.5446869026430007E-3</v>
      </c>
    </row>
    <row r="42" spans="1:31" x14ac:dyDescent="0.3">
      <c r="A42">
        <v>37.1</v>
      </c>
      <c r="B42" t="s">
        <v>11</v>
      </c>
      <c r="C42">
        <v>15</v>
      </c>
      <c r="D42" t="s">
        <v>12</v>
      </c>
      <c r="E42" s="1">
        <v>45237.705046296294</v>
      </c>
      <c r="F42" s="31">
        <v>667.77361099999996</v>
      </c>
      <c r="G42" s="31">
        <v>7990.0754639999996</v>
      </c>
      <c r="H42" s="31">
        <v>91.577528999999998</v>
      </c>
      <c r="I42" s="32">
        <f t="shared" si="7"/>
        <v>1.1461409771736293E-2</v>
      </c>
      <c r="J42" s="33">
        <v>3.7943999999999999E-2</v>
      </c>
      <c r="K42" s="44">
        <v>3.2543000000000002E-2</v>
      </c>
      <c r="L42" s="32">
        <f>(((E42-STDs!$F$13)/STDs!$E$13)*STDs!$G$14)+((1-((E42-STDs!$F$13)/STDs!$E$13)))*STDs!$G$13</f>
        <v>3.2666757763974359</v>
      </c>
      <c r="M42" s="32">
        <f>(((E42-STDs!$F$13)/STDs!$E$13)*STDs!$H$14)+((1-((E42-STDs!$F$13)/STDs!$E$13))*STDs!$H$13)</f>
        <v>5.0597584124427504E-2</v>
      </c>
      <c r="N42" s="32">
        <f>I42*L42</f>
        <v>3.7440709664695815E-2</v>
      </c>
      <c r="O42" s="32">
        <f t="shared" si="8"/>
        <v>5.7991964510996255E-4</v>
      </c>
      <c r="P42" s="32">
        <f>(((E42-STDs!$F$13)/STDs!$E$13)*STDs!$I$14)+((1-((E42-STDs!$F$13)/STDs!$E$13))*STDs!$I$13)</f>
        <v>5.3776417745151055E-3</v>
      </c>
      <c r="Q42" s="32">
        <f>(((E42-STDs!$F$13)/STDs!$E$13)*STDs!$J$14)+((1-((E42-STDs!$F$13)/STDs!$E$13))*STDs!$J$13)</f>
        <v>3.7523894120707621E-4</v>
      </c>
      <c r="R42" s="32">
        <f t="shared" si="9"/>
        <v>3.2063067890180708E-2</v>
      </c>
      <c r="S42" s="32">
        <f t="shared" si="10"/>
        <v>6.9073226201088402E-4</v>
      </c>
      <c r="T42" s="33">
        <f t="shared" si="11"/>
        <v>32.699710276432334</v>
      </c>
      <c r="U42" s="32">
        <f t="shared" si="12"/>
        <v>0.16609619784296553</v>
      </c>
      <c r="V42">
        <f>((E42-E41)*24*3600)-(5*60)</f>
        <v>3232.9999998444691</v>
      </c>
      <c r="W42" s="4">
        <f>(0.000304*199000000000000000)*EXP(-(5580-680)/(1.987*(A42+273)))</f>
        <v>21284198349.863953</v>
      </c>
      <c r="X42" s="4">
        <f>1-EXP(-W42*$W$1*$F$1*(A42+273)*V42)</f>
        <v>6.9324772251370126E-3</v>
      </c>
      <c r="Y42" s="31">
        <f t="shared" si="1"/>
        <v>4.6250520339137529</v>
      </c>
      <c r="Z42" s="31">
        <f>(((S42/R42)*Y42)^2+(Y42*0.1)^2)^0.5</f>
        <v>0.47311586794774918</v>
      </c>
      <c r="AA42" s="43">
        <f>AA43+R42</f>
        <v>4.6614245877351763</v>
      </c>
      <c r="AB42" s="42">
        <f>(S42^2+AB43^2)^0.5</f>
        <v>0.47865045453007582</v>
      </c>
      <c r="AE42" s="4">
        <f>0.2*AA42/($D$89-T42)</f>
        <v>1.5940410215775911E-3</v>
      </c>
    </row>
    <row r="43" spans="1:31" s="13" customFormat="1" x14ac:dyDescent="0.3">
      <c r="A43" s="13">
        <v>23.6</v>
      </c>
      <c r="B43" s="13" t="s">
        <v>11</v>
      </c>
      <c r="C43" s="13">
        <v>15</v>
      </c>
      <c r="D43" s="13" t="s">
        <v>12</v>
      </c>
      <c r="E43" s="14">
        <v>45237.746064814812</v>
      </c>
      <c r="F43" s="38">
        <v>680.57895499999995</v>
      </c>
      <c r="G43" s="38">
        <v>7987.0825990000003</v>
      </c>
      <c r="H43" s="38">
        <v>65.659137000000001</v>
      </c>
      <c r="I43" s="39">
        <f t="shared" si="7"/>
        <v>8.2206658296260348E-3</v>
      </c>
      <c r="J43" s="40">
        <v>2.7213000000000001E-2</v>
      </c>
      <c r="K43" s="41">
        <v>2.1812999999999999E-2</v>
      </c>
      <c r="L43" s="39">
        <f>(((E43-STDs!$F$13)/STDs!$E$13)*STDs!$G$14)+((1-((E43-STDs!$F$13)/STDs!$E$13)))*STDs!$G$13</f>
        <v>3.265975950022256</v>
      </c>
      <c r="M43" s="39">
        <f>(((E43-STDs!$F$13)/STDs!$E$13)*STDs!$H$14)+((1-((E43-STDs!$F$13)/STDs!$E$13))*STDs!$H$13)</f>
        <v>5.1271400756213781E-2</v>
      </c>
      <c r="N43" s="39">
        <f>I43*L43</f>
        <v>2.6848496892728387E-2</v>
      </c>
      <c r="O43" s="39">
        <f t="shared" si="8"/>
        <v>4.2148505223366908E-4</v>
      </c>
      <c r="P43" s="39">
        <f>(((E43-STDs!$F$13)/STDs!$E$13)*STDs!$I$14)+((1-((E43-STDs!$F$13)/STDs!$E$13))*STDs!$I$13)</f>
        <v>5.377212401600379E-3</v>
      </c>
      <c r="Q43" s="39">
        <f>(((E43-STDs!$F$13)/STDs!$E$13)*STDs!$J$14)+((1-((E43-STDs!$F$13)/STDs!$E$13))*STDs!$J$13)</f>
        <v>3.7501288662512562E-4</v>
      </c>
      <c r="R43" s="39">
        <f t="shared" si="9"/>
        <v>2.1471284491128007E-2</v>
      </c>
      <c r="S43" s="39">
        <f t="shared" si="10"/>
        <v>5.6416692068157282E-4</v>
      </c>
      <c r="T43" s="40">
        <f t="shared" si="11"/>
        <v>32.721181560923462</v>
      </c>
      <c r="U43" s="39">
        <f t="shared" si="12"/>
        <v>0.16609715597265337</v>
      </c>
      <c r="V43" s="13">
        <f>((E43-E42)*24*3600)-(5*60)</f>
        <v>3243.9999999012798</v>
      </c>
      <c r="W43" s="15">
        <f>(0.000304*199000000000000000)*EXP(-(5580-680)/(1.987*(A43+273)))</f>
        <v>14820423493.51034</v>
      </c>
      <c r="X43" s="15">
        <f>1-EXP(-W43*$W$1*$F$1*(A43+273)*V43)</f>
        <v>4.6380660484357517E-3</v>
      </c>
      <c r="Y43" s="38">
        <f t="shared" si="1"/>
        <v>4.6293615198449958</v>
      </c>
      <c r="Z43" s="38">
        <f>(((S43/R43)*Y43)^2+(Y43*0.1)^2)^0.5</f>
        <v>0.47864995613787575</v>
      </c>
      <c r="AA43" s="37">
        <f>Y43</f>
        <v>4.6293615198449958</v>
      </c>
      <c r="AB43" s="38">
        <f>Z43</f>
        <v>0.47864995613787575</v>
      </c>
      <c r="AC43" s="37"/>
      <c r="AD43" s="36"/>
      <c r="AE43" s="15">
        <f>0.2*AA43/($D$89-T43)</f>
        <v>1.5831347156110699E-3</v>
      </c>
    </row>
    <row r="44" spans="1:31" s="5" customFormat="1" x14ac:dyDescent="0.3">
      <c r="A44" s="5">
        <v>300.3</v>
      </c>
      <c r="B44" s="5" t="s">
        <v>11</v>
      </c>
      <c r="C44" s="5">
        <v>60</v>
      </c>
      <c r="D44" s="5" t="s">
        <v>22</v>
      </c>
      <c r="E44" s="6">
        <v>45237.819097222222</v>
      </c>
      <c r="F44" s="49">
        <v>659.41702099999998</v>
      </c>
      <c r="G44" s="49">
        <v>8024.9565599999996</v>
      </c>
      <c r="H44" s="49">
        <v>9069.5688850000006</v>
      </c>
      <c r="I44" s="50">
        <f t="shared" si="7"/>
        <v>1.1301704647482853</v>
      </c>
      <c r="J44" s="51">
        <v>3.7419150000000001</v>
      </c>
      <c r="K44" s="52">
        <v>3.7365149999999998</v>
      </c>
      <c r="L44" s="50">
        <f>(((E44-STDs!$F$13)/STDs!$E$13)*STDs!$G$14)+((1-((E44-STDs!$F$13)/STDs!$E$13)))*STDs!$G$13</f>
        <v>3.2647299273282155</v>
      </c>
      <c r="M44" s="50">
        <f>(((E44-STDs!$F$13)/STDs!$E$13)*STDs!$H$14)+((1-((E44-STDs!$F$13)/STDs!$E$13))*STDs!$H$13)</f>
        <v>5.2471113777334821E-2</v>
      </c>
      <c r="N44" s="50">
        <f>I44*L44</f>
        <v>3.6897013392461653</v>
      </c>
      <c r="O44" s="50">
        <f t="shared" si="8"/>
        <v>5.9301303043590659E-2</v>
      </c>
      <c r="P44" s="50">
        <f>(((E44-STDs!$F$13)/STDs!$E$13)*STDs!$I$14)+((1-((E44-STDs!$F$13)/STDs!$E$13))*STDs!$I$13)</f>
        <v>5.3764479142719094E-3</v>
      </c>
      <c r="Q44" s="50">
        <f>(((E44-STDs!$F$13)/STDs!$E$13)*STDs!$J$14)+((1-((E44-STDs!$F$13)/STDs!$E$13))*STDs!$J$13)</f>
        <v>3.7461040231016993E-4</v>
      </c>
      <c r="R44" s="50">
        <f t="shared" si="9"/>
        <v>3.6843248913318933</v>
      </c>
      <c r="S44" s="50">
        <f t="shared" si="10"/>
        <v>5.9302486251600728E-2</v>
      </c>
      <c r="T44" s="51">
        <f t="shared" si="11"/>
        <v>36.405506452255352</v>
      </c>
      <c r="U44" s="50">
        <f t="shared" si="12"/>
        <v>0.17636623854305344</v>
      </c>
      <c r="V44" s="5">
        <f>((E44-E43)*24*3600)-(5*60)</f>
        <v>6010.0000002421439</v>
      </c>
      <c r="W44" s="7">
        <f>(0.000304*199000000000000000)*EXP(-(5580-680)/(1.987*(A44+273)))</f>
        <v>819642883937.08691</v>
      </c>
      <c r="X44" s="7"/>
      <c r="Y44" s="49"/>
      <c r="Z44" s="49"/>
      <c r="AA44" s="48">
        <f>AA43-R43</f>
        <v>4.6078902353538673</v>
      </c>
      <c r="AB44" s="47">
        <f>(AB43^2+S43^2)^0.5</f>
        <v>0.47865028861905518</v>
      </c>
      <c r="AC44" s="46">
        <f>R44+AA45-AA44</f>
        <v>6.6769386443019538</v>
      </c>
      <c r="AD44" s="45">
        <f>(S44^2+AB44^2+AB45^2)^0.5</f>
        <v>0.91078037198591966</v>
      </c>
      <c r="AE44" s="7">
        <f>0.2*AA44/($D$89-T44)</f>
        <v>1.5857820948319661E-3</v>
      </c>
    </row>
    <row r="45" spans="1:31" x14ac:dyDescent="0.3">
      <c r="A45">
        <v>36.299999999999997</v>
      </c>
      <c r="B45" t="s">
        <v>11</v>
      </c>
      <c r="C45">
        <v>15</v>
      </c>
      <c r="D45" t="s">
        <v>12</v>
      </c>
      <c r="E45" s="1">
        <v>45237.860023148147</v>
      </c>
      <c r="F45" s="31">
        <v>660.62233000000003</v>
      </c>
      <c r="G45" s="31">
        <v>7989.2975159999996</v>
      </c>
      <c r="H45" s="31">
        <v>139.97025600000001</v>
      </c>
      <c r="I45" s="32">
        <f t="shared" si="7"/>
        <v>1.7519720065460636E-2</v>
      </c>
      <c r="J45" s="33">
        <v>5.8001999999999998E-2</v>
      </c>
      <c r="K45" s="44">
        <v>5.2602000000000003E-2</v>
      </c>
      <c r="L45" s="32">
        <f>(((E45-STDs!$F$13)/STDs!$E$13)*STDs!$G$14)+((1-((E45-STDs!$F$13)/STDs!$E$13)))*STDs!$G$13</f>
        <v>3.2640316806965428</v>
      </c>
      <c r="M45" s="32">
        <f>(((E45-STDs!$F$13)/STDs!$E$13)*STDs!$H$14)+((1-((E45-STDs!$F$13)/STDs!$E$13))*STDs!$H$13)</f>
        <v>5.3143409378352532E-2</v>
      </c>
      <c r="N45" s="32">
        <f>I45*L45</f>
        <v>5.7184921330598423E-2</v>
      </c>
      <c r="O45" s="32">
        <f t="shared" si="8"/>
        <v>9.3105765563291179E-4</v>
      </c>
      <c r="P45" s="32">
        <f>(((E45-STDs!$F$13)/STDs!$E$13)*STDs!$I$14)+((1-((E45-STDs!$F$13)/STDs!$E$13))*STDs!$I$13)</f>
        <v>5.3760195105962676E-3</v>
      </c>
      <c r="Q45" s="32">
        <f>(((E45-STDs!$F$13)/STDs!$E$13)*STDs!$J$14)+((1-((E45-STDs!$F$13)/STDs!$E$13))*STDs!$J$13)</f>
        <v>3.7438485800944167E-4</v>
      </c>
      <c r="R45" s="32">
        <f t="shared" si="9"/>
        <v>5.1808901820002154E-2</v>
      </c>
      <c r="S45" s="32">
        <f t="shared" si="10"/>
        <v>1.0035100298549106E-3</v>
      </c>
      <c r="T45" s="33">
        <f t="shared" si="11"/>
        <v>36.457315354075355</v>
      </c>
      <c r="U45" s="32">
        <f t="shared" si="12"/>
        <v>0.17636909346652901</v>
      </c>
      <c r="V45">
        <f>((E45-E44)*24*3600)-(5*60)</f>
        <v>3235.9999999171123</v>
      </c>
      <c r="W45" s="4">
        <f>(0.000304*199000000000000000)*EXP(-(5580-680)/(1.987*(A45+273)))</f>
        <v>20850882042.20224</v>
      </c>
      <c r="X45" s="4">
        <f>1-EXP(-W45*$W$1*$F$1*(A45+273)*V45)</f>
        <v>6.7806247635601169E-3</v>
      </c>
      <c r="Y45" s="31">
        <f t="shared" si="1"/>
        <v>7.6407268690680761</v>
      </c>
      <c r="Z45" s="31">
        <f>(((S45/R45)*Y45)^2+(Y45*0.1)^2)^0.5</f>
        <v>0.77827378955507787</v>
      </c>
      <c r="AA45" s="43">
        <f>AA46+R45</f>
        <v>7.6005039883239283</v>
      </c>
      <c r="AB45" s="42">
        <f>(S45^2+AB46^2)^0.5</f>
        <v>0.77259174362924954</v>
      </c>
      <c r="AE45" s="4">
        <f>0.2*AA45/($D$89-T45)</f>
        <v>2.6159081715888145E-3</v>
      </c>
    </row>
    <row r="46" spans="1:31" s="13" customFormat="1" x14ac:dyDescent="0.3">
      <c r="A46" s="13">
        <v>23.6</v>
      </c>
      <c r="B46" s="13" t="s">
        <v>11</v>
      </c>
      <c r="C46" s="13">
        <v>15</v>
      </c>
      <c r="D46" s="13" t="s">
        <v>12</v>
      </c>
      <c r="E46" s="14">
        <v>45237.90116898148</v>
      </c>
      <c r="F46" s="38">
        <v>660.01648899999998</v>
      </c>
      <c r="G46" s="38">
        <v>7981.4367009999996</v>
      </c>
      <c r="H46" s="38">
        <v>99.067865999999995</v>
      </c>
      <c r="I46" s="39">
        <f t="shared" si="7"/>
        <v>1.2412284869413011E-2</v>
      </c>
      <c r="J46" s="40">
        <v>4.1091999999999997E-2</v>
      </c>
      <c r="K46" s="41">
        <v>3.5692000000000002E-2</v>
      </c>
      <c r="L46" s="39">
        <f>(((E46-STDs!$F$13)/STDs!$E$13)*STDs!$G$14)+((1-((E46-STDs!$F$13)/STDs!$E$13)))*STDs!$G$13</f>
        <v>3.2633296821740245</v>
      </c>
      <c r="M46" s="39">
        <f>(((E46-STDs!$F$13)/STDs!$E$13)*STDs!$H$14)+((1-((E46-STDs!$F$13)/STDs!$E$13))*STDs!$H$13)</f>
        <v>5.3819317427460517E-2</v>
      </c>
      <c r="N46" s="39">
        <f>I46*L46</f>
        <v>4.0505377637955017E-2</v>
      </c>
      <c r="O46" s="39">
        <f t="shared" si="8"/>
        <v>6.6802069938700422E-4</v>
      </c>
      <c r="P46" s="39">
        <f>(((E46-STDs!$F$13)/STDs!$E$13)*STDs!$I$14)+((1-((E46-STDs!$F$13)/STDs!$E$13))*STDs!$I$13)</f>
        <v>5.3755888049777925E-3</v>
      </c>
      <c r="Q46" s="39">
        <f>(((E46-STDs!$F$13)/STDs!$E$13)*STDs!$J$14)+((1-((E46-STDs!$F$13)/STDs!$E$13))*STDs!$J$13)</f>
        <v>3.7415810179080531E-4</v>
      </c>
      <c r="R46" s="39">
        <f t="shared" si="9"/>
        <v>3.5129788832977224E-2</v>
      </c>
      <c r="S46" s="39">
        <f t="shared" si="10"/>
        <v>7.6566699024131952E-4</v>
      </c>
      <c r="T46" s="40">
        <f t="shared" si="11"/>
        <v>36.492445142908331</v>
      </c>
      <c r="U46" s="39">
        <f t="shared" si="12"/>
        <v>0.17637075544473124</v>
      </c>
      <c r="V46" s="13">
        <f>((E46-E45)*24*3600)-(5*60)</f>
        <v>3254.9999999580905</v>
      </c>
      <c r="W46" s="15">
        <f>(0.000304*199000000000000000)*EXP(-(5580-680)/(1.987*(A46+273)))</f>
        <v>14820423493.51034</v>
      </c>
      <c r="X46" s="15">
        <f>1-EXP(-W46*$W$1*$F$1*(A46+273)*V46)</f>
        <v>4.6537565010122961E-3</v>
      </c>
      <c r="Y46" s="38">
        <f t="shared" si="1"/>
        <v>7.5486950865039262</v>
      </c>
      <c r="Z46" s="38">
        <f>(((S46/R46)*Y46)^2+(Y46*0.1)^2)^0.5</f>
        <v>0.77259109190548136</v>
      </c>
      <c r="AA46" s="37">
        <f>Y46</f>
        <v>7.5486950865039262</v>
      </c>
      <c r="AB46" s="38">
        <f>Z46</f>
        <v>0.77259109190548136</v>
      </c>
      <c r="AC46" s="37"/>
      <c r="AD46" s="36"/>
      <c r="AE46" s="15">
        <f>0.2*AA46/($D$89-T46)</f>
        <v>2.5982338845396947E-3</v>
      </c>
    </row>
    <row r="47" spans="1:31" s="5" customFormat="1" x14ac:dyDescent="0.3">
      <c r="A47" s="5">
        <v>300.2</v>
      </c>
      <c r="B47" s="5" t="s">
        <v>11</v>
      </c>
      <c r="C47" s="5">
        <v>120</v>
      </c>
      <c r="D47" s="5" t="s">
        <v>22</v>
      </c>
      <c r="E47" s="6">
        <v>45238.015868055554</v>
      </c>
      <c r="F47" s="49">
        <v>644.92271900000003</v>
      </c>
      <c r="G47" s="49">
        <v>7947.0694359999998</v>
      </c>
      <c r="H47" s="49">
        <v>23839.943576000001</v>
      </c>
      <c r="I47" s="50">
        <f t="shared" si="7"/>
        <v>2.9998408555493086</v>
      </c>
      <c r="J47" s="51">
        <v>9.9310369999999999</v>
      </c>
      <c r="K47" s="52">
        <v>9.925637</v>
      </c>
      <c r="L47" s="50">
        <f>(((E47-STDs!$F$13)/STDs!$E$13)*STDs!$G$14)+((1-((E47-STDs!$F$13)/STDs!$E$13)))*STDs!$G$13</f>
        <v>3.2613727749002526</v>
      </c>
      <c r="M47" s="50">
        <f>(((E47-STDs!$F$13)/STDs!$E$13)*STDs!$H$14)+((1-((E47-STDs!$F$13)/STDs!$E$13))*STDs!$H$13)</f>
        <v>5.5703494295747738E-2</v>
      </c>
      <c r="N47" s="50">
        <f>I47*L47</f>
        <v>9.7835992953219968</v>
      </c>
      <c r="O47" s="50">
        <f t="shared" si="8"/>
        <v>0.16710161798524192</v>
      </c>
      <c r="P47" s="50">
        <f>(((E47-STDs!$F$13)/STDs!$E$13)*STDs!$I$14)+((1-((E47-STDs!$F$13)/STDs!$E$13))*STDs!$I$13)</f>
        <v>5.3743881600610147E-3</v>
      </c>
      <c r="Q47" s="50">
        <f>(((E47-STDs!$F$13)/STDs!$E$13)*STDs!$J$14)+((1-((E47-STDs!$F$13)/STDs!$E$13))*STDs!$J$13)</f>
        <v>3.7352599092534247E-4</v>
      </c>
      <c r="R47" s="50">
        <f t="shared" si="9"/>
        <v>9.7782249071619365</v>
      </c>
      <c r="S47" s="50">
        <f t="shared" si="10"/>
        <v>0.16710203546022898</v>
      </c>
      <c r="T47" s="51">
        <f t="shared" si="11"/>
        <v>46.270670050070265</v>
      </c>
      <c r="U47" s="50">
        <f t="shared" si="12"/>
        <v>0.24296035403146912</v>
      </c>
      <c r="V47" s="5">
        <f>((E47-E46)*24*3600)-(5*60)</f>
        <v>9610.0000000325963</v>
      </c>
      <c r="W47" s="7">
        <f>(0.000304*199000000000000000)*EXP(-(5580-680)/(1.987*(A47+273)))</f>
        <v>819028030197.81494</v>
      </c>
      <c r="X47" s="7"/>
      <c r="Y47" s="49"/>
      <c r="Z47" s="49"/>
      <c r="AA47" s="48">
        <f>AA46-R46</f>
        <v>7.5135652976709491</v>
      </c>
      <c r="AB47" s="47">
        <f>(AB46^2+S46^2)^0.5</f>
        <v>0.77259147130785999</v>
      </c>
      <c r="AC47" s="46">
        <f>R47+AA48-AA47</f>
        <v>11.113966590277643</v>
      </c>
      <c r="AD47" s="45">
        <f>(S47^2+AB47^2+AB48^2)^0.5</f>
        <v>1.1975668729731148</v>
      </c>
      <c r="AE47" s="7">
        <f>0.2*AA47/($D$89-T47)</f>
        <v>2.6304072251704682E-3</v>
      </c>
    </row>
    <row r="48" spans="1:31" x14ac:dyDescent="0.3">
      <c r="A48">
        <v>35.700000000000003</v>
      </c>
      <c r="B48" t="s">
        <v>11</v>
      </c>
      <c r="C48">
        <v>15</v>
      </c>
      <c r="D48" t="s">
        <v>12</v>
      </c>
      <c r="E48" s="1">
        <v>45238.056875000002</v>
      </c>
      <c r="F48" s="31">
        <v>629.12394200000006</v>
      </c>
      <c r="G48" s="31">
        <v>8018.0122709999996</v>
      </c>
      <c r="H48" s="31">
        <v>159.47943699999999</v>
      </c>
      <c r="I48" s="32">
        <f t="shared" si="7"/>
        <v>1.9890146286856435E-2</v>
      </c>
      <c r="J48" s="33">
        <v>6.5850000000000006E-2</v>
      </c>
      <c r="K48" s="44">
        <v>6.0449999999999997E-2</v>
      </c>
      <c r="L48" s="32">
        <f>(((E48-STDs!$F$13)/STDs!$E$13)*STDs!$G$14)+((1-((E48-STDs!$F$13)/STDs!$E$13)))*STDs!$G$13</f>
        <v>3.260673145992933</v>
      </c>
      <c r="M48" s="32">
        <f>(((E48-STDs!$F$13)/STDs!$E$13)*STDs!$H$14)+((1-((E48-STDs!$F$13)/STDs!$E$13))*STDs!$H$13)</f>
        <v>5.6377120798762656E-2</v>
      </c>
      <c r="N48" s="32">
        <f>I48*L48</f>
        <v>6.4855265867423822E-2</v>
      </c>
      <c r="O48" s="32">
        <f t="shared" si="8"/>
        <v>1.1213491799191657E-3</v>
      </c>
      <c r="P48" s="32">
        <f>(((E48-STDs!$F$13)/STDs!$E$13)*STDs!$I$14)+((1-((E48-STDs!$F$13)/STDs!$E$13))*STDs!$I$13)</f>
        <v>5.373958908301126E-3</v>
      </c>
      <c r="Q48" s="32">
        <f>(((E48-STDs!$F$13)/STDs!$E$13)*STDs!$J$14)+((1-((E48-STDs!$F$13)/STDs!$E$13))*STDs!$J$13)</f>
        <v>3.7330000012851956E-4</v>
      </c>
      <c r="R48" s="32">
        <f t="shared" si="9"/>
        <v>5.9481306959122696E-2</v>
      </c>
      <c r="S48" s="32">
        <f t="shared" si="10"/>
        <v>1.1818531522153411E-3</v>
      </c>
      <c r="T48" s="33">
        <f t="shared" si="11"/>
        <v>46.330151357029386</v>
      </c>
      <c r="U48" s="32">
        <f t="shared" si="12"/>
        <v>0.2429632285099336</v>
      </c>
      <c r="V48">
        <f>((E48-E47)*24*3600)-(5*60)</f>
        <v>3243.0000002961606</v>
      </c>
      <c r="W48" s="4">
        <f>(0.000304*199000000000000000)*EXP(-(5580-680)/(1.987*(A48+273)))</f>
        <v>20530257565.267223</v>
      </c>
      <c r="X48" s="4">
        <f>1-EXP(-W48*$W$1*$F$1*(A48+273)*V48)</f>
        <v>6.6781658034605895E-3</v>
      </c>
      <c r="Y48" s="31">
        <f t="shared" si="1"/>
        <v>8.9068329103628727</v>
      </c>
      <c r="Z48" s="31">
        <f>(((S48/R48)*Y48)^2+(Y48*0.1)^2)^0.5</f>
        <v>0.90809474603689833</v>
      </c>
      <c r="AA48" s="43">
        <f>AA49+R48</f>
        <v>8.8493069807866558</v>
      </c>
      <c r="AB48" s="42">
        <f>(S48^2+AB49^2)^0.5</f>
        <v>0.89963645071218012</v>
      </c>
      <c r="AE48" s="4">
        <f>0.2*AA48/($D$89-T48)</f>
        <v>3.0983566313777505E-3</v>
      </c>
    </row>
    <row r="49" spans="1:31" s="13" customFormat="1" x14ac:dyDescent="0.3">
      <c r="A49" s="13">
        <v>23.6</v>
      </c>
      <c r="B49" s="13" t="s">
        <v>11</v>
      </c>
      <c r="C49" s="13">
        <v>15</v>
      </c>
      <c r="D49" s="13" t="s">
        <v>12</v>
      </c>
      <c r="E49" s="14">
        <v>45238.097986111112</v>
      </c>
      <c r="F49" s="38">
        <v>644.42404699999997</v>
      </c>
      <c r="G49" s="38">
        <v>8011.6939869999997</v>
      </c>
      <c r="H49" s="38">
        <v>113.643236</v>
      </c>
      <c r="I49" s="39">
        <f t="shared" si="7"/>
        <v>1.4184670081558371E-2</v>
      </c>
      <c r="J49" s="40">
        <v>4.6961000000000003E-2</v>
      </c>
      <c r="K49" s="41">
        <v>4.1561000000000001E-2</v>
      </c>
      <c r="L49" s="39">
        <f>(((E49-STDs!$F$13)/STDs!$E$13)*STDs!$G$14)+((1-((E49-STDs!$F$13)/STDs!$E$13)))*STDs!$G$13</f>
        <v>3.2599717398742456</v>
      </c>
      <c r="M49" s="39">
        <f>(((E49-STDs!$F$13)/STDs!$E$13)*STDs!$H$14)+((1-((E49-STDs!$F$13)/STDs!$E$13))*STDs!$H$13)</f>
        <v>5.7052458461317478E-2</v>
      </c>
      <c r="N49" s="39">
        <f>I49*L49</f>
        <v>4.6241623605319998E-2</v>
      </c>
      <c r="O49" s="39">
        <f t="shared" si="8"/>
        <v>8.0927030061560181E-4</v>
      </c>
      <c r="P49" s="39">
        <f>(((E49-STDs!$F$13)/STDs!$E$13)*STDs!$I$14)+((1-((E49-STDs!$F$13)/STDs!$E$13))*STDs!$I$13)</f>
        <v>5.3735285661473172E-3</v>
      </c>
      <c r="Q49" s="39">
        <f>(((E49-STDs!$F$13)/STDs!$E$13)*STDs!$J$14)+((1-((E49-STDs!$F$13)/STDs!$E$13))*STDs!$J$13)</f>
        <v>3.7307343526534658E-4</v>
      </c>
      <c r="R49" s="39">
        <f t="shared" si="9"/>
        <v>4.0868095039172679E-2</v>
      </c>
      <c r="S49" s="39">
        <f t="shared" si="10"/>
        <v>8.9112412578672411E-4</v>
      </c>
      <c r="T49" s="40">
        <f t="shared" si="11"/>
        <v>46.371019452068559</v>
      </c>
      <c r="U49" s="39">
        <f t="shared" si="12"/>
        <v>0.24296486270688972</v>
      </c>
      <c r="V49" s="13">
        <f>((E49-E48)*24*3600)-(5*60)</f>
        <v>3251.9999998854473</v>
      </c>
      <c r="W49" s="15">
        <f>(0.000304*199000000000000000)*EXP(-(5580-680)/(1.987*(A49+273)))</f>
        <v>14820423493.51034</v>
      </c>
      <c r="X49" s="15">
        <f>1-EXP(-W49*$W$1*$F$1*(A49+273)*V49)</f>
        <v>4.6494773111213084E-3</v>
      </c>
      <c r="Y49" s="38">
        <f t="shared" si="1"/>
        <v>8.7898256738275329</v>
      </c>
      <c r="Z49" s="38">
        <f>(((S49/R49)*Y49)^2+(Y49*0.1)^2)^0.5</f>
        <v>0.89963567441111159</v>
      </c>
      <c r="AA49" s="37">
        <f>Y49</f>
        <v>8.7898256738275329</v>
      </c>
      <c r="AB49" s="38">
        <f>Z49</f>
        <v>0.89963567441111159</v>
      </c>
      <c r="AC49" s="37"/>
      <c r="AD49" s="36"/>
      <c r="AE49" s="15">
        <f>0.2*AA49/($D$89-T49)</f>
        <v>3.0777509819657901E-3</v>
      </c>
    </row>
    <row r="50" spans="1:31" s="5" customFormat="1" x14ac:dyDescent="0.3">
      <c r="A50" s="5">
        <v>300.10000000000002</v>
      </c>
      <c r="B50" s="5" t="s">
        <v>11</v>
      </c>
      <c r="C50" s="5">
        <v>180</v>
      </c>
      <c r="D50" s="5" t="s">
        <v>22</v>
      </c>
      <c r="E50" s="6">
        <v>45238.254374999997</v>
      </c>
      <c r="F50" s="49">
        <v>616.69094600000005</v>
      </c>
      <c r="G50" s="49">
        <v>7860.1680690000003</v>
      </c>
      <c r="H50" s="49">
        <v>35191.554955</v>
      </c>
      <c r="I50" s="50">
        <f t="shared" si="7"/>
        <v>4.4772013328561302</v>
      </c>
      <c r="J50" s="51">
        <v>14.822400999999999</v>
      </c>
      <c r="K50" s="52">
        <v>14.817000999999999</v>
      </c>
      <c r="L50" s="50">
        <f>(((E50-STDs!$F$13)/STDs!$E$13)*STDs!$G$14)+((1-((E50-STDs!$F$13)/STDs!$E$13)))*STDs!$G$13</f>
        <v>3.2573035530848946</v>
      </c>
      <c r="M50" s="50">
        <f>(((E50-STDs!$F$13)/STDs!$E$13)*STDs!$H$14)+((1-((E50-STDs!$F$13)/STDs!$E$13))*STDs!$H$13)</f>
        <v>5.9621479434433161E-2</v>
      </c>
      <c r="N50" s="50">
        <f>I50*L50</f>
        <v>14.583603809388698</v>
      </c>
      <c r="O50" s="50">
        <f t="shared" si="8"/>
        <v>0.26693736719069849</v>
      </c>
      <c r="P50" s="50">
        <f>(((E50-STDs!$F$13)/STDs!$E$13)*STDs!$I$14)+((1-((E50-STDs!$F$13)/STDs!$E$13))*STDs!$I$13)</f>
        <v>5.37189152133248E-3</v>
      </c>
      <c r="Q50" s="50">
        <f>(((E50-STDs!$F$13)/STDs!$E$13)*STDs!$J$14)+((1-((E50-STDs!$F$13)/STDs!$E$13))*STDs!$J$13)</f>
        <v>3.7221157027908096E-4</v>
      </c>
      <c r="R50" s="50">
        <f t="shared" si="9"/>
        <v>14.578231917867367</v>
      </c>
      <c r="S50" s="50">
        <f t="shared" si="10"/>
        <v>0.26693762669236953</v>
      </c>
      <c r="T50" s="51">
        <f t="shared" si="11"/>
        <v>60.949251369935922</v>
      </c>
      <c r="U50" s="50">
        <f t="shared" si="12"/>
        <v>0.36095376581264893</v>
      </c>
      <c r="V50" s="5">
        <f>((E50-E49)*24*3600)-(5*60)</f>
        <v>13211.99999966193</v>
      </c>
      <c r="W50" s="7">
        <f>(0.000304*199000000000000000)*EXP(-(5580-680)/(1.987*(A50+273)))</f>
        <v>818413423360.28638</v>
      </c>
      <c r="X50" s="7"/>
      <c r="Y50" s="49"/>
      <c r="Z50" s="49"/>
      <c r="AA50" s="48">
        <f>AA49-R49</f>
        <v>8.7489575787883602</v>
      </c>
      <c r="AB50" s="47">
        <f>(AB49^2+S49^2)^0.5</f>
        <v>0.8996361157575562</v>
      </c>
      <c r="AC50" s="46">
        <f>R50+AA51-AA50</f>
        <v>13.792105763034851</v>
      </c>
      <c r="AD50" s="45">
        <f>(S50^2+AB50^2+AB51^2)^0.5</f>
        <v>1.2412315132789731</v>
      </c>
      <c r="AE50" s="7">
        <f>0.2*AA50/($D$89-T50)</f>
        <v>3.1436764287610733E-3</v>
      </c>
    </row>
    <row r="51" spans="1:31" x14ac:dyDescent="0.3">
      <c r="A51">
        <v>35.9</v>
      </c>
      <c r="B51" t="s">
        <v>11</v>
      </c>
      <c r="C51">
        <v>15</v>
      </c>
      <c r="D51" t="s">
        <v>12</v>
      </c>
      <c r="E51" s="1">
        <v>45238.295474537037</v>
      </c>
      <c r="F51" s="31">
        <v>596.74942599999997</v>
      </c>
      <c r="G51" s="31">
        <v>7979.9497110000002</v>
      </c>
      <c r="H51" s="31">
        <v>147.12985499999999</v>
      </c>
      <c r="I51" s="32">
        <f t="shared" si="7"/>
        <v>1.8437441378507453E-2</v>
      </c>
      <c r="J51" s="33">
        <v>6.1040999999999998E-2</v>
      </c>
      <c r="K51" s="44">
        <v>5.5641000000000003E-2</v>
      </c>
      <c r="L51" s="32">
        <f>(((E51-STDs!$F$13)/STDs!$E$13)*STDs!$G$14)+((1-((E51-STDs!$F$13)/STDs!$E$13)))*STDs!$G$13</f>
        <v>3.2566023444340675</v>
      </c>
      <c r="M51" s="32">
        <f>(((E51-STDs!$F$13)/STDs!$E$13)*STDs!$H$14)+((1-((E51-STDs!$F$13)/STDs!$E$13))*STDs!$H$13)</f>
        <v>6.0296626968216617E-2</v>
      </c>
      <c r="N51" s="32">
        <f>I51*L51</f>
        <v>6.0043414818613056E-2</v>
      </c>
      <c r="O51" s="32">
        <f t="shared" si="8"/>
        <v>1.1117155250482255E-3</v>
      </c>
      <c r="P51" s="32">
        <f>(((E51-STDs!$F$13)/STDs!$E$13)*STDs!$I$14)+((1-((E51-STDs!$F$13)/STDs!$E$13))*STDs!$I$13)</f>
        <v>5.3714613003335082E-3</v>
      </c>
      <c r="Q51" s="32">
        <f>(((E51-STDs!$F$13)/STDs!$E$13)*STDs!$J$14)+((1-((E51-STDs!$F$13)/STDs!$E$13))*STDs!$J$13)</f>
        <v>3.7198506920103571E-4</v>
      </c>
      <c r="R51" s="32">
        <f t="shared" si="9"/>
        <v>5.4671953518279547E-2</v>
      </c>
      <c r="S51" s="32">
        <f t="shared" si="10"/>
        <v>1.1722987248742323E-3</v>
      </c>
      <c r="T51" s="33">
        <f t="shared" si="11"/>
        <v>61.003923323454202</v>
      </c>
      <c r="U51" s="32">
        <f t="shared" si="12"/>
        <v>0.36095566949229785</v>
      </c>
      <c r="V51">
        <f>((E51-E50)*24*3600)-(5*60)</f>
        <v>3251.0000002803281</v>
      </c>
      <c r="W51" s="4">
        <f>(0.000304*199000000000000000)*EXP(-(5580-680)/(1.987*(A51+273)))</f>
        <v>20636718843.809963</v>
      </c>
      <c r="X51" s="4">
        <f>1-EXP(-W51*$W$1*$F$1*(A51+273)*V51)</f>
        <v>6.7335277951408035E-3</v>
      </c>
      <c r="Y51" s="31">
        <f t="shared" si="1"/>
        <v>8.1193625661919935</v>
      </c>
      <c r="Z51" s="31">
        <f>(((S51/R51)*Y51)^2+(Y51*0.1)^2)^0.5</f>
        <v>0.83039199003593656</v>
      </c>
      <c r="AA51" s="43">
        <f>AA52+R51</f>
        <v>7.9628314239558424</v>
      </c>
      <c r="AB51" s="42">
        <f>(S51^2+AB52^2)^0.5</f>
        <v>0.81243758667193111</v>
      </c>
      <c r="AE51" s="4">
        <f>0.2*AA51/($D$89-T51)</f>
        <v>2.8614865554023048E-3</v>
      </c>
    </row>
    <row r="52" spans="1:31" s="13" customFormat="1" x14ac:dyDescent="0.3">
      <c r="A52" s="13">
        <v>23.6</v>
      </c>
      <c r="B52" s="13" t="s">
        <v>11</v>
      </c>
      <c r="C52" s="13">
        <v>15</v>
      </c>
      <c r="D52" s="13" t="s">
        <v>12</v>
      </c>
      <c r="E52" s="14">
        <v>45238.33766203704</v>
      </c>
      <c r="F52" s="38">
        <v>618.016525</v>
      </c>
      <c r="G52" s="38">
        <v>8003.2996000000003</v>
      </c>
      <c r="H52" s="38">
        <v>106.162623</v>
      </c>
      <c r="I52" s="39">
        <f t="shared" si="7"/>
        <v>1.3264856784819101E-2</v>
      </c>
      <c r="J52" s="40">
        <v>4.3915999999999997E-2</v>
      </c>
      <c r="K52" s="41">
        <v>3.8516000000000002E-2</v>
      </c>
      <c r="L52" s="39">
        <f>(((E52-STDs!$F$13)/STDs!$E$13)*STDs!$G$14)+((1-((E52-STDs!$F$13)/STDs!$E$13)))*STDs!$G$13</f>
        <v>3.2558825737969972</v>
      </c>
      <c r="M52" s="39">
        <f>(((E52-STDs!$F$13)/STDs!$E$13)*STDs!$H$14)+((1-((E52-STDs!$F$13)/STDs!$E$13))*STDs!$H$13)</f>
        <v>6.098964661356053E-2</v>
      </c>
      <c r="N52" s="39">
        <f>I52*L52</f>
        <v>4.3188816049605373E-2</v>
      </c>
      <c r="O52" s="39">
        <f t="shared" si="8"/>
        <v>8.0901892768560769E-4</v>
      </c>
      <c r="P52" s="39">
        <f>(((E52-STDs!$F$13)/STDs!$E$13)*STDs!$I$14)+((1-((E52-STDs!$F$13)/STDs!$E$13))*STDs!$I$13)</f>
        <v>5.3710196907752897E-3</v>
      </c>
      <c r="Q52" s="39">
        <f>(((E52-STDs!$F$13)/STDs!$E$13)*STDs!$J$14)+((1-((E52-STDs!$F$13)/STDs!$E$13))*STDs!$J$13)</f>
        <v>3.7175257231861762E-4</v>
      </c>
      <c r="R52" s="39">
        <f t="shared" si="9"/>
        <v>3.7817796358830084E-2</v>
      </c>
      <c r="S52" s="39">
        <f t="shared" si="10"/>
        <v>8.903435294194481E-4</v>
      </c>
      <c r="T52" s="40">
        <f t="shared" si="11"/>
        <v>61.041741119813032</v>
      </c>
      <c r="U52" s="39">
        <f t="shared" si="12"/>
        <v>0.36095676756397482</v>
      </c>
      <c r="V52" s="13">
        <f>((E52-E51)*24*3600)-(5*60)</f>
        <v>3345.0000002514571</v>
      </c>
      <c r="W52" s="15">
        <f>(0.000304*199000000000000000)*EXP(-(5580-680)/(1.987*(A52+273)))</f>
        <v>14820423493.51034</v>
      </c>
      <c r="X52" s="15">
        <f>1-EXP(-W52*$W$1*$F$1*(A52+273)*V52)</f>
        <v>4.7821236408043255E-3</v>
      </c>
      <c r="Y52" s="38">
        <f t="shared" si="1"/>
        <v>7.9081594704375631</v>
      </c>
      <c r="Z52" s="38">
        <f>(((S52/R52)*Y52)^2+(Y52*0.1)^2)^0.5</f>
        <v>0.81243674089310558</v>
      </c>
      <c r="AA52" s="37">
        <f>Y52</f>
        <v>7.9081594704375631</v>
      </c>
      <c r="AB52" s="38">
        <f>Z52</f>
        <v>0.81243674089310558</v>
      </c>
      <c r="AC52" s="37"/>
      <c r="AD52" s="36"/>
      <c r="AE52" s="15">
        <f>0.2*AA52/($D$89-T52)</f>
        <v>2.84203300966638E-3</v>
      </c>
    </row>
    <row r="53" spans="1:31" s="5" customFormat="1" x14ac:dyDescent="0.3">
      <c r="A53" s="5">
        <v>320.3</v>
      </c>
      <c r="B53" s="5" t="s">
        <v>11</v>
      </c>
      <c r="C53" s="5">
        <v>60</v>
      </c>
      <c r="D53" s="5" t="s">
        <v>26</v>
      </c>
      <c r="E53" s="6">
        <v>45238.410983796297</v>
      </c>
      <c r="F53" s="49">
        <v>636.20769399999995</v>
      </c>
      <c r="G53" s="49">
        <v>7948.1648580000001</v>
      </c>
      <c r="H53" s="49">
        <v>18313.281958</v>
      </c>
      <c r="I53" s="50">
        <f t="shared" si="7"/>
        <v>2.3040893445443933</v>
      </c>
      <c r="J53" s="51">
        <v>7.6285959999999999</v>
      </c>
      <c r="K53" s="52">
        <v>7.6231960000000001</v>
      </c>
      <c r="L53" s="50">
        <f>(((E53-STDs!$F$13)/STDs!$E$13)*STDs!$G$14)+((1-((E53-STDs!$F$13)/STDs!$E$13)))*STDs!$G$13</f>
        <v>3.2546316144045742</v>
      </c>
      <c r="M53" s="50">
        <f>(((E53-STDs!$F$13)/STDs!$E$13)*STDs!$H$14)+((1-((E53-STDs!$F$13)/STDs!$E$13))*STDs!$H$13)</f>
        <v>6.2194112855758613E-2</v>
      </c>
      <c r="N53" s="50">
        <f>I53*L53</f>
        <v>7.4989620231668956</v>
      </c>
      <c r="O53" s="50">
        <f t="shared" si="8"/>
        <v>0.1433007927243449</v>
      </c>
      <c r="P53" s="50">
        <f>(((E53-STDs!$F$13)/STDs!$E$13)*STDs!$I$14)+((1-((E53-STDs!$F$13)/STDs!$E$13))*STDs!$I$13)</f>
        <v>5.3702521745747321E-3</v>
      </c>
      <c r="Q53" s="50">
        <f>(((E53-STDs!$F$13)/STDs!$E$13)*STDs!$J$14)+((1-((E53-STDs!$F$13)/STDs!$E$13))*STDs!$J$13)</f>
        <v>3.7134849337486719E-4</v>
      </c>
      <c r="R53" s="50">
        <f t="shared" si="9"/>
        <v>7.493591770992321</v>
      </c>
      <c r="S53" s="50">
        <f t="shared" si="10"/>
        <v>0.14330127387824992</v>
      </c>
      <c r="T53" s="51">
        <f t="shared" si="11"/>
        <v>68.53533289080535</v>
      </c>
      <c r="U53" s="50">
        <f t="shared" si="12"/>
        <v>0.38836200013050004</v>
      </c>
      <c r="V53" s="5">
        <f>((E53-E52)*24*3600)-(5*60)</f>
        <v>6034.9999997997656</v>
      </c>
      <c r="W53" s="7">
        <f>(0.000304*199000000000000000)*EXP(-(5580-680)/(1.987*(A53+273)))</f>
        <v>947540846265.11804</v>
      </c>
      <c r="X53" s="7"/>
      <c r="Y53" s="49"/>
      <c r="Z53" s="49"/>
      <c r="AA53" s="48">
        <f>AA52-R52</f>
        <v>7.8703416740787331</v>
      </c>
      <c r="AB53" s="47">
        <f>(AB52^2+S52^2)^0.5</f>
        <v>0.81243722875346591</v>
      </c>
      <c r="AC53" s="46">
        <f>R53+AA54-AA53</f>
        <v>11.358315176506476</v>
      </c>
      <c r="AD53" s="45">
        <f>(S53^2+AB53^2+AB54^2)^0.5</f>
        <v>1.4517859610795756</v>
      </c>
      <c r="AE53" s="7">
        <f>0.2*AA53/($D$89-T53)</f>
        <v>2.8670475067975542E-3</v>
      </c>
    </row>
    <row r="54" spans="1:31" x14ac:dyDescent="0.3">
      <c r="A54">
        <v>36.9</v>
      </c>
      <c r="B54" t="s">
        <v>11</v>
      </c>
      <c r="C54">
        <v>15</v>
      </c>
      <c r="D54" t="s">
        <v>12</v>
      </c>
      <c r="E54" s="1">
        <v>45238.452106481483</v>
      </c>
      <c r="F54" s="31">
        <v>615.39965900000004</v>
      </c>
      <c r="G54" s="31">
        <v>7997.7974750000003</v>
      </c>
      <c r="H54" s="31">
        <v>212.99306000000001</v>
      </c>
      <c r="I54" s="32">
        <f t="shared" si="7"/>
        <v>2.6631464558309538E-2</v>
      </c>
      <c r="J54" s="33">
        <v>8.8169999999999998E-2</v>
      </c>
      <c r="K54" s="44">
        <v>8.2769999999999996E-2</v>
      </c>
      <c r="L54" s="32">
        <f>(((E54-STDs!$F$13)/STDs!$E$13)*STDs!$G$14)+((1-((E54-STDs!$F$13)/STDs!$E$13)))*STDs!$G$13</f>
        <v>3.2539300108179012</v>
      </c>
      <c r="M54" s="32">
        <f>(((E54-STDs!$F$13)/STDs!$E$13)*STDs!$H$14)+((1-((E54-STDs!$F$13)/STDs!$E$13))*STDs!$H$13)</f>
        <v>6.2869640647204336E-2</v>
      </c>
      <c r="N54" s="32">
        <f>I54*L54</f>
        <v>8.6656921758316713E-2</v>
      </c>
      <c r="O54" s="32">
        <f t="shared" si="8"/>
        <v>1.6743106066896792E-3</v>
      </c>
      <c r="P54" s="32">
        <f>(((E54-STDs!$F$13)/STDs!$E$13)*STDs!$I$14)+((1-((E54-STDs!$F$13)/STDs!$E$13))*STDs!$I$13)</f>
        <v>5.3698217112660099E-3</v>
      </c>
      <c r="Q54" s="32">
        <f>(((E54-STDs!$F$13)/STDs!$E$13)*STDs!$J$14)+((1-((E54-STDs!$F$13)/STDs!$E$13))*STDs!$J$13)</f>
        <v>3.7112186472652625E-4</v>
      </c>
      <c r="R54" s="32">
        <f t="shared" si="9"/>
        <v>8.1287100047050698E-2</v>
      </c>
      <c r="S54" s="32">
        <f t="shared" si="10"/>
        <v>1.7149482342483857E-3</v>
      </c>
      <c r="T54" s="33">
        <f t="shared" si="11"/>
        <v>68.616619990852399</v>
      </c>
      <c r="U54" s="32">
        <f t="shared" si="12"/>
        <v>0.38836578658889187</v>
      </c>
      <c r="V54">
        <f>((E54-E53)*24*3600)-(5*60)</f>
        <v>3253.0000001192093</v>
      </c>
      <c r="W54" s="4">
        <f>(0.000304*199000000000000000)*EXP(-(5580-680)/(1.987*(A54+273)))</f>
        <v>21175243091.75367</v>
      </c>
      <c r="X54" s="4">
        <f>1-EXP(-W54*$W$1*$F$1*(A54+273)*V54)</f>
        <v>6.9351704456399599E-3</v>
      </c>
      <c r="Y54" s="31">
        <f t="shared" si="1"/>
        <v>11.720995278227763</v>
      </c>
      <c r="Z54" s="31">
        <f>(((S54/R54)*Y54)^2+(Y54*0.1)^2)^0.5</f>
        <v>1.1979006957519629</v>
      </c>
      <c r="AA54" s="43">
        <f>AA55+R54</f>
        <v>11.735065079592889</v>
      </c>
      <c r="AB54" s="42">
        <f>(S54^2+AB55^2)^0.5</f>
        <v>1.1946099660675888</v>
      </c>
      <c r="AE54" s="4">
        <f>0.2*AA54/($D$89-T54)</f>
        <v>4.2755413464405983E-3</v>
      </c>
    </row>
    <row r="55" spans="1:31" s="13" customFormat="1" x14ac:dyDescent="0.3">
      <c r="A55" s="13">
        <v>23.5</v>
      </c>
      <c r="B55" s="13" t="s">
        <v>11</v>
      </c>
      <c r="C55" s="13">
        <v>15</v>
      </c>
      <c r="D55" s="13" t="s">
        <v>12</v>
      </c>
      <c r="E55" s="14">
        <v>45238.493298611109</v>
      </c>
      <c r="F55" s="38">
        <v>624.21615299999996</v>
      </c>
      <c r="G55" s="38">
        <v>7990.6249079999998</v>
      </c>
      <c r="H55" s="38">
        <v>146.14432300000001</v>
      </c>
      <c r="I55" s="39">
        <f t="shared" si="7"/>
        <v>1.8289473562159604E-2</v>
      </c>
      <c r="J55" s="40">
        <v>6.0552000000000002E-2</v>
      </c>
      <c r="K55" s="41">
        <v>5.5152E-2</v>
      </c>
      <c r="L55" s="39">
        <f>(((E55-STDs!$F$13)/STDs!$E$13)*STDs!$G$14)+((1-((E55-STDs!$F$13)/STDs!$E$13)))*STDs!$G$13</f>
        <v>3.2532272224236913</v>
      </c>
      <c r="M55" s="39">
        <f>(((E55-STDs!$F$13)/STDs!$E$13)*STDs!$H$14)+((1-((E55-STDs!$F$13)/STDs!$E$13))*STDs!$H$13)</f>
        <v>6.3546309211636842E-2</v>
      </c>
      <c r="N55" s="39">
        <f>I55*L55</f>
        <v>5.9499813276216028E-2</v>
      </c>
      <c r="O55" s="39">
        <f t="shared" si="8"/>
        <v>1.1622285422990513E-3</v>
      </c>
      <c r="P55" s="39">
        <f>(((E55-STDs!$F$13)/STDs!$E$13)*STDs!$I$14)+((1-((E55-STDs!$F$13)/STDs!$E$13))*STDs!$I$13)</f>
        <v>5.3693905210280314E-3</v>
      </c>
      <c r="Q55" s="39">
        <f>(((E55-STDs!$F$13)/STDs!$E$13)*STDs!$J$14)+((1-((E55-STDs!$F$13)/STDs!$E$13))*STDs!$J$13)</f>
        <v>3.7089485336729879E-4</v>
      </c>
      <c r="R55" s="39">
        <f t="shared" si="9"/>
        <v>5.4130422755187993E-2</v>
      </c>
      <c r="S55" s="39">
        <f t="shared" si="10"/>
        <v>1.2199746623552997E-3</v>
      </c>
      <c r="T55" s="40">
        <f t="shared" si="11"/>
        <v>68.670750413607593</v>
      </c>
      <c r="U55" s="39">
        <f t="shared" si="12"/>
        <v>0.38836770273927967</v>
      </c>
      <c r="V55" s="13">
        <f>((E55-E54)*24*3600)-(5*60)</f>
        <v>3258.9999996358529</v>
      </c>
      <c r="W55" s="15">
        <f>(0.000304*199000000000000000)*EXP(-(5580-680)/(1.987*(A55+273)))</f>
        <v>14778922909.376841</v>
      </c>
      <c r="X55" s="15">
        <f>1-EXP(-W55*$W$1*$F$1*(A55+273)*V55)</f>
        <v>4.6448819301513344E-3</v>
      </c>
      <c r="Y55" s="38">
        <f t="shared" si="1"/>
        <v>11.653777979545838</v>
      </c>
      <c r="Z55" s="38">
        <f>(((S55/R55)*Y55)^2+(Y55*0.1)^2)^0.5</f>
        <v>1.194608735101397</v>
      </c>
      <c r="AA55" s="37">
        <f>Y55</f>
        <v>11.653777979545838</v>
      </c>
      <c r="AB55" s="38">
        <f>Z55</f>
        <v>1.194608735101397</v>
      </c>
      <c r="AC55" s="37"/>
      <c r="AD55" s="36"/>
      <c r="AE55" s="15">
        <f>0.2*AA55/($D$89-T55)</f>
        <v>4.2463440175619363E-3</v>
      </c>
    </row>
    <row r="56" spans="1:31" s="5" customFormat="1" x14ac:dyDescent="0.3">
      <c r="A56" s="5">
        <v>330.4</v>
      </c>
      <c r="B56" s="5" t="s">
        <v>11</v>
      </c>
      <c r="C56" s="5">
        <v>60</v>
      </c>
      <c r="D56" s="5" t="s">
        <v>27</v>
      </c>
      <c r="E56" s="6">
        <v>45238.566840277781</v>
      </c>
      <c r="F56" s="49">
        <v>640.96894799999995</v>
      </c>
      <c r="G56" s="49">
        <v>7921.3784219999998</v>
      </c>
      <c r="H56" s="49">
        <v>27246.357620999999</v>
      </c>
      <c r="I56" s="50">
        <f t="shared" si="7"/>
        <v>3.4395980307327374</v>
      </c>
      <c r="J56" s="51">
        <v>11.387302</v>
      </c>
      <c r="K56" s="52">
        <v>11.381902</v>
      </c>
      <c r="L56" s="50">
        <f>(((E56-STDs!$F$13)/STDs!$E$13)*STDs!$G$14)+((1-((E56-STDs!$F$13)/STDs!$E$13)))*STDs!$G$13</f>
        <v>3.2519725111402975</v>
      </c>
      <c r="M56" s="50">
        <f>(((E56-STDs!$F$13)/STDs!$E$13)*STDs!$H$14)+((1-((E56-STDs!$F$13)/STDs!$E$13))*STDs!$H$13)</f>
        <v>6.4754387902044713E-2</v>
      </c>
      <c r="N56" s="50">
        <f>I56*L56</f>
        <v>11.185478245315162</v>
      </c>
      <c r="O56" s="50">
        <f t="shared" si="8"/>
        <v>0.22272906510917678</v>
      </c>
      <c r="P56" s="50">
        <f>(((E56-STDs!$F$13)/STDs!$E$13)*STDs!$I$14)+((1-((E56-STDs!$F$13)/STDs!$E$13))*STDs!$I$13)</f>
        <v>5.3686207028845658E-3</v>
      </c>
      <c r="Q56" s="50">
        <f>(((E56-STDs!$F$13)/STDs!$E$13)*STDs!$J$14)+((1-((E56-STDs!$F$13)/STDs!$E$13))*STDs!$J$13)</f>
        <v>3.7048956250560004E-4</v>
      </c>
      <c r="R56" s="50">
        <f t="shared" si="9"/>
        <v>11.180109624612276</v>
      </c>
      <c r="S56" s="50">
        <f t="shared" si="10"/>
        <v>0.22272937324682579</v>
      </c>
      <c r="T56" s="51">
        <f t="shared" si="11"/>
        <v>79.850860038219864</v>
      </c>
      <c r="U56" s="50">
        <f t="shared" si="12"/>
        <v>0.44770285484672678</v>
      </c>
      <c r="V56" s="5">
        <f>((E56-E55)*24*3600)-(5*60)</f>
        <v>6054.0000004693866</v>
      </c>
      <c r="W56" s="7">
        <f>(0.000304*199000000000000000)*EXP(-(5580-680)/(1.987*(A56+273)))</f>
        <v>1015811335703.1714</v>
      </c>
      <c r="X56" s="7"/>
      <c r="Y56" s="49"/>
      <c r="Z56" s="49"/>
      <c r="AA56" s="48">
        <f>AA55-R55</f>
        <v>11.59964755679065</v>
      </c>
      <c r="AB56" s="47">
        <f>(AB55^2+S55^2)^0.5</f>
        <v>1.1946093580408352</v>
      </c>
      <c r="AC56" s="46">
        <f>R56+AA57-AA56</f>
        <v>14.462752797544418</v>
      </c>
      <c r="AD56" s="45">
        <f>(S56^2+AB56^2+AB57^2)^0.5</f>
        <v>1.9418385862229495</v>
      </c>
      <c r="AE56" s="7">
        <f>0.2*AA56/($D$89-T56)</f>
        <v>4.3145012739194376E-3</v>
      </c>
    </row>
    <row r="57" spans="1:31" x14ac:dyDescent="0.3">
      <c r="A57">
        <v>37.4</v>
      </c>
      <c r="B57" t="s">
        <v>11</v>
      </c>
      <c r="C57">
        <v>15</v>
      </c>
      <c r="D57" t="s">
        <v>12</v>
      </c>
      <c r="E57" s="1">
        <v>45238.607939814814</v>
      </c>
      <c r="F57" s="31">
        <v>615.67259899999999</v>
      </c>
      <c r="G57" s="31">
        <v>7981.2522669999998</v>
      </c>
      <c r="H57" s="31">
        <v>277.42042500000002</v>
      </c>
      <c r="I57" s="32">
        <f t="shared" si="7"/>
        <v>3.4759009704159752E-2</v>
      </c>
      <c r="J57" s="33">
        <v>0.11508</v>
      </c>
      <c r="K57" s="44">
        <v>0.109679</v>
      </c>
      <c r="L57" s="32">
        <f>(((E57-STDs!$F$13)/STDs!$E$13)*STDs!$G$14)+((1-((E57-STDs!$F$13)/STDs!$E$13)))*STDs!$G$13</f>
        <v>3.2512713024895952</v>
      </c>
      <c r="M57" s="32">
        <f>(((E57-STDs!$F$13)/STDs!$E$13)*STDs!$H$14)+((1-((E57-STDs!$F$13)/STDs!$E$13))*STDs!$H$13)</f>
        <v>6.5429535435708661E-2</v>
      </c>
      <c r="N57" s="32">
        <f>I57*L57</f>
        <v>0.11301097075409196</v>
      </c>
      <c r="O57" s="32">
        <f t="shared" si="8"/>
        <v>2.2742658571484617E-3</v>
      </c>
      <c r="P57" s="32">
        <f>(((E57-STDs!$F$13)/STDs!$E$13)*STDs!$I$14)+((1-((E57-STDs!$F$13)/STDs!$E$13))*STDs!$I$13)</f>
        <v>5.3681904818856712E-3</v>
      </c>
      <c r="Q57" s="32">
        <f>(((E57-STDs!$F$13)/STDs!$E$13)*STDs!$J$14)+((1-((E57-STDs!$F$13)/STDs!$E$13))*STDs!$J$13)</f>
        <v>3.7026306142759491E-4</v>
      </c>
      <c r="R57" s="32">
        <f t="shared" si="9"/>
        <v>0.10764278027220629</v>
      </c>
      <c r="S57" s="32">
        <f t="shared" si="10"/>
        <v>2.304209175324359E-3</v>
      </c>
      <c r="T57" s="33">
        <f t="shared" si="11"/>
        <v>79.958502818492065</v>
      </c>
      <c r="U57" s="32">
        <f t="shared" si="12"/>
        <v>0.44770878438761169</v>
      </c>
      <c r="V57">
        <f>((E57-E56)*24*3600)-(5*60)</f>
        <v>3250.9999996516854</v>
      </c>
      <c r="W57" s="4">
        <f>(0.000304*199000000000000000)*EXP(-(5580-680)/(1.987*(A57+273)))</f>
        <v>21448417322.985222</v>
      </c>
      <c r="X57" s="4">
        <f>1-EXP(-W57*$W$1*$F$1*(A57+273)*V57)</f>
        <v>7.0313065097236116E-3</v>
      </c>
      <c r="Y57" s="31">
        <f t="shared" si="1"/>
        <v>15.309072378418836</v>
      </c>
      <c r="Z57" s="31">
        <f>(((S57/R57)*Y57)^2+(Y57*0.1)^2)^0.5</f>
        <v>1.5655890024214638</v>
      </c>
      <c r="AA57" s="43">
        <f>AA58+R57</f>
        <v>14.88229072972279</v>
      </c>
      <c r="AB57" s="42">
        <f>(S57^2+AB58^2)^0.5</f>
        <v>1.514607937031456</v>
      </c>
      <c r="AE57" s="4">
        <f>0.2*AA57/($D$89-T57)</f>
        <v>5.53659226754105E-3</v>
      </c>
    </row>
    <row r="58" spans="1:31" s="13" customFormat="1" x14ac:dyDescent="0.3">
      <c r="A58" s="13">
        <v>23.7</v>
      </c>
      <c r="B58" s="13" t="s">
        <v>11</v>
      </c>
      <c r="C58" s="13">
        <v>15</v>
      </c>
      <c r="D58" s="13" t="s">
        <v>12</v>
      </c>
      <c r="E58" s="14">
        <v>45238.649131944447</v>
      </c>
      <c r="F58" s="38">
        <v>617.73515899999995</v>
      </c>
      <c r="G58" s="38">
        <v>7986.5690839999997</v>
      </c>
      <c r="H58" s="38">
        <v>182.861977</v>
      </c>
      <c r="I58" s="39">
        <f t="shared" si="7"/>
        <v>2.2896186720069697E-2</v>
      </c>
      <c r="J58" s="40">
        <v>7.5803999999999996E-2</v>
      </c>
      <c r="K58" s="41">
        <v>7.0403999999999994E-2</v>
      </c>
      <c r="L58" s="39">
        <f>(((E58-STDs!$F$13)/STDs!$E$13)*STDs!$G$14)+((1-((E58-STDs!$F$13)/STDs!$E$13)))*STDs!$G$13</f>
        <v>3.2505685140952614</v>
      </c>
      <c r="M58" s="39">
        <f>(((E58-STDs!$F$13)/STDs!$E$13)*STDs!$H$14)+((1-((E58-STDs!$F$13)/STDs!$E$13))*STDs!$H$13)</f>
        <v>6.6106204000260682E-2</v>
      </c>
      <c r="N58" s="39">
        <f>I58*L58</f>
        <v>7.4425623645104619E-2</v>
      </c>
      <c r="O58" s="39">
        <f t="shared" si="8"/>
        <v>1.5135799901449872E-3</v>
      </c>
      <c r="P58" s="39">
        <f>(((E58-STDs!$F$13)/STDs!$E$13)*STDs!$I$14)+((1-((E58-STDs!$F$13)/STDs!$E$13))*STDs!$I$13)</f>
        <v>5.3677592916476164E-3</v>
      </c>
      <c r="Q58" s="39">
        <f>(((E58-STDs!$F$13)/STDs!$E$13)*STDs!$J$14)+((1-((E58-STDs!$F$13)/STDs!$E$13))*STDs!$J$13)</f>
        <v>3.7003605006832732E-4</v>
      </c>
      <c r="R58" s="39">
        <f t="shared" si="9"/>
        <v>6.9057864353456996E-2</v>
      </c>
      <c r="S58" s="39">
        <f t="shared" si="10"/>
        <v>1.5581563031087315E-3</v>
      </c>
      <c r="T58" s="40">
        <f t="shared" si="11"/>
        <v>80.027560682845518</v>
      </c>
      <c r="U58" s="39">
        <f t="shared" si="12"/>
        <v>0.44771149579712366</v>
      </c>
      <c r="V58" s="13">
        <f>((E58-E57)*24*3600)-(5*60)</f>
        <v>3259.0000002644956</v>
      </c>
      <c r="W58" s="15">
        <f>(0.000304*199000000000000000)*EXP(-(5580-680)/(1.987*(A58+273)))</f>
        <v>14862012522.468014</v>
      </c>
      <c r="X58" s="15">
        <f>1-EXP(-W58*$W$1*$F$1*(A58+273)*V58)</f>
        <v>4.6740785018857256E-3</v>
      </c>
      <c r="Y58" s="38">
        <f t="shared" si="1"/>
        <v>14.774647949450584</v>
      </c>
      <c r="Z58" s="38">
        <f>(((S58/R58)*Y58)^2+(Y58*0.1)^2)^0.5</f>
        <v>1.514606184306257</v>
      </c>
      <c r="AA58" s="37">
        <f>Y58</f>
        <v>14.774647949450584</v>
      </c>
      <c r="AB58" s="38">
        <f>Z58</f>
        <v>1.514606184306257</v>
      </c>
      <c r="AC58" s="37"/>
      <c r="AD58" s="36"/>
      <c r="AE58" s="15">
        <f>0.2*AA58/($D$89-T58)</f>
        <v>5.4972525614531047E-3</v>
      </c>
    </row>
    <row r="59" spans="1:31" s="5" customFormat="1" x14ac:dyDescent="0.3">
      <c r="A59" s="5">
        <v>350.4</v>
      </c>
      <c r="B59" s="5" t="s">
        <v>11</v>
      </c>
      <c r="C59" s="5">
        <v>60</v>
      </c>
      <c r="D59" s="5" t="s">
        <v>28</v>
      </c>
      <c r="E59" s="6">
        <v>45238.722500000003</v>
      </c>
      <c r="F59" s="49">
        <v>673.034265</v>
      </c>
      <c r="G59" s="49">
        <v>7902.3601310000004</v>
      </c>
      <c r="H59" s="49">
        <v>48106.0481</v>
      </c>
      <c r="I59" s="50">
        <f t="shared" si="7"/>
        <v>6.0875545156801714</v>
      </c>
      <c r="J59" s="51">
        <v>20.153818999999999</v>
      </c>
      <c r="K59" s="52">
        <v>20.148419000000001</v>
      </c>
      <c r="L59" s="50">
        <f>(((E59-STDs!$F$13)/STDs!$E$13)*STDs!$G$14)+((1-((E59-STDs!$F$13)/STDs!$E$13)))*STDs!$G$13</f>
        <v>3.2493167648310219</v>
      </c>
      <c r="M59" s="50">
        <f>(((E59-STDs!$F$13)/STDs!$E$13)*STDs!$H$14)+((1-((E59-STDs!$F$13)/STDs!$E$13))*STDs!$H$13)</f>
        <v>6.7311430757902815E-2</v>
      </c>
      <c r="N59" s="50">
        <f>I59*L59</f>
        <v>19.780392944622374</v>
      </c>
      <c r="O59" s="50">
        <f t="shared" si="8"/>
        <v>0.40976200426716447</v>
      </c>
      <c r="P59" s="50">
        <f>(((E59-STDs!$F$13)/STDs!$E$13)*STDs!$I$14)+((1-((E59-STDs!$F$13)/STDs!$E$13))*STDs!$I$13)</f>
        <v>5.3669912908274791E-3</v>
      </c>
      <c r="Q59" s="50">
        <f>(((E59-STDs!$F$13)/STDs!$E$13)*STDs!$J$14)+((1-((E59-STDs!$F$13)/STDs!$E$13))*STDs!$J$13)</f>
        <v>3.6963171598394557E-4</v>
      </c>
      <c r="R59" s="50">
        <f t="shared" si="9"/>
        <v>19.775025953331546</v>
      </c>
      <c r="S59" s="50">
        <f t="shared" si="10"/>
        <v>0.40976217098293632</v>
      </c>
      <c r="T59" s="51">
        <f t="shared" si="11"/>
        <v>99.802586636177068</v>
      </c>
      <c r="U59" s="50">
        <f t="shared" si="12"/>
        <v>0.60691895689420272</v>
      </c>
      <c r="V59" s="5">
        <f>((E59-E58)*24*3600)-(5*60)</f>
        <v>6039.0000001061708</v>
      </c>
      <c r="W59" s="7">
        <f>(0.000304*199000000000000000)*EXP(-(5580-680)/(1.987*(A59+273)))</f>
        <v>1158126673954.6372</v>
      </c>
      <c r="X59" s="7"/>
      <c r="Y59" s="49"/>
      <c r="Z59" s="49"/>
      <c r="AA59" s="48">
        <f>AA58-R58</f>
        <v>14.705590085097127</v>
      </c>
      <c r="AB59" s="47">
        <f>(AB58^2+S58^2)^0.5</f>
        <v>1.5146069857853635</v>
      </c>
      <c r="AC59" s="46">
        <f>R59+AA60-AA59</f>
        <v>28.330053300207055</v>
      </c>
      <c r="AD59" s="45">
        <f>(S59^2+AB59^2+AB60^2)^0.5</f>
        <v>2.8402388266383878</v>
      </c>
      <c r="AE59" s="7">
        <f>0.2*AA59/($D$89-T59)</f>
        <v>5.6805381502192335E-3</v>
      </c>
    </row>
    <row r="60" spans="1:31" x14ac:dyDescent="0.3">
      <c r="A60">
        <v>37</v>
      </c>
      <c r="B60" t="s">
        <v>11</v>
      </c>
      <c r="C60">
        <v>15</v>
      </c>
      <c r="D60" t="s">
        <v>12</v>
      </c>
      <c r="E60" s="1">
        <v>45238.763622685183</v>
      </c>
      <c r="F60" s="31">
        <v>620.84387600000002</v>
      </c>
      <c r="G60" s="31">
        <v>7936.5380750000004</v>
      </c>
      <c r="H60" s="31">
        <v>407.594494</v>
      </c>
      <c r="I60" s="32">
        <f t="shared" si="7"/>
        <v>5.135671121945698E-2</v>
      </c>
      <c r="J60" s="33">
        <v>0.17002999999999999</v>
      </c>
      <c r="K60" s="44">
        <v>0.16463</v>
      </c>
      <c r="L60" s="32">
        <f>(((E60-STDs!$F$13)/STDs!$E$13)*STDs!$G$14)+((1-((E60-STDs!$F$13)/STDs!$E$13)))*STDs!$G$13</f>
        <v>3.2486151612444738</v>
      </c>
      <c r="M60" s="32">
        <f>(((E60-STDs!$F$13)/STDs!$E$13)*STDs!$H$14)+((1-((E60-STDs!$F$13)/STDs!$E$13))*STDs!$H$13)</f>
        <v>6.798695854922901E-2</v>
      </c>
      <c r="N60" s="32">
        <f>I60*L60</f>
        <v>0.16683819069918213</v>
      </c>
      <c r="O60" s="32">
        <f t="shared" si="8"/>
        <v>3.4915865969019464E-3</v>
      </c>
      <c r="P60" s="32">
        <f>(((E60-STDs!$F$13)/STDs!$E$13)*STDs!$I$14)+((1-((E60-STDs!$F$13)/STDs!$E$13))*STDs!$I$13)</f>
        <v>5.3665608275188324E-3</v>
      </c>
      <c r="Q60" s="32">
        <f>(((E60-STDs!$F$13)/STDs!$E$13)*STDs!$J$14)+((1-((E60-STDs!$F$13)/STDs!$E$13))*STDs!$J$13)</f>
        <v>3.6940508733564485E-4</v>
      </c>
      <c r="R60" s="32">
        <f t="shared" si="9"/>
        <v>0.1614716298716633</v>
      </c>
      <c r="S60" s="32">
        <f t="shared" si="10"/>
        <v>3.5110734942770381E-3</v>
      </c>
      <c r="T60" s="33">
        <f t="shared" si="11"/>
        <v>99.964058266048738</v>
      </c>
      <c r="U60" s="32">
        <f t="shared" si="12"/>
        <v>0.60692911272621397</v>
      </c>
      <c r="V60">
        <f>((E60-E59)*24*3600)-(5*60)</f>
        <v>3252.9999994905666</v>
      </c>
      <c r="W60" s="4">
        <f>(0.000304*199000000000000000)*EXP(-(5580-680)/(1.987*(A60+273)))</f>
        <v>21229668396.533699</v>
      </c>
      <c r="X60" s="4">
        <f>1-EXP(-W60*$W$1*$F$1*(A60+273)*V60)</f>
        <v>6.9551691200209209E-3</v>
      </c>
      <c r="Y60" s="31">
        <f t="shared" si="1"/>
        <v>23.216060901647435</v>
      </c>
      <c r="Z60" s="31">
        <f>(((S60/R60)*Y60)^2+(Y60*0.1)^2)^0.5</f>
        <v>2.375856265086334</v>
      </c>
      <c r="AA60" s="43">
        <f>AA61+R60</f>
        <v>23.260617431972641</v>
      </c>
      <c r="AB60" s="42">
        <f>(S60^2+AB61^2)^0.5</f>
        <v>2.3674917601093637</v>
      </c>
      <c r="AE60" s="4">
        <f>0.2*AA60/($D$89-T60)</f>
        <v>8.9880137445914454E-3</v>
      </c>
    </row>
    <row r="61" spans="1:31" s="13" customFormat="1" x14ac:dyDescent="0.3">
      <c r="A61" s="13">
        <v>23.5</v>
      </c>
      <c r="B61" s="13" t="s">
        <v>11</v>
      </c>
      <c r="C61" s="13">
        <v>15</v>
      </c>
      <c r="D61" s="13" t="s">
        <v>12</v>
      </c>
      <c r="E61" s="14">
        <v>45238.804745370369</v>
      </c>
      <c r="F61" s="38">
        <v>611.66500099999996</v>
      </c>
      <c r="G61" s="38">
        <v>7935.2458260000003</v>
      </c>
      <c r="H61" s="38">
        <v>274.76486199999999</v>
      </c>
      <c r="I61" s="39">
        <f t="shared" si="7"/>
        <v>3.4625879024406163E-2</v>
      </c>
      <c r="J61" s="40">
        <v>0.11464000000000001</v>
      </c>
      <c r="K61" s="41">
        <v>0.10924</v>
      </c>
      <c r="L61" s="39">
        <f>(((E61-STDs!$F$13)/STDs!$E$13)*STDs!$G$14)+((1-((E61-STDs!$F$13)/STDs!$E$13)))*STDs!$G$13</f>
        <v>3.2479135576578013</v>
      </c>
      <c r="M61" s="39">
        <f>(((E61-STDs!$F$13)/STDs!$E$13)*STDs!$H$14)+((1-((E61-STDs!$F$13)/STDs!$E$13))*STDs!$H$13)</f>
        <v>6.8662486340674733E-2</v>
      </c>
      <c r="N61" s="39">
        <f>I61*L61</f>
        <v>0.11246186192918765</v>
      </c>
      <c r="O61" s="39">
        <f t="shared" si="8"/>
        <v>2.3774989455471441E-3</v>
      </c>
      <c r="P61" s="39">
        <f>(((E61-STDs!$F$13)/STDs!$E$13)*STDs!$I$14)+((1-((E61-STDs!$F$13)/STDs!$E$13))*STDs!$I$13)</f>
        <v>5.3661303642101093E-3</v>
      </c>
      <c r="Q61" s="39">
        <f>(((E61-STDs!$F$13)/STDs!$E$13)*STDs!$J$14)+((1-((E61-STDs!$F$13)/STDs!$E$13))*STDs!$J$13)</f>
        <v>3.6917845868730402E-4</v>
      </c>
      <c r="R61" s="39">
        <f t="shared" si="9"/>
        <v>0.10709573156497755</v>
      </c>
      <c r="S61" s="39">
        <f t="shared" si="10"/>
        <v>2.4059912656608949E-3</v>
      </c>
      <c r="T61" s="40">
        <f t="shared" si="11"/>
        <v>100.07115399761372</v>
      </c>
      <c r="U61" s="39">
        <f t="shared" si="12"/>
        <v>0.60693388162846851</v>
      </c>
      <c r="V61" s="13">
        <f>((E61-E60)*24*3600)-(5*60)</f>
        <v>3253.0000001192093</v>
      </c>
      <c r="W61" s="15">
        <f>(0.000304*199000000000000000)*EXP(-(5580-680)/(1.987*(A61+273)))</f>
        <v>14778922909.376841</v>
      </c>
      <c r="X61" s="15">
        <f>1-EXP(-W61*$W$1*$F$1*(A61+273)*V61)</f>
        <v>4.6363502998122419E-3</v>
      </c>
      <c r="Y61" s="38">
        <f t="shared" si="1"/>
        <v>23.099145802100978</v>
      </c>
      <c r="Z61" s="38">
        <f>(((S61/R61)*Y61)^2+(Y61*0.1)^2)^0.5</f>
        <v>2.3674891565852314</v>
      </c>
      <c r="AA61" s="37">
        <f>Y61</f>
        <v>23.099145802100978</v>
      </c>
      <c r="AB61" s="38">
        <f>Z61</f>
        <v>2.3674891565852314</v>
      </c>
      <c r="AC61" s="37"/>
      <c r="AD61" s="36"/>
      <c r="AE61" s="15">
        <f>0.2*AA61/($D$89-T61)</f>
        <v>8.9274675309021344E-3</v>
      </c>
    </row>
    <row r="62" spans="1:31" s="5" customFormat="1" x14ac:dyDescent="0.3">
      <c r="A62" s="5">
        <v>370.4</v>
      </c>
      <c r="B62" s="5" t="s">
        <v>11</v>
      </c>
      <c r="C62" s="5">
        <v>60</v>
      </c>
      <c r="D62" s="5" t="s">
        <v>29</v>
      </c>
      <c r="E62" s="6">
        <v>45238.878078703703</v>
      </c>
      <c r="F62" s="49">
        <v>720.86837000000003</v>
      </c>
      <c r="G62" s="49">
        <v>7916.2288209999997</v>
      </c>
      <c r="H62" s="49">
        <v>80392.342027999999</v>
      </c>
      <c r="I62" s="50">
        <f t="shared" si="7"/>
        <v>10.155383812900524</v>
      </c>
      <c r="J62" s="51">
        <v>33.620012000000003</v>
      </c>
      <c r="K62" s="52">
        <v>33.614610999999996</v>
      </c>
      <c r="L62" s="50">
        <f>(((E62-STDs!$F$13)/STDs!$E$13)*STDs!$G$14)+((1-((E62-STDs!$F$13)/STDs!$E$13)))*STDs!$G$13</f>
        <v>3.2466624007973928</v>
      </c>
      <c r="M62" s="50">
        <f>(((E62-STDs!$F$13)/STDs!$E$13)*STDs!$H$14)+((1-((E62-STDs!$F$13)/STDs!$E$13))*STDs!$H$13)</f>
        <v>6.9867142711763711E-2</v>
      </c>
      <c r="N62" s="50">
        <f>I62*L62</f>
        <v>32.971102791010594</v>
      </c>
      <c r="O62" s="50">
        <f t="shared" si="8"/>
        <v>0.70952765014865593</v>
      </c>
      <c r="P62" s="50">
        <f>(((E62-STDs!$F$13)/STDs!$E$13)*STDs!$I$14)+((1-((E62-STDs!$F$13)/STDs!$E$13))*STDs!$I$13)</f>
        <v>5.3653627268546384E-3</v>
      </c>
      <c r="Q62" s="50">
        <f>(((E62-STDs!$F$13)/STDs!$E$13)*STDs!$J$14)+((1-((E62-STDs!$F$13)/STDs!$E$13))*STDs!$J$13)</f>
        <v>3.6877431595838569E-4</v>
      </c>
      <c r="R62" s="50">
        <f t="shared" si="9"/>
        <v>32.965737428283738</v>
      </c>
      <c r="S62" s="50">
        <f t="shared" si="10"/>
        <v>0.70952774598317825</v>
      </c>
      <c r="T62" s="51">
        <f t="shared" si="11"/>
        <v>133.03689142589747</v>
      </c>
      <c r="U62" s="50">
        <f t="shared" si="12"/>
        <v>0.9337014292527186</v>
      </c>
      <c r="V62" s="5">
        <f>((E62-E61)*24*3600)-(5*60)</f>
        <v>6036.0000000335276</v>
      </c>
      <c r="W62" s="7">
        <f>(0.000304*199000000000000000)*EXP(-(5580-680)/(1.987*(A62+273)))</f>
        <v>1309661143940.5559</v>
      </c>
      <c r="X62" s="7"/>
      <c r="Y62" s="49"/>
      <c r="Z62" s="49"/>
      <c r="AA62" s="48">
        <f>AA61-R61</f>
        <v>22.992050070535999</v>
      </c>
      <c r="AB62" s="47">
        <f>(AB61^2+S61^2)^0.5</f>
        <v>2.3674903791446802</v>
      </c>
      <c r="AC62" s="46">
        <f>R62+AA63-AA62</f>
        <v>41.343332028472403</v>
      </c>
      <c r="AD62" s="45">
        <f>(S62^2+AB62^2+AB63^2)^0.5</f>
        <v>4.0397891565935922</v>
      </c>
      <c r="AE62" s="7">
        <f>0.2*AA62/($D$89-T62)</f>
        <v>9.4906680309057769E-3</v>
      </c>
    </row>
    <row r="63" spans="1:31" x14ac:dyDescent="0.3">
      <c r="A63">
        <v>37.299999999999997</v>
      </c>
      <c r="B63" t="s">
        <v>11</v>
      </c>
      <c r="C63">
        <v>15</v>
      </c>
      <c r="D63" t="s">
        <v>12</v>
      </c>
      <c r="E63" s="1">
        <v>45238.919282407405</v>
      </c>
      <c r="F63" s="31">
        <v>613.25172899999995</v>
      </c>
      <c r="G63" s="31">
        <v>7900.8671629999999</v>
      </c>
      <c r="H63" s="31">
        <v>550.30167900000004</v>
      </c>
      <c r="I63" s="32">
        <f t="shared" si="7"/>
        <v>6.9650794988312101E-2</v>
      </c>
      <c r="J63" s="33">
        <v>0.230598</v>
      </c>
      <c r="K63" s="44">
        <v>0.22519800000000001</v>
      </c>
      <c r="L63" s="32">
        <f>(((E63-STDs!$F$13)/STDs!$E$13)*STDs!$G$14)+((1-((E63-STDs!$F$13)/STDs!$E$13)))*STDs!$G$13</f>
        <v>3.2459594149351978</v>
      </c>
      <c r="M63" s="32">
        <f>(((E63-STDs!$F$13)/STDs!$E$13)*STDs!$H$14)+((1-((E63-STDs!$F$13)/STDs!$E$13))*STDs!$H$13)</f>
        <v>7.0544001405087098E-2</v>
      </c>
      <c r="N63" s="32">
        <f>I63*L63</f>
        <v>0.22608365375003295</v>
      </c>
      <c r="O63" s="32">
        <f t="shared" si="8"/>
        <v>4.9134457795209224E-3</v>
      </c>
      <c r="P63" s="32">
        <f>(((E63-STDs!$F$13)/STDs!$E$13)*STDs!$I$14)+((1-((E63-STDs!$F$13)/STDs!$E$13))*STDs!$I$13)</f>
        <v>5.3649314154617456E-3</v>
      </c>
      <c r="Q63" s="32">
        <f>(((E63-STDs!$F$13)/STDs!$E$13)*STDs!$J$14)+((1-((E63-STDs!$F$13)/STDs!$E$13))*STDs!$J$13)</f>
        <v>3.6854724081399032E-4</v>
      </c>
      <c r="R63" s="32">
        <f t="shared" si="9"/>
        <v>0.22071872233457121</v>
      </c>
      <c r="S63" s="32">
        <f t="shared" si="10"/>
        <v>4.9272483697296579E-3</v>
      </c>
      <c r="T63" s="33">
        <f t="shared" si="11"/>
        <v>133.25761014823203</v>
      </c>
      <c r="U63" s="32">
        <f t="shared" si="12"/>
        <v>0.93371442998652776</v>
      </c>
      <c r="V63">
        <f>((E63-E62)*24*3600)-(5*60)</f>
        <v>3259.9999998696148</v>
      </c>
      <c r="W63" s="4">
        <f>(0.000304*199000000000000000)*EXP(-(5580-680)/(1.987*(A63+273)))</f>
        <v>21393572690.89529</v>
      </c>
      <c r="X63" s="4">
        <f>1-EXP(-W63*$W$1*$F$1*(A63+273)*V63)</f>
        <v>7.0304798890898912E-3</v>
      </c>
      <c r="Y63" s="31">
        <f t="shared" si="1"/>
        <v>31.394545723271197</v>
      </c>
      <c r="Z63" s="31">
        <f>(((S63/R63)*Y63)^2+(Y63*0.1)^2)^0.5</f>
        <v>3.2167301848087253</v>
      </c>
      <c r="AA63" s="43">
        <f>AA64+R63</f>
        <v>31.369644670724657</v>
      </c>
      <c r="AB63" s="42">
        <f>(S63^2+AB64^2)^0.5</f>
        <v>3.1955369051332481</v>
      </c>
      <c r="AE63" s="4">
        <f>0.2*AA63/($D$89-T63)</f>
        <v>1.2954676425963815E-2</v>
      </c>
    </row>
    <row r="64" spans="1:31" s="13" customFormat="1" x14ac:dyDescent="0.3">
      <c r="A64" s="13">
        <v>23.5</v>
      </c>
      <c r="B64" s="13" t="s">
        <v>11</v>
      </c>
      <c r="C64" s="13">
        <v>15</v>
      </c>
      <c r="D64" s="13" t="s">
        <v>12</v>
      </c>
      <c r="E64" s="14">
        <v>45238.960486111115</v>
      </c>
      <c r="F64" s="38">
        <v>612.27327500000001</v>
      </c>
      <c r="G64" s="38">
        <v>7917.4861950000004</v>
      </c>
      <c r="H64" s="38">
        <v>366.180724</v>
      </c>
      <c r="I64" s="39">
        <f t="shared" si="7"/>
        <v>4.6249619510703797E-2</v>
      </c>
      <c r="J64" s="40">
        <v>0.15312300000000001</v>
      </c>
      <c r="K64" s="41">
        <v>0.14772299999999999</v>
      </c>
      <c r="L64" s="39">
        <f>(((E64-STDs!$F$13)/STDs!$E$13)*STDs!$G$14)+((1-((E64-STDs!$F$13)/STDs!$E$13)))*STDs!$G$13</f>
        <v>3.2452564290728785</v>
      </c>
      <c r="M64" s="39">
        <f>(((E64-STDs!$F$13)/STDs!$E$13)*STDs!$H$14)+((1-((E64-STDs!$F$13)/STDs!$E$13))*STDs!$H$13)</f>
        <v>7.1220860098530014E-2</v>
      </c>
      <c r="N64" s="39">
        <f>I64*L64</f>
        <v>0.15009187505928592</v>
      </c>
      <c r="O64" s="39">
        <f t="shared" si="8"/>
        <v>3.293937680782079E-3</v>
      </c>
      <c r="P64" s="39">
        <f>(((E64-STDs!$F$13)/STDs!$E$13)*STDs!$I$14)+((1-((E64-STDs!$F$13)/STDs!$E$13))*STDs!$I$13)</f>
        <v>5.3645001040687782E-3</v>
      </c>
      <c r="Q64" s="39">
        <f>(((E64-STDs!$F$13)/STDs!$E$13)*STDs!$J$14)+((1-((E64-STDs!$F$13)/STDs!$E$13))*STDs!$J$13)</f>
        <v>3.6832016566955489E-4</v>
      </c>
      <c r="R64" s="39">
        <f t="shared" si="9"/>
        <v>0.14472737495521715</v>
      </c>
      <c r="S64" s="39">
        <f t="shared" si="10"/>
        <v>3.3144660489006173E-3</v>
      </c>
      <c r="T64" s="40">
        <f t="shared" si="11"/>
        <v>133.40233752318724</v>
      </c>
      <c r="U64" s="39">
        <f t="shared" si="12"/>
        <v>0.93372031275444345</v>
      </c>
      <c r="V64" s="13">
        <f>((E64-E63)*24*3600)-(5*60)</f>
        <v>3260.0000004982576</v>
      </c>
      <c r="W64" s="15">
        <f>(0.000304*199000000000000000)*EXP(-(5580-680)/(1.987*(A64+273)))</f>
        <v>14778922909.376841</v>
      </c>
      <c r="X64" s="15">
        <f>1-EXP(-W64*$W$1*$F$1*(A64+273)*V64)</f>
        <v>4.6463038627724274E-3</v>
      </c>
      <c r="Y64" s="38">
        <f t="shared" si="1"/>
        <v>31.148925948390087</v>
      </c>
      <c r="Z64" s="38">
        <f>(((S64/R64)*Y64)^2+(Y64*0.1)^2)^0.5</f>
        <v>3.1955331064302999</v>
      </c>
      <c r="AA64" s="37">
        <f>Y64</f>
        <v>31.148925948390087</v>
      </c>
      <c r="AB64" s="38">
        <f>Z64</f>
        <v>3.1955331064302999</v>
      </c>
      <c r="AC64" s="37"/>
      <c r="AD64" s="36"/>
      <c r="AE64" s="15">
        <f>0.2*AA64/($D$89-T64)</f>
        <v>1.2867371812923911E-2</v>
      </c>
    </row>
    <row r="65" spans="1:31" s="5" customFormat="1" x14ac:dyDescent="0.3">
      <c r="A65" s="5">
        <v>385.4</v>
      </c>
      <c r="B65" s="5" t="s">
        <v>11</v>
      </c>
      <c r="C65" s="5">
        <v>60</v>
      </c>
      <c r="D65" s="5" t="s">
        <v>30</v>
      </c>
      <c r="E65" s="6">
        <v>45239.033796296295</v>
      </c>
      <c r="F65" s="49">
        <v>751.36928</v>
      </c>
      <c r="G65" s="49">
        <v>7901.939445</v>
      </c>
      <c r="H65" s="49">
        <v>103104.06658699999</v>
      </c>
      <c r="I65" s="50">
        <f t="shared" si="7"/>
        <v>13.047944407146744</v>
      </c>
      <c r="J65" s="51">
        <v>43.192414999999997</v>
      </c>
      <c r="K65" s="52">
        <v>43.187015000000002</v>
      </c>
      <c r="L65" s="50">
        <f>(((E65-STDs!$F$13)/STDs!$E$13)*STDs!$G$14)+((1-((E65-STDs!$F$13)/STDs!$E$13)))*STDs!$G$13</f>
        <v>3.2440056671484401</v>
      </c>
      <c r="M65" s="50">
        <f>(((E65-STDs!$F$13)/STDs!$E$13)*STDs!$H$14)+((1-((E65-STDs!$F$13)/STDs!$E$13))*STDs!$H$13)</f>
        <v>7.2425136211837216E-2</v>
      </c>
      <c r="N65" s="50">
        <f>I65*L65</f>
        <v>42.32760560142183</v>
      </c>
      <c r="O65" s="50">
        <f t="shared" si="8"/>
        <v>0.94499915097208254</v>
      </c>
      <c r="P65" s="50">
        <f>(((E65-STDs!$F$13)/STDs!$E$13)*STDs!$I$14)+((1-((E65-STDs!$F$13)/STDs!$E$13))*STDs!$I$13)</f>
        <v>5.363732709023134E-3</v>
      </c>
      <c r="Q65" s="50">
        <f>(((E65-STDs!$F$13)/STDs!$E$13)*STDs!$J$14)+((1-((E65-STDs!$F$13)/STDs!$E$13))*STDs!$J$13)</f>
        <v>3.6791615051097221E-4</v>
      </c>
      <c r="R65" s="50">
        <f t="shared" si="9"/>
        <v>42.322241868712808</v>
      </c>
      <c r="S65" s="50">
        <f t="shared" si="10"/>
        <v>0.94499922259240543</v>
      </c>
      <c r="T65" s="51">
        <f t="shared" si="11"/>
        <v>175.72457939190005</v>
      </c>
      <c r="U65" s="50">
        <f t="shared" si="12"/>
        <v>1.3284792633498297</v>
      </c>
      <c r="V65" s="5">
        <f>((E65-E64)*24*3600)-(5*60)</f>
        <v>6033.9999995660037</v>
      </c>
      <c r="W65" s="7">
        <f>(0.000304*199000000000000000)*EXP(-(5580-680)/(1.987*(A65+273)))</f>
        <v>1429163650537.043</v>
      </c>
      <c r="X65" s="7"/>
      <c r="Y65" s="49"/>
      <c r="Z65" s="49"/>
      <c r="AA65" s="48">
        <f>AA64-R64</f>
        <v>31.00419857343487</v>
      </c>
      <c r="AB65" s="47">
        <f>(AB64^2+S64^2)^0.5</f>
        <v>3.1955348253425861</v>
      </c>
      <c r="AC65" s="46">
        <f>R65+AA66-AA65</f>
        <v>44.783772075614529</v>
      </c>
      <c r="AD65" s="45">
        <f>(S65^2+AB65^2+AB66^2)^0.5</f>
        <v>4.7710075941316221</v>
      </c>
      <c r="AE65" s="7">
        <f>0.2*AA65/($D$89-T65)</f>
        <v>1.4034401867917531E-2</v>
      </c>
    </row>
    <row r="66" spans="1:31" x14ac:dyDescent="0.3">
      <c r="A66">
        <v>37.799999999999997</v>
      </c>
      <c r="B66" t="s">
        <v>11</v>
      </c>
      <c r="C66">
        <v>15</v>
      </c>
      <c r="D66" t="s">
        <v>12</v>
      </c>
      <c r="E66" s="1">
        <v>45239.074895833335</v>
      </c>
      <c r="F66" s="31">
        <v>614.41360799999995</v>
      </c>
      <c r="G66" s="31">
        <v>7890.629508</v>
      </c>
      <c r="H66" s="31">
        <v>595.17753200000004</v>
      </c>
      <c r="I66" s="32">
        <f t="shared" si="7"/>
        <v>7.5428396605945427E-2</v>
      </c>
      <c r="J66" s="33">
        <v>0.24972800000000001</v>
      </c>
      <c r="K66" s="44">
        <v>0.24432799999999999</v>
      </c>
      <c r="L66" s="32">
        <f>(((E66-STDs!$F$13)/STDs!$E$13)*STDs!$G$14)+((1-((E66-STDs!$F$13)/STDs!$E$13)))*STDs!$G$13</f>
        <v>3.2433044584976134</v>
      </c>
      <c r="M66" s="32">
        <f>(((E66-STDs!$F$13)/STDs!$E$13)*STDs!$H$14)+((1-((E66-STDs!$F$13)/STDs!$E$13))*STDs!$H$13)</f>
        <v>7.3100283745620678E-2</v>
      </c>
      <c r="N66" s="32">
        <f>I66*L66</f>
        <v>0.24463725500938904</v>
      </c>
      <c r="O66" s="32">
        <f t="shared" si="8"/>
        <v>5.5138371943718222E-3</v>
      </c>
      <c r="P66" s="32">
        <f>(((E66-STDs!$F$13)/STDs!$E$13)*STDs!$I$14)+((1-((E66-STDs!$F$13)/STDs!$E$13))*STDs!$I$13)</f>
        <v>5.3633024880241631E-3</v>
      </c>
      <c r="Q66" s="32">
        <f>(((E66-STDs!$F$13)/STDs!$E$13)*STDs!$J$14)+((1-((E66-STDs!$F$13)/STDs!$E$13))*STDs!$J$13)</f>
        <v>3.6768964943292696E-4</v>
      </c>
      <c r="R66" s="32">
        <f t="shared" si="9"/>
        <v>0.23927395252136488</v>
      </c>
      <c r="S66" s="32">
        <f t="shared" si="10"/>
        <v>5.5260832679519256E-3</v>
      </c>
      <c r="T66" s="33">
        <f t="shared" si="11"/>
        <v>175.96385334442141</v>
      </c>
      <c r="U66" s="32">
        <f t="shared" si="12"/>
        <v>1.3284907567411941</v>
      </c>
      <c r="V66">
        <f>((E66-E65)*24*3600)-(5*60)</f>
        <v>3251.0000002803281</v>
      </c>
      <c r="W66" s="4">
        <f>(0.000304*199000000000000000)*EXP(-(5580-680)/(1.987*(A66+273)))</f>
        <v>21668848446.899525</v>
      </c>
      <c r="X66" s="4">
        <f>1-EXP(-W66*$W$1*$F$1*(A66+273)*V66)</f>
        <v>7.1124329930702945E-3</v>
      </c>
      <c r="Y66" s="31">
        <f t="shared" si="1"/>
        <v>33.641645939510653</v>
      </c>
      <c r="Z66" s="31">
        <f>(((S66/R66)*Y66)^2+(Y66*0.1)^2)^0.5</f>
        <v>3.4527194873278879</v>
      </c>
      <c r="AA66" s="43">
        <f>AA67+R66</f>
        <v>33.46572878033659</v>
      </c>
      <c r="AB66" s="42">
        <f>(S66^2+AB67^2)^0.5</f>
        <v>3.4143882486594994</v>
      </c>
      <c r="AE66" s="4">
        <f>0.2*AA66/($D$89-T66)</f>
        <v>1.5156849610569867E-2</v>
      </c>
    </row>
    <row r="67" spans="1:31" s="13" customFormat="1" x14ac:dyDescent="0.3">
      <c r="A67" s="13">
        <v>23.5</v>
      </c>
      <c r="B67" s="13" t="s">
        <v>11</v>
      </c>
      <c r="C67" s="13">
        <v>15</v>
      </c>
      <c r="D67" s="13" t="s">
        <v>12</v>
      </c>
      <c r="E67" s="14">
        <v>45239.116203703707</v>
      </c>
      <c r="F67" s="38">
        <v>617.51995299999999</v>
      </c>
      <c r="G67" s="38">
        <v>7908.52801</v>
      </c>
      <c r="H67" s="38">
        <v>390.64191699999998</v>
      </c>
      <c r="I67" s="39">
        <f t="shared" si="7"/>
        <v>4.9395022247635686E-2</v>
      </c>
      <c r="J67" s="40">
        <v>0.16353799999999999</v>
      </c>
      <c r="K67" s="41">
        <v>0.158138</v>
      </c>
      <c r="L67" s="39">
        <f>(((E67-STDs!$F$13)/STDs!$E$13)*STDs!$G$14)+((1-((E67-STDs!$F$13)/STDs!$E$13)))*STDs!$G$13</f>
        <v>3.2425996954239258</v>
      </c>
      <c r="M67" s="39">
        <f>(((E67-STDs!$F$13)/STDs!$E$13)*STDs!$H$14)+((1-((E67-STDs!$F$13)/STDs!$E$13))*STDs!$H$13)</f>
        <v>7.3778853598603519E-2</v>
      </c>
      <c r="N67" s="39">
        <f>I67*L67</f>
        <v>0.16016828409564152</v>
      </c>
      <c r="O67" s="39">
        <f t="shared" si="8"/>
        <v>3.6443081149080772E-3</v>
      </c>
      <c r="P67" s="39">
        <f>(((E67-STDs!$F$13)/STDs!$E$13)*STDs!$I$14)+((1-((E67-STDs!$F$13)/STDs!$E$13))*STDs!$I$13)</f>
        <v>5.3628700862372747E-3</v>
      </c>
      <c r="Q67" s="39">
        <f>(((E67-STDs!$F$13)/STDs!$E$13)*STDs!$J$14)+((1-((E67-STDs!$F$13)/STDs!$E$13))*STDs!$J$13)</f>
        <v>3.6746200022214146E-4</v>
      </c>
      <c r="R67" s="39">
        <f t="shared" si="9"/>
        <v>0.15480541400940423</v>
      </c>
      <c r="S67" s="39">
        <f t="shared" si="10"/>
        <v>3.6627871843709567E-3</v>
      </c>
      <c r="T67" s="40">
        <f t="shared" si="11"/>
        <v>176.11865875843083</v>
      </c>
      <c r="U67" s="39">
        <f t="shared" si="12"/>
        <v>1.3284958060742038</v>
      </c>
      <c r="V67" s="13">
        <f>((E67-E66)*24*3600)-(5*60)</f>
        <v>3269.0000000875443</v>
      </c>
      <c r="W67" s="15">
        <f>(0.000304*199000000000000000)*EXP(-(5580-680)/(1.987*(A67+273)))</f>
        <v>14778922909.376841</v>
      </c>
      <c r="X67" s="15">
        <f>1-EXP(-W67*$W$1*$F$1*(A67+273)*V67)</f>
        <v>4.6591011533319016E-3</v>
      </c>
      <c r="Y67" s="38">
        <f t="shared" si="1"/>
        <v>33.226454827815225</v>
      </c>
      <c r="Z67" s="38">
        <f>(((S67/R67)*Y67)^2+(Y67*0.1)^2)^0.5</f>
        <v>3.4143837767579375</v>
      </c>
      <c r="AA67" s="37">
        <f>Y67</f>
        <v>33.226454827815225</v>
      </c>
      <c r="AB67" s="38">
        <f>Z67</f>
        <v>3.4143837767579375</v>
      </c>
      <c r="AC67" s="37"/>
      <c r="AD67" s="36"/>
      <c r="AE67" s="15">
        <f>0.2*AA67/($D$89-T67)</f>
        <v>1.5053758132179672E-2</v>
      </c>
    </row>
    <row r="68" spans="1:31" s="5" customFormat="1" x14ac:dyDescent="0.3">
      <c r="A68" s="5">
        <v>360.4</v>
      </c>
      <c r="B68" s="5" t="s">
        <v>11</v>
      </c>
      <c r="C68" s="5">
        <v>60</v>
      </c>
      <c r="D68" s="5" t="s">
        <v>31</v>
      </c>
      <c r="E68" s="6">
        <v>45239.189560185187</v>
      </c>
      <c r="F68" s="49">
        <v>690.28453400000001</v>
      </c>
      <c r="G68" s="49">
        <v>7792.7700359999999</v>
      </c>
      <c r="H68" s="49">
        <v>66194.712503000002</v>
      </c>
      <c r="I68" s="50">
        <f t="shared" ref="I68:I88" si="13">H68/G68</f>
        <v>8.494375196137252</v>
      </c>
      <c r="J68" s="51">
        <v>28.121371</v>
      </c>
      <c r="K68" s="52">
        <v>28.115970999999998</v>
      </c>
      <c r="L68" s="50">
        <f>(((E68-STDs!$F$13)/STDs!$E$13)*STDs!$G$14)+((1-((E68-STDs!$F$13)/STDs!$E$13)))*STDs!$G$13</f>
        <v>3.2413481436276719</v>
      </c>
      <c r="M68" s="50">
        <f>(((E68-STDs!$F$13)/STDs!$E$13)*STDs!$H$14)+((1-((E68-STDs!$F$13)/STDs!$E$13))*STDs!$H$13)</f>
        <v>7.4983890227354758E-2</v>
      </c>
      <c r="N68" s="50">
        <f>I68*L68</f>
        <v>27.533227273276424</v>
      </c>
      <c r="O68" s="50">
        <f t="shared" si="8"/>
        <v>0.63694129725712079</v>
      </c>
      <c r="P68" s="50">
        <f>(((E68-STDs!$F$13)/STDs!$E$13)*STDs!$I$14)+((1-((E68-STDs!$F$13)/STDs!$E$13))*STDs!$I$13)</f>
        <v>5.3621022065720517E-3</v>
      </c>
      <c r="Q68" s="50">
        <f>(((E68-STDs!$F$13)/STDs!$E$13)*STDs!$J$14)+((1-((E68-STDs!$F$13)/STDs!$E$13))*STDs!$J$13)</f>
        <v>3.6705772992292755E-4</v>
      </c>
      <c r="R68" s="50">
        <f t="shared" si="9"/>
        <v>27.527865171069852</v>
      </c>
      <c r="S68" s="50">
        <f t="shared" si="10"/>
        <v>0.63694140302147184</v>
      </c>
      <c r="T68" s="51">
        <f t="shared" si="11"/>
        <v>203.64652392950069</v>
      </c>
      <c r="U68" s="50">
        <f t="shared" si="12"/>
        <v>1.4732940838948989</v>
      </c>
      <c r="V68" s="5">
        <f>((E68-E67)*24*3600)-(5*60)</f>
        <v>6037.9999998724088</v>
      </c>
      <c r="W68" s="7">
        <f>(0.000304*199000000000000000)*EXP(-(5580-680)/(1.987*(A68+273)))</f>
        <v>1232761495022.8789</v>
      </c>
      <c r="X68" s="7"/>
      <c r="Y68" s="49"/>
      <c r="Z68" s="49"/>
      <c r="AA68" s="48">
        <f>AA67-R67</f>
        <v>33.071649413805822</v>
      </c>
      <c r="AB68" s="47">
        <f>(AB67^2+S67^2)^0.5</f>
        <v>3.4143857413885965</v>
      </c>
      <c r="AC68" s="46">
        <f>R68+AA69-AA68</f>
        <v>15.32951848324867</v>
      </c>
      <c r="AD68" s="45">
        <f>(S68^2+AB68^2+AB69^2)^0.5</f>
        <v>4.0773667157577069</v>
      </c>
      <c r="AE68" s="7">
        <f>0.2*AA68/($D$89-T68)</f>
        <v>1.5980136394931378E-2</v>
      </c>
    </row>
    <row r="69" spans="1:31" x14ac:dyDescent="0.3">
      <c r="A69">
        <v>39.6</v>
      </c>
      <c r="B69" t="s">
        <v>11</v>
      </c>
      <c r="C69">
        <v>15</v>
      </c>
      <c r="D69" t="s">
        <v>12</v>
      </c>
      <c r="E69" s="1">
        <v>45239.230787037035</v>
      </c>
      <c r="F69" s="31">
        <v>608.30684699999995</v>
      </c>
      <c r="G69" s="31">
        <v>7892.7736299999997</v>
      </c>
      <c r="H69" s="31">
        <v>407.53224899999998</v>
      </c>
      <c r="I69" s="32">
        <f t="shared" si="13"/>
        <v>5.1633591447623972E-2</v>
      </c>
      <c r="J69" s="33">
        <v>0.17094500000000001</v>
      </c>
      <c r="K69" s="44">
        <v>0.165545</v>
      </c>
      <c r="L69" s="32">
        <f>(((E69-STDs!$F$13)/STDs!$E$13)*STDs!$G$14)+((1-((E69-STDs!$F$13)/STDs!$E$13)))*STDs!$G$13</f>
        <v>3.2406447628296307</v>
      </c>
      <c r="M69" s="32">
        <f>(((E69-STDs!$F$13)/STDs!$E$13)*STDs!$H$14)+((1-((E69-STDs!$F$13)/STDs!$E$13))*STDs!$H$13)</f>
        <v>7.5661129178340419E-2</v>
      </c>
      <c r="N69" s="32">
        <f>I69*L69</f>
        <v>0.16732612771082744</v>
      </c>
      <c r="O69" s="32">
        <f t="shared" si="8"/>
        <v>3.9066558324603309E-3</v>
      </c>
      <c r="P69" s="32">
        <f>(((E69-STDs!$F$13)/STDs!$E$13)*STDs!$I$14)+((1-((E69-STDs!$F$13)/STDs!$E$13))*STDs!$I$13)</f>
        <v>5.3616706528694068E-3</v>
      </c>
      <c r="Q69" s="32">
        <f>(((E69-STDs!$F$13)/STDs!$E$13)*STDs!$J$14)+((1-((E69-STDs!$F$13)/STDs!$E$13))*STDs!$J$13)</f>
        <v>3.668305272082366E-4</v>
      </c>
      <c r="R69" s="32">
        <f t="shared" si="9"/>
        <v>0.16196445705795803</v>
      </c>
      <c r="S69" s="32">
        <f t="shared" si="10"/>
        <v>3.9238405203305847E-3</v>
      </c>
      <c r="T69" s="33">
        <f t="shared" si="11"/>
        <v>203.80848838655865</v>
      </c>
      <c r="U69" s="32">
        <f t="shared" si="12"/>
        <v>1.4732993090896833</v>
      </c>
      <c r="V69">
        <f>((E69-E68)*24*3600)-(5*60)</f>
        <v>3261.999999708496</v>
      </c>
      <c r="W69" s="4">
        <f>(0.000304*199000000000000000)*EXP(-(5580-680)/(1.987*(A69+273)))</f>
        <v>22681815520.592377</v>
      </c>
      <c r="X69" s="4">
        <f>1-EXP(-W69*$W$1*$F$1*(A69+273)*V69)</f>
        <v>7.5118663502099503E-3</v>
      </c>
      <c r="Y69" s="31">
        <f t="shared" si="1"/>
        <v>21.561147324383807</v>
      </c>
      <c r="Z69" s="31">
        <f>(((S69/R69)*Y69)^2+(Y69*0.1)^2)^0.5</f>
        <v>2.2184865662401951</v>
      </c>
      <c r="AA69" s="43">
        <f>AA70+R69</f>
        <v>20.87330272598464</v>
      </c>
      <c r="AB69" s="42">
        <f>(S69^2+AB70^2)^0.5</f>
        <v>2.1356954354233362</v>
      </c>
      <c r="AE69" s="4">
        <f>0.2*AA69/($D$89-T69)</f>
        <v>1.0089874689318388E-2</v>
      </c>
    </row>
    <row r="70" spans="1:31" s="13" customFormat="1" x14ac:dyDescent="0.3">
      <c r="A70" s="13">
        <v>23.6</v>
      </c>
      <c r="B70" s="13" t="s">
        <v>11</v>
      </c>
      <c r="C70" s="13">
        <v>15</v>
      </c>
      <c r="D70" s="13" t="s">
        <v>12</v>
      </c>
      <c r="E70" s="14">
        <v>45239.271909722222</v>
      </c>
      <c r="F70" s="38">
        <v>601.49376099999995</v>
      </c>
      <c r="G70" s="38">
        <v>7892.6884069999996</v>
      </c>
      <c r="H70" s="38">
        <v>247.71705399999999</v>
      </c>
      <c r="I70" s="39">
        <f t="shared" si="13"/>
        <v>3.1385637089169839E-2</v>
      </c>
      <c r="J70" s="40">
        <v>0.10391</v>
      </c>
      <c r="K70" s="41">
        <v>9.851E-2</v>
      </c>
      <c r="L70" s="39">
        <f>(((E70-STDs!$F$13)/STDs!$E$13)*STDs!$G$14)+((1-((E70-STDs!$F$13)/STDs!$E$13)))*STDs!$G$13</f>
        <v>3.2399431592429586</v>
      </c>
      <c r="M70" s="39">
        <f>(((E70-STDs!$F$13)/STDs!$E$13)*STDs!$H$14)+((1-((E70-STDs!$F$13)/STDs!$E$13))*STDs!$H$13)</f>
        <v>7.6336656969786129E-2</v>
      </c>
      <c r="N70" s="39">
        <f>I70*L70</f>
        <v>0.10168768018553791</v>
      </c>
      <c r="O70" s="39">
        <f t="shared" si="8"/>
        <v>2.395874612254155E-3</v>
      </c>
      <c r="P70" s="39">
        <f>(((E70-STDs!$F$13)/STDs!$E$13)*STDs!$I$14)+((1-((E70-STDs!$F$13)/STDs!$E$13))*STDs!$I$13)</f>
        <v>5.3612401895606846E-3</v>
      </c>
      <c r="Q70" s="39">
        <f>(((E70-STDs!$F$13)/STDs!$E$13)*STDs!$J$14)+((1-((E70-STDs!$F$13)/STDs!$E$13))*STDs!$J$13)</f>
        <v>3.6660389855989583E-4</v>
      </c>
      <c r="R70" s="39">
        <f t="shared" si="9"/>
        <v>9.6326439995977217E-2</v>
      </c>
      <c r="S70" s="39">
        <f t="shared" si="10"/>
        <v>2.4237602142298054E-3</v>
      </c>
      <c r="T70" s="40">
        <f t="shared" si="11"/>
        <v>203.90481482655463</v>
      </c>
      <c r="U70" s="39">
        <f t="shared" si="12"/>
        <v>1.4733013027815165</v>
      </c>
      <c r="V70" s="13">
        <f>((E70-E69)*24*3600)-(5*60)</f>
        <v>3253.0000001192093</v>
      </c>
      <c r="W70" s="15">
        <f>(0.000304*199000000000000000)*EXP(-(5580-680)/(1.987*(A70+273)))</f>
        <v>14820423493.51034</v>
      </c>
      <c r="X70" s="15">
        <f>1-EXP(-W70*$W$1*$F$1*(A70+273)*V70)</f>
        <v>4.6509037100946893E-3</v>
      </c>
      <c r="Y70" s="38">
        <f t="shared" ref="Y70:Y88" si="14">R70/(X70)</f>
        <v>20.711338268926681</v>
      </c>
      <c r="Z70" s="38">
        <f>(((S70/R70)*Y70)^2+(Y70*0.1)^2)^0.5</f>
        <v>2.135691830850988</v>
      </c>
      <c r="AA70" s="37">
        <f>Y70</f>
        <v>20.711338268926681</v>
      </c>
      <c r="AB70" s="38">
        <f>Z70</f>
        <v>2.135691830850988</v>
      </c>
      <c r="AC70" s="37"/>
      <c r="AD70" s="36"/>
      <c r="AE70" s="15">
        <f>0.2*AA70/($D$89-T70)</f>
        <v>1.0013914627244375E-2</v>
      </c>
    </row>
    <row r="71" spans="1:31" s="5" customFormat="1" x14ac:dyDescent="0.3">
      <c r="A71" s="5">
        <v>340.4</v>
      </c>
      <c r="B71" s="5" t="s">
        <v>11</v>
      </c>
      <c r="C71" s="5">
        <v>60</v>
      </c>
      <c r="D71" s="5" t="s">
        <v>32</v>
      </c>
      <c r="E71" s="6">
        <v>45239.345324074071</v>
      </c>
      <c r="F71" s="49">
        <v>630.70356300000003</v>
      </c>
      <c r="G71" s="49">
        <v>7769.2456430000002</v>
      </c>
      <c r="H71" s="49">
        <v>35462.487998999997</v>
      </c>
      <c r="I71" s="50">
        <f t="shared" si="13"/>
        <v>4.5644699149075416</v>
      </c>
      <c r="J71" s="51">
        <v>15.111013</v>
      </c>
      <c r="K71" s="52">
        <v>15.105613</v>
      </c>
      <c r="L71" s="50">
        <f>(((E71-STDs!$F$13)/STDs!$E$13)*STDs!$G$14)+((1-((E71-STDs!$F$13)/STDs!$E$13)))*STDs!$G$13</f>
        <v>3.2386906201070271</v>
      </c>
      <c r="M71" s="50">
        <f>(((E71-STDs!$F$13)/STDs!$E$13)*STDs!$H$14)+((1-((E71-STDs!$F$13)/STDs!$E$13))*STDs!$H$13)</f>
        <v>7.7542644242752784E-2</v>
      </c>
      <c r="N71" s="50">
        <f>I71*L71</f>
        <v>14.782905899171775</v>
      </c>
      <c r="O71" s="50">
        <f t="shared" si="8"/>
        <v>0.35394106676842357</v>
      </c>
      <c r="P71" s="50">
        <f>(((E71-STDs!$F$13)/STDs!$E$13)*STDs!$I$14)+((1-((E71-STDs!$F$13)/STDs!$E$13))*STDs!$I$13)</f>
        <v>5.3604717041210431E-3</v>
      </c>
      <c r="Q71" s="50">
        <f>(((E71-STDs!$F$13)/STDs!$E$13)*STDs!$J$14)+((1-((E71-STDs!$F$13)/STDs!$E$13))*STDs!$J$13)</f>
        <v>3.6619930933492291E-4</v>
      </c>
      <c r="R71" s="50">
        <f t="shared" si="9"/>
        <v>14.777545427467654</v>
      </c>
      <c r="S71" s="50">
        <f t="shared" si="10"/>
        <v>0.35394125620942218</v>
      </c>
      <c r="T71" s="51">
        <f t="shared" si="11"/>
        <v>218.68236025402229</v>
      </c>
      <c r="U71" s="50">
        <f t="shared" si="12"/>
        <v>1.5152198327717392</v>
      </c>
      <c r="V71" s="5">
        <f>((E71-E70)*24*3600)-(5*60)</f>
        <v>6042.9999997839332</v>
      </c>
      <c r="W71" s="7">
        <f>(0.000304*199000000000000000)*EXP(-(5580-680)/(1.987*(A71+273)))</f>
        <v>1085797202846.8341</v>
      </c>
      <c r="X71" s="7"/>
      <c r="Y71" s="49"/>
      <c r="Z71" s="49"/>
      <c r="AA71" s="48">
        <f>AA70-R70</f>
        <v>20.615011828930704</v>
      </c>
      <c r="AB71" s="47">
        <f>(AB70^2+S70^2)^0.5</f>
        <v>2.1356932061925984</v>
      </c>
      <c r="AC71" s="46">
        <f>R71+AA72-AA71</f>
        <v>7.4056558378177257</v>
      </c>
      <c r="AD71" s="45">
        <f>(S71^2+AB71^2+AB72^2)^0.5</f>
        <v>2.55747788992654</v>
      </c>
      <c r="AE71" s="7">
        <f>0.2*AA71/($D$89-T71)</f>
        <v>1.0336612788982173E-2</v>
      </c>
    </row>
    <row r="72" spans="1:31" x14ac:dyDescent="0.3">
      <c r="A72">
        <v>40</v>
      </c>
      <c r="B72" t="s">
        <v>11</v>
      </c>
      <c r="C72">
        <v>15</v>
      </c>
      <c r="D72" t="s">
        <v>12</v>
      </c>
      <c r="E72" s="1">
        <v>45239.386400462965</v>
      </c>
      <c r="F72" s="31">
        <v>576.894453</v>
      </c>
      <c r="G72" s="31">
        <v>7889.1263419999996</v>
      </c>
      <c r="H72" s="31">
        <v>263.65950800000002</v>
      </c>
      <c r="I72" s="32">
        <f t="shared" si="13"/>
        <v>3.3420621824286664E-2</v>
      </c>
      <c r="J72" s="33">
        <v>0.11064599999999999</v>
      </c>
      <c r="K72" s="44">
        <v>0.10524600000000001</v>
      </c>
      <c r="L72" s="32">
        <f>(((E72-STDs!$F$13)/STDs!$E$13)*STDs!$G$14)+((1-((E72-STDs!$F$13)/STDs!$E$13)))*STDs!$G$13</f>
        <v>3.2379898063920467</v>
      </c>
      <c r="M72" s="32">
        <f>(((E72-STDs!$F$13)/STDs!$E$13)*STDs!$H$14)+((1-((E72-STDs!$F$13)/STDs!$E$13))*STDs!$H$13)</f>
        <v>7.8217411518873986E-2</v>
      </c>
      <c r="N72" s="32">
        <f>I72*L72</f>
        <v>0.10821563279032378</v>
      </c>
      <c r="O72" s="32">
        <f t="shared" si="8"/>
        <v>2.6140745304468909E-3</v>
      </c>
      <c r="P72" s="32">
        <f>(((E72-STDs!$F$13)/STDs!$E$13)*STDs!$I$14)+((1-((E72-STDs!$F$13)/STDs!$E$13))*STDs!$I$13)</f>
        <v>5.3600417254318243E-3</v>
      </c>
      <c r="Q72" s="32">
        <f>(((E72-STDs!$F$13)/STDs!$E$13)*STDs!$J$14)+((1-((E72-STDs!$F$13)/STDs!$E$13))*STDs!$J$13)</f>
        <v>3.6597293582717324E-4</v>
      </c>
      <c r="R72" s="32">
        <f t="shared" si="9"/>
        <v>0.10285559106489196</v>
      </c>
      <c r="S72" s="32">
        <f t="shared" si="10"/>
        <v>2.6395684951311823E-3</v>
      </c>
      <c r="T72" s="33">
        <f t="shared" si="11"/>
        <v>218.78521584508718</v>
      </c>
      <c r="U72" s="32">
        <f t="shared" si="12"/>
        <v>1.5152221318825361</v>
      </c>
      <c r="V72">
        <f>((E72-E71)*24*3600)-(5*60)</f>
        <v>3249.0000004414469</v>
      </c>
      <c r="W72" s="4">
        <f>(0.000304*199000000000000000)*EXP(-(5580-680)/(1.987*(A72+273)))</f>
        <v>22911638639.767723</v>
      </c>
      <c r="X72" s="4">
        <f>1-EXP(-W72*$W$1*$F$1*(A72+273)*V72)</f>
        <v>7.567200072977287E-3</v>
      </c>
      <c r="Y72" s="31">
        <f t="shared" si="14"/>
        <v>13.592291742383363</v>
      </c>
      <c r="Z72" s="31">
        <f>(((S72/R72)*Y72)^2+(Y72*0.1)^2)^0.5</f>
        <v>1.4032737760923961</v>
      </c>
      <c r="AA72" s="43">
        <f>AA73+R72</f>
        <v>13.243122239280778</v>
      </c>
      <c r="AB72" s="42">
        <f>(S72^2+AB73^2)^0.5</f>
        <v>1.3617023439940106</v>
      </c>
      <c r="AE72" s="4">
        <f>0.2*AA72/($D$89-T72)</f>
        <v>6.6419721632044858E-3</v>
      </c>
    </row>
    <row r="73" spans="1:31" s="13" customFormat="1" x14ac:dyDescent="0.3">
      <c r="A73" s="13">
        <v>23.5</v>
      </c>
      <c r="B73" s="13" t="s">
        <v>11</v>
      </c>
      <c r="C73" s="13">
        <v>15</v>
      </c>
      <c r="D73" s="13" t="s">
        <v>12</v>
      </c>
      <c r="E73" s="14">
        <v>45239.427581018521</v>
      </c>
      <c r="F73" s="38">
        <v>587.33747300000005</v>
      </c>
      <c r="G73" s="38">
        <v>7875.2553559999997</v>
      </c>
      <c r="H73" s="38">
        <v>161.47077200000001</v>
      </c>
      <c r="I73" s="39">
        <f t="shared" si="13"/>
        <v>2.05035601641766E-2</v>
      </c>
      <c r="J73" s="40">
        <v>6.7880999999999997E-2</v>
      </c>
      <c r="K73" s="41">
        <v>6.2481000000000002E-2</v>
      </c>
      <c r="L73" s="39">
        <f>(((E73-STDs!$F$13)/STDs!$E$13)*STDs!$G$14)+((1-((E73-STDs!$F$13)/STDs!$E$13)))*STDs!$G$13</f>
        <v>3.2372872154656971</v>
      </c>
      <c r="M73" s="39">
        <f>(((E73-STDs!$F$13)/STDs!$E$13)*STDs!$H$14)+((1-((E73-STDs!$F$13)/STDs!$E$13))*STDs!$H$13)</f>
        <v>7.8893889954535126E-2</v>
      </c>
      <c r="N73" s="39">
        <f>I73*L73</f>
        <v>6.6375913191020652E-2</v>
      </c>
      <c r="O73" s="39">
        <f t="shared" ref="O73:P88" si="15">(M73/L73)*N73</f>
        <v>1.6176056192687388E-3</v>
      </c>
      <c r="P73" s="39">
        <f>(((E73-STDs!$F$13)/STDs!$E$13)*STDs!$I$14)+((1-((E73-STDs!$F$13)/STDs!$E$13))*STDs!$I$13)</f>
        <v>5.3596106563486836E-3</v>
      </c>
      <c r="Q73" s="39">
        <f>(((E73-STDs!$F$13)/STDs!$E$13)*STDs!$J$14)+((1-((E73-STDs!$F$13)/STDs!$E$13))*STDs!$J$13)</f>
        <v>3.6574598825307345E-4</v>
      </c>
      <c r="R73" s="39">
        <f t="shared" ref="R73:R88" si="16">N73-P73</f>
        <v>6.1016302534671968E-2</v>
      </c>
      <c r="S73" s="39">
        <f t="shared" ref="S73:S88" si="17">(O73^2+Q73^2)^0.5</f>
        <v>1.6584384424551358E-3</v>
      </c>
      <c r="T73" s="40">
        <f t="shared" ref="T73:T88" si="18">R73+T72</f>
        <v>218.84623214762186</v>
      </c>
      <c r="U73" s="39">
        <f t="shared" ref="U73:U88" si="19">(S73^2+U72^2)^0.5</f>
        <v>1.5152230394779262</v>
      </c>
      <c r="V73" s="13">
        <f>((E73-E72)*24*3600)-(5*60)</f>
        <v>3258.0000000307336</v>
      </c>
      <c r="W73" s="15">
        <f>(0.000304*199000000000000000)*EXP(-(5580-680)/(1.987*(A73+273)))</f>
        <v>14778922909.376841</v>
      </c>
      <c r="X73" s="15">
        <f>1-EXP(-W73*$W$1*$F$1*(A73+273)*V73)</f>
        <v>4.6434599972867696E-3</v>
      </c>
      <c r="Y73" s="38">
        <f t="shared" si="14"/>
        <v>13.140266648215887</v>
      </c>
      <c r="Z73" s="38">
        <f>(((S73/R73)*Y73)^2+(Y73*0.1)^2)^0.5</f>
        <v>1.3616997856785256</v>
      </c>
      <c r="AA73" s="37">
        <f>Y73</f>
        <v>13.140266648215887</v>
      </c>
      <c r="AB73" s="38">
        <f>Z73</f>
        <v>1.3616997856785256</v>
      </c>
      <c r="AC73" s="37"/>
      <c r="AD73" s="36"/>
      <c r="AE73" s="15">
        <f>0.2*AA73/($D$89-T73)</f>
        <v>6.5913943964779195E-3</v>
      </c>
    </row>
    <row r="74" spans="1:31" s="5" customFormat="1" x14ac:dyDescent="0.3">
      <c r="A74" s="5">
        <v>325.2</v>
      </c>
      <c r="B74" s="5" t="s">
        <v>11</v>
      </c>
      <c r="C74" s="5">
        <v>100</v>
      </c>
      <c r="D74" s="5" t="s">
        <v>33</v>
      </c>
      <c r="E74" s="6">
        <v>45239.528749999998</v>
      </c>
      <c r="F74" s="49">
        <v>598.65241000000003</v>
      </c>
      <c r="G74" s="49">
        <v>7757.245124</v>
      </c>
      <c r="H74" s="49">
        <v>29671.750036000001</v>
      </c>
      <c r="I74" s="50">
        <f t="shared" si="13"/>
        <v>3.8250370539663767</v>
      </c>
      <c r="J74" s="51">
        <v>12.663252</v>
      </c>
      <c r="K74" s="52">
        <v>12.657851000000001</v>
      </c>
      <c r="L74" s="50">
        <f>(((E74-STDs!$F$13)/STDs!$E$13)*STDs!$G$14)+((1-((E74-STDs!$F$13)/STDs!$E$13)))*STDs!$G$13</f>
        <v>3.2355611482124988</v>
      </c>
      <c r="M74" s="50">
        <f>(((E74-STDs!$F$13)/STDs!$E$13)*STDs!$H$14)+((1-((E74-STDs!$F$13)/STDs!$E$13))*STDs!$H$13)</f>
        <v>8.0555806201243779E-2</v>
      </c>
      <c r="N74" s="50">
        <f>I74*L74</f>
        <v>12.376141282286804</v>
      </c>
      <c r="O74" s="50">
        <f t="shared" si="15"/>
        <v>0.30812894363189192</v>
      </c>
      <c r="P74" s="50">
        <f>(((E74-STDs!$F$13)/STDs!$E$13)*STDs!$I$14)+((1-((E74-STDs!$F$13)/STDs!$E$13))*STDs!$I$13)</f>
        <v>5.3585516414932808E-3</v>
      </c>
      <c r="Q74" s="50">
        <f>(((E74-STDs!$F$13)/STDs!$E$13)*STDs!$J$14)+((1-((E74-STDs!$F$13)/STDs!$E$13))*STDs!$J$13)</f>
        <v>3.6518844223140472E-4</v>
      </c>
      <c r="R74" s="50">
        <f t="shared" si="16"/>
        <v>12.370782730645312</v>
      </c>
      <c r="S74" s="50">
        <f t="shared" si="17"/>
        <v>0.30812916003894203</v>
      </c>
      <c r="T74" s="51">
        <f t="shared" si="18"/>
        <v>231.21701487826718</v>
      </c>
      <c r="U74" s="50">
        <f t="shared" si="19"/>
        <v>1.5462355702256463</v>
      </c>
      <c r="V74" s="5">
        <f>((E74-E73)*24*3600)-(5*60)</f>
        <v>8440.999999595806</v>
      </c>
      <c r="W74" s="7">
        <f>(0.000304*199000000000000000)*EXP(-(5580-680)/(1.987*(A74+273)))</f>
        <v>980356841025.86853</v>
      </c>
      <c r="X74" s="7"/>
      <c r="Y74" s="49"/>
      <c r="Z74" s="49"/>
      <c r="AA74" s="48">
        <f>AA73-R73</f>
        <v>13.079250345681215</v>
      </c>
      <c r="AB74" s="47">
        <f>(AB73^2+S73^2)^0.5</f>
        <v>1.3617007955990221</v>
      </c>
      <c r="AC74" s="46">
        <f>R74+AA75-AA74</f>
        <v>6.7885433898562955</v>
      </c>
      <c r="AD74" s="45">
        <f>(S74^2+AB74^2+AB75^2)^0.5</f>
        <v>1.5986131603737967</v>
      </c>
      <c r="AE74" s="7">
        <f>0.2*AA74/($D$89-T74)</f>
        <v>6.7708674761673511E-3</v>
      </c>
    </row>
    <row r="75" spans="1:31" x14ac:dyDescent="0.3">
      <c r="A75">
        <v>40.1</v>
      </c>
      <c r="B75" t="s">
        <v>11</v>
      </c>
      <c r="C75">
        <v>15</v>
      </c>
      <c r="D75" t="s">
        <v>12</v>
      </c>
      <c r="E75" s="1">
        <v>45239.569837962961</v>
      </c>
      <c r="F75" s="31">
        <v>562.51622599999996</v>
      </c>
      <c r="G75" s="31">
        <v>7883.6071940000002</v>
      </c>
      <c r="H75" s="31">
        <v>156.55450200000001</v>
      </c>
      <c r="I75" s="32">
        <f t="shared" si="13"/>
        <v>1.9858232170566464E-2</v>
      </c>
      <c r="J75" s="33">
        <v>6.5743999999999997E-2</v>
      </c>
      <c r="K75" s="44">
        <v>6.0344000000000002E-2</v>
      </c>
      <c r="L75" s="32">
        <f>(((E75-STDs!$F$13)/STDs!$E$13)*STDs!$G$14)+((1-((E75-STDs!$F$13)/STDs!$E$13)))*STDs!$G$13</f>
        <v>3.2348601370296572</v>
      </c>
      <c r="M75" s="32">
        <f>(((E75-STDs!$F$13)/STDs!$E$13)*STDs!$H$14)+((1-((E75-STDs!$F$13)/STDs!$E$13))*STDs!$H$13)</f>
        <v>8.1230763606136347E-2</v>
      </c>
      <c r="N75" s="32">
        <f>I75*L75</f>
        <v>6.4238603640445383E-2</v>
      </c>
      <c r="O75" s="32">
        <f t="shared" si="15"/>
        <v>1.6130993630830565E-3</v>
      </c>
      <c r="P75" s="32">
        <f>(((E75-STDs!$F$13)/STDs!$E$13)*STDs!$I$14)+((1-((E75-STDs!$F$13)/STDs!$E$13))*STDs!$I$13)</f>
        <v>5.3581215416492241E-3</v>
      </c>
      <c r="Q75" s="32">
        <f>(((E75-STDs!$F$13)/STDs!$E$13)*STDs!$J$14)+((1-((E75-STDs!$F$13)/STDs!$E$13))*STDs!$J$13)</f>
        <v>3.6496200493852732E-4</v>
      </c>
      <c r="R75" s="32">
        <f t="shared" si="16"/>
        <v>5.8880482098796157E-2</v>
      </c>
      <c r="S75" s="32">
        <f t="shared" si="17"/>
        <v>1.6538702549558451E-3</v>
      </c>
      <c r="T75" s="33">
        <f t="shared" si="18"/>
        <v>231.27589536036598</v>
      </c>
      <c r="U75" s="32">
        <f t="shared" si="19"/>
        <v>1.5462364547241312</v>
      </c>
      <c r="V75">
        <f>((E75-E74)*24*3600)-(5*60)</f>
        <v>3250.0000000465661</v>
      </c>
      <c r="W75" s="4">
        <f>(0.000304*199000000000000000)*EXP(-(5580-680)/(1.987*(A75+273)))</f>
        <v>22969364909.127872</v>
      </c>
      <c r="X75" s="4">
        <f>1-EXP(-W75*$W$1*$F$1*(A75+273)*V75)</f>
        <v>7.5909345337296097E-3</v>
      </c>
      <c r="Y75" s="31">
        <f t="shared" si="14"/>
        <v>7.7566842181507729</v>
      </c>
      <c r="Z75" s="31">
        <f>(((S75/R75)*Y75)^2+(Y75*0.1)^2)^0.5</f>
        <v>0.80568650962413291</v>
      </c>
      <c r="AA75" s="43">
        <f>AA76+R75</f>
        <v>7.4970110048921974</v>
      </c>
      <c r="AB75" s="42">
        <f>(S75^2+AB76^2)^0.5</f>
        <v>0.77871137176683403</v>
      </c>
      <c r="AE75" s="4">
        <f>0.2*AA75/($D$89-T75)</f>
        <v>3.8816449073328595E-3</v>
      </c>
    </row>
    <row r="76" spans="1:31" s="13" customFormat="1" x14ac:dyDescent="0.3">
      <c r="A76" s="13">
        <v>24</v>
      </c>
      <c r="B76" s="13" t="s">
        <v>11</v>
      </c>
      <c r="C76" s="13">
        <v>15</v>
      </c>
      <c r="D76" s="13" t="s">
        <v>12</v>
      </c>
      <c r="E76" s="14">
        <v>45239.611018518517</v>
      </c>
      <c r="F76" s="38">
        <v>569.88941799999998</v>
      </c>
      <c r="G76" s="38">
        <v>7891.9865330000002</v>
      </c>
      <c r="H76" s="38">
        <v>98.684400999999994</v>
      </c>
      <c r="I76" s="39">
        <f t="shared" si="13"/>
        <v>1.2504380308729043E-2</v>
      </c>
      <c r="J76" s="40">
        <v>4.1397000000000003E-2</v>
      </c>
      <c r="K76" s="41">
        <v>3.5996E-2</v>
      </c>
      <c r="L76" s="39">
        <f>(((E76-STDs!$F$13)/STDs!$E$13)*STDs!$G$14)+((1-((E76-STDs!$F$13)/STDs!$E$13)))*STDs!$G$13</f>
        <v>3.2341575461033081</v>
      </c>
      <c r="M76" s="39">
        <f>(((E76-STDs!$F$13)/STDs!$E$13)*STDs!$H$14)+((1-((E76-STDs!$F$13)/STDs!$E$13))*STDs!$H$13)</f>
        <v>8.1907242041797487E-2</v>
      </c>
      <c r="N76" s="39">
        <f>I76*L76</f>
        <v>4.0441135934821647E-2</v>
      </c>
      <c r="O76" s="39">
        <f t="shared" si="15"/>
        <v>1.0241993045297562E-3</v>
      </c>
      <c r="P76" s="39">
        <f>(((E76-STDs!$F$13)/STDs!$E$13)*STDs!$I$14)+((1-((E76-STDs!$F$13)/STDs!$E$13))*STDs!$I$13)</f>
        <v>5.3576904725660835E-3</v>
      </c>
      <c r="Q76" s="39">
        <f>(((E76-STDs!$F$13)/STDs!$E$13)*STDs!$J$14)+((1-((E76-STDs!$F$13)/STDs!$E$13))*STDs!$J$13)</f>
        <v>3.6473505736442759E-4</v>
      </c>
      <c r="R76" s="39">
        <f t="shared" si="16"/>
        <v>3.5083445462255565E-2</v>
      </c>
      <c r="S76" s="39">
        <f t="shared" si="17"/>
        <v>1.0872055359819818E-3</v>
      </c>
      <c r="T76" s="40">
        <f t="shared" si="18"/>
        <v>231.31097880582823</v>
      </c>
      <c r="U76" s="39">
        <f t="shared" si="19"/>
        <v>1.5462368369476029</v>
      </c>
      <c r="V76" s="13">
        <f>((E76-E75)*24*3600)-(5*60)</f>
        <v>3258.0000000307336</v>
      </c>
      <c r="W76" s="15">
        <f>(0.000304*199000000000000000)*EXP(-(5580-680)/(1.987*(A76+273)))</f>
        <v>14987311470.674414</v>
      </c>
      <c r="X76" s="15">
        <f>1-EXP(-W76*$W$1*$F$1*(A76+273)*V76)</f>
        <v>4.7167020469385257E-3</v>
      </c>
      <c r="Y76" s="38">
        <f t="shared" si="14"/>
        <v>7.4381305227934016</v>
      </c>
      <c r="Z76" s="38">
        <f>(((S76/R76)*Y76)^2+(Y76*0.1)^2)^0.5</f>
        <v>0.77870961547432049</v>
      </c>
      <c r="AA76" s="37">
        <f>Y76</f>
        <v>7.4381305227934016</v>
      </c>
      <c r="AB76" s="38">
        <f>Z76</f>
        <v>0.77870961547432049</v>
      </c>
      <c r="AC76" s="37"/>
      <c r="AD76" s="36"/>
      <c r="AE76" s="15">
        <f>0.2*AA76/($D$89-T76)</f>
        <v>3.8515088167591573E-3</v>
      </c>
    </row>
    <row r="77" spans="1:31" s="5" customFormat="1" x14ac:dyDescent="0.3">
      <c r="A77" s="5">
        <v>400.1</v>
      </c>
      <c r="B77" s="5" t="s">
        <v>11</v>
      </c>
      <c r="C77" s="5">
        <v>240</v>
      </c>
      <c r="D77" s="5" t="s">
        <v>34</v>
      </c>
      <c r="E77" s="6">
        <v>45239.809270833335</v>
      </c>
      <c r="F77" s="49">
        <v>911.09241099999997</v>
      </c>
      <c r="G77" s="49">
        <v>8354.8895429999993</v>
      </c>
      <c r="H77" s="49">
        <v>261381.547922</v>
      </c>
      <c r="I77" s="50">
        <f t="shared" si="13"/>
        <v>31.284859790994368</v>
      </c>
      <c r="J77" s="51">
        <v>103.530314</v>
      </c>
      <c r="K77" s="52">
        <v>103.524914</v>
      </c>
      <c r="L77" s="50">
        <f>(((E77-STDs!$F$13)/STDs!$E$13)*STDs!$G$14)+((1-((E77-STDs!$F$13)/STDs!$E$13)))*STDs!$G$13</f>
        <v>3.2307751177791006</v>
      </c>
      <c r="M77" s="50">
        <f>(((E77-STDs!$F$13)/STDs!$E$13)*STDs!$H$14)+((1-((E77-STDs!$F$13)/STDs!$E$13))*STDs!$H$13)</f>
        <v>8.5163959052626872E-2</v>
      </c>
      <c r="N77" s="50">
        <f>I77*L77</f>
        <v>101.07434657595248</v>
      </c>
      <c r="O77" s="50">
        <f t="shared" si="15"/>
        <v>2.664342518207417</v>
      </c>
      <c r="P77" s="50">
        <f>(((E77-STDs!$F$13)/STDs!$E$13)*STDs!$I$14)+((1-((E77-STDs!$F$13)/STDs!$E$13))*STDs!$I$13)</f>
        <v>5.3556152105297804E-3</v>
      </c>
      <c r="Q77" s="50">
        <f>(((E77-STDs!$F$13)/STDs!$E$13)*STDs!$J$14)+((1-((E77-STDs!$F$13)/STDs!$E$13))*STDs!$J$13)</f>
        <v>3.6364248148000209E-4</v>
      </c>
      <c r="R77" s="50">
        <f t="shared" si="16"/>
        <v>101.06899096074194</v>
      </c>
      <c r="S77" s="50">
        <f t="shared" si="17"/>
        <v>2.6643425430232681</v>
      </c>
      <c r="T77" s="51">
        <f t="shared" si="18"/>
        <v>332.37996976657018</v>
      </c>
      <c r="U77" s="50">
        <f t="shared" si="19"/>
        <v>3.0805144931484132</v>
      </c>
      <c r="V77" s="5">
        <f>((E77-E76)*24*3600)-(5*60)</f>
        <v>16829.000000283122</v>
      </c>
      <c r="W77" s="7">
        <f>(0.000304*199000000000000000)*EXP(-(5580-680)/(1.987*(A77+273)))</f>
        <v>1550981665705.7722</v>
      </c>
      <c r="X77" s="7"/>
      <c r="Y77" s="49"/>
      <c r="Z77" s="49"/>
      <c r="AA77" s="48">
        <f>AA76-R76</f>
        <v>7.4030470773311459</v>
      </c>
      <c r="AB77" s="47">
        <f>(AB76^2+S76^2)^0.5</f>
        <v>0.77871037443201019</v>
      </c>
      <c r="AC77" s="46">
        <f>R77+AA78-AA77</f>
        <v>109.98923129912342</v>
      </c>
      <c r="AD77" s="45">
        <f>(S77^2+AB77^2+AB78^2)^0.5</f>
        <v>3.2490485062783758</v>
      </c>
      <c r="AE77" s="7">
        <f>0.2*AA77/($D$89-T77)</f>
        <v>5.1919139706597412E-3</v>
      </c>
    </row>
    <row r="78" spans="1:31" x14ac:dyDescent="0.3">
      <c r="A78">
        <v>34.9</v>
      </c>
      <c r="B78" t="s">
        <v>11</v>
      </c>
      <c r="C78">
        <v>15</v>
      </c>
      <c r="D78" t="s">
        <v>12</v>
      </c>
      <c r="E78" s="1">
        <v>45239.850312499999</v>
      </c>
      <c r="F78" s="31">
        <v>556.11444500000005</v>
      </c>
      <c r="G78" s="31">
        <v>7747.7981730000001</v>
      </c>
      <c r="H78" s="31">
        <v>275.74168300000002</v>
      </c>
      <c r="I78" s="32">
        <f t="shared" si="13"/>
        <v>3.558968326781168E-2</v>
      </c>
      <c r="J78" s="33">
        <v>0.117816</v>
      </c>
      <c r="K78" s="44">
        <v>0.112416</v>
      </c>
      <c r="L78" s="32">
        <f>(((E78-STDs!$F$13)/STDs!$E$13)*STDs!$G$14)+((1-((E78-STDs!$F$13)/STDs!$E$13)))*STDs!$G$13</f>
        <v>3.2300748964680746</v>
      </c>
      <c r="M78" s="32">
        <f>(((E78-STDs!$F$13)/STDs!$E$13)*STDs!$H$14)+((1-((E78-STDs!$F$13)/STDs!$E$13))*STDs!$H$13)</f>
        <v>8.5838155942075417E-2</v>
      </c>
      <c r="N78" s="32">
        <f>I78*L78</f>
        <v>0.11495734249660837</v>
      </c>
      <c r="O78" s="32">
        <f t="shared" si="15"/>
        <v>3.0549527822714912E-3</v>
      </c>
      <c r="P78" s="32">
        <f>(((E78-STDs!$F$13)/STDs!$E$13)*STDs!$I$14)+((1-((E78-STDs!$F$13)/STDs!$E$13))*STDs!$I$13)</f>
        <v>5.3551855953053026E-3</v>
      </c>
      <c r="Q78" s="32">
        <f>(((E78-STDs!$F$13)/STDs!$E$13)*STDs!$J$14)+((1-((E78-STDs!$F$13)/STDs!$E$13))*STDs!$J$13)</f>
        <v>3.6341629932775586E-4</v>
      </c>
      <c r="R78" s="32">
        <f t="shared" si="16"/>
        <v>0.10960215690130307</v>
      </c>
      <c r="S78" s="32">
        <f t="shared" si="17"/>
        <v>3.0764927935110474E-3</v>
      </c>
      <c r="T78" s="33">
        <f t="shared" si="18"/>
        <v>332.48957192347149</v>
      </c>
      <c r="U78" s="32">
        <f t="shared" si="19"/>
        <v>3.0805160293862022</v>
      </c>
      <c r="V78">
        <f>((E78-E77)*24*3600)-(5*60)</f>
        <v>3245.999999740161</v>
      </c>
      <c r="W78" s="4">
        <f>(0.000304*199000000000000000)*EXP(-(5580-680)/(1.987*(A78+273)))</f>
        <v>20108525147.700287</v>
      </c>
      <c r="X78" s="4">
        <f>1-EXP(-W78*$W$1*$F$1*(A78+273)*V78)</f>
        <v>6.5305517561220494E-3</v>
      </c>
      <c r="Y78" s="31">
        <f t="shared" si="14"/>
        <v>16.782985725295998</v>
      </c>
      <c r="Z78" s="31">
        <f>(((S78/R78)*Y78)^2+(Y78*0.1)^2)^0.5</f>
        <v>1.7431620908002456</v>
      </c>
      <c r="AA78" s="43">
        <f>AA79+R78</f>
        <v>16.323287415712624</v>
      </c>
      <c r="AB78" s="42">
        <f>(S78^2+AB79^2)^0.5</f>
        <v>1.6885512021665219</v>
      </c>
      <c r="AE78" s="4">
        <f>0.2*AA78/($D$89-T78)</f>
        <v>1.14522692313179E-2</v>
      </c>
    </row>
    <row r="79" spans="1:31" s="13" customFormat="1" x14ac:dyDescent="0.3">
      <c r="A79" s="13">
        <v>23.8</v>
      </c>
      <c r="B79" s="13" t="s">
        <v>11</v>
      </c>
      <c r="C79" s="13">
        <v>15</v>
      </c>
      <c r="D79" s="13" t="s">
        <v>12</v>
      </c>
      <c r="E79" s="14">
        <v>45239.891331018516</v>
      </c>
      <c r="F79" s="38">
        <v>564.47553700000003</v>
      </c>
      <c r="G79" s="38">
        <v>7757.4846280000002</v>
      </c>
      <c r="H79" s="38">
        <v>194.640736</v>
      </c>
      <c r="I79" s="39">
        <f t="shared" si="13"/>
        <v>2.5090702119790264E-2</v>
      </c>
      <c r="J79" s="40">
        <v>8.3058999999999994E-2</v>
      </c>
      <c r="K79" s="41">
        <v>7.7659000000000006E-2</v>
      </c>
      <c r="L79" s="39">
        <f>(((E79-STDs!$F$13)/STDs!$E$13)*STDs!$G$14)+((1-((E79-STDs!$F$13)/STDs!$E$13)))*STDs!$G$13</f>
        <v>3.2293750700928952</v>
      </c>
      <c r="M79" s="39">
        <f>(((E79-STDs!$F$13)/STDs!$E$13)*STDs!$H$14)+((1-((E79-STDs!$F$13)/STDs!$E$13))*STDs!$H$13)</f>
        <v>8.6511972573861687E-2</v>
      </c>
      <c r="N79" s="39">
        <f>I79*L79</f>
        <v>8.1027287916777643E-2</v>
      </c>
      <c r="O79" s="39">
        <f t="shared" si="15"/>
        <v>2.1706461336462287E-3</v>
      </c>
      <c r="P79" s="39">
        <f>(((E79-STDs!$F$13)/STDs!$E$13)*STDs!$I$14)+((1-((E79-STDs!$F$13)/STDs!$E$13))*STDs!$I$13)</f>
        <v>5.3547562223905769E-3</v>
      </c>
      <c r="Q79" s="39">
        <f>(((E79-STDs!$F$13)/STDs!$E$13)*STDs!$J$14)+((1-((E79-STDs!$F$13)/STDs!$E$13))*STDs!$J$13)</f>
        <v>3.6319024474580527E-4</v>
      </c>
      <c r="R79" s="39">
        <f t="shared" si="16"/>
        <v>7.5672531694387063E-2</v>
      </c>
      <c r="S79" s="39">
        <f t="shared" si="17"/>
        <v>2.2008207085975539E-3</v>
      </c>
      <c r="T79" s="40">
        <f t="shared" si="18"/>
        <v>332.5652444551659</v>
      </c>
      <c r="U79" s="39">
        <f t="shared" si="19"/>
        <v>3.0805168155550007</v>
      </c>
      <c r="V79" s="13">
        <f>((E79-E78)*24*3600)-(5*60)</f>
        <v>3243.9999999012798</v>
      </c>
      <c r="W79" s="15">
        <f>(0.000304*199000000000000000)*EXP(-(5580-680)/(1.987*(A79+273)))</f>
        <v>14903690115.472437</v>
      </c>
      <c r="X79" s="15">
        <f>1-EXP(-W79*$W$1*$F$1*(A79+273)*V79)</f>
        <v>4.6672012245496663E-3</v>
      </c>
      <c r="Y79" s="38">
        <f t="shared" si="14"/>
        <v>16.213685258811321</v>
      </c>
      <c r="Z79" s="38">
        <f>(((S79/R79)*Y79)^2+(Y79*0.1)^2)^0.5</f>
        <v>1.6885483995225301</v>
      </c>
      <c r="AA79" s="37">
        <f>Y79</f>
        <v>16.213685258811321</v>
      </c>
      <c r="AB79" s="38">
        <f>Z79</f>
        <v>1.6885483995225301</v>
      </c>
      <c r="AC79" s="37"/>
      <c r="AD79" s="36"/>
      <c r="AE79" s="15">
        <f>0.2*AA79/($D$89-T79)</f>
        <v>1.1378393820399285E-2</v>
      </c>
    </row>
    <row r="80" spans="1:31" s="5" customFormat="1" x14ac:dyDescent="0.3">
      <c r="A80" s="5">
        <v>350.3</v>
      </c>
      <c r="B80" s="5" t="s">
        <v>11</v>
      </c>
      <c r="C80" s="5">
        <v>90</v>
      </c>
      <c r="D80" s="5" t="s">
        <v>28</v>
      </c>
      <c r="E80" s="6">
        <v>45239.985474537039</v>
      </c>
      <c r="F80" s="49">
        <v>593.08712500000001</v>
      </c>
      <c r="G80" s="49">
        <v>7630.4562429999996</v>
      </c>
      <c r="H80" s="49">
        <v>35186.497562999997</v>
      </c>
      <c r="I80" s="50">
        <f t="shared" si="13"/>
        <v>4.6113228937364337</v>
      </c>
      <c r="J80" s="51">
        <v>15.267080999999999</v>
      </c>
      <c r="K80" s="52">
        <v>15.261680999999999</v>
      </c>
      <c r="L80" s="50">
        <f>(((E80-STDs!$F$13)/STDs!$E$13)*STDs!$G$14)+((1-((E80-STDs!$F$13)/STDs!$E$13)))*STDs!$G$13</f>
        <v>3.2277688658784038</v>
      </c>
      <c r="M80" s="50">
        <f>(((E80-STDs!$F$13)/STDs!$E$13)*STDs!$H$14)+((1-((E80-STDs!$F$13)/STDs!$E$13))*STDs!$H$13)</f>
        <v>8.8058480610931258E-2</v>
      </c>
      <c r="N80" s="50">
        <f>I80*L80</f>
        <v>14.884284466914767</v>
      </c>
      <c r="O80" s="50">
        <f t="shared" si="15"/>
        <v>0.40606608762883317</v>
      </c>
      <c r="P80" s="50">
        <f>(((E80-STDs!$F$13)/STDs!$E$13)*STDs!$I$14)+((1-((E80-STDs!$F$13)/STDs!$E$13))*STDs!$I$13)</f>
        <v>5.3537707485506658E-3</v>
      </c>
      <c r="Q80" s="50">
        <f>(((E80-STDs!$F$13)/STDs!$E$13)*STDs!$J$14)+((1-((E80-STDs!$F$13)/STDs!$E$13))*STDs!$J$13)</f>
        <v>3.6267141631190884E-4</v>
      </c>
      <c r="R80" s="50">
        <f t="shared" si="16"/>
        <v>14.878930696166217</v>
      </c>
      <c r="S80" s="50">
        <f t="shared" si="17"/>
        <v>0.4060662495858815</v>
      </c>
      <c r="T80" s="51">
        <f t="shared" si="18"/>
        <v>347.4441751513321</v>
      </c>
      <c r="U80" s="50">
        <f t="shared" si="19"/>
        <v>3.1071648894080055</v>
      </c>
      <c r="V80" s="5">
        <f>((E80-E79)*24*3600)-(5*60)</f>
        <v>7834.000000404194</v>
      </c>
      <c r="W80" s="7">
        <f>(0.000304*199000000000000000)*EXP(-(5580-680)/(1.987*(A80+273)))</f>
        <v>1157391902040.9146</v>
      </c>
      <c r="X80" s="7"/>
      <c r="Y80" s="49"/>
      <c r="Z80" s="49"/>
      <c r="AA80" s="48">
        <f>AA79-R79</f>
        <v>16.138012727116934</v>
      </c>
      <c r="AB80" s="47">
        <f>(AB79^2+S79^2)^0.5</f>
        <v>1.6885498337750915</v>
      </c>
      <c r="AC80" s="46">
        <f>R80+AA81-AA80</f>
        <v>5.8007597520409249</v>
      </c>
      <c r="AD80" s="45">
        <f>(S80^2+AB80^2+AB81^2)^0.5</f>
        <v>1.8876885185255603</v>
      </c>
      <c r="AE80" s="7">
        <f>0.2*AA80/($D$89-T80)</f>
        <v>1.1949134575028969E-2</v>
      </c>
    </row>
    <row r="81" spans="1:31" x14ac:dyDescent="0.3">
      <c r="A81">
        <v>39.5</v>
      </c>
      <c r="B81" t="s">
        <v>11</v>
      </c>
      <c r="C81">
        <v>15</v>
      </c>
      <c r="D81" t="s">
        <v>12</v>
      </c>
      <c r="E81" s="1">
        <v>45240.027361111112</v>
      </c>
      <c r="F81" s="31">
        <v>552.611583</v>
      </c>
      <c r="G81" s="31">
        <v>7746.4192730000004</v>
      </c>
      <c r="H81" s="31">
        <v>148.969493</v>
      </c>
      <c r="I81" s="32">
        <f t="shared" si="13"/>
        <v>1.9230755236710511E-2</v>
      </c>
      <c r="J81" s="33">
        <v>6.3663999999999998E-2</v>
      </c>
      <c r="K81" s="44">
        <v>5.8264000000000003E-2</v>
      </c>
      <c r="L81" s="32">
        <f>(((E81-STDs!$F$13)/STDs!$E$13)*STDs!$G$14)+((1-((E81-STDs!$F$13)/STDs!$E$13)))*STDs!$G$13</f>
        <v>3.2270542294078255</v>
      </c>
      <c r="M81" s="32">
        <f>(((E81-STDs!$F$13)/STDs!$E$13)*STDs!$H$14)+((1-((E81-STDs!$F$13)/STDs!$E$13))*STDs!$H$13)</f>
        <v>8.8746556906187712E-2</v>
      </c>
      <c r="N81" s="32">
        <f>I81*L81</f>
        <v>6.2058690021333344E-2</v>
      </c>
      <c r="O81" s="32">
        <f t="shared" si="15"/>
        <v>1.7066633139636968E-3</v>
      </c>
      <c r="P81" s="32">
        <f>(((E81-STDs!$F$13)/STDs!$E$13)*STDs!$I$14)+((1-((E81-STDs!$F$13)/STDs!$E$13))*STDs!$I$13)</f>
        <v>5.353332289019525E-3</v>
      </c>
      <c r="Q81" s="32">
        <f>(((E81-STDs!$F$13)/STDs!$E$13)*STDs!$J$14)+((1-((E81-STDs!$F$13)/STDs!$E$13))*STDs!$J$13)</f>
        <v>3.6244057784349355E-4</v>
      </c>
      <c r="R81" s="32">
        <f t="shared" si="16"/>
        <v>5.6705357732313819E-2</v>
      </c>
      <c r="S81" s="32">
        <f t="shared" si="17"/>
        <v>1.7447242875873177E-3</v>
      </c>
      <c r="T81" s="33">
        <f t="shared" si="18"/>
        <v>347.50088050906442</v>
      </c>
      <c r="U81" s="32">
        <f t="shared" si="19"/>
        <v>3.107165379253686</v>
      </c>
      <c r="V81">
        <f>((E81-E80)*24*3600)-(5*60)</f>
        <v>3318.9999998314306</v>
      </c>
      <c r="W81" s="4">
        <f>(0.000304*199000000000000000)*EXP(-(5580-680)/(1.987*(A81+273)))</f>
        <v>22624629618.16761</v>
      </c>
      <c r="X81" s="4">
        <f>1-EXP(-W81*$W$1*$F$1*(A81+273)*V81)</f>
        <v>7.6210008806313345E-3</v>
      </c>
      <c r="Y81" s="31">
        <f t="shared" si="14"/>
        <v>7.4406706704928585</v>
      </c>
      <c r="Z81" s="31">
        <f>(((S81/R81)*Y81)^2+(Y81*0.1)^2)^0.5</f>
        <v>0.77849063089381543</v>
      </c>
      <c r="AA81" s="43">
        <f>AA82+R81</f>
        <v>7.0598417829916418</v>
      </c>
      <c r="AB81" s="42">
        <f>(S81^2+AB82^2)^0.5</f>
        <v>0.73978213196764342</v>
      </c>
      <c r="AE81" s="4">
        <f>0.2*AA81/($D$89-T81)</f>
        <v>5.2284450643259187E-3</v>
      </c>
    </row>
    <row r="82" spans="1:31" s="13" customFormat="1" x14ac:dyDescent="0.3">
      <c r="A82" s="13">
        <v>24</v>
      </c>
      <c r="B82" s="13" t="s">
        <v>11</v>
      </c>
      <c r="C82" s="13">
        <v>15</v>
      </c>
      <c r="D82" s="13" t="s">
        <v>12</v>
      </c>
      <c r="E82" s="14">
        <v>45240.068449074075</v>
      </c>
      <c r="F82" s="38">
        <v>558.17717000000005</v>
      </c>
      <c r="G82" s="38">
        <v>7767.8527459999996</v>
      </c>
      <c r="H82" s="38">
        <v>92.220974999999996</v>
      </c>
      <c r="I82" s="39">
        <f t="shared" si="13"/>
        <v>1.1872132237250317E-2</v>
      </c>
      <c r="J82" s="40">
        <v>3.9301000000000003E-2</v>
      </c>
      <c r="K82" s="41">
        <v>3.3901000000000001E-2</v>
      </c>
      <c r="L82" s="39">
        <f>(((E82-STDs!$F$13)/STDs!$E$13)*STDs!$G$14)+((1-((E82-STDs!$F$13)/STDs!$E$13)))*STDs!$G$13</f>
        <v>3.2263532182249839</v>
      </c>
      <c r="M82" s="39">
        <f>(((E82-STDs!$F$13)/STDs!$E$13)*STDs!$H$14)+((1-((E82-STDs!$F$13)/STDs!$E$13))*STDs!$H$13)</f>
        <v>8.942151431108028E-2</v>
      </c>
      <c r="N82" s="39">
        <f>I82*L82</f>
        <v>3.8303692050845141E-2</v>
      </c>
      <c r="O82" s="39">
        <f t="shared" si="15"/>
        <v>1.0616240427563169E-3</v>
      </c>
      <c r="P82" s="39">
        <f>(((E82-STDs!$F$13)/STDs!$E$13)*STDs!$I$14)+((1-((E82-STDs!$F$13)/STDs!$E$13))*STDs!$I$13)</f>
        <v>5.3529021891754684E-3</v>
      </c>
      <c r="Q82" s="39">
        <f>(((E82-STDs!$F$13)/STDs!$E$13)*STDs!$J$14)+((1-((E82-STDs!$F$13)/STDs!$E$13))*STDs!$J$13)</f>
        <v>3.6221414055061609E-4</v>
      </c>
      <c r="R82" s="39">
        <f t="shared" si="16"/>
        <v>3.2950789861669674E-2</v>
      </c>
      <c r="S82" s="39">
        <f t="shared" si="17"/>
        <v>1.1217150671062094E-3</v>
      </c>
      <c r="T82" s="40">
        <f t="shared" si="18"/>
        <v>347.53383129892609</v>
      </c>
      <c r="U82" s="39">
        <f t="shared" si="19"/>
        <v>3.1071655817283692</v>
      </c>
      <c r="V82" s="13">
        <f>((E82-E81)*24*3600)-(5*60)</f>
        <v>3250.0000000465661</v>
      </c>
      <c r="W82" s="15">
        <f>(0.000304*199000000000000000)*EXP(-(5580-680)/(1.987*(A82+273)))</f>
        <v>14987311470.674414</v>
      </c>
      <c r="X82" s="15">
        <f>1-EXP(-W82*$W$1*$F$1*(A82+273)*V82)</f>
        <v>4.7051475025990941E-3</v>
      </c>
      <c r="Y82" s="38">
        <f t="shared" si="14"/>
        <v>7.0031364252593278</v>
      </c>
      <c r="Z82" s="38">
        <f>(((S82/R82)*Y82)^2+(Y82*0.1)^2)^0.5</f>
        <v>0.73978007455983297</v>
      </c>
      <c r="AA82" s="37">
        <f>Y82</f>
        <v>7.0031364252593278</v>
      </c>
      <c r="AB82" s="38">
        <f>Z82</f>
        <v>0.73978007455983297</v>
      </c>
      <c r="AC82" s="37"/>
      <c r="AD82" s="36"/>
      <c r="AE82" s="15">
        <f>0.2*AA82/($D$89-T82)</f>
        <v>5.1870825709959389E-3</v>
      </c>
    </row>
    <row r="83" spans="1:31" s="5" customFormat="1" x14ac:dyDescent="0.3">
      <c r="A83" s="5">
        <v>400.4</v>
      </c>
      <c r="B83" s="5" t="s">
        <v>11</v>
      </c>
      <c r="C83" s="5">
        <v>60</v>
      </c>
      <c r="D83" s="5" t="s">
        <v>34</v>
      </c>
      <c r="E83" s="6">
        <v>45240.141828703701</v>
      </c>
      <c r="F83" s="49">
        <v>593.66144299999996</v>
      </c>
      <c r="G83" s="49">
        <v>7636.9536550000003</v>
      </c>
      <c r="H83" s="49">
        <v>33670.959010999999</v>
      </c>
      <c r="I83" s="50">
        <f t="shared" si="13"/>
        <v>4.4089515966821722</v>
      </c>
      <c r="J83" s="51">
        <v>14.596531000000001</v>
      </c>
      <c r="K83" s="52">
        <v>14.591131000000001</v>
      </c>
      <c r="L83" s="50">
        <f>(((E83-STDs!$F$13)/STDs!$E$13)*STDs!$G$14)+((1-((E83-STDs!$F$13)/STDs!$E$13)))*STDs!$G$13</f>
        <v>3.2251012714928837</v>
      </c>
      <c r="M83" s="50">
        <f>(((E83-STDs!$F$13)/STDs!$E$13)*STDs!$H$14)+((1-((E83-STDs!$F$13)/STDs!$E$13))*STDs!$H$13)</f>
        <v>9.0626931197493779E-2</v>
      </c>
      <c r="N83" s="50">
        <f>I83*L83</f>
        <v>14.219315400410254</v>
      </c>
      <c r="O83" s="50">
        <f t="shared" si="15"/>
        <v>0.39956975300559561</v>
      </c>
      <c r="P83" s="50">
        <f>(((E83-STDs!$F$13)/STDs!$E$13)*STDs!$I$14)+((1-((E83-STDs!$F$13)/STDs!$E$13))*STDs!$I$13)</f>
        <v>5.3521340672004931E-3</v>
      </c>
      <c r="Q83" s="50">
        <f>(((E83-STDs!$F$13)/STDs!$E$13)*STDs!$J$14)+((1-((E83-STDs!$F$13)/STDs!$E$13))*STDs!$J$13)</f>
        <v>3.618097426811066E-4</v>
      </c>
      <c r="R83" s="50">
        <f t="shared" si="16"/>
        <v>14.213963266343054</v>
      </c>
      <c r="S83" s="50">
        <f t="shared" si="17"/>
        <v>0.39956991681462029</v>
      </c>
      <c r="T83" s="51">
        <f t="shared" si="18"/>
        <v>361.74779456526915</v>
      </c>
      <c r="U83" s="50">
        <f t="shared" si="19"/>
        <v>3.1327518367564062</v>
      </c>
      <c r="V83" s="5">
        <f>((E83-E82)*24*3600)-(5*60)</f>
        <v>6039.99999971129</v>
      </c>
      <c r="W83" s="7">
        <f>(0.000304*199000000000000000)*EXP(-(5580-680)/(1.987*(A83+273)))</f>
        <v>1553515206488.5176</v>
      </c>
      <c r="X83" s="7"/>
      <c r="Y83" s="49"/>
      <c r="Z83" s="49"/>
      <c r="AA83" s="48">
        <f>AA82-R82</f>
        <v>6.9701856353976579</v>
      </c>
      <c r="AB83" s="47">
        <f>(AB82^2+S82^2)^0.5</f>
        <v>0.73978092497741776</v>
      </c>
      <c r="AC83" s="46">
        <f>R83+AA84-AA83</f>
        <v>18.117517289967918</v>
      </c>
      <c r="AD83" s="45">
        <f>(S83^2+AB83^2+AB84^2)^0.5</f>
        <v>1.4114442681642989</v>
      </c>
      <c r="AE83" s="7">
        <f>0.2*AA83/($D$89-T83)</f>
        <v>5.449540309742794E-3</v>
      </c>
    </row>
    <row r="84" spans="1:31" x14ac:dyDescent="0.3">
      <c r="A84">
        <v>40.4</v>
      </c>
      <c r="B84" t="s">
        <v>11</v>
      </c>
      <c r="C84">
        <v>15</v>
      </c>
      <c r="D84" t="s">
        <v>12</v>
      </c>
      <c r="E84" s="1">
        <v>45240.182951388888</v>
      </c>
      <c r="F84" s="31">
        <v>554.45045200000004</v>
      </c>
      <c r="G84" s="31">
        <v>7764.5013909999998</v>
      </c>
      <c r="H84" s="31">
        <v>221.41537199999999</v>
      </c>
      <c r="I84" s="32">
        <f t="shared" si="13"/>
        <v>2.8516367098169022E-2</v>
      </c>
      <c r="J84" s="33">
        <v>9.4406000000000004E-2</v>
      </c>
      <c r="K84" s="44">
        <v>8.9006000000000002E-2</v>
      </c>
      <c r="L84" s="32">
        <f>(((E84-STDs!$F$13)/STDs!$E$13)*STDs!$G$14)+((1-((E84-STDs!$F$13)/STDs!$E$13)))*STDs!$G$13</f>
        <v>3.2243996679062112</v>
      </c>
      <c r="M84" s="32">
        <f>(((E84-STDs!$F$13)/STDs!$E$13)*STDs!$H$14)+((1-((E84-STDs!$F$13)/STDs!$E$13))*STDs!$H$13)</f>
        <v>9.1302458988939503E-2</v>
      </c>
      <c r="N84" s="32">
        <f>I84*L84</f>
        <v>9.1948164601227803E-2</v>
      </c>
      <c r="O84" s="32">
        <f t="shared" si="15"/>
        <v>2.603614437494121E-3</v>
      </c>
      <c r="P84" s="32">
        <f>(((E84-STDs!$F$13)/STDs!$E$13)*STDs!$I$14)+((1-((E84-STDs!$F$13)/STDs!$E$13))*STDs!$I$13)</f>
        <v>5.3517036038917692E-3</v>
      </c>
      <c r="Q84" s="32">
        <f>(((E84-STDs!$F$13)/STDs!$E$13)*STDs!$J$14)+((1-((E84-STDs!$F$13)/STDs!$E$13))*STDs!$J$13)</f>
        <v>3.6158311403276577E-4</v>
      </c>
      <c r="R84" s="32">
        <f t="shared" si="16"/>
        <v>8.6596460997336033E-2</v>
      </c>
      <c r="S84" s="32">
        <f t="shared" si="17"/>
        <v>2.6286023829178613E-3</v>
      </c>
      <c r="T84" s="33">
        <f t="shared" si="18"/>
        <v>361.83439102626647</v>
      </c>
      <c r="U84" s="32">
        <f t="shared" si="19"/>
        <v>3.1327529395487166</v>
      </c>
      <c r="V84">
        <f>((E84-E83)*24*3600)-(5*60)</f>
        <v>3253.0000001192093</v>
      </c>
      <c r="W84" s="4">
        <f>(0.000304*199000000000000000)*EXP(-(5580-680)/(1.987*(A84+273)))</f>
        <v>23143194851.460785</v>
      </c>
      <c r="X84" s="4">
        <f>1-EXP(-W84*$W$1*$F$1*(A84+273)*V84)</f>
        <v>7.6625012318537467E-3</v>
      </c>
      <c r="Y84" s="31">
        <f t="shared" si="14"/>
        <v>11.30133077660677</v>
      </c>
      <c r="Z84" s="31">
        <f>(((S84/R84)*Y84)^2+(Y84*0.1)^2)^0.5</f>
        <v>1.1810513979057355</v>
      </c>
      <c r="AA84" s="43">
        <f>AA85+R84</f>
        <v>10.873739659022522</v>
      </c>
      <c r="AB84" s="42">
        <f>(S84^2+AB85^2)^0.5</f>
        <v>1.1336855766702543</v>
      </c>
      <c r="AE84" s="4">
        <f>0.2*AA84/($D$89-T84)</f>
        <v>8.5043572990653425E-3</v>
      </c>
    </row>
    <row r="85" spans="1:31" s="13" customFormat="1" x14ac:dyDescent="0.3">
      <c r="A85" s="13">
        <v>24</v>
      </c>
      <c r="B85" s="13" t="s">
        <v>11</v>
      </c>
      <c r="C85" s="13">
        <v>15</v>
      </c>
      <c r="D85" s="13" t="s">
        <v>12</v>
      </c>
      <c r="E85" s="14">
        <v>45240.224085648151</v>
      </c>
      <c r="F85" s="38">
        <v>560.23857099999998</v>
      </c>
      <c r="G85" s="38">
        <v>7774.017081</v>
      </c>
      <c r="H85" s="38">
        <v>135.45201800000001</v>
      </c>
      <c r="I85" s="39">
        <f t="shared" si="13"/>
        <v>1.7423684124781513E-2</v>
      </c>
      <c r="J85" s="40">
        <v>5.7682999999999998E-2</v>
      </c>
      <c r="K85" s="41">
        <v>5.2283000000000003E-2</v>
      </c>
      <c r="L85" s="39">
        <f>(((E85-STDs!$F$13)/STDs!$E$13)*STDs!$G$14)+((1-((E85-STDs!$F$13)/STDs!$E$13)))*STDs!$G$13</f>
        <v>3.2236978668515537</v>
      </c>
      <c r="M85" s="39">
        <f>(((E85-STDs!$F$13)/STDs!$E$13)*STDs!$H$14)+((1-((E85-STDs!$F$13)/STDs!$E$13))*STDs!$H$13)</f>
        <v>9.1978176909276121E-2</v>
      </c>
      <c r="N85" s="39">
        <f>I85*L85</f>
        <v>5.6168693345753445E-2</v>
      </c>
      <c r="O85" s="39">
        <f t="shared" si="15"/>
        <v>1.6025987008404998E-3</v>
      </c>
      <c r="P85" s="39">
        <f>(((E85-STDs!$F$13)/STDs!$E$13)*STDs!$I$14)+((1-((E85-STDs!$F$13)/STDs!$E$13))*STDs!$I$13)</f>
        <v>5.3512730194281337E-3</v>
      </c>
      <c r="Q85" s="39">
        <f>(((E85-STDs!$F$13)/STDs!$E$13)*STDs!$J$14)+((1-((E85-STDs!$F$13)/STDs!$E$13))*STDs!$J$13)</f>
        <v>3.613564215992572E-4</v>
      </c>
      <c r="R85" s="39">
        <f t="shared" si="16"/>
        <v>5.0817420326325309E-2</v>
      </c>
      <c r="S85" s="39">
        <f t="shared" si="17"/>
        <v>1.6428332414967373E-3</v>
      </c>
      <c r="T85" s="40">
        <f t="shared" si="18"/>
        <v>361.8852084465928</v>
      </c>
      <c r="U85" s="39">
        <f t="shared" si="19"/>
        <v>3.1327533703041777</v>
      </c>
      <c r="V85" s="13">
        <f>((E85-E84)*24*3600)-(5*60)</f>
        <v>3254.0000003529713</v>
      </c>
      <c r="W85" s="15">
        <f>(0.000304*199000000000000000)*EXP(-(5580-680)/(1.987*(A85+273)))</f>
        <v>14987311470.674414</v>
      </c>
      <c r="X85" s="15">
        <f>1-EXP(-W85*$W$1*$F$1*(A85+273)*V85)</f>
        <v>4.7109247919902009E-3</v>
      </c>
      <c r="Y85" s="38">
        <f t="shared" si="14"/>
        <v>10.787143198025186</v>
      </c>
      <c r="Z85" s="38">
        <f>(((S85/R85)*Y85)^2+(Y85*0.1)^2)^0.5</f>
        <v>1.133682529282197</v>
      </c>
      <c r="AA85" s="37">
        <f>Y85</f>
        <v>10.787143198025186</v>
      </c>
      <c r="AB85" s="38">
        <f>Z85</f>
        <v>1.133682529282197</v>
      </c>
      <c r="AC85" s="37"/>
      <c r="AD85" s="36"/>
      <c r="AE85" s="15">
        <f>0.2*AA85/($D$89-T85)</f>
        <v>8.4383070373307417E-3</v>
      </c>
    </row>
    <row r="86" spans="1:31" s="5" customFormat="1" x14ac:dyDescent="0.3">
      <c r="A86" s="5">
        <v>300.2</v>
      </c>
      <c r="B86" s="5" t="s">
        <v>11</v>
      </c>
      <c r="C86" s="5">
        <v>120</v>
      </c>
      <c r="D86" s="5" t="s">
        <v>22</v>
      </c>
      <c r="E86" s="6">
        <v>45240.338935185187</v>
      </c>
      <c r="F86" s="49">
        <v>549.380943</v>
      </c>
      <c r="G86" s="49">
        <v>7644.5850790000004</v>
      </c>
      <c r="H86" s="49">
        <v>18172.503262999999</v>
      </c>
      <c r="I86" s="50">
        <f t="shared" si="13"/>
        <v>2.377173263846672</v>
      </c>
      <c r="J86" s="51">
        <v>7.8704479999999997</v>
      </c>
      <c r="K86" s="52">
        <v>7.8650479999999998</v>
      </c>
      <c r="L86" s="50">
        <f>(((E86-STDs!$F$13)/STDs!$E$13)*STDs!$G$14)+((1-((E86-STDs!$F$13)/STDs!$E$13)))*STDs!$G$13</f>
        <v>3.221738392494597</v>
      </c>
      <c r="M86" s="50">
        <f>(((E86-STDs!$F$13)/STDs!$E$13)*STDs!$H$14)+((1-((E86-STDs!$F$13)/STDs!$E$13))*STDs!$H$13)</f>
        <v>9.3864825452547304E-2</v>
      </c>
      <c r="N86" s="50">
        <f>I86*L86</f>
        <v>7.6586303697465121</v>
      </c>
      <c r="O86" s="50">
        <f t="shared" si="15"/>
        <v>0.22313295348143006</v>
      </c>
      <c r="P86" s="50">
        <f>(((E86-STDs!$F$13)/STDs!$E$13)*STDs!$I$14)+((1-((E86-STDs!$F$13)/STDs!$E$13))*STDs!$I$13)</f>
        <v>5.3500707994978544E-3</v>
      </c>
      <c r="Q86" s="50">
        <f>(((E86-STDs!$F$13)/STDs!$E$13)*STDs!$J$14)+((1-((E86-STDs!$F$13)/STDs!$E$13))*STDs!$J$13)</f>
        <v>3.6072348152681302E-4</v>
      </c>
      <c r="R86" s="50">
        <f t="shared" si="16"/>
        <v>7.6532802989470143</v>
      </c>
      <c r="S86" s="50">
        <f t="shared" si="17"/>
        <v>0.22313324505948492</v>
      </c>
      <c r="T86" s="51">
        <f t="shared" si="18"/>
        <v>369.53848874553984</v>
      </c>
      <c r="U86" s="50">
        <f t="shared" si="19"/>
        <v>3.1406897529369182</v>
      </c>
      <c r="V86" s="5">
        <f>((E86-E85)*24*3600)-(5*60)</f>
        <v>9622.9999999282882</v>
      </c>
      <c r="W86" s="7">
        <f>(0.000304*199000000000000000)*EXP(-(5580-680)/(1.987*(A86+273)))</f>
        <v>819028030197.81494</v>
      </c>
      <c r="X86" s="7"/>
      <c r="Y86" s="49"/>
      <c r="Z86" s="49"/>
      <c r="AA86" s="48">
        <f>AA85-R85</f>
        <v>10.736325777698861</v>
      </c>
      <c r="AB86" s="47">
        <f>(AB85^2+S85^2)^0.5</f>
        <v>1.1336837196064602</v>
      </c>
      <c r="AC86" s="46">
        <f>R86+AA87-AA86</f>
        <v>0.70246648635252917</v>
      </c>
      <c r="AD86" s="45">
        <f>(S86^2+AB86^2+AB87^2)^0.5</f>
        <v>1.2259902068947057</v>
      </c>
      <c r="AE86" s="7">
        <f>0.2*AA86/($D$89-T86)</f>
        <v>8.6577159196502378E-3</v>
      </c>
    </row>
    <row r="87" spans="1:31" x14ac:dyDescent="0.3">
      <c r="A87">
        <v>39.4</v>
      </c>
      <c r="B87" t="s">
        <v>11</v>
      </c>
      <c r="C87">
        <v>15</v>
      </c>
      <c r="D87" t="s">
        <v>12</v>
      </c>
      <c r="E87" s="1">
        <v>45240.380150462966</v>
      </c>
      <c r="F87" s="31">
        <v>529.66326600000002</v>
      </c>
      <c r="G87" s="31">
        <v>7787.8307439999999</v>
      </c>
      <c r="H87" s="31">
        <v>83.173969</v>
      </c>
      <c r="I87" s="32">
        <f t="shared" si="13"/>
        <v>1.0679991866037915E-2</v>
      </c>
      <c r="J87" s="33">
        <v>3.5355999999999999E-2</v>
      </c>
      <c r="K87" s="44">
        <v>2.9956E-2</v>
      </c>
      <c r="L87" s="32">
        <f>(((E87-STDs!$F$13)/STDs!$E$13)*STDs!$G$14)+((1-((E87-STDs!$F$13)/STDs!$E$13)))*STDs!$G$13</f>
        <v>3.221035209164417</v>
      </c>
      <c r="M87" s="32">
        <f>(((E87-STDs!$F$13)/STDs!$E$13)*STDs!$H$14)+((1-((E87-STDs!$F$13)/STDs!$E$13))*STDs!$H$13)</f>
        <v>9.45418742747616E-2</v>
      </c>
      <c r="N87" s="32">
        <f>I87*L87</f>
        <v>3.440062983409771E-2</v>
      </c>
      <c r="O87" s="32">
        <f t="shared" si="15"/>
        <v>1.0097064482544331E-3</v>
      </c>
      <c r="P87" s="32">
        <f>(((E87-STDs!$F$13)/STDs!$E$13)*STDs!$I$14)+((1-((E87-STDs!$F$13)/STDs!$E$13))*STDs!$I$13)</f>
        <v>5.3496393669500483E-3</v>
      </c>
      <c r="Q87" s="32">
        <f>(((E87-STDs!$F$13)/STDs!$E$13)*STDs!$J$14)+((1-((E87-STDs!$F$13)/STDs!$E$13))*STDs!$J$13)</f>
        <v>3.6049634259724975E-4</v>
      </c>
      <c r="R87" s="32">
        <f t="shared" si="16"/>
        <v>2.905099046714766E-2</v>
      </c>
      <c r="S87" s="32">
        <f t="shared" si="17"/>
        <v>1.0721309270199119E-3</v>
      </c>
      <c r="T87" s="33">
        <f t="shared" si="18"/>
        <v>369.56753973600701</v>
      </c>
      <c r="U87" s="32">
        <f t="shared" si="19"/>
        <v>3.1406899359324991</v>
      </c>
      <c r="V87">
        <f>((E87-E86)*24*3600)-(5*60)</f>
        <v>3261.0000001033768</v>
      </c>
      <c r="W87" s="4">
        <f>(0.000304*199000000000000000)*EXP(-(5580-680)/(1.987*(A87+273)))</f>
        <v>22567551421.838085</v>
      </c>
      <c r="X87" s="4">
        <f>1-EXP(-W87*$W$1*$F$1*(A87+273)*V87)</f>
        <v>7.4671203405336506E-3</v>
      </c>
      <c r="Y87" s="31">
        <f t="shared" si="14"/>
        <v>3.8905212641947968</v>
      </c>
      <c r="Z87" s="31">
        <f>(((S87/R87)*Y87)^2+(Y87*0.1)^2)^0.5</f>
        <v>0.41470090698260387</v>
      </c>
      <c r="AA87" s="43">
        <f>AA88+R87</f>
        <v>3.785511965104376</v>
      </c>
      <c r="AB87" s="42">
        <f>(S87^2+AB88^2)^0.5</f>
        <v>0.40990824125675746</v>
      </c>
      <c r="AE87" s="4">
        <f>0.2*AA87/($D$89-T87)</f>
        <v>3.0529742884604842E-3</v>
      </c>
    </row>
    <row r="88" spans="1:31" s="13" customFormat="1" x14ac:dyDescent="0.3">
      <c r="A88" s="13">
        <v>23.7</v>
      </c>
      <c r="B88" s="13" t="s">
        <v>11</v>
      </c>
      <c r="C88" s="13">
        <v>15</v>
      </c>
      <c r="D88" s="13" t="s">
        <v>12</v>
      </c>
      <c r="E88" s="14">
        <v>45240.421388888892</v>
      </c>
      <c r="F88" s="38">
        <v>536.05755699999997</v>
      </c>
      <c r="G88" s="38">
        <v>7776.2995510000001</v>
      </c>
      <c r="H88" s="38">
        <v>55.367106999999997</v>
      </c>
      <c r="I88" s="39">
        <f t="shared" si="13"/>
        <v>7.1199812503210495E-3</v>
      </c>
      <c r="J88" s="40">
        <v>2.3571000000000002E-2</v>
      </c>
      <c r="K88" s="41">
        <v>1.8171E-2</v>
      </c>
      <c r="L88" s="39">
        <f>(((E88-STDs!$F$13)/STDs!$E$13)*STDs!$G$14)+((1-((E88-STDs!$F$13)/STDs!$E$13)))*STDs!$G$13</f>
        <v>3.2203316308983911</v>
      </c>
      <c r="M88" s="39">
        <f>(((E88-STDs!$F$13)/STDs!$E$13)*STDs!$H$14)+((1-((E88-STDs!$F$13)/STDs!$E$13))*STDs!$H$13)</f>
        <v>9.521930335463813E-2</v>
      </c>
      <c r="N88" s="39">
        <f>I88*L88</f>
        <v>2.2928700831812351E-2</v>
      </c>
      <c r="O88" s="39">
        <f t="shared" si="15"/>
        <v>6.7795965455365564E-4</v>
      </c>
      <c r="P88" s="39">
        <f>(((E88-STDs!$F$13)/STDs!$E$13)*STDs!$I$14)+((1-((E88-STDs!$F$13)/STDs!$E$13))*STDs!$I$13)</f>
        <v>5.3492076920924909E-3</v>
      </c>
      <c r="Q88" s="39">
        <f>(((E88-STDs!$F$13)/STDs!$E$13)*STDs!$J$14)+((1-((E88-STDs!$F$13)/STDs!$E$13))*STDs!$J$13)</f>
        <v>3.6026907609739101E-4</v>
      </c>
      <c r="R88" s="39">
        <f t="shared" si="16"/>
        <v>1.7579493139719862E-2</v>
      </c>
      <c r="S88" s="39">
        <f t="shared" si="17"/>
        <v>7.6773895328723541E-4</v>
      </c>
      <c r="T88" s="40">
        <f t="shared" si="18"/>
        <v>369.5851192291467</v>
      </c>
      <c r="U88" s="39">
        <f t="shared" si="19"/>
        <v>3.1406900297690612</v>
      </c>
      <c r="V88" s="13">
        <f>((E88-E87)*24*3600)-(5*60)</f>
        <v>3262.999999942258</v>
      </c>
      <c r="W88" s="15">
        <f>(0.000304*199000000000000000)*EXP(-(5580-680)/(1.987*(A88+273)))</f>
        <v>14862012522.468014</v>
      </c>
      <c r="X88" s="15">
        <f>1-EXP(-W88*$W$1*$F$1*(A88+273)*V88)</f>
        <v>4.679801882253698E-3</v>
      </c>
      <c r="Y88" s="38">
        <f t="shared" si="14"/>
        <v>3.7564609746372284</v>
      </c>
      <c r="Z88" s="38">
        <f>(((S88/R88)*Y88)^2+(Y88*0.1)^2)^0.5</f>
        <v>0.40990683915431736</v>
      </c>
      <c r="AA88" s="37">
        <f>Y88</f>
        <v>3.7564609746372284</v>
      </c>
      <c r="AB88" s="38">
        <f>Z88</f>
        <v>0.40990683915431736</v>
      </c>
      <c r="AC88" s="37"/>
      <c r="AD88" s="36"/>
      <c r="AE88" s="15">
        <f>0.2*AA88/($D$89-T88)</f>
        <v>3.0297597548226037E-3</v>
      </c>
    </row>
    <row r="89" spans="1:31" x14ac:dyDescent="0.3">
      <c r="C89" t="s">
        <v>98</v>
      </c>
      <c r="D89">
        <f>194.2*3.18</f>
        <v>617.55600000000004</v>
      </c>
      <c r="E89">
        <f>0.00002*D89</f>
        <v>1.2351120000000002E-2</v>
      </c>
      <c r="AA89" s="35"/>
      <c r="AB89" s="34"/>
    </row>
  </sheetData>
  <mergeCells count="1">
    <mergeCell ref="L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B2C14-D066-4CD0-8906-B6CBF6D21ACB}">
  <dimension ref="A1:AF62"/>
  <sheetViews>
    <sheetView topLeftCell="A17" zoomScale="55" zoomScaleNormal="55" workbookViewId="0">
      <selection activeCell="R16" sqref="R16"/>
    </sheetView>
  </sheetViews>
  <sheetFormatPr defaultRowHeight="14.4" x14ac:dyDescent="0.3"/>
  <cols>
    <col min="1" max="1" width="9" bestFit="1" customWidth="1"/>
    <col min="2" max="4" width="9" style="17" bestFit="1" customWidth="1"/>
    <col min="5" max="5" width="9" style="17" customWidth="1"/>
    <col min="6" max="6" width="9" bestFit="1" customWidth="1"/>
    <col min="7" max="10" width="9" customWidth="1"/>
    <col min="11" max="11" width="3.33203125" style="10" customWidth="1"/>
    <col min="12" max="12" width="12" bestFit="1" customWidth="1"/>
    <col min="13" max="13" width="12" customWidth="1"/>
    <col min="14" max="14" width="12.21875" bestFit="1" customWidth="1"/>
    <col min="15" max="15" width="12.109375" customWidth="1"/>
    <col min="16" max="16" width="12.109375" bestFit="1" customWidth="1"/>
    <col min="17" max="17" width="12" customWidth="1"/>
    <col min="18" max="18" width="12.109375" bestFit="1" customWidth="1"/>
    <col min="19" max="19" width="12" customWidth="1"/>
    <col min="20" max="21" width="9.109375" bestFit="1" customWidth="1"/>
    <col min="22" max="22" width="9.21875" customWidth="1"/>
    <col min="23" max="23" width="9.21875" bestFit="1" customWidth="1"/>
    <col min="24" max="24" width="11.88671875" customWidth="1"/>
    <col min="25" max="25" width="12.44140625" customWidth="1"/>
    <col min="26" max="26" width="4" style="10" customWidth="1"/>
    <col min="27" max="27" width="12.77734375" bestFit="1" customWidth="1"/>
    <col min="28" max="28" width="10.88671875" customWidth="1"/>
    <col min="29" max="29" width="11.33203125" customWidth="1"/>
    <col min="32" max="32" width="9" bestFit="1" customWidth="1"/>
    <col min="33" max="33" width="12.77734375" bestFit="1" customWidth="1"/>
    <col min="34" max="36" width="9" bestFit="1" customWidth="1"/>
    <col min="37" max="37" width="11.33203125" bestFit="1" customWidth="1"/>
    <col min="40" max="41" width="9" bestFit="1" customWidth="1"/>
  </cols>
  <sheetData>
    <row r="1" spans="1:29" s="12" customFormat="1" ht="41.4" customHeight="1" x14ac:dyDescent="0.3">
      <c r="A1" s="12" t="s">
        <v>44</v>
      </c>
      <c r="B1" s="16"/>
      <c r="C1" s="60" t="s">
        <v>84</v>
      </c>
      <c r="D1" s="60"/>
      <c r="E1" s="60"/>
      <c r="G1" s="16" t="s">
        <v>108</v>
      </c>
      <c r="H1" s="16" t="s">
        <v>110</v>
      </c>
      <c r="I1" s="16" t="s">
        <v>46</v>
      </c>
      <c r="J1" s="16" t="s">
        <v>111</v>
      </c>
      <c r="K1" s="9"/>
      <c r="L1" s="12" t="s">
        <v>47</v>
      </c>
      <c r="M1" s="12" t="s">
        <v>111</v>
      </c>
      <c r="N1" s="12" t="s">
        <v>48</v>
      </c>
      <c r="O1" s="12" t="s">
        <v>111</v>
      </c>
      <c r="P1" s="12" t="s">
        <v>49</v>
      </c>
      <c r="Q1" s="12" t="s">
        <v>111</v>
      </c>
      <c r="R1" s="12" t="s">
        <v>50</v>
      </c>
      <c r="S1" s="12" t="s">
        <v>111</v>
      </c>
      <c r="T1" s="12" t="s">
        <v>51</v>
      </c>
      <c r="U1" s="12" t="s">
        <v>113</v>
      </c>
      <c r="V1" s="12" t="s">
        <v>111</v>
      </c>
      <c r="W1" s="12" t="s">
        <v>53</v>
      </c>
      <c r="X1" s="12" t="s">
        <v>83</v>
      </c>
      <c r="Y1" s="12" t="s">
        <v>54</v>
      </c>
      <c r="Z1" s="9"/>
      <c r="AA1" s="61" t="s">
        <v>55</v>
      </c>
      <c r="AB1" s="61"/>
      <c r="AC1" s="61"/>
    </row>
    <row r="2" spans="1:29" x14ac:dyDescent="0.3">
      <c r="G2" s="17"/>
      <c r="H2" s="17"/>
      <c r="I2" s="17"/>
      <c r="J2" s="17"/>
      <c r="L2" t="s">
        <v>56</v>
      </c>
      <c r="N2" t="s">
        <v>57</v>
      </c>
      <c r="P2" t="s">
        <v>58</v>
      </c>
      <c r="AA2" t="s">
        <v>59</v>
      </c>
      <c r="AB2" t="s">
        <v>60</v>
      </c>
      <c r="AC2" t="s">
        <v>61</v>
      </c>
    </row>
    <row r="3" spans="1:29" x14ac:dyDescent="0.3">
      <c r="A3" t="s">
        <v>62</v>
      </c>
      <c r="B3" s="17" t="s">
        <v>63</v>
      </c>
      <c r="C3" s="17" t="s">
        <v>64</v>
      </c>
      <c r="D3" s="17" t="s">
        <v>82</v>
      </c>
      <c r="F3" t="s">
        <v>65</v>
      </c>
      <c r="G3">
        <v>0</v>
      </c>
      <c r="H3">
        <v>0</v>
      </c>
      <c r="I3">
        <v>0</v>
      </c>
      <c r="J3" s="17">
        <v>0</v>
      </c>
      <c r="AA3">
        <v>0</v>
      </c>
      <c r="AB3">
        <v>0</v>
      </c>
      <c r="AC3">
        <v>0</v>
      </c>
    </row>
    <row r="4" spans="1:29" s="24" customFormat="1" x14ac:dyDescent="0.3">
      <c r="A4" s="27">
        <v>1</v>
      </c>
      <c r="B4" s="24">
        <v>100</v>
      </c>
      <c r="C4" s="24">
        <v>240</v>
      </c>
      <c r="D4" s="57" cm="1">
        <f t="array" ref="D4:E4">'Raw Data and Corrections'!AC9:AD9</f>
        <v>4.9585314106207479E-2</v>
      </c>
      <c r="E4" s="26">
        <v>0.23714864603814678</v>
      </c>
      <c r="F4" s="24">
        <f t="shared" ref="F4:F28" si="0">60*C4</f>
        <v>14400</v>
      </c>
      <c r="G4" s="25">
        <f t="shared" ref="G4:G29" si="1">D4+G3</f>
        <v>4.9585314106207479E-2</v>
      </c>
      <c r="H4" s="24">
        <f t="shared" ref="H4:H28" si="2">E4+H36</f>
        <v>0.23714864603814678</v>
      </c>
      <c r="I4" s="25">
        <f t="shared" ref="I4:I29" si="3">G4/$G$29</f>
        <v>8.0292822199456369E-5</v>
      </c>
      <c r="J4" s="25">
        <f t="shared" ref="J4:J28" si="4">2*(((H4/(2*$G$29))^2+($H$29*G4/(2*($G$29^2)))^2)^0.5)</f>
        <v>3.8401156500486881E-4</v>
      </c>
      <c r="K4" s="10"/>
      <c r="L4" s="25">
        <f t="shared" ref="L4:L28" si="5">((I4^2-I3^2)*PI())/(36*F4)</f>
        <v>3.9069542534017899E-14</v>
      </c>
      <c r="M4" s="25">
        <f t="shared" ref="M4:M28" si="6">2*((((J4/2)*AA4)^2+((J3/2)*AA3)^2)^0.5)</f>
        <v>3.737110182836264E-13</v>
      </c>
      <c r="N4" s="25">
        <f t="shared" ref="N4:N28" si="7">(1/(PI()*PI()*F4))*(-(I4-I3)*PI()*PI()/3-2*PI()*(SQRT(1-PI()/3*I4)-SQRT(1-PI()/3*I3)))</f>
        <v>3.9071182691916185E-14</v>
      </c>
      <c r="O4" s="25">
        <f t="shared" ref="O4:O28" si="8">2*((((J4/2)*AB4)^2+((J3/2)*AB3)^2)^0.5)</f>
        <v>3.7373458683645099E-13</v>
      </c>
      <c r="P4" s="25">
        <f t="shared" ref="P4:P28" si="9">(1/(PI()^2*F4))*LN((1-I3)/(1-I4))</f>
        <v>5.6497850044297154E-10</v>
      </c>
      <c r="Q4" s="25">
        <f t="shared" ref="Q4:Q28" si="10">2*((((J4/2)*AC4)^2+((J3/2)*AC3)^2)^0.5)</f>
        <v>2.7021965710610397E-9</v>
      </c>
      <c r="R4" s="25">
        <f t="shared" ref="R4:R28" si="11">(I4&lt;0.05)*L4+((I4&gt;=0.05)*(I4&lt;0.9))*N4+(I4&gt;=0.9)*P4</f>
        <v>3.9069542534017899E-14</v>
      </c>
      <c r="S4" s="25">
        <f t="shared" ref="S4:S28" si="12">(I4&lt;0.05)*M4+((I4&gt;=0.05)*(I4&lt;0.9))*O4+(I4&gt;=0.9)*Q4</f>
        <v>3.737110182836264E-13</v>
      </c>
      <c r="T4" s="24">
        <f t="shared" ref="T4:T28" si="13">10000/(273+B4)</f>
        <v>26.809651474530831</v>
      </c>
      <c r="U4" s="24">
        <f t="shared" ref="U4:U28" si="14">LN(R4)</f>
        <v>-30.873433194793293</v>
      </c>
      <c r="V4" s="25">
        <f t="shared" ref="V4:V28" si="15">S4/R4</f>
        <v>9.5652775549710043</v>
      </c>
      <c r="W4" s="24">
        <f t="shared" ref="W4:W28" si="16">LOG10(R4)</f>
        <v>-13.40816167390741</v>
      </c>
      <c r="X4" s="24">
        <f t="shared" ref="X4:X28" si="17">LN(((10^1.5)/(0.015^2))*EXP(-33000/(1.987*(273+B4))))</f>
        <v>-32.672051845389106</v>
      </c>
      <c r="Y4" s="24">
        <f t="shared" ref="Y4:Y28" si="18">U4-X4</f>
        <v>1.7986186505958131</v>
      </c>
      <c r="Z4" s="10"/>
      <c r="AA4" s="25">
        <f t="shared" ref="AA4:AA28" si="19" xml:space="preserve"> (I4 * PI()) / (18 * F4)</f>
        <v>9.7317646742979778E-10</v>
      </c>
      <c r="AB4" s="25">
        <f t="shared" ref="AB4:AB28" si="20" xml:space="preserve"> (1 / (PI()^2 * F4)) * (PI()^2 / 3 - PI()^2 / (3 * SQRT(1 - (PI() / 3) * I4)))</f>
        <v>-9.7323784202101434E-10</v>
      </c>
      <c r="AC4" s="25">
        <f t="shared" ref="AC4:AC28" si="21" xml:space="preserve"> (-1) / (PI()^2 * F4 * (1 - I4))</f>
        <v>-7.0367583096794987E-6</v>
      </c>
    </row>
    <row r="5" spans="1:29" s="24" customFormat="1" x14ac:dyDescent="0.3">
      <c r="A5" s="27">
        <v>2</v>
      </c>
      <c r="B5" s="24">
        <v>150</v>
      </c>
      <c r="C5" s="24">
        <v>240</v>
      </c>
      <c r="D5" s="57" cm="1">
        <f t="array" ref="D5:E5">'Raw Data and Corrections'!AC13:AD13</f>
        <v>1.1125652685248788E-2</v>
      </c>
      <c r="E5" s="26">
        <v>0.20543141008811813</v>
      </c>
      <c r="F5" s="24">
        <f t="shared" si="0"/>
        <v>14400</v>
      </c>
      <c r="G5" s="25">
        <f t="shared" si="1"/>
        <v>6.0710966791456267E-2</v>
      </c>
      <c r="H5" s="24">
        <f t="shared" si="2"/>
        <v>0.20669812430828352</v>
      </c>
      <c r="I5" s="25">
        <f t="shared" si="3"/>
        <v>9.8308439706611651E-5</v>
      </c>
      <c r="J5" s="25">
        <f t="shared" si="4"/>
        <v>3.3470345087454982E-4</v>
      </c>
      <c r="K5" s="10"/>
      <c r="L5" s="25">
        <f t="shared" si="5"/>
        <v>1.9499279102298869E-14</v>
      </c>
      <c r="M5" s="25">
        <f t="shared" si="6"/>
        <v>5.465429683645501E-13</v>
      </c>
      <c r="N5" s="25">
        <f t="shared" si="7"/>
        <v>1.95006557286261E-14</v>
      </c>
      <c r="O5" s="25">
        <f t="shared" si="8"/>
        <v>5.4658155505900367E-13</v>
      </c>
      <c r="P5" s="25">
        <f t="shared" si="9"/>
        <v>1.2677268823650047E-10</v>
      </c>
      <c r="Q5" s="25">
        <f t="shared" si="10"/>
        <v>3.5845727475804138E-9</v>
      </c>
      <c r="R5" s="25">
        <f t="shared" si="11"/>
        <v>1.9499279102298869E-14</v>
      </c>
      <c r="S5" s="25">
        <f t="shared" si="12"/>
        <v>5.465429683645501E-13</v>
      </c>
      <c r="T5" s="24">
        <f t="shared" si="13"/>
        <v>23.640661938534279</v>
      </c>
      <c r="U5" s="24">
        <f t="shared" si="14"/>
        <v>-31.568398899137236</v>
      </c>
      <c r="V5" s="25">
        <f t="shared" si="15"/>
        <v>28.028880734371118</v>
      </c>
      <c r="W5" s="24">
        <f t="shared" si="16"/>
        <v>-13.709981444415991</v>
      </c>
      <c r="X5" s="24">
        <f t="shared" si="17"/>
        <v>-27.409009334675151</v>
      </c>
      <c r="Y5" s="24">
        <f t="shared" si="18"/>
        <v>-4.1593895644620851</v>
      </c>
      <c r="Z5" s="10"/>
      <c r="AA5" s="24">
        <f t="shared" si="19"/>
        <v>1.1915319134574315E-9</v>
      </c>
      <c r="AB5" s="25">
        <f t="shared" si="20"/>
        <v>-1.1916239210417117E-9</v>
      </c>
      <c r="AC5" s="25">
        <f t="shared" si="21"/>
        <v>-7.0368850936896343E-6</v>
      </c>
    </row>
    <row r="6" spans="1:29" x14ac:dyDescent="0.3">
      <c r="A6" s="23">
        <v>3</v>
      </c>
      <c r="B6">
        <v>200.1</v>
      </c>
      <c r="C6">
        <v>240</v>
      </c>
      <c r="D6" s="31" cm="1">
        <f t="array" ref="D6:E6">'Raw Data and Corrections'!AC17:AD17</f>
        <v>1.6418388917769666</v>
      </c>
      <c r="E6" s="17">
        <v>0.23164910468861188</v>
      </c>
      <c r="F6">
        <f t="shared" si="0"/>
        <v>14400</v>
      </c>
      <c r="G6" s="4">
        <f>D6+G5</f>
        <v>1.7025498585684229</v>
      </c>
      <c r="H6">
        <f t="shared" si="2"/>
        <v>0.23438468069743329</v>
      </c>
      <c r="I6" s="4">
        <f>G6/$G$29</f>
        <v>2.7569157429746011E-3</v>
      </c>
      <c r="J6" s="4">
        <f t="shared" si="4"/>
        <v>3.7953591366197281E-4</v>
      </c>
      <c r="L6" s="4">
        <f>((I6^2-I5^2)*PI())/(36*F6)</f>
        <v>4.6002272531711332E-11</v>
      </c>
      <c r="M6" s="4">
        <f t="shared" si="6"/>
        <v>1.2688371199961814E-11</v>
      </c>
      <c r="N6" s="4">
        <f t="shared" si="7"/>
        <v>4.6068879370726041E-11</v>
      </c>
      <c r="O6" s="4">
        <f t="shared" si="8"/>
        <v>1.2715885086406951E-11</v>
      </c>
      <c r="P6" s="4">
        <f t="shared" si="9"/>
        <v>1.873322975243065E-8</v>
      </c>
      <c r="Q6" s="4">
        <f t="shared" si="10"/>
        <v>3.5662707506595568E-9</v>
      </c>
      <c r="R6" s="4">
        <f t="shared" si="11"/>
        <v>4.6002272531711332E-11</v>
      </c>
      <c r="S6" s="4">
        <f t="shared" si="12"/>
        <v>1.2688371199961814E-11</v>
      </c>
      <c r="T6">
        <f t="shared" si="13"/>
        <v>21.137180300147961</v>
      </c>
      <c r="U6">
        <f t="shared" si="14"/>
        <v>-23.802330317796443</v>
      </c>
      <c r="V6" s="4">
        <f t="shared" si="15"/>
        <v>0.27582053019696318</v>
      </c>
      <c r="W6">
        <f t="shared" si="16"/>
        <v>-10.337220713457471</v>
      </c>
      <c r="X6">
        <f t="shared" si="17"/>
        <v>-23.251239124974674</v>
      </c>
      <c r="Y6">
        <f t="shared" si="18"/>
        <v>-0.55109119282176877</v>
      </c>
      <c r="AA6">
        <f t="shared" si="19"/>
        <v>3.341476174650869E-8</v>
      </c>
      <c r="AB6" s="4">
        <f t="shared" si="20"/>
        <v>-3.3487288457255536E-8</v>
      </c>
      <c r="AC6" s="4">
        <f t="shared" si="21"/>
        <v>-7.0556451276248703E-6</v>
      </c>
    </row>
    <row r="7" spans="1:29" x14ac:dyDescent="0.3">
      <c r="A7" s="23">
        <v>4</v>
      </c>
      <c r="B7">
        <v>250.2</v>
      </c>
      <c r="C7">
        <v>60</v>
      </c>
      <c r="D7" s="31" cm="1">
        <f t="array" ref="D7:E7">'Raw Data and Corrections'!AC21:AD21</f>
        <v>3.6974788092208</v>
      </c>
      <c r="E7" s="17">
        <v>0.47601416888333054</v>
      </c>
      <c r="F7">
        <f t="shared" si="0"/>
        <v>3600</v>
      </c>
      <c r="G7" s="4">
        <f t="shared" si="1"/>
        <v>5.4000286677892229</v>
      </c>
      <c r="H7">
        <f t="shared" si="2"/>
        <v>0.48492735378755381</v>
      </c>
      <c r="I7" s="4">
        <f t="shared" si="3"/>
        <v>8.7441927012112623E-3</v>
      </c>
      <c r="J7" s="4">
        <f t="shared" si="4"/>
        <v>7.8523624381846143E-4</v>
      </c>
      <c r="L7" s="4">
        <f t="shared" si="5"/>
        <v>1.6692212994291283E-9</v>
      </c>
      <c r="M7" s="4">
        <f t="shared" si="6"/>
        <v>3.331270252216098E-10</v>
      </c>
      <c r="N7" s="4">
        <f t="shared" si="7"/>
        <v>1.6774897320007632E-9</v>
      </c>
      <c r="O7" s="4">
        <f t="shared" si="8"/>
        <v>3.3543014345246158E-10</v>
      </c>
      <c r="P7" s="4">
        <f t="shared" si="9"/>
        <v>1.6948569820863647E-7</v>
      </c>
      <c r="Q7" s="4">
        <f t="shared" si="10"/>
        <v>2.2455492941419582E-8</v>
      </c>
      <c r="R7" s="4">
        <f t="shared" si="11"/>
        <v>1.6692212994291283E-9</v>
      </c>
      <c r="S7" s="4">
        <f t="shared" si="12"/>
        <v>3.331270252216098E-10</v>
      </c>
      <c r="T7">
        <f t="shared" si="13"/>
        <v>19.1131498470948</v>
      </c>
      <c r="U7">
        <f t="shared" si="14"/>
        <v>-20.210908607030682</v>
      </c>
      <c r="V7" s="4">
        <f t="shared" si="15"/>
        <v>0.19957031780959111</v>
      </c>
      <c r="W7">
        <f t="shared" si="16"/>
        <v>-8.7774860822843639</v>
      </c>
      <c r="X7">
        <f t="shared" si="17"/>
        <v>-19.889739127453073</v>
      </c>
      <c r="Y7">
        <f t="shared" si="18"/>
        <v>-0.321169479577609</v>
      </c>
      <c r="AA7">
        <f t="shared" si="19"/>
        <v>4.2393042518053689E-7</v>
      </c>
      <c r="AB7" s="4">
        <f t="shared" si="20"/>
        <v>-4.2686423642734084E-7</v>
      </c>
      <c r="AC7" s="4">
        <f t="shared" si="21"/>
        <v>-2.8393047512809372E-5</v>
      </c>
    </row>
    <row r="8" spans="1:29" x14ac:dyDescent="0.3">
      <c r="A8" s="23">
        <v>5</v>
      </c>
      <c r="B8">
        <v>270.3</v>
      </c>
      <c r="C8">
        <v>60</v>
      </c>
      <c r="D8" s="31" cm="1">
        <f t="array" ref="D8:E8">'Raw Data and Corrections'!AC25:AD25</f>
        <v>5.2581583200694721</v>
      </c>
      <c r="E8" s="17">
        <v>0.82875712549062674</v>
      </c>
      <c r="F8">
        <f t="shared" si="0"/>
        <v>3600</v>
      </c>
      <c r="G8" s="4">
        <f t="shared" si="1"/>
        <v>10.658186987858695</v>
      </c>
      <c r="H8">
        <f t="shared" si="2"/>
        <v>0.84288308826176639</v>
      </c>
      <c r="I8" s="4">
        <f t="shared" si="3"/>
        <v>1.7258656685156804E-2</v>
      </c>
      <c r="J8" s="4">
        <f t="shared" si="4"/>
        <v>1.3648690778840563E-3</v>
      </c>
      <c r="L8" s="4">
        <f t="shared" si="5"/>
        <v>5.3668953179284324E-9</v>
      </c>
      <c r="M8" s="4">
        <f t="shared" si="6"/>
        <v>1.1895449983211802E-9</v>
      </c>
      <c r="N8" s="4">
        <f t="shared" si="7"/>
        <v>5.424354507901541E-9</v>
      </c>
      <c r="O8" s="4">
        <f t="shared" si="8"/>
        <v>1.205280559794408E-9</v>
      </c>
      <c r="P8" s="4">
        <f t="shared" si="9"/>
        <v>2.4279583595583482E-7</v>
      </c>
      <c r="Q8" s="4">
        <f t="shared" si="10"/>
        <v>4.4999918208512803E-8</v>
      </c>
      <c r="R8" s="4">
        <f t="shared" si="11"/>
        <v>5.3668953179284324E-9</v>
      </c>
      <c r="S8" s="4">
        <f t="shared" si="12"/>
        <v>1.1895449983211802E-9</v>
      </c>
      <c r="T8">
        <f t="shared" si="13"/>
        <v>18.406037180195106</v>
      </c>
      <c r="U8">
        <f t="shared" si="14"/>
        <v>-19.043016248706532</v>
      </c>
      <c r="V8" s="4">
        <f t="shared" si="15"/>
        <v>0.22164490414922655</v>
      </c>
      <c r="W8">
        <f t="shared" si="16"/>
        <v>-8.2702768756072089</v>
      </c>
      <c r="X8">
        <f t="shared" si="17"/>
        <v>-18.715369826613117</v>
      </c>
      <c r="Y8">
        <f t="shared" si="18"/>
        <v>-0.32764642209341588</v>
      </c>
      <c r="AA8">
        <f t="shared" si="19"/>
        <v>8.3672328785365722E-7</v>
      </c>
      <c r="AB8" s="4">
        <f t="shared" si="20"/>
        <v>-8.4823856658328924E-7</v>
      </c>
      <c r="AC8" s="4">
        <f t="shared" si="21"/>
        <v>-2.8639044673798679E-5</v>
      </c>
    </row>
    <row r="9" spans="1:29" x14ac:dyDescent="0.3">
      <c r="A9" s="23">
        <v>6</v>
      </c>
      <c r="B9">
        <v>290.3</v>
      </c>
      <c r="C9">
        <v>60</v>
      </c>
      <c r="D9" s="31" cm="1">
        <f t="array" ref="D9:E9">'Raw Data and Corrections'!AC28:AD28</f>
        <v>8.9926263591844844</v>
      </c>
      <c r="E9" s="17">
        <v>1.3052909818799254</v>
      </c>
      <c r="F9">
        <f t="shared" si="0"/>
        <v>3600</v>
      </c>
      <c r="G9" s="4">
        <f t="shared" si="1"/>
        <v>19.650813347043179</v>
      </c>
      <c r="H9">
        <f t="shared" si="2"/>
        <v>1.3361477462826148</v>
      </c>
      <c r="I9" s="4">
        <f t="shared" si="3"/>
        <v>3.1820293782334197E-2</v>
      </c>
      <c r="J9" s="4">
        <f t="shared" si="4"/>
        <v>2.1636058046276205E-3</v>
      </c>
      <c r="L9" s="4">
        <f t="shared" si="5"/>
        <v>1.7324086421262891E-8</v>
      </c>
      <c r="M9" s="4">
        <f t="shared" si="6"/>
        <v>3.5277405317902113E-9</v>
      </c>
      <c r="N9" s="4">
        <f t="shared" si="7"/>
        <v>1.7675749426732534E-8</v>
      </c>
      <c r="O9" s="4">
        <f t="shared" si="8"/>
        <v>3.6140334943695223E-9</v>
      </c>
      <c r="P9" s="4">
        <f t="shared" si="9"/>
        <v>4.2015189197210466E-7</v>
      </c>
      <c r="Q9" s="4">
        <f t="shared" si="10"/>
        <v>7.4052445113172343E-8</v>
      </c>
      <c r="R9" s="4">
        <f t="shared" si="11"/>
        <v>1.7324086421262891E-8</v>
      </c>
      <c r="S9" s="4">
        <f t="shared" si="12"/>
        <v>3.5277405317902113E-9</v>
      </c>
      <c r="T9">
        <f t="shared" si="13"/>
        <v>17.752529735487308</v>
      </c>
      <c r="U9">
        <f t="shared" si="14"/>
        <v>-17.871168025078251</v>
      </c>
      <c r="V9" s="4">
        <f t="shared" si="15"/>
        <v>0.20363212500835853</v>
      </c>
      <c r="W9">
        <f t="shared" si="16"/>
        <v>-7.7613496584573198</v>
      </c>
      <c r="X9">
        <f t="shared" si="17"/>
        <v>-17.630027819800972</v>
      </c>
      <c r="Y9">
        <f t="shared" si="18"/>
        <v>-0.24114020527727931</v>
      </c>
      <c r="AA9" s="4">
        <f t="shared" si="19"/>
        <v>1.542691376260032E-6</v>
      </c>
      <c r="AB9" s="4">
        <f t="shared" si="20"/>
        <v>-1.5823484769996615E-6</v>
      </c>
      <c r="AC9" s="4">
        <f t="shared" si="21"/>
        <v>-2.9069782245213902E-5</v>
      </c>
    </row>
    <row r="10" spans="1:29" x14ac:dyDescent="0.3">
      <c r="A10" s="23">
        <v>7</v>
      </c>
      <c r="B10">
        <v>300.3</v>
      </c>
      <c r="C10">
        <v>60</v>
      </c>
      <c r="D10" s="31" cm="1">
        <f t="array" ref="D10:E10">'Raw Data and Corrections'!AC31:AD31</f>
        <v>9.5082280268323043</v>
      </c>
      <c r="E10" s="17">
        <v>1.7092683045581891</v>
      </c>
      <c r="F10">
        <f t="shared" si="0"/>
        <v>3600</v>
      </c>
      <c r="G10" s="4">
        <f t="shared" si="1"/>
        <v>29.159041373875482</v>
      </c>
      <c r="H10">
        <f t="shared" si="2"/>
        <v>1.7752502786181257</v>
      </c>
      <c r="I10" s="4">
        <f t="shared" si="3"/>
        <v>4.7216837621001949E-2</v>
      </c>
      <c r="J10" s="4">
        <f t="shared" si="4"/>
        <v>2.8746385406637222E-3</v>
      </c>
      <c r="L10" s="4">
        <f t="shared" si="5"/>
        <v>2.9498455909056455E-8</v>
      </c>
      <c r="M10" s="4">
        <f t="shared" si="6"/>
        <v>7.3785468775947508E-9</v>
      </c>
      <c r="N10" s="4">
        <f t="shared" si="7"/>
        <v>3.0459657886324386E-8</v>
      </c>
      <c r="O10" s="4">
        <f t="shared" si="8"/>
        <v>7.6444653213309133E-9</v>
      </c>
      <c r="P10" s="4">
        <f t="shared" si="9"/>
        <v>4.5117115121813161E-7</v>
      </c>
      <c r="Q10" s="4">
        <f t="shared" si="10"/>
        <v>1.0567161746387722E-7</v>
      </c>
      <c r="R10" s="4">
        <f t="shared" si="11"/>
        <v>2.9498455909056455E-8</v>
      </c>
      <c r="S10" s="4">
        <f t="shared" si="12"/>
        <v>7.3785468775947508E-9</v>
      </c>
      <c r="T10">
        <f t="shared" si="13"/>
        <v>17.44287458573173</v>
      </c>
      <c r="U10">
        <f t="shared" si="14"/>
        <v>-17.338927917036415</v>
      </c>
      <c r="V10" s="4">
        <f t="shared" si="15"/>
        <v>0.25013332563381496</v>
      </c>
      <c r="W10">
        <f t="shared" si="16"/>
        <v>-7.5302007164871583</v>
      </c>
      <c r="X10">
        <f t="shared" si="17"/>
        <v>-17.11575404315608</v>
      </c>
      <c r="Y10">
        <f t="shared" si="18"/>
        <v>-0.22317387388033438</v>
      </c>
      <c r="AA10">
        <f t="shared" si="19"/>
        <v>2.2891368857389178E-6</v>
      </c>
      <c r="AB10" s="4">
        <f t="shared" si="20"/>
        <v>-2.3776835296707438E-6</v>
      </c>
      <c r="AC10" s="4">
        <f t="shared" si="21"/>
        <v>-2.953953674381505E-5</v>
      </c>
    </row>
    <row r="11" spans="1:29" x14ac:dyDescent="0.3">
      <c r="A11" s="23">
        <v>8</v>
      </c>
      <c r="B11">
        <v>285.3</v>
      </c>
      <c r="C11">
        <v>60</v>
      </c>
      <c r="D11" s="31" cm="1">
        <f t="array" ref="D11:E11">'Raw Data and Corrections'!AC35:AD35</f>
        <v>3.5751128512312391</v>
      </c>
      <c r="E11" s="17">
        <v>1.6845150628351038</v>
      </c>
      <c r="F11">
        <f t="shared" si="0"/>
        <v>3600</v>
      </c>
      <c r="G11" s="4">
        <f t="shared" si="1"/>
        <v>32.734154225106721</v>
      </c>
      <c r="H11">
        <f t="shared" si="2"/>
        <v>1.7965325699367751</v>
      </c>
      <c r="I11" s="4">
        <f t="shared" si="3"/>
        <v>5.3005969053991409E-2</v>
      </c>
      <c r="J11" s="4">
        <f t="shared" si="4"/>
        <v>2.909100664452738E-3</v>
      </c>
      <c r="L11" s="4">
        <f t="shared" si="5"/>
        <v>1.4064517621333116E-8</v>
      </c>
      <c r="M11" s="4">
        <f t="shared" si="6"/>
        <v>9.9594164715597675E-9</v>
      </c>
      <c r="N11" s="4">
        <f t="shared" si="7"/>
        <v>1.4644138302982605E-8</v>
      </c>
      <c r="O11" s="4">
        <f t="shared" si="8"/>
        <v>1.0372598269673587E-8</v>
      </c>
      <c r="P11" s="4">
        <f t="shared" si="9"/>
        <v>1.7152989972143938E-7</v>
      </c>
      <c r="Q11" s="4">
        <f t="shared" si="10"/>
        <v>1.2118484510059409E-7</v>
      </c>
      <c r="R11" s="4">
        <f t="shared" si="11"/>
        <v>1.4644138302982605E-8</v>
      </c>
      <c r="S11" s="4">
        <f t="shared" si="12"/>
        <v>1.0372598269673587E-8</v>
      </c>
      <c r="T11">
        <f t="shared" si="13"/>
        <v>17.911517105498838</v>
      </c>
      <c r="U11">
        <f t="shared" si="14"/>
        <v>-18.0392256973884</v>
      </c>
      <c r="V11" s="4">
        <f t="shared" si="15"/>
        <v>0.70831059192885226</v>
      </c>
      <c r="W11">
        <f t="shared" si="16"/>
        <v>-7.834336178183122</v>
      </c>
      <c r="X11">
        <f t="shared" si="17"/>
        <v>-17.894073275783882</v>
      </c>
      <c r="Y11">
        <f t="shared" si="18"/>
        <v>-0.14515242160451791</v>
      </c>
      <c r="AA11">
        <f t="shared" si="19"/>
        <v>2.5698018977843724E-6</v>
      </c>
      <c r="AB11" s="4">
        <f t="shared" si="20"/>
        <v>-2.681986433146594E-6</v>
      </c>
      <c r="AC11" s="4">
        <f t="shared" si="21"/>
        <v>-2.9720116826784256E-5</v>
      </c>
    </row>
    <row r="12" spans="1:29" x14ac:dyDescent="0.3">
      <c r="A12" s="23">
        <v>9</v>
      </c>
      <c r="B12">
        <v>275.2</v>
      </c>
      <c r="C12">
        <v>80</v>
      </c>
      <c r="D12" s="31" cm="1">
        <f t="array" ref="D12:E12">'Raw Data and Corrections'!AC38:AD38</f>
        <v>2.5210171532273193</v>
      </c>
      <c r="E12" s="17">
        <v>1.3076850640132609</v>
      </c>
      <c r="F12">
        <f t="shared" si="0"/>
        <v>4800</v>
      </c>
      <c r="G12" s="4">
        <f t="shared" si="1"/>
        <v>35.25517137833404</v>
      </c>
      <c r="H12">
        <f t="shared" si="2"/>
        <v>1.445282972246452</v>
      </c>
      <c r="I12" s="4">
        <f t="shared" si="3"/>
        <v>5.7088217713590406E-2</v>
      </c>
      <c r="J12" s="4">
        <f t="shared" si="4"/>
        <v>2.3403269861299249E-3</v>
      </c>
      <c r="L12" s="4">
        <f t="shared" si="5"/>
        <v>8.1709015440908964E-9</v>
      </c>
      <c r="M12" s="4">
        <f t="shared" si="6"/>
        <v>8.9156106873699763E-9</v>
      </c>
      <c r="N12" s="4">
        <f t="shared" si="7"/>
        <v>8.5422217818308381E-9</v>
      </c>
      <c r="O12" s="4">
        <f t="shared" si="8"/>
        <v>9.3142009896718025E-9</v>
      </c>
      <c r="P12" s="4">
        <f t="shared" si="9"/>
        <v>9.1190370990591522E-8</v>
      </c>
      <c r="Q12" s="4">
        <f t="shared" si="10"/>
        <v>1.0109422175554645E-7</v>
      </c>
      <c r="R12" s="4">
        <f t="shared" si="11"/>
        <v>8.5422217818308381E-9</v>
      </c>
      <c r="S12" s="4">
        <f t="shared" si="12"/>
        <v>9.3142009896718025E-9</v>
      </c>
      <c r="T12">
        <f t="shared" si="13"/>
        <v>18.241517694272162</v>
      </c>
      <c r="U12">
        <f t="shared" si="14"/>
        <v>-18.578244701175258</v>
      </c>
      <c r="V12" s="4">
        <f t="shared" si="15"/>
        <v>1.0903721803949122</v>
      </c>
      <c r="W12">
        <f t="shared" si="16"/>
        <v>-8.0684291571687421</v>
      </c>
      <c r="X12">
        <f t="shared" si="17"/>
        <v>-18.442136659252419</v>
      </c>
      <c r="Y12">
        <f t="shared" si="18"/>
        <v>-0.13610804192283865</v>
      </c>
      <c r="AA12">
        <f t="shared" si="19"/>
        <v>2.0757861733281285E-6</v>
      </c>
      <c r="AB12" s="4">
        <f t="shared" si="20"/>
        <v>-2.1737512546057728E-6</v>
      </c>
      <c r="AC12" s="4">
        <f t="shared" si="21"/>
        <v>-2.2386590476472915E-5</v>
      </c>
    </row>
    <row r="13" spans="1:29" s="24" customFormat="1" x14ac:dyDescent="0.3">
      <c r="A13" s="27">
        <v>10</v>
      </c>
      <c r="B13" s="24">
        <v>255.2</v>
      </c>
      <c r="C13" s="24">
        <v>100</v>
      </c>
      <c r="D13" s="57" cm="1">
        <f t="array" ref="D13:E13">'Raw Data and Corrections'!AC41:AD41</f>
        <v>0.60143930751904229</v>
      </c>
      <c r="E13" s="26">
        <v>0.90195738458505448</v>
      </c>
      <c r="F13" s="24">
        <f t="shared" si="0"/>
        <v>6000</v>
      </c>
      <c r="G13" s="25">
        <f t="shared" si="1"/>
        <v>35.856610685853084</v>
      </c>
      <c r="H13" s="24">
        <f t="shared" si="2"/>
        <v>1.0597819373186768</v>
      </c>
      <c r="I13" s="25">
        <f t="shared" si="3"/>
        <v>5.8062120173479136E-2</v>
      </c>
      <c r="J13" s="25">
        <f t="shared" si="4"/>
        <v>1.7160904230849943E-3</v>
      </c>
      <c r="K13" s="10"/>
      <c r="L13" s="25">
        <f t="shared" si="5"/>
        <v>1.6310857780200843E-9</v>
      </c>
      <c r="M13" s="25">
        <f t="shared" si="6"/>
        <v>5.6569513316441475E-9</v>
      </c>
      <c r="N13" s="25">
        <f t="shared" si="7"/>
        <v>1.7087571604830284E-9</v>
      </c>
      <c r="O13" s="25">
        <f t="shared" si="8"/>
        <v>5.9251868191765084E-9</v>
      </c>
      <c r="P13" s="25">
        <f t="shared" si="9"/>
        <v>1.7450898207458095E-8</v>
      </c>
      <c r="Q13" s="25">
        <f t="shared" si="10"/>
        <v>6.0757257492553813E-8</v>
      </c>
      <c r="R13" s="25">
        <f t="shared" si="11"/>
        <v>1.7087571604830284E-9</v>
      </c>
      <c r="S13" s="25">
        <f t="shared" si="12"/>
        <v>5.9251868191765084E-9</v>
      </c>
      <c r="T13" s="24">
        <f t="shared" si="13"/>
        <v>18.932222642938278</v>
      </c>
      <c r="U13" s="24">
        <f t="shared" si="14"/>
        <v>-20.187499537418976</v>
      </c>
      <c r="V13" s="25">
        <f t="shared" si="15"/>
        <v>3.4675417643906683</v>
      </c>
      <c r="W13" s="24">
        <f t="shared" si="16"/>
        <v>-8.7673196525255097</v>
      </c>
      <c r="X13" s="24">
        <f t="shared" si="17"/>
        <v>-19.589256100922363</v>
      </c>
      <c r="Y13" s="24">
        <f t="shared" si="18"/>
        <v>-0.59824343649661316</v>
      </c>
      <c r="Z13" s="10"/>
      <c r="AA13" s="24">
        <f t="shared" si="19"/>
        <v>1.6889586128597203E-6</v>
      </c>
      <c r="AB13" s="25">
        <f t="shared" si="20"/>
        <v>-1.7701004511386551E-6</v>
      </c>
      <c r="AC13" s="25">
        <f t="shared" si="21"/>
        <v>-1.7927789403160776E-5</v>
      </c>
    </row>
    <row r="14" spans="1:29" x14ac:dyDescent="0.3">
      <c r="A14" s="23">
        <v>11</v>
      </c>
      <c r="B14">
        <v>300.3</v>
      </c>
      <c r="C14">
        <v>60</v>
      </c>
      <c r="D14" s="31" cm="1">
        <f t="array" ref="D14:E14">'Raw Data and Corrections'!AC44:AD44</f>
        <v>6.6769386443019538</v>
      </c>
      <c r="E14" s="17">
        <v>0.91078037198591966</v>
      </c>
      <c r="F14">
        <f t="shared" si="0"/>
        <v>3600</v>
      </c>
      <c r="G14" s="4">
        <f t="shared" si="1"/>
        <v>42.53354933015504</v>
      </c>
      <c r="H14">
        <f t="shared" si="2"/>
        <v>1.0768775279585729</v>
      </c>
      <c r="I14" s="4">
        <f t="shared" si="3"/>
        <v>6.8873995767436538E-2</v>
      </c>
      <c r="J14" s="4">
        <f t="shared" si="4"/>
        <v>1.7437730796212374E-3</v>
      </c>
      <c r="L14" s="4">
        <f t="shared" si="5"/>
        <v>3.3268338862647172E-8</v>
      </c>
      <c r="M14" s="4">
        <f t="shared" si="6"/>
        <v>6.5041463383486749E-9</v>
      </c>
      <c r="N14" s="4">
        <f t="shared" si="7"/>
        <v>3.5028983524483754E-8</v>
      </c>
      <c r="O14" s="4">
        <f t="shared" si="8"/>
        <v>6.8662984974449591E-9</v>
      </c>
      <c r="P14" s="4">
        <f t="shared" si="9"/>
        <v>3.2492342536143596E-7</v>
      </c>
      <c r="Q14" s="4">
        <f t="shared" si="10"/>
        <v>6.1030295403609991E-8</v>
      </c>
      <c r="R14" s="4">
        <f t="shared" si="11"/>
        <v>3.5028983524483754E-8</v>
      </c>
      <c r="S14" s="4">
        <f t="shared" si="12"/>
        <v>6.8662984974449591E-9</v>
      </c>
      <c r="T14">
        <f t="shared" si="13"/>
        <v>17.44287458573173</v>
      </c>
      <c r="U14">
        <f t="shared" si="14"/>
        <v>-17.167090017443673</v>
      </c>
      <c r="V14" s="4">
        <f t="shared" si="15"/>
        <v>0.19601763472941519</v>
      </c>
      <c r="W14">
        <f t="shared" si="16"/>
        <v>-7.4555724649121862</v>
      </c>
      <c r="X14">
        <f t="shared" si="17"/>
        <v>-17.11575404315608</v>
      </c>
      <c r="Y14">
        <f t="shared" si="18"/>
        <v>-5.1335974287592734E-2</v>
      </c>
      <c r="AA14">
        <f t="shared" si="19"/>
        <v>3.3391055420733509E-6</v>
      </c>
      <c r="AB14" s="4">
        <f t="shared" si="20"/>
        <v>-3.5313184331037004E-6</v>
      </c>
      <c r="AC14" s="4">
        <f t="shared" si="21"/>
        <v>-3.0226599951077206E-5</v>
      </c>
    </row>
    <row r="15" spans="1:29" x14ac:dyDescent="0.3">
      <c r="A15" s="23">
        <v>12</v>
      </c>
      <c r="B15">
        <v>300.2</v>
      </c>
      <c r="C15">
        <v>120</v>
      </c>
      <c r="D15" s="31" cm="1">
        <f t="array" ref="D15:E15">'Raw Data and Corrections'!AC47:AD47</f>
        <v>11.113966590277643</v>
      </c>
      <c r="E15" s="17">
        <v>1.1975668729731148</v>
      </c>
      <c r="F15">
        <f t="shared" si="0"/>
        <v>7200</v>
      </c>
      <c r="G15" s="4">
        <f t="shared" si="1"/>
        <v>53.647515920432681</v>
      </c>
      <c r="H15">
        <f t="shared" si="2"/>
        <v>1.3739376284178459</v>
      </c>
      <c r="I15" s="4">
        <f t="shared" si="3"/>
        <v>8.6870690140542203E-2</v>
      </c>
      <c r="J15" s="4">
        <f t="shared" si="4"/>
        <v>2.2247984448662888E-3</v>
      </c>
      <c r="L15" s="4">
        <f t="shared" si="5"/>
        <v>3.3971979557718267E-8</v>
      </c>
      <c r="M15" s="4">
        <f t="shared" si="6"/>
        <v>7.4734403149937321E-9</v>
      </c>
      <c r="N15" s="4">
        <f t="shared" si="7"/>
        <v>3.6213243365139713E-8</v>
      </c>
      <c r="O15" s="4">
        <f t="shared" si="8"/>
        <v>7.9516923612175578E-9</v>
      </c>
      <c r="P15" s="4">
        <f t="shared" si="9"/>
        <v>2.7465229809713076E-7</v>
      </c>
      <c r="Q15" s="4">
        <f t="shared" si="10"/>
        <v>6.2878839630031155E-8</v>
      </c>
      <c r="R15" s="4">
        <f t="shared" si="11"/>
        <v>3.6213243365139713E-8</v>
      </c>
      <c r="S15" s="4">
        <f t="shared" si="12"/>
        <v>7.9516923612175578E-9</v>
      </c>
      <c r="T15">
        <f t="shared" si="13"/>
        <v>17.445917655268666</v>
      </c>
      <c r="U15">
        <f t="shared" si="14"/>
        <v>-17.133840946201374</v>
      </c>
      <c r="V15" s="4">
        <f t="shared" si="15"/>
        <v>0.21957967920852314</v>
      </c>
      <c r="W15">
        <f t="shared" si="16"/>
        <v>-7.4411325767432484</v>
      </c>
      <c r="X15">
        <f t="shared" si="17"/>
        <v>-17.12080795834072</v>
      </c>
      <c r="Y15">
        <f t="shared" si="18"/>
        <v>-1.3032987860654544E-2</v>
      </c>
      <c r="AA15">
        <f t="shared" si="19"/>
        <v>2.1058049533781069E-6</v>
      </c>
      <c r="AB15" s="4">
        <f t="shared" si="20"/>
        <v>-2.2613162753321433E-6</v>
      </c>
      <c r="AC15" s="4">
        <f t="shared" si="21"/>
        <v>-1.5411165171291322E-5</v>
      </c>
    </row>
    <row r="16" spans="1:29" x14ac:dyDescent="0.3">
      <c r="A16" s="23">
        <v>13</v>
      </c>
      <c r="B16">
        <v>300.10000000000002</v>
      </c>
      <c r="C16">
        <v>180</v>
      </c>
      <c r="D16" s="31" cm="1">
        <f t="array" ref="D16:E16">'Raw Data and Corrections'!AC50:AD50</f>
        <v>13.792105763034851</v>
      </c>
      <c r="E16" s="17">
        <v>1.2412315132789731</v>
      </c>
      <c r="F16">
        <f t="shared" si="0"/>
        <v>10800</v>
      </c>
      <c r="G16" s="4">
        <f t="shared" si="1"/>
        <v>67.439621683467536</v>
      </c>
      <c r="H16">
        <f t="shared" si="2"/>
        <v>1.4841963759858627</v>
      </c>
      <c r="I16" s="4">
        <f t="shared" si="3"/>
        <v>0.10920405871446076</v>
      </c>
      <c r="J16" s="4">
        <f t="shared" si="4"/>
        <v>2.4033389295640599E-3</v>
      </c>
      <c r="L16" s="4">
        <f t="shared" si="5"/>
        <v>3.5383396339650174E-8</v>
      </c>
      <c r="M16" s="4">
        <f t="shared" si="6"/>
        <v>6.3196890297496084E-9</v>
      </c>
      <c r="N16" s="4">
        <f t="shared" si="7"/>
        <v>3.8379470955285809E-8</v>
      </c>
      <c r="O16" s="4">
        <f t="shared" si="8"/>
        <v>6.8465023505519133E-9</v>
      </c>
      <c r="P16" s="4">
        <f t="shared" si="9"/>
        <v>2.3230811483255862E-7</v>
      </c>
      <c r="Q16" s="4">
        <f t="shared" si="10"/>
        <v>4.2617352925294427E-8</v>
      </c>
      <c r="R16" s="4">
        <f t="shared" si="11"/>
        <v>3.8379470955285809E-8</v>
      </c>
      <c r="S16" s="4">
        <f t="shared" si="12"/>
        <v>6.8465023505519133E-9</v>
      </c>
      <c r="T16">
        <f t="shared" si="13"/>
        <v>17.448961786773687</v>
      </c>
      <c r="U16">
        <f t="shared" si="14"/>
        <v>-17.075743130847329</v>
      </c>
      <c r="V16" s="4">
        <f t="shared" si="15"/>
        <v>0.17838970105993551</v>
      </c>
      <c r="W16">
        <f t="shared" si="16"/>
        <v>-7.4159010161243524</v>
      </c>
      <c r="X16">
        <f t="shared" si="17"/>
        <v>-17.125863637236829</v>
      </c>
      <c r="Y16">
        <f t="shared" si="18"/>
        <v>5.0120506389500719E-2</v>
      </c>
      <c r="AA16">
        <f t="shared" si="19"/>
        <v>1.7647873899153207E-6</v>
      </c>
      <c r="AB16" s="4">
        <f t="shared" si="20"/>
        <v>-1.9321849347415774E-6</v>
      </c>
      <c r="AC16" s="4">
        <f t="shared" si="21"/>
        <v>-1.0531694906978731E-5</v>
      </c>
    </row>
    <row r="17" spans="1:32" x14ac:dyDescent="0.3">
      <c r="A17" s="23">
        <v>14</v>
      </c>
      <c r="B17">
        <v>320.3</v>
      </c>
      <c r="C17">
        <v>60</v>
      </c>
      <c r="D17" s="31" cm="1">
        <f t="array" ref="D17:E17">'Raw Data and Corrections'!AC53:AD53</f>
        <v>11.358315176506476</v>
      </c>
      <c r="E17" s="17">
        <v>1.4517859610795756</v>
      </c>
      <c r="F17">
        <f t="shared" si="0"/>
        <v>3600</v>
      </c>
      <c r="G17" s="4">
        <f t="shared" si="1"/>
        <v>78.797936859974016</v>
      </c>
      <c r="H17">
        <f t="shared" si="2"/>
        <v>1.8127427286435505</v>
      </c>
      <c r="I17" s="4">
        <f t="shared" si="3"/>
        <v>0.12759642341742936</v>
      </c>
      <c r="J17" s="4">
        <f t="shared" si="4"/>
        <v>2.9353495531474886E-3</v>
      </c>
      <c r="L17" s="4">
        <f t="shared" si="5"/>
        <v>1.0557595618108101E-7</v>
      </c>
      <c r="M17" s="4">
        <f t="shared" si="6"/>
        <v>1.8646987857437384E-8</v>
      </c>
      <c r="N17" s="4">
        <f t="shared" si="7"/>
        <v>1.1655939880537917E-7</v>
      </c>
      <c r="O17" s="4">
        <f t="shared" si="8"/>
        <v>2.0734182016155874E-8</v>
      </c>
      <c r="P17" s="4">
        <f t="shared" si="9"/>
        <v>5.871913020120524E-7</v>
      </c>
      <c r="Q17" s="4">
        <f t="shared" si="10"/>
        <v>9.8022151861697702E-8</v>
      </c>
      <c r="R17" s="4">
        <f t="shared" si="11"/>
        <v>1.1655939880537917E-7</v>
      </c>
      <c r="S17" s="4">
        <f t="shared" si="12"/>
        <v>2.0734182016155874E-8</v>
      </c>
      <c r="T17">
        <f t="shared" si="13"/>
        <v>16.854879487611665</v>
      </c>
      <c r="U17">
        <f t="shared" si="14"/>
        <v>-15.964864832885228</v>
      </c>
      <c r="V17" s="4">
        <f t="shared" si="15"/>
        <v>0.1778851146167631</v>
      </c>
      <c r="W17">
        <f t="shared" si="16"/>
        <v>-6.9334527012533353</v>
      </c>
      <c r="X17">
        <f t="shared" si="17"/>
        <v>-16.139214625040214</v>
      </c>
      <c r="Y17">
        <f t="shared" si="18"/>
        <v>0.17434979215498636</v>
      </c>
      <c r="AA17">
        <f t="shared" si="19"/>
        <v>6.1860491733414925E-6</v>
      </c>
      <c r="AB17" s="4">
        <f t="shared" si="20"/>
        <v>-6.8841830756912329E-6</v>
      </c>
      <c r="AC17" s="4">
        <f t="shared" si="21"/>
        <v>-3.2261185063262852E-5</v>
      </c>
    </row>
    <row r="18" spans="1:32" x14ac:dyDescent="0.3">
      <c r="A18" s="23">
        <v>15</v>
      </c>
      <c r="B18">
        <v>330.4</v>
      </c>
      <c r="C18">
        <v>60</v>
      </c>
      <c r="D18" s="31" cm="1">
        <f t="array" ref="D18:E18">'Raw Data and Corrections'!AC56:AD56</f>
        <v>14.462752797544418</v>
      </c>
      <c r="E18" s="17">
        <v>1.9418385862229495</v>
      </c>
      <c r="F18">
        <f t="shared" si="0"/>
        <v>3600</v>
      </c>
      <c r="G18" s="4">
        <f t="shared" si="1"/>
        <v>93.260689657518441</v>
      </c>
      <c r="H18">
        <f t="shared" si="2"/>
        <v>2.3302062889622293</v>
      </c>
      <c r="I18" s="4">
        <f t="shared" si="3"/>
        <v>0.15101576157873689</v>
      </c>
      <c r="J18" s="4">
        <f t="shared" si="4"/>
        <v>3.7732712320214345E-3</v>
      </c>
      <c r="L18" s="4">
        <f t="shared" si="5"/>
        <v>1.5816835394762947E-7</v>
      </c>
      <c r="M18" s="4">
        <f t="shared" si="6"/>
        <v>3.3059139898136357E-8</v>
      </c>
      <c r="N18" s="4">
        <f t="shared" si="7"/>
        <v>1.7794714234179467E-7</v>
      </c>
      <c r="O18" s="4">
        <f t="shared" si="8"/>
        <v>3.734369356705484E-8</v>
      </c>
      <c r="P18" s="4">
        <f t="shared" si="9"/>
        <v>7.658618559784182E-7</v>
      </c>
      <c r="Q18" s="4">
        <f t="shared" si="10"/>
        <v>1.5689081455052518E-7</v>
      </c>
      <c r="R18" s="4">
        <f t="shared" si="11"/>
        <v>1.7794714234179467E-7</v>
      </c>
      <c r="S18" s="4">
        <f t="shared" si="12"/>
        <v>3.734369356705484E-8</v>
      </c>
      <c r="T18">
        <f t="shared" si="13"/>
        <v>16.572754391779913</v>
      </c>
      <c r="U18">
        <f t="shared" si="14"/>
        <v>-15.541779283889625</v>
      </c>
      <c r="V18" s="4">
        <f t="shared" si="15"/>
        <v>0.2098583493705472</v>
      </c>
      <c r="W18">
        <f t="shared" si="16"/>
        <v>-6.7497089819515361</v>
      </c>
      <c r="X18">
        <f t="shared" si="17"/>
        <v>-15.670662628943196</v>
      </c>
      <c r="Y18">
        <f t="shared" si="18"/>
        <v>0.12888334505357157</v>
      </c>
      <c r="AA18">
        <f t="shared" si="19"/>
        <v>7.3214507276547461E-6</v>
      </c>
      <c r="AB18" s="4">
        <f t="shared" si="20"/>
        <v>-8.3227426816106931E-6</v>
      </c>
      <c r="AC18" s="4">
        <f t="shared" si="21"/>
        <v>-3.315111395509486E-5</v>
      </c>
    </row>
    <row r="19" spans="1:32" x14ac:dyDescent="0.3">
      <c r="A19" s="23">
        <v>16</v>
      </c>
      <c r="B19">
        <v>350.4</v>
      </c>
      <c r="C19">
        <v>60</v>
      </c>
      <c r="D19" s="31" cm="1">
        <f t="array" ref="D19:E19">'Raw Data and Corrections'!AC59:AD59</f>
        <v>28.330053300207055</v>
      </c>
      <c r="E19" s="17">
        <v>2.8402388266383878</v>
      </c>
      <c r="F19">
        <f t="shared" si="0"/>
        <v>3600</v>
      </c>
      <c r="G19" s="4">
        <f t="shared" si="1"/>
        <v>121.5907429577255</v>
      </c>
      <c r="H19">
        <f t="shared" si="2"/>
        <v>3.2879503224355116</v>
      </c>
      <c r="I19" s="4">
        <f t="shared" si="3"/>
        <v>0.19689023012929271</v>
      </c>
      <c r="J19" s="4">
        <f t="shared" si="4"/>
        <v>5.3241330704187333E-3</v>
      </c>
      <c r="L19" s="4">
        <f t="shared" si="5"/>
        <v>3.868813775249798E-7</v>
      </c>
      <c r="M19" s="4">
        <f t="shared" si="6"/>
        <v>5.7844759336915275E-8</v>
      </c>
      <c r="N19" s="4">
        <f t="shared" si="7"/>
        <v>4.4979920290971601E-7</v>
      </c>
      <c r="O19" s="4">
        <f t="shared" si="8"/>
        <v>6.8014238398831504E-8</v>
      </c>
      <c r="P19" s="4">
        <f t="shared" si="9"/>
        <v>1.563420114256931E-6</v>
      </c>
      <c r="Q19" s="4">
        <f t="shared" si="10"/>
        <v>2.2463349627124504E-7</v>
      </c>
      <c r="R19" s="4">
        <f t="shared" si="11"/>
        <v>4.4979920290971601E-7</v>
      </c>
      <c r="S19" s="4">
        <f t="shared" si="12"/>
        <v>6.8014238398831504E-8</v>
      </c>
      <c r="T19">
        <f t="shared" si="13"/>
        <v>16.041065126724416</v>
      </c>
      <c r="U19">
        <f t="shared" si="14"/>
        <v>-14.614464569522108</v>
      </c>
      <c r="V19" s="4">
        <f t="shared" si="15"/>
        <v>0.15121022438201911</v>
      </c>
      <c r="W19">
        <f t="shared" si="16"/>
        <v>-6.3469813185140342</v>
      </c>
      <c r="X19">
        <f t="shared" si="17"/>
        <v>-14.787635666344732</v>
      </c>
      <c r="Y19">
        <f t="shared" si="18"/>
        <v>0.17317109682262455</v>
      </c>
      <c r="AA19">
        <f t="shared" si="19"/>
        <v>9.5455077243486083E-6</v>
      </c>
      <c r="AB19" s="4">
        <f t="shared" si="20"/>
        <v>-1.1331451330376112E-5</v>
      </c>
      <c r="AC19" s="4">
        <f t="shared" si="21"/>
        <v>-3.5044740195993073E-5</v>
      </c>
    </row>
    <row r="20" spans="1:32" x14ac:dyDescent="0.3">
      <c r="A20" s="23">
        <v>17</v>
      </c>
      <c r="B20">
        <v>370.4</v>
      </c>
      <c r="C20">
        <v>60</v>
      </c>
      <c r="D20" s="31" cm="1">
        <f t="array" ref="D20:E20">'Raw Data and Corrections'!AC62:AD62</f>
        <v>41.343332028472403</v>
      </c>
      <c r="E20" s="17">
        <v>4.0397891565935922</v>
      </c>
      <c r="F20">
        <f t="shared" si="0"/>
        <v>3600</v>
      </c>
      <c r="G20" s="4">
        <f t="shared" si="1"/>
        <v>162.93407498619791</v>
      </c>
      <c r="H20">
        <f t="shared" si="2"/>
        <v>4.6467230382220608</v>
      </c>
      <c r="I20" s="4">
        <f t="shared" si="3"/>
        <v>0.26383692326881758</v>
      </c>
      <c r="J20" s="4">
        <f t="shared" si="4"/>
        <v>7.524375179290721E-3</v>
      </c>
      <c r="L20" s="4">
        <f t="shared" si="5"/>
        <v>7.4768352199260096E-7</v>
      </c>
      <c r="M20" s="4">
        <f t="shared" si="6"/>
        <v>1.0883954125602033E-7</v>
      </c>
      <c r="N20" s="4">
        <f t="shared" si="7"/>
        <v>9.193965930241421E-7</v>
      </c>
      <c r="O20" s="4">
        <f t="shared" si="8"/>
        <v>1.3633632679521629E-7</v>
      </c>
      <c r="P20" s="4">
        <f t="shared" si="9"/>
        <v>2.4497137020766687E-6</v>
      </c>
      <c r="Q20" s="4">
        <f t="shared" si="10"/>
        <v>3.4288049958708295E-7</v>
      </c>
      <c r="R20" s="4">
        <f t="shared" si="11"/>
        <v>9.193965930241421E-7</v>
      </c>
      <c r="S20" s="4">
        <f t="shared" si="12"/>
        <v>1.3633632679521629E-7</v>
      </c>
      <c r="T20">
        <f t="shared" si="13"/>
        <v>15.542430836182779</v>
      </c>
      <c r="U20">
        <f t="shared" si="14"/>
        <v>-13.899548259232507</v>
      </c>
      <c r="V20" s="4">
        <f t="shared" si="15"/>
        <v>0.14828891887315954</v>
      </c>
      <c r="W20">
        <f t="shared" si="16"/>
        <v>-6.0364971099326272</v>
      </c>
      <c r="X20">
        <f t="shared" si="17"/>
        <v>-13.959506245716954</v>
      </c>
      <c r="Y20">
        <f t="shared" si="18"/>
        <v>5.9957986484446835E-2</v>
      </c>
      <c r="AA20">
        <f t="shared" si="19"/>
        <v>1.2791174998256962E-5</v>
      </c>
      <c r="AB20" s="4">
        <f t="shared" si="20"/>
        <v>-1.6248720267928123E-5</v>
      </c>
      <c r="AC20" s="4">
        <f t="shared" si="21"/>
        <v>-3.8231709961541678E-5</v>
      </c>
    </row>
    <row r="21" spans="1:32" x14ac:dyDescent="0.3">
      <c r="A21" s="23">
        <v>18</v>
      </c>
      <c r="B21">
        <v>385.4</v>
      </c>
      <c r="C21">
        <v>60</v>
      </c>
      <c r="D21" s="31" cm="1">
        <f t="array" ref="D21:E21">'Raw Data and Corrections'!AC65:AD65</f>
        <v>44.783772075614529</v>
      </c>
      <c r="E21" s="17">
        <v>4.7710075941316221</v>
      </c>
      <c r="F21">
        <f t="shared" si="0"/>
        <v>3600</v>
      </c>
      <c r="G21" s="4">
        <f t="shared" si="1"/>
        <v>207.71784706181245</v>
      </c>
      <c r="H21">
        <f t="shared" si="2"/>
        <v>5.7047279068860659</v>
      </c>
      <c r="I21" s="4">
        <f t="shared" si="3"/>
        <v>0.33635467400820723</v>
      </c>
      <c r="J21" s="4">
        <f t="shared" si="4"/>
        <v>9.237588019363533E-3</v>
      </c>
      <c r="L21" s="4">
        <f t="shared" si="5"/>
        <v>1.0550647354515458E-6</v>
      </c>
      <c r="M21" s="4">
        <f t="shared" si="6"/>
        <v>1.7875862068658396E-7</v>
      </c>
      <c r="N21" s="4">
        <f t="shared" si="7"/>
        <v>1.3970084529104273E-6</v>
      </c>
      <c r="O21" s="4">
        <f t="shared" si="8"/>
        <v>2.407553387575792E-7</v>
      </c>
      <c r="P21" s="4">
        <f t="shared" si="9"/>
        <v>2.9187201220892282E-6</v>
      </c>
      <c r="Q21" s="4">
        <f t="shared" si="10"/>
        <v>4.8603489684834727E-7</v>
      </c>
      <c r="R21" s="4">
        <f t="shared" si="11"/>
        <v>1.3970084529104273E-6</v>
      </c>
      <c r="S21" s="4">
        <f t="shared" si="12"/>
        <v>2.407553387575792E-7</v>
      </c>
      <c r="T21">
        <f t="shared" si="13"/>
        <v>15.188335358444714</v>
      </c>
      <c r="U21">
        <f t="shared" si="14"/>
        <v>-13.48117742694868</v>
      </c>
      <c r="V21" s="4">
        <f t="shared" si="15"/>
        <v>0.17233635076151957</v>
      </c>
      <c r="W21">
        <f t="shared" si="16"/>
        <v>-5.8548009660824905</v>
      </c>
      <c r="X21">
        <f t="shared" si="17"/>
        <v>-13.371426187067927</v>
      </c>
      <c r="Y21">
        <f t="shared" si="18"/>
        <v>-0.10975123988075275</v>
      </c>
      <c r="AA21">
        <f t="shared" si="19"/>
        <v>1.6306934766431688E-5</v>
      </c>
      <c r="AB21" s="4">
        <f t="shared" si="20"/>
        <v>-2.2451880419278286E-5</v>
      </c>
      <c r="AC21" s="4">
        <f t="shared" si="21"/>
        <v>-4.2409359535413621E-5</v>
      </c>
      <c r="AE21" s="4"/>
      <c r="AF21" s="4"/>
    </row>
    <row r="22" spans="1:32" x14ac:dyDescent="0.3">
      <c r="A22" s="23">
        <v>19</v>
      </c>
      <c r="B22">
        <v>360.4</v>
      </c>
      <c r="C22">
        <v>60</v>
      </c>
      <c r="D22" s="31" cm="1">
        <f t="array" ref="D22:E22">'Raw Data and Corrections'!AC68:AD68</f>
        <v>15.32951848324867</v>
      </c>
      <c r="E22" s="17">
        <v>4.0773667157577069</v>
      </c>
      <c r="F22">
        <f t="shared" si="0"/>
        <v>3600</v>
      </c>
      <c r="G22" s="4">
        <f t="shared" si="1"/>
        <v>223.04736554506113</v>
      </c>
      <c r="H22">
        <f t="shared" si="2"/>
        <v>5.405862521831911</v>
      </c>
      <c r="I22" s="4">
        <f t="shared" si="3"/>
        <v>0.36117755401139512</v>
      </c>
      <c r="J22" s="4">
        <f t="shared" si="4"/>
        <v>8.7536393814195163E-3</v>
      </c>
      <c r="L22" s="4">
        <f t="shared" si="5"/>
        <v>4.1972159743394506E-7</v>
      </c>
      <c r="M22" s="4">
        <f t="shared" si="6"/>
        <v>2.1490941182646436E-7</v>
      </c>
      <c r="N22" s="4">
        <f t="shared" si="7"/>
        <v>5.8655955567698257E-7</v>
      </c>
      <c r="O22" s="4">
        <f t="shared" si="8"/>
        <v>3.0044208553296224E-7</v>
      </c>
      <c r="P22" s="4">
        <f t="shared" si="9"/>
        <v>1.072915504367843E-6</v>
      </c>
      <c r="Q22" s="4">
        <f t="shared" si="10"/>
        <v>5.4973703458577928E-7</v>
      </c>
      <c r="R22" s="4">
        <f t="shared" si="11"/>
        <v>5.8655955567698257E-7</v>
      </c>
      <c r="S22" s="4">
        <f t="shared" si="12"/>
        <v>3.0044208553296224E-7</v>
      </c>
      <c r="T22">
        <f t="shared" si="13"/>
        <v>15.787811809283234</v>
      </c>
      <c r="U22">
        <f t="shared" si="14"/>
        <v>-14.348991629801866</v>
      </c>
      <c r="V22" s="4">
        <f t="shared" si="15"/>
        <v>0.51221070840147598</v>
      </c>
      <c r="W22">
        <f t="shared" si="16"/>
        <v>-6.2316878856988982</v>
      </c>
      <c r="X22">
        <f t="shared" si="17"/>
        <v>-14.367033780307542</v>
      </c>
      <c r="Y22">
        <f t="shared" si="18"/>
        <v>1.8042150505676702E-2</v>
      </c>
      <c r="AA22">
        <f t="shared" si="19"/>
        <v>1.7510381949440273E-5</v>
      </c>
      <c r="AB22" s="4">
        <f t="shared" si="20"/>
        <v>-2.483207907862472E-5</v>
      </c>
      <c r="AC22" s="4">
        <f t="shared" si="21"/>
        <v>-4.4057270389783319E-5</v>
      </c>
    </row>
    <row r="23" spans="1:32" x14ac:dyDescent="0.3">
      <c r="A23" s="23">
        <v>20</v>
      </c>
      <c r="B23">
        <v>340.4</v>
      </c>
      <c r="C23">
        <v>60</v>
      </c>
      <c r="D23" s="31" cm="1">
        <f t="array" ref="D23:E23">'Raw Data and Corrections'!AC71:AD71</f>
        <v>7.4056558378177257</v>
      </c>
      <c r="E23" s="17">
        <v>2.55747788992654</v>
      </c>
      <c r="F23">
        <f t="shared" si="0"/>
        <v>3600</v>
      </c>
      <c r="G23" s="4">
        <f t="shared" si="1"/>
        <v>230.45302138287886</v>
      </c>
      <c r="H23">
        <f t="shared" si="2"/>
        <v>4.0307791927080565</v>
      </c>
      <c r="I23" s="4">
        <f t="shared" si="3"/>
        <v>0.37316943140845338</v>
      </c>
      <c r="J23" s="4">
        <f t="shared" si="4"/>
        <v>6.5269857190409552E-3</v>
      </c>
      <c r="L23" s="4">
        <f t="shared" si="5"/>
        <v>2.1346828807781917E-7</v>
      </c>
      <c r="M23" s="4">
        <f t="shared" si="6"/>
        <v>1.9349062006299709E-7</v>
      </c>
      <c r="N23" s="4">
        <f t="shared" si="7"/>
        <v>3.0496594949166317E-7</v>
      </c>
      <c r="O23" s="4">
        <f t="shared" si="8"/>
        <v>2.7591476558725203E-7</v>
      </c>
      <c r="P23" s="4">
        <f t="shared" si="9"/>
        <v>5.3335118923051517E-7</v>
      </c>
      <c r="Q23" s="4">
        <f t="shared" si="10"/>
        <v>4.8437628751511052E-7</v>
      </c>
      <c r="R23" s="4">
        <f t="shared" si="11"/>
        <v>3.0496594949166317E-7</v>
      </c>
      <c r="S23" s="4">
        <f t="shared" si="12"/>
        <v>2.7591476558725203E-7</v>
      </c>
      <c r="T23">
        <f t="shared" si="13"/>
        <v>16.302575806977504</v>
      </c>
      <c r="U23">
        <f t="shared" si="14"/>
        <v>-15.003065707582261</v>
      </c>
      <c r="V23" s="4">
        <f t="shared" si="15"/>
        <v>0.90473958173745128</v>
      </c>
      <c r="W23">
        <f t="shared" si="16"/>
        <v>-6.5157486484348821</v>
      </c>
      <c r="X23">
        <f t="shared" si="17"/>
        <v>-15.221951340645282</v>
      </c>
      <c r="Y23">
        <f t="shared" si="18"/>
        <v>0.21888563306302089</v>
      </c>
      <c r="AA23">
        <f t="shared" si="19"/>
        <v>1.8091764571868477E-5</v>
      </c>
      <c r="AB23" s="4">
        <f t="shared" si="20"/>
        <v>-2.6036148641169898E-5</v>
      </c>
      <c r="AC23" s="4">
        <f t="shared" si="21"/>
        <v>-4.49001287496595E-5</v>
      </c>
    </row>
    <row r="24" spans="1:32" x14ac:dyDescent="0.3">
      <c r="A24" s="23">
        <v>21</v>
      </c>
      <c r="B24">
        <v>325.2</v>
      </c>
      <c r="C24">
        <v>100</v>
      </c>
      <c r="D24" s="31" cm="1">
        <f t="array" ref="D24:E24">'Raw Data and Corrections'!AC74:AD74</f>
        <v>6.7885433898562955</v>
      </c>
      <c r="E24" s="17">
        <v>1.5986131603737967</v>
      </c>
      <c r="F24">
        <f t="shared" si="0"/>
        <v>6000</v>
      </c>
      <c r="G24" s="4">
        <f t="shared" si="1"/>
        <v>237.24156477273516</v>
      </c>
      <c r="H24">
        <f t="shared" si="2"/>
        <v>3.1138361998517228</v>
      </c>
      <c r="I24" s="4">
        <f t="shared" si="3"/>
        <v>0.3841620270432724</v>
      </c>
      <c r="J24" s="4">
        <f t="shared" si="4"/>
        <v>5.0421924487037981E-3</v>
      </c>
      <c r="L24" s="4">
        <f t="shared" si="5"/>
        <v>1.2108277658838014E-7</v>
      </c>
      <c r="M24" s="4">
        <f t="shared" si="6"/>
        <v>1.3083890800507953E-7</v>
      </c>
      <c r="N24" s="4">
        <f t="shared" si="7"/>
        <v>1.7545429790894393E-7</v>
      </c>
      <c r="O24" s="4">
        <f t="shared" si="8"/>
        <v>1.8877706210932467E-7</v>
      </c>
      <c r="P24" s="4">
        <f t="shared" si="9"/>
        <v>2.987688233520299E-7</v>
      </c>
      <c r="Q24" s="4">
        <f t="shared" si="10"/>
        <v>3.2404001577208079E-7</v>
      </c>
      <c r="R24" s="4">
        <f t="shared" si="11"/>
        <v>1.7545429790894393E-7</v>
      </c>
      <c r="S24" s="4">
        <f t="shared" si="12"/>
        <v>1.8877706210932467E-7</v>
      </c>
      <c r="T24">
        <f t="shared" si="13"/>
        <v>16.716817118020728</v>
      </c>
      <c r="U24">
        <f t="shared" si="14"/>
        <v>-15.555887238728513</v>
      </c>
      <c r="V24" s="4">
        <f t="shared" si="15"/>
        <v>1.0759329600879592</v>
      </c>
      <c r="W24">
        <f t="shared" si="16"/>
        <v>-6.7558359888890056</v>
      </c>
      <c r="X24">
        <f t="shared" si="17"/>
        <v>-15.909921308658687</v>
      </c>
      <c r="Y24">
        <f t="shared" si="18"/>
        <v>0.35403406993017406</v>
      </c>
      <c r="AA24">
        <f t="shared" si="19"/>
        <v>1.1174820388401E-5</v>
      </c>
      <c r="AB24" s="4">
        <f t="shared" si="20"/>
        <v>-1.6303833056634586E-5</v>
      </c>
      <c r="AC24" s="4">
        <f t="shared" si="21"/>
        <v>-2.7420952721238254E-5</v>
      </c>
    </row>
    <row r="25" spans="1:32" x14ac:dyDescent="0.3">
      <c r="A25" s="23">
        <v>22</v>
      </c>
      <c r="B25">
        <v>400.1</v>
      </c>
      <c r="C25">
        <v>240</v>
      </c>
      <c r="D25" s="31" cm="1">
        <f t="array" ref="D25:E25">'Raw Data and Corrections'!AC77:AD77</f>
        <v>109.98923129912342</v>
      </c>
      <c r="E25" s="17">
        <v>3.2490485062783758</v>
      </c>
      <c r="F25">
        <f t="shared" si="0"/>
        <v>14400</v>
      </c>
      <c r="G25" s="4">
        <f t="shared" si="1"/>
        <v>347.23079607185855</v>
      </c>
      <c r="H25">
        <f t="shared" si="2"/>
        <v>4.795285343225979</v>
      </c>
      <c r="I25" s="4">
        <f t="shared" si="3"/>
        <v>0.5622660877262281</v>
      </c>
      <c r="J25" s="4">
        <f t="shared" si="4"/>
        <v>7.7649400916289029E-3</v>
      </c>
      <c r="L25" s="4">
        <f t="shared" si="5"/>
        <v>1.0215187302907579E-6</v>
      </c>
      <c r="M25" s="4">
        <f t="shared" si="6"/>
        <v>7.7298321993317253E-8</v>
      </c>
      <c r="N25" s="4">
        <f t="shared" si="7"/>
        <v>1.7071044916494032E-6</v>
      </c>
      <c r="O25" s="4">
        <f t="shared" si="8"/>
        <v>1.2988601537774284E-7</v>
      </c>
      <c r="P25" s="4">
        <f t="shared" si="9"/>
        <v>2.4019641559884355E-6</v>
      </c>
      <c r="Q25" s="4">
        <f t="shared" si="10"/>
        <v>1.8626596179878381E-7</v>
      </c>
      <c r="R25" s="4">
        <f t="shared" si="11"/>
        <v>1.7071044916494032E-6</v>
      </c>
      <c r="S25" s="4">
        <f t="shared" si="12"/>
        <v>1.2988601537774284E-7</v>
      </c>
      <c r="T25">
        <f t="shared" si="13"/>
        <v>14.856633486851878</v>
      </c>
      <c r="U25">
        <f t="shared" si="14"/>
        <v>-13.280711902405411</v>
      </c>
      <c r="V25" s="4">
        <f t="shared" si="15"/>
        <v>7.6085568290109207E-2</v>
      </c>
      <c r="W25">
        <f t="shared" si="16"/>
        <v>-5.7677398949615082</v>
      </c>
      <c r="X25">
        <f t="shared" si="17"/>
        <v>-12.820537321312338</v>
      </c>
      <c r="Y25">
        <f t="shared" si="18"/>
        <v>-0.46017458109307263</v>
      </c>
      <c r="AA25">
        <f t="shared" si="19"/>
        <v>6.8148572938402479E-6</v>
      </c>
      <c r="AB25" s="4">
        <f t="shared" si="20"/>
        <v>-1.2950558181379782E-5</v>
      </c>
      <c r="AC25" s="4">
        <f t="shared" si="21"/>
        <v>-1.6074133420339232E-5</v>
      </c>
    </row>
    <row r="26" spans="1:32" x14ac:dyDescent="0.3">
      <c r="A26" s="23">
        <v>23</v>
      </c>
      <c r="B26">
        <v>350.3</v>
      </c>
      <c r="C26">
        <v>90</v>
      </c>
      <c r="D26" s="31" cm="1">
        <f t="array" ref="D26:E26">'Raw Data and Corrections'!AC80:AD80</f>
        <v>5.8007597520409249</v>
      </c>
      <c r="E26" s="17">
        <v>1.8876885185255603</v>
      </c>
      <c r="F26">
        <f t="shared" si="0"/>
        <v>5400</v>
      </c>
      <c r="G26" s="4">
        <f t="shared" si="1"/>
        <v>353.03155582389945</v>
      </c>
      <c r="H26">
        <f t="shared" si="2"/>
        <v>4.9682053340805608</v>
      </c>
      <c r="I26" s="4">
        <f t="shared" si="3"/>
        <v>0.57165917880143569</v>
      </c>
      <c r="J26" s="4">
        <f t="shared" si="4"/>
        <v>8.0449470721368765E-3</v>
      </c>
      <c r="L26" s="4">
        <f t="shared" si="5"/>
        <v>1.7212604022251958E-7</v>
      </c>
      <c r="M26" s="4">
        <f t="shared" si="6"/>
        <v>1.5778116785927196E-7</v>
      </c>
      <c r="N26" s="4">
        <f t="shared" si="7"/>
        <v>3.2986189161260821E-7</v>
      </c>
      <c r="O26" s="4">
        <f t="shared" si="8"/>
        <v>3.043558797174524E-7</v>
      </c>
      <c r="P26" s="4">
        <f t="shared" si="9"/>
        <v>4.0701150346214461E-7</v>
      </c>
      <c r="Q26" s="4">
        <f t="shared" si="10"/>
        <v>3.7385416470227988E-7</v>
      </c>
      <c r="R26" s="4">
        <f t="shared" si="11"/>
        <v>3.2986189161260821E-7</v>
      </c>
      <c r="S26" s="4">
        <f t="shared" si="12"/>
        <v>3.043558797174524E-7</v>
      </c>
      <c r="T26">
        <f t="shared" si="13"/>
        <v>16.04363869725654</v>
      </c>
      <c r="U26">
        <f t="shared" si="14"/>
        <v>-14.924591780350571</v>
      </c>
      <c r="V26" s="4">
        <f t="shared" si="15"/>
        <v>0.9226766942660044</v>
      </c>
      <c r="W26">
        <f t="shared" si="16"/>
        <v>-6.4816678548648818</v>
      </c>
      <c r="X26">
        <f t="shared" si="17"/>
        <v>-14.791909839850524</v>
      </c>
      <c r="Y26">
        <f t="shared" si="18"/>
        <v>-0.13268194050004745</v>
      </c>
      <c r="AA26">
        <f t="shared" si="19"/>
        <v>1.8476546054318564E-5</v>
      </c>
      <c r="AB26" s="4">
        <f t="shared" si="20"/>
        <v>-3.5707278405505446E-5</v>
      </c>
      <c r="AC26" s="4">
        <f t="shared" si="21"/>
        <v>-4.3804328766719391E-5</v>
      </c>
    </row>
    <row r="27" spans="1:32" x14ac:dyDescent="0.3">
      <c r="A27" s="23">
        <v>24</v>
      </c>
      <c r="B27">
        <v>400.4</v>
      </c>
      <c r="C27">
        <v>60</v>
      </c>
      <c r="D27" s="31" cm="1">
        <f t="array" ref="D27:E27">'Raw Data and Corrections'!AC83:AD83</f>
        <v>18.117517289967918</v>
      </c>
      <c r="E27" s="17">
        <v>1.4114442681642989</v>
      </c>
      <c r="F27">
        <f t="shared" si="0"/>
        <v>3600</v>
      </c>
      <c r="G27" s="4">
        <f t="shared" si="1"/>
        <v>371.14907311386736</v>
      </c>
      <c r="H27">
        <f t="shared" si="2"/>
        <v>4.5186098498926679</v>
      </c>
      <c r="I27" s="4">
        <f t="shared" si="3"/>
        <v>0.60099662721092073</v>
      </c>
      <c r="J27" s="4">
        <f t="shared" si="4"/>
        <v>7.3169232424147249E-3</v>
      </c>
      <c r="L27" s="4">
        <f t="shared" si="5"/>
        <v>8.3394568944926215E-7</v>
      </c>
      <c r="M27" s="4">
        <f t="shared" si="6"/>
        <v>2.5989702293806484E-7</v>
      </c>
      <c r="N27" s="4">
        <f t="shared" si="7"/>
        <v>1.6566916517405036E-6</v>
      </c>
      <c r="O27" s="4">
        <f t="shared" si="8"/>
        <v>5.2157539405940031E-7</v>
      </c>
      <c r="P27" s="4">
        <f t="shared" si="9"/>
        <v>1.9968525209922407E-6</v>
      </c>
      <c r="Q27" s="4">
        <f t="shared" si="10"/>
        <v>6.2495348310947179E-7</v>
      </c>
      <c r="R27" s="4">
        <f t="shared" si="11"/>
        <v>1.6566916517405036E-6</v>
      </c>
      <c r="S27" s="4">
        <f t="shared" si="12"/>
        <v>5.2157539405940031E-7</v>
      </c>
      <c r="T27">
        <f t="shared" si="13"/>
        <v>14.850014850014851</v>
      </c>
      <c r="U27">
        <f t="shared" si="14"/>
        <v>-13.310687925104068</v>
      </c>
      <c r="V27" s="4">
        <f t="shared" si="15"/>
        <v>0.31482949377540381</v>
      </c>
      <c r="W27">
        <f t="shared" si="16"/>
        <v>-5.7807583162089413</v>
      </c>
      <c r="X27">
        <f t="shared" si="17"/>
        <v>-12.809545121230707</v>
      </c>
      <c r="Y27">
        <f t="shared" si="18"/>
        <v>-0.50114280387336052</v>
      </c>
      <c r="AA27">
        <f t="shared" si="19"/>
        <v>2.9137138717254198E-5</v>
      </c>
      <c r="AB27" s="4">
        <f t="shared" si="20"/>
        <v>-5.9497662272669983E-5</v>
      </c>
      <c r="AC27" s="4">
        <f t="shared" si="21"/>
        <v>-7.0537682519442201E-5</v>
      </c>
    </row>
    <row r="28" spans="1:32" s="24" customFormat="1" x14ac:dyDescent="0.3">
      <c r="A28" s="27">
        <v>25</v>
      </c>
      <c r="B28" s="24">
        <v>300.2</v>
      </c>
      <c r="C28" s="24">
        <v>120</v>
      </c>
      <c r="D28" s="57" cm="1">
        <f t="array" ref="D28:E28">'Raw Data and Corrections'!AC86:AD86</f>
        <v>0.70246648635252917</v>
      </c>
      <c r="E28" s="26">
        <v>1.2259902068947057</v>
      </c>
      <c r="F28" s="24">
        <f t="shared" si="0"/>
        <v>7200</v>
      </c>
      <c r="G28" s="25">
        <f t="shared" si="1"/>
        <v>371.85153960021989</v>
      </c>
      <c r="H28" s="24">
        <f t="shared" si="2"/>
        <v>4.3587435771988829</v>
      </c>
      <c r="I28" s="25">
        <f t="shared" si="3"/>
        <v>0.60213412160228363</v>
      </c>
      <c r="J28" s="25">
        <f t="shared" si="4"/>
        <v>7.0580539695167446E-3</v>
      </c>
      <c r="K28" s="10"/>
      <c r="L28" s="25">
        <f t="shared" si="5"/>
        <v>1.6587348367270528E-8</v>
      </c>
      <c r="M28" s="25">
        <f t="shared" si="6"/>
        <v>2.3678041668361036E-7</v>
      </c>
      <c r="N28" s="25">
        <f t="shared" si="7"/>
        <v>3.3908741119659004E-8</v>
      </c>
      <c r="O28" s="25">
        <f t="shared" si="8"/>
        <v>4.8370600729756998E-7</v>
      </c>
      <c r="P28" s="25">
        <f t="shared" si="9"/>
        <v>4.0175403175261056E-8</v>
      </c>
      <c r="Q28" s="25">
        <f t="shared" si="10"/>
        <v>5.7332302352052023E-7</v>
      </c>
      <c r="R28" s="25">
        <f t="shared" si="11"/>
        <v>3.3908741119659004E-8</v>
      </c>
      <c r="S28" s="25">
        <f t="shared" si="12"/>
        <v>4.8370600729756998E-7</v>
      </c>
      <c r="T28" s="24">
        <f t="shared" si="13"/>
        <v>17.445917655268666</v>
      </c>
      <c r="U28" s="24">
        <f t="shared" si="14"/>
        <v>-17.199593005660205</v>
      </c>
      <c r="V28" s="25">
        <f t="shared" si="15"/>
        <v>14.264935568992136</v>
      </c>
      <c r="W28" s="24">
        <f t="shared" si="16"/>
        <v>-7.4696883333399935</v>
      </c>
      <c r="X28" s="24">
        <f t="shared" si="17"/>
        <v>-17.12080795834072</v>
      </c>
      <c r="Y28" s="24">
        <f t="shared" si="18"/>
        <v>-7.8785047319485102E-2</v>
      </c>
      <c r="Z28" s="10"/>
      <c r="AA28" s="24">
        <f t="shared" si="19"/>
        <v>1.4596143000783006E-5</v>
      </c>
      <c r="AB28" s="25">
        <f t="shared" si="20"/>
        <v>-2.9871326015578756E-5</v>
      </c>
      <c r="AC28" s="25">
        <f t="shared" si="21"/>
        <v>-3.5369674508564568E-5</v>
      </c>
    </row>
    <row r="29" spans="1:32" x14ac:dyDescent="0.3">
      <c r="A29" t="s">
        <v>40</v>
      </c>
      <c r="D29" s="4">
        <f>(194.2*3.18)-G28</f>
        <v>245.70446039978015</v>
      </c>
      <c r="E29" s="18"/>
      <c r="F29">
        <f>3600*C29</f>
        <v>0</v>
      </c>
      <c r="G29" s="4">
        <f t="shared" si="1"/>
        <v>617.55600000000004</v>
      </c>
      <c r="I29" s="4">
        <f t="shared" si="3"/>
        <v>1</v>
      </c>
      <c r="J29" s="4"/>
    </row>
    <row r="30" spans="1:32" x14ac:dyDescent="0.3">
      <c r="E30" s="18"/>
    </row>
    <row r="33" spans="1:29" x14ac:dyDescent="0.3">
      <c r="AA33" t="s">
        <v>81</v>
      </c>
    </row>
    <row r="34" spans="1:29" x14ac:dyDescent="0.3">
      <c r="A34" t="s">
        <v>67</v>
      </c>
      <c r="G34" s="17" t="s">
        <v>109</v>
      </c>
      <c r="H34" s="17" t="s">
        <v>111</v>
      </c>
      <c r="I34" s="17" t="s">
        <v>46</v>
      </c>
      <c r="J34" s="17" t="s">
        <v>111</v>
      </c>
      <c r="L34" t="s">
        <v>47</v>
      </c>
      <c r="M34" t="s">
        <v>111</v>
      </c>
      <c r="N34" t="s">
        <v>48</v>
      </c>
      <c r="O34" t="s">
        <v>111</v>
      </c>
      <c r="P34" t="s">
        <v>49</v>
      </c>
      <c r="Q34" t="s">
        <v>111</v>
      </c>
      <c r="R34" t="s">
        <v>50</v>
      </c>
      <c r="S34" t="s">
        <v>111</v>
      </c>
      <c r="T34" t="s">
        <v>51</v>
      </c>
      <c r="U34" t="s">
        <v>52</v>
      </c>
      <c r="V34" t="s">
        <v>111</v>
      </c>
      <c r="W34" t="s">
        <v>53</v>
      </c>
      <c r="AA34" t="s">
        <v>80</v>
      </c>
    </row>
    <row r="35" spans="1:29" x14ac:dyDescent="0.3">
      <c r="G35" s="17"/>
      <c r="H35" s="17"/>
      <c r="I35" s="17"/>
      <c r="J35" s="17"/>
      <c r="L35" t="s">
        <v>56</v>
      </c>
      <c r="N35" t="s">
        <v>57</v>
      </c>
      <c r="P35" t="s">
        <v>58</v>
      </c>
      <c r="AA35" t="s">
        <v>59</v>
      </c>
      <c r="AB35" t="s">
        <v>60</v>
      </c>
      <c r="AC35" t="s">
        <v>61</v>
      </c>
    </row>
    <row r="36" spans="1:29" x14ac:dyDescent="0.3">
      <c r="A36" t="s">
        <v>62</v>
      </c>
      <c r="B36" s="17" t="s">
        <v>63</v>
      </c>
      <c r="C36" s="17" t="s">
        <v>64</v>
      </c>
      <c r="D36" s="17" t="s">
        <v>70</v>
      </c>
      <c r="E36" s="17" t="s">
        <v>45</v>
      </c>
      <c r="F36" t="s">
        <v>65</v>
      </c>
      <c r="G36">
        <v>0</v>
      </c>
      <c r="H36">
        <v>0</v>
      </c>
      <c r="I36">
        <v>0</v>
      </c>
      <c r="J36" s="17">
        <v>0</v>
      </c>
      <c r="AA36">
        <v>0</v>
      </c>
      <c r="AB36">
        <v>0</v>
      </c>
      <c r="AC36">
        <v>0</v>
      </c>
    </row>
    <row r="37" spans="1:29" x14ac:dyDescent="0.3">
      <c r="A37" s="23">
        <v>1</v>
      </c>
      <c r="B37">
        <v>100</v>
      </c>
      <c r="C37">
        <v>240</v>
      </c>
      <c r="D37">
        <f t="shared" ref="D37:D61" si="22">G37-G36</f>
        <v>0.18987410887900832</v>
      </c>
      <c r="E37" s="17">
        <f t="shared" ref="E37:E61" si="23">H37-H36</f>
        <v>1.2667142201653778E-3</v>
      </c>
      <c r="F37">
        <v>18000</v>
      </c>
      <c r="G37" cm="1">
        <f t="array" ref="G37:H37">'Raw Data and Corrections'!T12:U12</f>
        <v>0.18987410887900832</v>
      </c>
      <c r="H37">
        <v>1.2667142201653778E-3</v>
      </c>
      <c r="I37" s="4">
        <f t="shared" ref="I37:I62" si="24">G37/$G$62</f>
        <v>3.1065993376757755E-4</v>
      </c>
      <c r="J37" s="4">
        <f t="shared" ref="J37:J61" si="25">2*(((H37/(2*$G$62))^2+($H$62*G37/(2*($G$62^2)))^2)^0.5)</f>
        <v>2.0725171960637466E-6</v>
      </c>
      <c r="L37" s="4">
        <f t="shared" ref="L37:L61" si="26">((I37^2-I36^2)*PI())/(36*F37)</f>
        <v>4.6789171746953918E-13</v>
      </c>
      <c r="M37" s="4">
        <f t="shared" ref="M37:M61" si="27">2*((((J37/2)*AA37)^2+((J36/2)*AA36)^2)^0.5)</f>
        <v>6.2429269110507079E-15</v>
      </c>
      <c r="N37" s="4">
        <f t="shared" ref="N37:N61" si="28">(1/(PI()*PI()*F37))*(-(I37-I36)*PI()*PI()/3-2*PI()*(SQRT(1-PI()/3*I37)-SQRT(1-PI()/3*I36)))</f>
        <v>4.6796784047898004E-13</v>
      </c>
      <c r="O37" s="4">
        <f t="shared" ref="O37:O61" si="29">2*((((J37/2)*AB37)^2+((J36/2)*AB36)^2)^0.5)</f>
        <v>6.2444505467224618E-15</v>
      </c>
      <c r="P37" s="4">
        <f t="shared" ref="P37:P61" si="30">(1/(PI()^2*F37))*LN((1-I36)/(1-I37))</f>
        <v>1.7489623580871149E-9</v>
      </c>
      <c r="Q37" s="4">
        <f t="shared" ref="Q37:Q61" si="31">2*((((J37/2)*AC37)^2+((J36/2)*AC36)^2)^0.5)</f>
        <v>1.1669730619089982E-11</v>
      </c>
      <c r="R37" s="4">
        <f t="shared" ref="R37:R61" si="32">(I37&lt;0.05)*L37+((I37&gt;=0.05)*(I37&lt;0.9))*N37+(I37&gt;=0.9)*P37</f>
        <v>4.6789171746953918E-13</v>
      </c>
      <c r="S37" s="4">
        <f t="shared" ref="S37:S61" si="33">(I37&lt;0.05)*M37+((I37&gt;=0.05)*(I37&lt;0.9))*O37+(I37&gt;=0.9)*Q37</f>
        <v>6.2429269110507079E-15</v>
      </c>
      <c r="T37">
        <f t="shared" ref="T37:T61" si="34">10000/(273+B37)</f>
        <v>26.809651474530831</v>
      </c>
      <c r="U37">
        <f t="shared" ref="U37:U61" si="35">LN(R37)</f>
        <v>-28.39053949869222</v>
      </c>
      <c r="V37" s="4">
        <f t="shared" ref="V37:V61" si="36">S37/R37</f>
        <v>1.3342674550457578E-2</v>
      </c>
      <c r="W37">
        <f t="shared" ref="W37:W61" si="37">LOG10(R37)</f>
        <v>-12.329854642538344</v>
      </c>
      <c r="AA37" s="4">
        <f t="shared" ref="AA37:AA61" si="38" xml:space="preserve"> (I37 * PI()) / (18 * F37)</f>
        <v>3.0122437212620782E-9</v>
      </c>
      <c r="AB37" s="4">
        <f t="shared" ref="AB37:AB61" si="39" xml:space="preserve"> (1 / (PI()^2 * F37)) * (PI()^2 / 3 - PI()^2 / (3 * SQRT(1 - (PI() / 3) * I37)))</f>
        <v>-3.0129788831582724E-9</v>
      </c>
      <c r="AC37" s="4">
        <f t="shared" ref="AC37:AC61" si="40" xml:space="preserve"> (-1) / (PI()^2 * F37 * (1 - I37))</f>
        <v>-5.6307038808912462E-6</v>
      </c>
    </row>
    <row r="38" spans="1:29" x14ac:dyDescent="0.3">
      <c r="A38" s="23">
        <v>2</v>
      </c>
      <c r="B38">
        <v>150</v>
      </c>
      <c r="C38">
        <v>240</v>
      </c>
      <c r="D38">
        <f t="shared" si="22"/>
        <v>0.32409536047945608</v>
      </c>
      <c r="E38" s="17">
        <f t="shared" si="23"/>
        <v>1.4688617886560354E-3</v>
      </c>
      <c r="F38">
        <v>27780</v>
      </c>
      <c r="G38" cm="1">
        <f t="array" ref="G38:H38">'Raw Data and Corrections'!T16:U16</f>
        <v>0.51396946935846444</v>
      </c>
      <c r="H38">
        <v>2.7355760088214132E-3</v>
      </c>
      <c r="I38" s="4">
        <f t="shared" si="24"/>
        <v>8.4092413785179286E-4</v>
      </c>
      <c r="J38" s="4">
        <f t="shared" si="25"/>
        <v>4.4757753794550567E-6</v>
      </c>
      <c r="L38" s="4">
        <f t="shared" si="26"/>
        <v>1.9182406518899781E-12</v>
      </c>
      <c r="M38" s="4">
        <f t="shared" si="27"/>
        <v>2.4456895738958367E-14</v>
      </c>
      <c r="N38" s="4">
        <f t="shared" si="28"/>
        <v>1.9191699680299308E-12</v>
      </c>
      <c r="O38" s="4">
        <f t="shared" si="29"/>
        <v>2.4472396193737217E-14</v>
      </c>
      <c r="P38" s="4">
        <f t="shared" si="30"/>
        <v>1.9351314421039963E-9</v>
      </c>
      <c r="Q38" s="4">
        <f t="shared" si="31"/>
        <v>2.0077755299653214E-11</v>
      </c>
      <c r="R38" s="4">
        <f t="shared" si="32"/>
        <v>1.9182406518899781E-12</v>
      </c>
      <c r="S38" s="4">
        <f t="shared" si="33"/>
        <v>2.4456895738958367E-14</v>
      </c>
      <c r="T38">
        <f t="shared" si="34"/>
        <v>23.640661938534279</v>
      </c>
      <c r="U38">
        <f t="shared" si="35"/>
        <v>-26.979612677113852</v>
      </c>
      <c r="V38" s="4">
        <f t="shared" si="36"/>
        <v>1.2749649380468403E-2</v>
      </c>
      <c r="W38">
        <f t="shared" si="37"/>
        <v>-11.717096909557565</v>
      </c>
      <c r="AA38">
        <f t="shared" si="38"/>
        <v>5.2832595266409142E-9</v>
      </c>
      <c r="AB38" s="4">
        <f t="shared" si="39"/>
        <v>-5.2867514723122001E-9</v>
      </c>
      <c r="AC38" s="4">
        <f t="shared" si="40"/>
        <v>-3.6503404888862861E-6</v>
      </c>
    </row>
    <row r="39" spans="1:29" x14ac:dyDescent="0.3">
      <c r="A39" s="23">
        <v>3</v>
      </c>
      <c r="B39">
        <v>200.1</v>
      </c>
      <c r="C39">
        <v>240</v>
      </c>
      <c r="D39">
        <f t="shared" si="22"/>
        <v>0.96695127332197961</v>
      </c>
      <c r="E39" s="17">
        <f t="shared" si="23"/>
        <v>6.1776088954018432E-3</v>
      </c>
      <c r="F39">
        <v>33000</v>
      </c>
      <c r="G39" cm="1">
        <f t="array" ref="G39:H39">'Raw Data and Corrections'!T20:U20</f>
        <v>1.480920742680444</v>
      </c>
      <c r="H39">
        <v>8.9131849042232564E-3</v>
      </c>
      <c r="I39" s="4">
        <f t="shared" si="24"/>
        <v>2.4229882765601281E-3</v>
      </c>
      <c r="J39" s="4">
        <f t="shared" si="25"/>
        <v>1.4583185924356927E-5</v>
      </c>
      <c r="L39" s="4">
        <f t="shared" si="26"/>
        <v>1.3655135516006524E-11</v>
      </c>
      <c r="M39" s="4">
        <f t="shared" si="27"/>
        <v>1.8837196202779052E-13</v>
      </c>
      <c r="N39" s="4">
        <f t="shared" si="28"/>
        <v>1.3674039331122684E-11</v>
      </c>
      <c r="O39" s="4">
        <f t="shared" si="29"/>
        <v>1.8872749885293141E-13</v>
      </c>
      <c r="P39" s="4">
        <f t="shared" si="30"/>
        <v>4.8654142240243282E-9</v>
      </c>
      <c r="Q39" s="4">
        <f t="shared" si="31"/>
        <v>4.7765196293663825E-11</v>
      </c>
      <c r="R39" s="4">
        <f t="shared" si="32"/>
        <v>1.3655135516006524E-11</v>
      </c>
      <c r="S39" s="4">
        <f t="shared" si="33"/>
        <v>1.8837196202779052E-13</v>
      </c>
      <c r="T39">
        <f t="shared" si="34"/>
        <v>21.137180300147961</v>
      </c>
      <c r="U39">
        <f t="shared" si="35"/>
        <v>-25.016905436774827</v>
      </c>
      <c r="V39" s="4">
        <f t="shared" si="36"/>
        <v>1.3794953686617116E-2</v>
      </c>
      <c r="W39">
        <f t="shared" si="37"/>
        <v>-10.864703985486766</v>
      </c>
      <c r="AA39">
        <f t="shared" si="38"/>
        <v>1.2814885807029448E-8</v>
      </c>
      <c r="AB39" s="4">
        <f t="shared" si="39"/>
        <v>-1.2839324349517466E-8</v>
      </c>
      <c r="AC39" s="4">
        <f t="shared" si="40"/>
        <v>-3.0777963627572599E-6</v>
      </c>
    </row>
    <row r="40" spans="1:29" x14ac:dyDescent="0.3">
      <c r="A40" s="23">
        <v>4</v>
      </c>
      <c r="B40">
        <v>250.2</v>
      </c>
      <c r="C40">
        <v>60</v>
      </c>
      <c r="D40">
        <f t="shared" si="22"/>
        <v>1.163267270091576</v>
      </c>
      <c r="E40" s="17">
        <f t="shared" si="23"/>
        <v>5.2127778669163512E-3</v>
      </c>
      <c r="F40">
        <v>30000</v>
      </c>
      <c r="G40" cm="1">
        <f t="array" ref="G40:H40">'Raw Data and Corrections'!T24:U24</f>
        <v>2.6441880127720201</v>
      </c>
      <c r="H40">
        <v>1.4125962771139608E-2</v>
      </c>
      <c r="I40" s="4">
        <f t="shared" si="24"/>
        <v>4.3262521560547187E-3</v>
      </c>
      <c r="J40" s="4">
        <f t="shared" si="25"/>
        <v>2.3112001340224096E-5</v>
      </c>
      <c r="L40" s="4">
        <f t="shared" si="26"/>
        <v>3.7366293639153808E-11</v>
      </c>
      <c r="M40" s="4">
        <f t="shared" si="27"/>
        <v>6.1099078812283858E-13</v>
      </c>
      <c r="N40" s="4">
        <f t="shared" si="28"/>
        <v>3.7468271122872715E-11</v>
      </c>
      <c r="O40" s="4">
        <f t="shared" si="29"/>
        <v>6.1298880762929248E-13</v>
      </c>
      <c r="P40" s="4">
        <f t="shared" si="30"/>
        <v>6.4497992115262659E-9</v>
      </c>
      <c r="Q40" s="4">
        <f t="shared" si="31"/>
        <v>9.0336434796603705E-11</v>
      </c>
      <c r="R40" s="4">
        <f t="shared" si="32"/>
        <v>3.7366293639153808E-11</v>
      </c>
      <c r="S40" s="4">
        <f t="shared" si="33"/>
        <v>6.1099078812283858E-13</v>
      </c>
      <c r="T40">
        <f t="shared" si="34"/>
        <v>19.1131498470948</v>
      </c>
      <c r="U40">
        <f t="shared" si="35"/>
        <v>-24.010252057463454</v>
      </c>
      <c r="V40" s="4">
        <f t="shared" si="36"/>
        <v>1.6351388607689456E-2</v>
      </c>
      <c r="W40">
        <f t="shared" si="37"/>
        <v>-10.427519977662577</v>
      </c>
      <c r="AA40">
        <f t="shared" si="38"/>
        <v>2.5169114798219459E-8</v>
      </c>
      <c r="AB40" s="4">
        <f t="shared" si="39"/>
        <v>-2.5254959340089085E-8</v>
      </c>
      <c r="AC40" s="4">
        <f t="shared" si="40"/>
        <v>-3.3920476415004074E-6</v>
      </c>
    </row>
    <row r="41" spans="1:29" x14ac:dyDescent="0.3">
      <c r="A41" s="23">
        <v>5</v>
      </c>
      <c r="B41">
        <v>270.3</v>
      </c>
      <c r="C41">
        <v>60</v>
      </c>
      <c r="D41">
        <f t="shared" si="22"/>
        <v>2.5842835867992622</v>
      </c>
      <c r="E41" s="17">
        <f t="shared" si="23"/>
        <v>1.6730801631549802E-2</v>
      </c>
      <c r="F41">
        <v>28500</v>
      </c>
      <c r="G41" cm="1">
        <f t="array" ref="G41:H41">'Raw Data and Corrections'!T27:U27</f>
        <v>5.2284715995712823</v>
      </c>
      <c r="H41">
        <v>3.0856764402689408E-2</v>
      </c>
      <c r="I41" s="4">
        <f t="shared" si="24"/>
        <v>8.5544925025217468E-3</v>
      </c>
      <c r="J41" s="4">
        <f t="shared" si="25"/>
        <v>5.0485874257503985E-5</v>
      </c>
      <c r="L41" s="4">
        <f t="shared" si="26"/>
        <v>1.6676432463745859E-10</v>
      </c>
      <c r="M41" s="4">
        <f t="shared" si="27"/>
        <v>2.7080388565365011E-12</v>
      </c>
      <c r="N41" s="4">
        <f t="shared" si="28"/>
        <v>1.6764344589603838E-10</v>
      </c>
      <c r="O41" s="4">
        <f t="shared" si="29"/>
        <v>2.7259512097931173E-12</v>
      </c>
      <c r="P41" s="4">
        <f t="shared" si="30"/>
        <v>1.5129402606678774E-8</v>
      </c>
      <c r="Q41" s="4">
        <f t="shared" si="31"/>
        <v>1.9727858152015897E-10</v>
      </c>
      <c r="R41" s="4">
        <f t="shared" si="32"/>
        <v>1.6676432463745859E-10</v>
      </c>
      <c r="S41" s="4">
        <f t="shared" si="33"/>
        <v>2.7080388565365011E-12</v>
      </c>
      <c r="T41">
        <f t="shared" si="34"/>
        <v>18.406037180195106</v>
      </c>
      <c r="U41">
        <f t="shared" si="35"/>
        <v>-22.514439529950113</v>
      </c>
      <c r="V41" s="4">
        <f t="shared" si="36"/>
        <v>1.6238718097672921E-2</v>
      </c>
      <c r="W41">
        <f t="shared" si="37"/>
        <v>-9.7778968510017759</v>
      </c>
      <c r="AA41">
        <f t="shared" si="38"/>
        <v>5.2387389475850457E-8</v>
      </c>
      <c r="AB41" s="4">
        <f t="shared" si="39"/>
        <v>-5.2742012045898559E-8</v>
      </c>
      <c r="AC41" s="4">
        <f t="shared" si="40"/>
        <v>-3.5858039839041638E-6</v>
      </c>
    </row>
    <row r="42" spans="1:29" x14ac:dyDescent="0.3">
      <c r="A42" s="23">
        <v>6</v>
      </c>
      <c r="B42">
        <v>290.3</v>
      </c>
      <c r="C42">
        <v>60</v>
      </c>
      <c r="D42">
        <f t="shared" si="22"/>
        <v>5.0975202895751242</v>
      </c>
      <c r="E42" s="17">
        <f t="shared" si="23"/>
        <v>3.5125209657247053E-2</v>
      </c>
      <c r="F42">
        <v>27000</v>
      </c>
      <c r="G42" cm="1">
        <f t="array" ref="G42:H42">'Raw Data and Corrections'!T30:U30</f>
        <v>10.325991889146406</v>
      </c>
      <c r="H42">
        <v>6.5981974059936457E-2</v>
      </c>
      <c r="I42" s="4">
        <f t="shared" si="24"/>
        <v>1.689473080508774E-2</v>
      </c>
      <c r="J42" s="4">
        <f t="shared" si="25"/>
        <v>1.0795550700583194E-4</v>
      </c>
      <c r="L42" s="4">
        <f t="shared" si="26"/>
        <v>6.860197201921443E-10</v>
      </c>
      <c r="M42" s="4">
        <f t="shared" si="27"/>
        <v>1.2082903195173295E-11</v>
      </c>
      <c r="N42" s="4">
        <f t="shared" si="28"/>
        <v>6.9320657339827204E-10</v>
      </c>
      <c r="O42" s="4">
        <f t="shared" si="29"/>
        <v>1.224176756107337E-11</v>
      </c>
      <c r="P42" s="4">
        <f t="shared" si="30"/>
        <v>3.1701456958713765E-8</v>
      </c>
      <c r="Q42" s="4">
        <f t="shared" si="31"/>
        <v>4.5009161707648416E-10</v>
      </c>
      <c r="R42" s="4">
        <f t="shared" si="32"/>
        <v>6.860197201921443E-10</v>
      </c>
      <c r="S42" s="4">
        <f t="shared" si="33"/>
        <v>1.2082903195173295E-11</v>
      </c>
      <c r="T42">
        <f t="shared" si="34"/>
        <v>17.752529735487308</v>
      </c>
      <c r="U42">
        <f t="shared" si="35"/>
        <v>-21.100114741980061</v>
      </c>
      <c r="V42" s="4">
        <f t="shared" si="36"/>
        <v>1.761305519291639E-2</v>
      </c>
      <c r="W42">
        <f t="shared" si="37"/>
        <v>-9.1636633999673958</v>
      </c>
      <c r="AA42">
        <f t="shared" si="38"/>
        <v>1.0921062177292349E-7</v>
      </c>
      <c r="AB42" s="4">
        <f t="shared" si="39"/>
        <v>-1.1068144858747943E-7</v>
      </c>
      <c r="AC42" s="4">
        <f t="shared" si="40"/>
        <v>-3.8171257430761366E-6</v>
      </c>
    </row>
    <row r="43" spans="1:29" x14ac:dyDescent="0.3">
      <c r="A43" s="23">
        <v>7</v>
      </c>
      <c r="B43">
        <v>300.3</v>
      </c>
      <c r="C43">
        <v>60</v>
      </c>
      <c r="D43">
        <f t="shared" si="22"/>
        <v>7.4494553996661121</v>
      </c>
      <c r="E43" s="17">
        <f t="shared" si="23"/>
        <v>4.6035533041734925E-2</v>
      </c>
      <c r="F43">
        <v>25500</v>
      </c>
      <c r="G43" cm="1">
        <f t="array" ref="G43:H43">'Raw Data and Corrections'!T34:U34</f>
        <v>17.775447288812519</v>
      </c>
      <c r="H43">
        <v>0.11201750710167138</v>
      </c>
      <c r="I43" s="4">
        <f t="shared" si="24"/>
        <v>2.9083055662688432E-2</v>
      </c>
      <c r="J43" s="4">
        <f t="shared" si="25"/>
        <v>1.8327591656632468E-4</v>
      </c>
      <c r="L43" s="4">
        <f t="shared" si="26"/>
        <v>1.9177821475290786E-9</v>
      </c>
      <c r="M43" s="4">
        <f t="shared" si="27"/>
        <v>3.8340086011024196E-11</v>
      </c>
      <c r="N43" s="4">
        <f t="shared" si="28"/>
        <v>1.9539802274031023E-9</v>
      </c>
      <c r="O43" s="4">
        <f t="shared" si="29"/>
        <v>3.9202692202086687E-11</v>
      </c>
      <c r="P43" s="4">
        <f t="shared" si="30"/>
        <v>4.9569007904542174E-8</v>
      </c>
      <c r="Q43" s="4">
        <f t="shared" si="31"/>
        <v>8.5578446236796408E-10</v>
      </c>
      <c r="R43" s="4">
        <f t="shared" si="32"/>
        <v>1.9177821475290786E-9</v>
      </c>
      <c r="S43" s="4">
        <f t="shared" si="33"/>
        <v>3.8340086011024196E-11</v>
      </c>
      <c r="T43">
        <f t="shared" si="34"/>
        <v>17.44287458573173</v>
      </c>
      <c r="U43">
        <f t="shared" si="35"/>
        <v>-20.072096450080601</v>
      </c>
      <c r="V43" s="4">
        <f t="shared" si="36"/>
        <v>1.9991888056952966E-2</v>
      </c>
      <c r="W43">
        <f t="shared" si="37"/>
        <v>-8.7172007284998543</v>
      </c>
      <c r="AA43">
        <f t="shared" si="38"/>
        <v>1.9905689327635079E-7</v>
      </c>
      <c r="AB43" s="4">
        <f t="shared" si="39"/>
        <v>-2.0372226564688799E-7</v>
      </c>
      <c r="AC43" s="4">
        <f t="shared" si="40"/>
        <v>-4.0923992251385602E-6</v>
      </c>
    </row>
    <row r="44" spans="1:29" x14ac:dyDescent="0.3">
      <c r="A44" s="23">
        <v>8</v>
      </c>
      <c r="B44">
        <v>285.3</v>
      </c>
      <c r="C44">
        <v>60</v>
      </c>
      <c r="D44">
        <f t="shared" si="22"/>
        <v>6.040619584755035</v>
      </c>
      <c r="E44" s="17">
        <f t="shared" si="23"/>
        <v>2.5580401131519742E-2</v>
      </c>
      <c r="F44">
        <v>54480</v>
      </c>
      <c r="G44" cm="1">
        <f t="array" ref="G44:H44">'Raw Data and Corrections'!T37:U37</f>
        <v>23.816066873567554</v>
      </c>
      <c r="H44">
        <v>0.13759790823319112</v>
      </c>
      <c r="I44" s="4">
        <f t="shared" si="24"/>
        <v>3.8966333015215335E-2</v>
      </c>
      <c r="J44" s="4">
        <f t="shared" si="25"/>
        <v>2.2512894101596071E-4</v>
      </c>
      <c r="L44" s="4">
        <f t="shared" si="26"/>
        <v>1.077297083605068E-9</v>
      </c>
      <c r="M44" s="4">
        <f t="shared" si="27"/>
        <v>4.605181954840403E-11</v>
      </c>
      <c r="N44" s="4">
        <f t="shared" si="28"/>
        <v>1.1071895877262098E-9</v>
      </c>
      <c r="O44" s="4">
        <f t="shared" si="29"/>
        <v>4.727293196418586E-11</v>
      </c>
      <c r="P44" s="4">
        <f t="shared" si="30"/>
        <v>1.902838382946055E-8</v>
      </c>
      <c r="Q44" s="4">
        <f t="shared" si="31"/>
        <v>8.6738926003462676E-10</v>
      </c>
      <c r="R44" s="4">
        <f t="shared" si="32"/>
        <v>1.077297083605068E-9</v>
      </c>
      <c r="S44" s="4">
        <f t="shared" si="33"/>
        <v>4.605181954840403E-11</v>
      </c>
      <c r="T44">
        <f t="shared" si="34"/>
        <v>17.911517105498838</v>
      </c>
      <c r="U44">
        <f t="shared" si="35"/>
        <v>-20.648810633165578</v>
      </c>
      <c r="V44" s="4">
        <f t="shared" si="36"/>
        <v>4.2747557984930372E-2</v>
      </c>
      <c r="W44">
        <f t="shared" si="37"/>
        <v>-8.9676645158490018</v>
      </c>
      <c r="AA44">
        <f t="shared" si="38"/>
        <v>1.2483311463731225E-7</v>
      </c>
      <c r="AB44" s="4">
        <f t="shared" si="39"/>
        <v>-1.2878824453754372E-7</v>
      </c>
      <c r="AC44" s="4">
        <f t="shared" si="40"/>
        <v>-1.9351941991907293E-6</v>
      </c>
    </row>
    <row r="45" spans="1:29" x14ac:dyDescent="0.3">
      <c r="A45" s="23">
        <v>9</v>
      </c>
      <c r="B45">
        <v>275.2</v>
      </c>
      <c r="C45">
        <v>80</v>
      </c>
      <c r="D45">
        <f t="shared" si="22"/>
        <v>5.469776960906426</v>
      </c>
      <c r="E45" s="17">
        <f t="shared" si="23"/>
        <v>2.022664450043124E-2</v>
      </c>
      <c r="F45">
        <v>27000</v>
      </c>
      <c r="G45" cm="1">
        <f t="array" ref="G45:H45">'Raw Data and Corrections'!T40:U40</f>
        <v>29.28584383447398</v>
      </c>
      <c r="H45">
        <v>0.15782455273362236</v>
      </c>
      <c r="I45" s="4">
        <f t="shared" si="24"/>
        <v>4.7915633993799008E-2</v>
      </c>
      <c r="J45" s="4">
        <f t="shared" si="25"/>
        <v>2.5822248956737666E-4</v>
      </c>
      <c r="L45" s="4">
        <f t="shared" si="26"/>
        <v>2.5130571602654495E-9</v>
      </c>
      <c r="M45" s="4">
        <f t="shared" si="27"/>
        <v>8.4774483441502874E-11</v>
      </c>
      <c r="N45" s="4">
        <f t="shared" si="28"/>
        <v>2.6025248265247756E-9</v>
      </c>
      <c r="O45" s="4">
        <f t="shared" si="29"/>
        <v>8.8033789990832237E-11</v>
      </c>
      <c r="P45" s="4">
        <f t="shared" si="30"/>
        <v>3.5108882224985671E-8</v>
      </c>
      <c r="Q45" s="4">
        <f t="shared" si="31"/>
        <v>1.1071082559137563E-9</v>
      </c>
      <c r="R45" s="4">
        <f t="shared" si="32"/>
        <v>2.5130571602654495E-9</v>
      </c>
      <c r="S45" s="4">
        <f t="shared" si="33"/>
        <v>8.4774483441502874E-11</v>
      </c>
      <c r="T45">
        <f t="shared" si="34"/>
        <v>18.241517694272162</v>
      </c>
      <c r="U45">
        <f t="shared" si="35"/>
        <v>-19.801765832815764</v>
      </c>
      <c r="V45" s="4">
        <f t="shared" si="36"/>
        <v>3.3733607329706858E-2</v>
      </c>
      <c r="W45">
        <f t="shared" si="37"/>
        <v>-8.5997976331322352</v>
      </c>
      <c r="AA45">
        <f t="shared" si="38"/>
        <v>3.0973539865641215E-7</v>
      </c>
      <c r="AB45" s="4">
        <f t="shared" si="39"/>
        <v>-3.2190143357495908E-7</v>
      </c>
      <c r="AC45" s="4">
        <f t="shared" si="40"/>
        <v>-3.9414956963732501E-6</v>
      </c>
    </row>
    <row r="46" spans="1:29" x14ac:dyDescent="0.3">
      <c r="A46" s="23">
        <v>10</v>
      </c>
      <c r="B46">
        <v>255.2</v>
      </c>
      <c r="C46">
        <v>100</v>
      </c>
      <c r="D46">
        <f t="shared" si="22"/>
        <v>3.4353377264494824</v>
      </c>
      <c r="E46" s="17">
        <f t="shared" si="23"/>
        <v>8.2726032390310067E-3</v>
      </c>
      <c r="F46">
        <v>31200</v>
      </c>
      <c r="G46" cm="1">
        <f t="array" ref="G46:H46">'Raw Data and Corrections'!T43:U43</f>
        <v>32.721181560923462</v>
      </c>
      <c r="H46">
        <v>0.16609715597265337</v>
      </c>
      <c r="I46" s="4">
        <f t="shared" si="24"/>
        <v>5.3536314964305165E-2</v>
      </c>
      <c r="J46" s="4">
        <f t="shared" si="25"/>
        <v>2.7175759653638661E-4</v>
      </c>
      <c r="L46" s="4">
        <f t="shared" si="26"/>
        <v>1.5949317659942404E-9</v>
      </c>
      <c r="M46" s="4">
        <f t="shared" si="27"/>
        <v>1.1410820926494876E-10</v>
      </c>
      <c r="N46" s="4">
        <f t="shared" si="28"/>
        <v>1.661498623543883E-9</v>
      </c>
      <c r="O46" s="4">
        <f t="shared" si="29"/>
        <v>1.1887119305425817E-10</v>
      </c>
      <c r="P46" s="4">
        <f t="shared" si="30"/>
        <v>1.9228449553574048E-8</v>
      </c>
      <c r="Q46" s="4">
        <f t="shared" si="31"/>
        <v>1.3803391851265932E-9</v>
      </c>
      <c r="R46" s="4">
        <f t="shared" si="32"/>
        <v>1.661498623543883E-9</v>
      </c>
      <c r="S46" s="4">
        <f t="shared" si="33"/>
        <v>1.1887119305425817E-10</v>
      </c>
      <c r="T46">
        <f t="shared" si="34"/>
        <v>18.932222642938278</v>
      </c>
      <c r="U46">
        <f t="shared" si="35"/>
        <v>-20.215545856576082</v>
      </c>
      <c r="V46" s="4">
        <f t="shared" si="36"/>
        <v>7.1544563064826747E-2</v>
      </c>
      <c r="W46">
        <f t="shared" si="37"/>
        <v>-8.7795000141731396</v>
      </c>
      <c r="AA46">
        <f t="shared" si="38"/>
        <v>2.9948236074097295E-7</v>
      </c>
      <c r="AB46" s="4">
        <f t="shared" si="39"/>
        <v>-3.1269349610123421E-7</v>
      </c>
      <c r="AC46" s="4">
        <f t="shared" si="40"/>
        <v>-3.431165808086803E-6</v>
      </c>
    </row>
    <row r="47" spans="1:29" x14ac:dyDescent="0.3">
      <c r="A47" s="23">
        <v>11</v>
      </c>
      <c r="B47">
        <v>300.3</v>
      </c>
      <c r="C47">
        <v>60</v>
      </c>
      <c r="D47">
        <f t="shared" si="22"/>
        <v>3.7712635819848686</v>
      </c>
      <c r="E47" s="17">
        <f t="shared" si="23"/>
        <v>1.0273599472077871E-2</v>
      </c>
      <c r="F47">
        <v>66360</v>
      </c>
      <c r="G47" cm="1">
        <f t="array" ref="G47:H47">'Raw Data and Corrections'!T46:U46</f>
        <v>36.492445142908331</v>
      </c>
      <c r="H47">
        <v>0.17637075544473124</v>
      </c>
      <c r="I47" s="4">
        <f t="shared" si="24"/>
        <v>5.9706616442038771E-2</v>
      </c>
      <c r="J47" s="4">
        <f t="shared" si="25"/>
        <v>2.8856660620280765E-4</v>
      </c>
      <c r="L47" s="4">
        <f t="shared" si="26"/>
        <v>9.1887932839753014E-10</v>
      </c>
      <c r="M47" s="4">
        <f t="shared" si="27"/>
        <v>9.3151519970715862E-11</v>
      </c>
      <c r="N47" s="4">
        <f t="shared" si="28"/>
        <v>9.6191913855200092E-10</v>
      </c>
      <c r="O47" s="4">
        <f t="shared" si="29"/>
        <v>9.7379236870864811E-11</v>
      </c>
      <c r="P47" s="4">
        <f t="shared" si="30"/>
        <v>9.9865577879750918E-9</v>
      </c>
      <c r="Q47" s="4">
        <f t="shared" si="31"/>
        <v>1.0435584945716756E-9</v>
      </c>
      <c r="R47" s="4">
        <f t="shared" si="32"/>
        <v>9.6191913855200092E-10</v>
      </c>
      <c r="S47" s="4">
        <f t="shared" si="33"/>
        <v>9.7379236870864811E-11</v>
      </c>
      <c r="T47">
        <f t="shared" si="34"/>
        <v>17.44287458573173</v>
      </c>
      <c r="U47">
        <f t="shared" si="35"/>
        <v>-20.762090724354959</v>
      </c>
      <c r="V47" s="4">
        <f t="shared" si="36"/>
        <v>0.10123432726107522</v>
      </c>
      <c r="W47">
        <f t="shared" si="37"/>
        <v>-9.0168614343620472</v>
      </c>
      <c r="AA47">
        <f t="shared" si="38"/>
        <v>1.5703391231750432E-7</v>
      </c>
      <c r="AB47" s="4">
        <f t="shared" si="39"/>
        <v>-1.6480370676460708E-7</v>
      </c>
      <c r="AC47" s="4">
        <f t="shared" si="40"/>
        <v>-1.6237923726415081E-6</v>
      </c>
    </row>
    <row r="48" spans="1:29" x14ac:dyDescent="0.3">
      <c r="A48" s="23">
        <v>12</v>
      </c>
      <c r="B48">
        <v>300.2</v>
      </c>
      <c r="C48">
        <v>120</v>
      </c>
      <c r="D48">
        <f t="shared" si="22"/>
        <v>9.8785743091602285</v>
      </c>
      <c r="E48" s="17">
        <f t="shared" si="23"/>
        <v>6.6594107262158475E-2</v>
      </c>
      <c r="F48">
        <v>44400</v>
      </c>
      <c r="G48" cm="1">
        <f t="array" ref="G48:H48">'Raw Data and Corrections'!T49:U49</f>
        <v>46.371019452068559</v>
      </c>
      <c r="H48">
        <v>0.24296486270688972</v>
      </c>
      <c r="I48" s="4">
        <f t="shared" si="24"/>
        <v>7.5869311075446436E-2</v>
      </c>
      <c r="J48" s="4">
        <f t="shared" si="25"/>
        <v>3.9752364659927374E-4</v>
      </c>
      <c r="L48" s="4">
        <f t="shared" si="26"/>
        <v>4.3068599914249827E-9</v>
      </c>
      <c r="M48" s="4">
        <f t="shared" si="27"/>
        <v>1.2692103443690212E-10</v>
      </c>
      <c r="N48" s="4">
        <f t="shared" si="28"/>
        <v>4.5519300450465315E-9</v>
      </c>
      <c r="O48" s="4">
        <f t="shared" si="29"/>
        <v>1.3479138752390002E-10</v>
      </c>
      <c r="P48" s="4">
        <f t="shared" si="30"/>
        <v>3.9566462741610406E-8</v>
      </c>
      <c r="Q48" s="4">
        <f t="shared" si="31"/>
        <v>1.0877284313373949E-9</v>
      </c>
      <c r="R48" s="4">
        <f t="shared" si="32"/>
        <v>4.5519300450465315E-9</v>
      </c>
      <c r="S48" s="4">
        <f t="shared" si="33"/>
        <v>1.3479138752390002E-10</v>
      </c>
      <c r="T48">
        <f t="shared" si="34"/>
        <v>17.445917655268666</v>
      </c>
      <c r="U48">
        <f t="shared" si="35"/>
        <v>-19.207714508200372</v>
      </c>
      <c r="V48" s="4">
        <f t="shared" si="36"/>
        <v>2.9611919820820124E-2</v>
      </c>
      <c r="W48">
        <f t="shared" si="37"/>
        <v>-8.3418044208844542</v>
      </c>
      <c r="AA48">
        <f t="shared" si="38"/>
        <v>2.9823632420863518E-7</v>
      </c>
      <c r="AB48" s="4">
        <f t="shared" si="39"/>
        <v>-3.1727222449413361E-7</v>
      </c>
      <c r="AC48" s="4">
        <f t="shared" si="40"/>
        <v>-2.4693570594964818E-6</v>
      </c>
    </row>
    <row r="49" spans="1:32" x14ac:dyDescent="0.3">
      <c r="A49" s="23">
        <v>13</v>
      </c>
      <c r="B49">
        <v>300.10000000000002</v>
      </c>
      <c r="C49">
        <v>180</v>
      </c>
      <c r="D49">
        <f t="shared" si="22"/>
        <v>14.670721667744473</v>
      </c>
      <c r="E49" s="17">
        <f t="shared" si="23"/>
        <v>0.11799190485708511</v>
      </c>
      <c r="F49">
        <v>55200</v>
      </c>
      <c r="G49" cm="1">
        <f t="array" ref="G49:H49">'Raw Data and Corrections'!T52:U52</f>
        <v>61.041741119813032</v>
      </c>
      <c r="H49">
        <v>0.36095676756397482</v>
      </c>
      <c r="I49" s="4">
        <f t="shared" si="24"/>
        <v>9.9872612255009902E-2</v>
      </c>
      <c r="J49" s="4">
        <f t="shared" si="25"/>
        <v>5.9057449257517202E-4</v>
      </c>
      <c r="L49" s="4">
        <f t="shared" si="26"/>
        <v>6.6689067325983592E-9</v>
      </c>
      <c r="M49" s="4">
        <f t="shared" si="27"/>
        <v>2.2098564994572257E-10</v>
      </c>
      <c r="N49" s="4">
        <f t="shared" si="28"/>
        <v>7.1711871479408632E-9</v>
      </c>
      <c r="O49" s="4">
        <f t="shared" si="29"/>
        <v>2.3858529237599582E-10</v>
      </c>
      <c r="P49" s="4">
        <f t="shared" si="30"/>
        <v>4.8305984104720646E-8</v>
      </c>
      <c r="Q49" s="4">
        <f t="shared" si="31"/>
        <v>1.5536772418948413E-9</v>
      </c>
      <c r="R49" s="4">
        <f t="shared" si="32"/>
        <v>7.1711871479408632E-9</v>
      </c>
      <c r="S49" s="4">
        <f t="shared" si="33"/>
        <v>2.3858529237599582E-10</v>
      </c>
      <c r="T49">
        <f t="shared" si="34"/>
        <v>17.448961786773687</v>
      </c>
      <c r="U49">
        <f t="shared" si="35"/>
        <v>-18.753194624500466</v>
      </c>
      <c r="V49" s="4">
        <f t="shared" si="36"/>
        <v>3.3269985492500119E-2</v>
      </c>
      <c r="W49">
        <f t="shared" si="37"/>
        <v>-8.1444089434782772</v>
      </c>
      <c r="AA49">
        <f t="shared" si="38"/>
        <v>3.15780057322022E-7</v>
      </c>
      <c r="AB49" s="4">
        <f t="shared" si="39"/>
        <v>-3.4292671300658335E-7</v>
      </c>
      <c r="AC49" s="4">
        <f t="shared" si="40"/>
        <v>-2.0391876907236147E-6</v>
      </c>
    </row>
    <row r="50" spans="1:32" x14ac:dyDescent="0.3">
      <c r="A50" s="23">
        <v>14</v>
      </c>
      <c r="B50">
        <v>320.3</v>
      </c>
      <c r="C50">
        <v>60</v>
      </c>
      <c r="D50">
        <f t="shared" si="22"/>
        <v>7.6290092937945602</v>
      </c>
      <c r="E50" s="17">
        <f t="shared" si="23"/>
        <v>2.7410935175304851E-2</v>
      </c>
      <c r="F50">
        <v>15600</v>
      </c>
      <c r="G50" cm="1">
        <f t="array" ref="G50:H50">'Raw Data and Corrections'!T55:U55</f>
        <v>68.670750413607593</v>
      </c>
      <c r="H50">
        <v>0.38836770273927967</v>
      </c>
      <c r="I50" s="4">
        <f t="shared" si="24"/>
        <v>0.11235471176775959</v>
      </c>
      <c r="J50" s="4">
        <f t="shared" si="25"/>
        <v>6.3542252033599637E-4</v>
      </c>
      <c r="L50" s="4">
        <f t="shared" si="26"/>
        <v>1.481875481016756E-8</v>
      </c>
      <c r="M50" s="4">
        <f t="shared" si="27"/>
        <v>8.2022456076649454E-10</v>
      </c>
      <c r="N50" s="4">
        <f t="shared" si="28"/>
        <v>1.6182406317489498E-8</v>
      </c>
      <c r="O50" s="4">
        <f t="shared" si="29"/>
        <v>9.0001473242518991E-10</v>
      </c>
      <c r="P50" s="4">
        <f t="shared" si="30"/>
        <v>9.0695983434154292E-8</v>
      </c>
      <c r="Q50" s="4">
        <f t="shared" si="31"/>
        <v>4.8028563235849688E-9</v>
      </c>
      <c r="R50" s="4">
        <f t="shared" si="32"/>
        <v>1.6182406317489498E-8</v>
      </c>
      <c r="S50" s="4">
        <f t="shared" si="33"/>
        <v>9.0001473242518991E-10</v>
      </c>
      <c r="T50">
        <f t="shared" si="34"/>
        <v>16.854879487611665</v>
      </c>
      <c r="U50">
        <f t="shared" si="35"/>
        <v>-17.939341214650344</v>
      </c>
      <c r="V50" s="4">
        <f t="shared" si="36"/>
        <v>5.561686653810434E-2</v>
      </c>
      <c r="W50">
        <f t="shared" si="37"/>
        <v>-7.7909568985022233</v>
      </c>
      <c r="AA50">
        <f t="shared" si="38"/>
        <v>1.2570254169721944E-6</v>
      </c>
      <c r="AB50" s="4">
        <f t="shared" si="39"/>
        <v>-1.380077806606294E-6</v>
      </c>
      <c r="AC50" s="4">
        <f t="shared" si="40"/>
        <v>-7.317053056537277E-6</v>
      </c>
    </row>
    <row r="51" spans="1:32" x14ac:dyDescent="0.3">
      <c r="A51" s="23">
        <v>15</v>
      </c>
      <c r="B51">
        <v>330.4</v>
      </c>
      <c r="C51">
        <v>60</v>
      </c>
      <c r="D51">
        <f t="shared" si="22"/>
        <v>11.356810269237926</v>
      </c>
      <c r="E51" s="17">
        <f t="shared" si="23"/>
        <v>5.9343793057843985E-2</v>
      </c>
      <c r="F51">
        <v>31200</v>
      </c>
      <c r="G51" cm="1">
        <f t="array" ref="G51:H51">'Raw Data and Corrections'!T58:U58</f>
        <v>80.027560682845518</v>
      </c>
      <c r="H51">
        <v>0.44771149579712366</v>
      </c>
      <c r="I51" s="4">
        <f t="shared" si="24"/>
        <v>0.13093600200728656</v>
      </c>
      <c r="J51" s="4">
        <f t="shared" si="25"/>
        <v>7.3251705802577843E-4</v>
      </c>
      <c r="L51" s="4">
        <f t="shared" si="26"/>
        <v>1.2644282126812788E-8</v>
      </c>
      <c r="M51" s="4">
        <f t="shared" si="27"/>
        <v>9.6221673027450953E-10</v>
      </c>
      <c r="N51" s="4">
        <f t="shared" si="28"/>
        <v>1.4000009321948555E-8</v>
      </c>
      <c r="O51" s="4">
        <f t="shared" si="29"/>
        <v>1.0619173307695854E-9</v>
      </c>
      <c r="P51" s="4">
        <f t="shared" si="30"/>
        <v>6.8701753731268629E-8</v>
      </c>
      <c r="Q51" s="4">
        <f t="shared" si="31"/>
        <v>5.3953266184903425E-9</v>
      </c>
      <c r="R51" s="4">
        <f t="shared" si="32"/>
        <v>1.4000009321948555E-8</v>
      </c>
      <c r="S51" s="4">
        <f t="shared" si="33"/>
        <v>1.0619173307695854E-9</v>
      </c>
      <c r="T51">
        <f t="shared" si="34"/>
        <v>16.572754391779913</v>
      </c>
      <c r="U51">
        <f t="shared" si="35"/>
        <v>-18.084207841477905</v>
      </c>
      <c r="V51" s="4">
        <f t="shared" si="36"/>
        <v>7.5851187406337034E-2</v>
      </c>
      <c r="W51">
        <f t="shared" si="37"/>
        <v>-7.8538716751453714</v>
      </c>
      <c r="AA51">
        <f t="shared" si="38"/>
        <v>7.3245652064905595E-7</v>
      </c>
      <c r="AB51" s="4">
        <f t="shared" si="39"/>
        <v>-8.1756517331824383E-7</v>
      </c>
      <c r="AC51" s="4">
        <f t="shared" si="40"/>
        <v>-3.7367487805167846E-6</v>
      </c>
    </row>
    <row r="52" spans="1:32" x14ac:dyDescent="0.3">
      <c r="A52" s="23">
        <v>16</v>
      </c>
      <c r="B52">
        <v>350.4</v>
      </c>
      <c r="C52">
        <v>60</v>
      </c>
      <c r="D52">
        <f t="shared" si="22"/>
        <v>20.043593314768202</v>
      </c>
      <c r="E52" s="17">
        <f t="shared" si="23"/>
        <v>0.15922238583134485</v>
      </c>
      <c r="F52">
        <v>70020</v>
      </c>
      <c r="G52" cm="1">
        <f t="array" ref="G52:H52">'Raw Data and Corrections'!T61:U61</f>
        <v>100.07115399761372</v>
      </c>
      <c r="H52">
        <v>0.60693388162846851</v>
      </c>
      <c r="I52" s="4">
        <f t="shared" si="24"/>
        <v>0.16373005385770475</v>
      </c>
      <c r="J52" s="4">
        <f t="shared" si="25"/>
        <v>9.9302659315255414E-4</v>
      </c>
      <c r="L52" s="4">
        <f t="shared" si="26"/>
        <v>1.2043437260611976E-8</v>
      </c>
      <c r="M52" s="4">
        <f t="shared" si="27"/>
        <v>6.723954790038877E-10</v>
      </c>
      <c r="N52" s="4">
        <f t="shared" si="28"/>
        <v>1.3653076150746132E-8</v>
      </c>
      <c r="O52" s="4">
        <f t="shared" si="29"/>
        <v>7.5891797950182055E-10</v>
      </c>
      <c r="P52" s="4">
        <f t="shared" si="30"/>
        <v>5.56605289721917E-8</v>
      </c>
      <c r="Q52" s="4">
        <f t="shared" si="31"/>
        <v>3.2318581966929955E-9</v>
      </c>
      <c r="R52" s="4">
        <f t="shared" si="32"/>
        <v>1.3653076150746132E-8</v>
      </c>
      <c r="S52" s="4">
        <f t="shared" si="33"/>
        <v>7.5891797950182055E-10</v>
      </c>
      <c r="T52">
        <f t="shared" si="34"/>
        <v>16.041065126724416</v>
      </c>
      <c r="U52">
        <f t="shared" si="35"/>
        <v>-18.109300981675954</v>
      </c>
      <c r="V52" s="4">
        <f t="shared" si="36"/>
        <v>5.5585860001252992E-2</v>
      </c>
      <c r="W52">
        <f t="shared" si="37"/>
        <v>-7.864769487467008</v>
      </c>
      <c r="AA52">
        <f t="shared" si="38"/>
        <v>4.0811604174301504E-7</v>
      </c>
      <c r="AB52" s="4">
        <f t="shared" si="39"/>
        <v>-4.6942661450526149E-7</v>
      </c>
      <c r="AC52" s="4">
        <f t="shared" si="40"/>
        <v>-1.7303408421568094E-6</v>
      </c>
    </row>
    <row r="53" spans="1:32" x14ac:dyDescent="0.3">
      <c r="A53" s="23">
        <v>17</v>
      </c>
      <c r="B53">
        <v>370.4</v>
      </c>
      <c r="C53">
        <v>60</v>
      </c>
      <c r="D53">
        <f t="shared" si="22"/>
        <v>33.331183525573522</v>
      </c>
      <c r="E53" s="17">
        <f t="shared" si="23"/>
        <v>0.32678643112597494</v>
      </c>
      <c r="F53">
        <v>22200</v>
      </c>
      <c r="G53" cm="1">
        <f t="array" ref="G53:H53">'Raw Data and Corrections'!T64:U64</f>
        <v>133.40233752318724</v>
      </c>
      <c r="H53">
        <v>0.93372031275444345</v>
      </c>
      <c r="I53" s="4">
        <f t="shared" si="24"/>
        <v>0.21826441521735621</v>
      </c>
      <c r="J53" s="4">
        <f t="shared" si="25"/>
        <v>1.5276937557746507E-3</v>
      </c>
      <c r="L53" s="4">
        <f t="shared" si="26"/>
        <v>8.1888271446030241E-8</v>
      </c>
      <c r="M53" s="4">
        <f t="shared" si="27"/>
        <v>2.6526041829199063E-9</v>
      </c>
      <c r="N53" s="4">
        <f t="shared" si="28"/>
        <v>9.6802919441208312E-8</v>
      </c>
      <c r="O53" s="4">
        <f t="shared" si="29"/>
        <v>3.2120229064233891E-9</v>
      </c>
      <c r="P53" s="4">
        <f t="shared" si="30"/>
        <v>3.0777407887683525E-7</v>
      </c>
      <c r="Q53" s="4">
        <f t="shared" si="31"/>
        <v>9.0831596758353401E-9</v>
      </c>
      <c r="R53" s="4">
        <f t="shared" si="32"/>
        <v>9.6802919441208312E-8</v>
      </c>
      <c r="S53" s="4">
        <f t="shared" si="33"/>
        <v>3.2120229064233891E-9</v>
      </c>
      <c r="T53">
        <f t="shared" si="34"/>
        <v>15.542430836182779</v>
      </c>
      <c r="U53">
        <f t="shared" si="35"/>
        <v>-16.150588683602056</v>
      </c>
      <c r="V53" s="4">
        <f t="shared" si="36"/>
        <v>3.3181054093871197E-2</v>
      </c>
      <c r="W53">
        <f t="shared" si="37"/>
        <v>-7.0141115447774762</v>
      </c>
      <c r="AA53">
        <f t="shared" si="38"/>
        <v>1.7159606691364328E-6</v>
      </c>
      <c r="AB53" s="4">
        <f t="shared" si="39"/>
        <v>-2.0802710275325705E-6</v>
      </c>
      <c r="AC53" s="4">
        <f t="shared" si="40"/>
        <v>-5.8383133249017692E-6</v>
      </c>
    </row>
    <row r="54" spans="1:32" x14ac:dyDescent="0.3">
      <c r="A54" s="23">
        <v>18</v>
      </c>
      <c r="B54">
        <v>385.4</v>
      </c>
      <c r="C54">
        <v>60</v>
      </c>
      <c r="D54">
        <f t="shared" si="22"/>
        <v>42.716321235243583</v>
      </c>
      <c r="E54" s="17">
        <f t="shared" si="23"/>
        <v>0.39477549331976036</v>
      </c>
      <c r="F54">
        <v>19200</v>
      </c>
      <c r="G54" cm="1">
        <f t="array" ref="G54:H54">'Raw Data and Corrections'!T67:U67</f>
        <v>176.11865875843083</v>
      </c>
      <c r="H54">
        <v>1.3284958060742038</v>
      </c>
      <c r="I54" s="4">
        <f t="shared" si="24"/>
        <v>0.2881541416475743</v>
      </c>
      <c r="J54" s="4">
        <f t="shared" si="25"/>
        <v>2.1736002952804073E-3</v>
      </c>
      <c r="L54" s="4">
        <f t="shared" si="26"/>
        <v>1.6086778981975847E-7</v>
      </c>
      <c r="M54" s="4">
        <f t="shared" si="27"/>
        <v>6.2680308742661491E-9</v>
      </c>
      <c r="N54" s="4">
        <f t="shared" si="28"/>
        <v>2.0252585026423842E-7</v>
      </c>
      <c r="O54" s="4">
        <f t="shared" si="29"/>
        <v>8.0754262530156546E-9</v>
      </c>
      <c r="P54" s="4">
        <f t="shared" si="30"/>
        <v>4.9423185543510844E-7</v>
      </c>
      <c r="Q54" s="4">
        <f t="shared" si="31"/>
        <v>1.8417373040489315E-8</v>
      </c>
      <c r="R54" s="4">
        <f t="shared" si="32"/>
        <v>2.0252585026423842E-7</v>
      </c>
      <c r="S54" s="4">
        <f t="shared" si="33"/>
        <v>8.0754262530156546E-9</v>
      </c>
      <c r="T54">
        <f t="shared" si="34"/>
        <v>15.188335358444714</v>
      </c>
      <c r="U54">
        <f t="shared" si="35"/>
        <v>-15.412398302921234</v>
      </c>
      <c r="V54" s="4">
        <f t="shared" si="36"/>
        <v>3.9873558079028079E-2</v>
      </c>
      <c r="W54">
        <f t="shared" si="37"/>
        <v>-6.6935195358537349</v>
      </c>
      <c r="AA54">
        <f t="shared" si="38"/>
        <v>2.6193950651084842E-6</v>
      </c>
      <c r="AB54" s="4">
        <f t="shared" si="39"/>
        <v>-3.4154365799188251E-6</v>
      </c>
      <c r="AC54" s="4">
        <f t="shared" si="40"/>
        <v>-7.4133253982621523E-6</v>
      </c>
      <c r="AE54" s="4"/>
      <c r="AF54" s="4"/>
    </row>
    <row r="55" spans="1:32" x14ac:dyDescent="0.3">
      <c r="A55" s="23">
        <v>19</v>
      </c>
      <c r="B55">
        <v>360.4</v>
      </c>
      <c r="C55">
        <v>60</v>
      </c>
      <c r="D55">
        <f t="shared" si="22"/>
        <v>27.786156068123802</v>
      </c>
      <c r="E55" s="17">
        <f t="shared" si="23"/>
        <v>0.14480549670731269</v>
      </c>
      <c r="F55">
        <v>15000</v>
      </c>
      <c r="G55" cm="1">
        <f t="array" ref="G55:H55">'Raw Data and Corrections'!T70:U70</f>
        <v>203.90481482655463</v>
      </c>
      <c r="H55">
        <v>1.4733013027815165</v>
      </c>
      <c r="I55" s="4">
        <f t="shared" si="24"/>
        <v>0.33361608195497783</v>
      </c>
      <c r="J55" s="4">
        <f t="shared" si="25"/>
        <v>2.4105218338822841E-3</v>
      </c>
      <c r="L55" s="4">
        <f t="shared" si="26"/>
        <v>1.6445004635339091E-7</v>
      </c>
      <c r="M55" s="4">
        <f t="shared" si="27"/>
        <v>1.0953201794622122E-8</v>
      </c>
      <c r="N55" s="4">
        <f t="shared" si="28"/>
        <v>2.2009081483602075E-7</v>
      </c>
      <c r="O55" s="4">
        <f t="shared" si="29"/>
        <v>1.483351546220828E-8</v>
      </c>
      <c r="P55" s="4">
        <f t="shared" si="30"/>
        <v>4.4578239909409788E-7</v>
      </c>
      <c r="Q55" s="4">
        <f t="shared" si="31"/>
        <v>2.9268949066305606E-8</v>
      </c>
      <c r="R55" s="4">
        <f t="shared" si="32"/>
        <v>2.2009081483602075E-7</v>
      </c>
      <c r="S55" s="4">
        <f t="shared" si="33"/>
        <v>1.483351546220828E-8</v>
      </c>
      <c r="T55">
        <f t="shared" si="34"/>
        <v>15.787811809283234</v>
      </c>
      <c r="U55">
        <f t="shared" si="35"/>
        <v>-15.329225581061161</v>
      </c>
      <c r="V55" s="4">
        <f t="shared" si="36"/>
        <v>6.7397249054941391E-2</v>
      </c>
      <c r="W55">
        <f t="shared" si="37"/>
        <v>-6.6573980817050318</v>
      </c>
      <c r="AA55">
        <f t="shared" si="38"/>
        <v>3.8817993784784024E-6</v>
      </c>
      <c r="AB55" s="4">
        <f t="shared" si="39"/>
        <v>-5.3275336896906291E-6</v>
      </c>
      <c r="AC55" s="4">
        <f t="shared" si="40"/>
        <v>-1.0136417451327943E-5</v>
      </c>
    </row>
    <row r="56" spans="1:32" x14ac:dyDescent="0.3">
      <c r="A56" s="23">
        <v>20</v>
      </c>
      <c r="B56">
        <v>340.4</v>
      </c>
      <c r="C56">
        <v>60</v>
      </c>
      <c r="D56">
        <f t="shared" si="22"/>
        <v>14.941417321067235</v>
      </c>
      <c r="E56" s="17">
        <f t="shared" si="23"/>
        <v>4.192173669640975E-2</v>
      </c>
      <c r="F56">
        <v>12600</v>
      </c>
      <c r="G56" cm="1">
        <f t="array" ref="G56:H56">'Raw Data and Corrections'!T73:U73</f>
        <v>218.84623214762186</v>
      </c>
      <c r="H56">
        <v>1.5152230394779262</v>
      </c>
      <c r="I56" s="4">
        <f t="shared" si="24"/>
        <v>0.35806227813601832</v>
      </c>
      <c r="J56" s="4">
        <f t="shared" si="25"/>
        <v>2.4791115116557147E-3</v>
      </c>
      <c r="L56" s="4">
        <f t="shared" si="26"/>
        <v>1.1710954886872618E-7</v>
      </c>
      <c r="M56" s="4">
        <f t="shared" si="27"/>
        <v>1.5451421582635275E-8</v>
      </c>
      <c r="N56" s="4">
        <f t="shared" si="28"/>
        <v>1.6309084344320313E-7</v>
      </c>
      <c r="O56" s="4">
        <f t="shared" si="29"/>
        <v>2.1603122326007964E-8</v>
      </c>
      <c r="P56" s="4">
        <f t="shared" si="30"/>
        <v>3.0054328095151176E-7</v>
      </c>
      <c r="Q56" s="4">
        <f t="shared" si="31"/>
        <v>3.9515086411455003E-8</v>
      </c>
      <c r="R56" s="4">
        <f t="shared" si="32"/>
        <v>1.6309084344320313E-7</v>
      </c>
      <c r="S56" s="4">
        <f t="shared" si="33"/>
        <v>2.1603122326007964E-8</v>
      </c>
      <c r="T56">
        <f t="shared" si="34"/>
        <v>16.302575806977504</v>
      </c>
      <c r="U56">
        <f t="shared" si="35"/>
        <v>-15.628958469648287</v>
      </c>
      <c r="V56" s="4">
        <f t="shared" si="36"/>
        <v>0.13246066958707781</v>
      </c>
      <c r="W56">
        <f t="shared" si="37"/>
        <v>-6.7875704212633421</v>
      </c>
      <c r="AA56">
        <f t="shared" si="38"/>
        <v>4.9598140322739876E-6</v>
      </c>
      <c r="AB56" s="4">
        <f t="shared" si="39"/>
        <v>-7.0072103879378409E-6</v>
      </c>
      <c r="AC56" s="4">
        <f t="shared" si="40"/>
        <v>-1.2526703926649416E-5</v>
      </c>
    </row>
    <row r="57" spans="1:32" x14ac:dyDescent="0.3">
      <c r="A57" s="23">
        <v>21</v>
      </c>
      <c r="B57">
        <v>325.2</v>
      </c>
      <c r="C57">
        <v>100</v>
      </c>
      <c r="D57">
        <f t="shared" si="22"/>
        <v>12.464746658206366</v>
      </c>
      <c r="E57" s="17">
        <f t="shared" si="23"/>
        <v>3.1013797469676696E-2</v>
      </c>
      <c r="F57">
        <v>16200</v>
      </c>
      <c r="G57" cm="1">
        <f t="array" ref="G57:H57">'Raw Data and Corrections'!T76:U76</f>
        <v>231.31097880582823</v>
      </c>
      <c r="H57">
        <v>1.5462368369476029</v>
      </c>
      <c r="I57" s="4">
        <f t="shared" si="24"/>
        <v>0.37845630338848457</v>
      </c>
      <c r="J57" s="4">
        <f t="shared" si="25"/>
        <v>2.5298543134241762E-3</v>
      </c>
      <c r="L57" s="4">
        <f t="shared" si="26"/>
        <v>8.0913133105257592E-8</v>
      </c>
      <c r="M57" s="4">
        <f t="shared" si="27"/>
        <v>1.604965153804346E-8</v>
      </c>
      <c r="N57" s="4">
        <f t="shared" si="28"/>
        <v>1.1576163212459253E-7</v>
      </c>
      <c r="O57" s="4">
        <f t="shared" si="29"/>
        <v>2.291394972989723E-8</v>
      </c>
      <c r="P57" s="4">
        <f t="shared" si="30"/>
        <v>2.0192358578877241E-7</v>
      </c>
      <c r="Q57" s="4">
        <f t="shared" si="31"/>
        <v>4.0155739212802402E-8</v>
      </c>
      <c r="R57" s="4">
        <f t="shared" si="32"/>
        <v>1.1576163212459253E-7</v>
      </c>
      <c r="S57" s="4">
        <f t="shared" si="33"/>
        <v>2.291394972989723E-8</v>
      </c>
      <c r="T57">
        <f t="shared" si="34"/>
        <v>16.716817118020728</v>
      </c>
      <c r="U57">
        <f t="shared" si="35"/>
        <v>-15.971732655512206</v>
      </c>
      <c r="V57" s="4">
        <f t="shared" si="36"/>
        <v>0.19794079704435477</v>
      </c>
      <c r="W57">
        <f t="shared" si="37"/>
        <v>-6.9364353587229219</v>
      </c>
      <c r="AA57">
        <f t="shared" si="38"/>
        <v>4.0773509685528569E-6</v>
      </c>
      <c r="AB57" s="4">
        <f t="shared" si="39"/>
        <v>-5.9064183993145434E-6</v>
      </c>
      <c r="AC57" s="4">
        <f t="shared" si="40"/>
        <v>-1.0062677951837318E-5</v>
      </c>
    </row>
    <row r="58" spans="1:32" x14ac:dyDescent="0.3">
      <c r="A58" s="23">
        <v>22</v>
      </c>
      <c r="B58">
        <v>400.1</v>
      </c>
      <c r="C58">
        <v>240</v>
      </c>
      <c r="D58">
        <f t="shared" si="22"/>
        <v>101.25426564933767</v>
      </c>
      <c r="E58" s="17">
        <f t="shared" si="23"/>
        <v>1.5342799786073977</v>
      </c>
      <c r="F58">
        <v>19200</v>
      </c>
      <c r="G58" cm="1">
        <f t="array" ref="G58:H58">'Raw Data and Corrections'!T79:U79</f>
        <v>332.5652444551659</v>
      </c>
      <c r="H58">
        <v>3.0805168155550007</v>
      </c>
      <c r="I58" s="4">
        <f t="shared" si="24"/>
        <v>0.54412208924005701</v>
      </c>
      <c r="J58" s="4">
        <f t="shared" si="25"/>
        <v>5.0401455761408791E-3</v>
      </c>
      <c r="L58" s="4">
        <f t="shared" si="26"/>
        <v>6.9467592353736533E-7</v>
      </c>
      <c r="M58" s="4">
        <f t="shared" si="27"/>
        <v>2.6979382626416009E-8</v>
      </c>
      <c r="N58" s="4">
        <f t="shared" si="28"/>
        <v>1.1383961343453878E-6</v>
      </c>
      <c r="O58" s="4">
        <f t="shared" si="29"/>
        <v>4.8277672149879521E-8</v>
      </c>
      <c r="P58" s="4">
        <f t="shared" si="30"/>
        <v>1.6358156424992485E-6</v>
      </c>
      <c r="Q58" s="4">
        <f t="shared" si="31"/>
        <v>6.3655677730995843E-8</v>
      </c>
      <c r="R58" s="4">
        <f t="shared" si="32"/>
        <v>1.1383961343453878E-6</v>
      </c>
      <c r="S58" s="4">
        <f t="shared" si="33"/>
        <v>4.8277672149879521E-8</v>
      </c>
      <c r="T58">
        <f t="shared" si="34"/>
        <v>14.856633486851878</v>
      </c>
      <c r="U58">
        <f t="shared" si="35"/>
        <v>-13.685890185867514</v>
      </c>
      <c r="V58" s="4">
        <f t="shared" si="36"/>
        <v>4.2408499724606537E-2</v>
      </c>
      <c r="W58">
        <f t="shared" si="37"/>
        <v>-5.9437065876561315</v>
      </c>
      <c r="AA58">
        <f t="shared" si="38"/>
        <v>4.9462093698278152E-6</v>
      </c>
      <c r="AB58" s="4">
        <f t="shared" si="39"/>
        <v>-9.1082823121856068E-6</v>
      </c>
      <c r="AC58" s="4">
        <f t="shared" si="40"/>
        <v>-1.1575785658433905E-5</v>
      </c>
    </row>
    <row r="59" spans="1:32" x14ac:dyDescent="0.3">
      <c r="A59" s="23">
        <v>23</v>
      </c>
      <c r="B59">
        <v>350.3</v>
      </c>
      <c r="C59">
        <v>90</v>
      </c>
      <c r="D59">
        <f t="shared" si="22"/>
        <v>14.968586843760193</v>
      </c>
      <c r="E59" s="17">
        <f t="shared" si="23"/>
        <v>2.6648766173368532E-2</v>
      </c>
      <c r="F59">
        <v>22200</v>
      </c>
      <c r="G59" cm="1">
        <f t="array" ref="G59:H59">'Raw Data and Corrections'!T82:U82</f>
        <v>347.53383129892609</v>
      </c>
      <c r="H59">
        <v>3.1071655817283692</v>
      </c>
      <c r="I59" s="4">
        <f t="shared" si="24"/>
        <v>0.56861273846511773</v>
      </c>
      <c r="J59" s="4">
        <f t="shared" si="25"/>
        <v>5.0837465914835324E-3</v>
      </c>
      <c r="L59" s="4">
        <f t="shared" si="26"/>
        <v>1.0712390035267475E-7</v>
      </c>
      <c r="M59" s="4">
        <f t="shared" si="27"/>
        <v>3.373368110780865E-8</v>
      </c>
      <c r="N59" s="4">
        <f t="shared" si="28"/>
        <v>2.0153813830983347E-7</v>
      </c>
      <c r="O59" s="4">
        <f t="shared" si="29"/>
        <v>6.3366603213780359E-8</v>
      </c>
      <c r="P59" s="4">
        <f t="shared" si="30"/>
        <v>2.5201968881838241E-7</v>
      </c>
      <c r="Q59" s="4">
        <f t="shared" si="31"/>
        <v>7.9352648911881594E-8</v>
      </c>
      <c r="R59" s="4">
        <f t="shared" si="32"/>
        <v>2.0153813830983347E-7</v>
      </c>
      <c r="S59" s="4">
        <f t="shared" si="33"/>
        <v>6.3366603213780359E-8</v>
      </c>
      <c r="T59">
        <f t="shared" si="34"/>
        <v>16.04363869725654</v>
      </c>
      <c r="U59">
        <f t="shared" si="35"/>
        <v>-15.417287201460262</v>
      </c>
      <c r="V59" s="4">
        <f t="shared" si="36"/>
        <v>0.31441494768778744</v>
      </c>
      <c r="W59">
        <f t="shared" si="37"/>
        <v>-6.6956427575118198</v>
      </c>
      <c r="AA59">
        <f t="shared" si="38"/>
        <v>4.4703443490980687E-6</v>
      </c>
      <c r="AB59" s="4">
        <f t="shared" si="39"/>
        <v>-8.5919195835214871E-6</v>
      </c>
      <c r="AC59" s="4">
        <f t="shared" si="40"/>
        <v>-1.05798610393537E-5</v>
      </c>
    </row>
    <row r="60" spans="1:32" x14ac:dyDescent="0.3">
      <c r="A60" s="23">
        <v>24</v>
      </c>
      <c r="B60">
        <v>400.4</v>
      </c>
      <c r="C60">
        <v>60</v>
      </c>
      <c r="D60">
        <f t="shared" si="22"/>
        <v>14.35137714766671</v>
      </c>
      <c r="E60" s="17">
        <f t="shared" si="23"/>
        <v>2.5587788575808457E-2</v>
      </c>
      <c r="F60">
        <v>25200</v>
      </c>
      <c r="G60" cm="1">
        <f t="array" ref="G60:H60">'Raw Data and Corrections'!T85:U85</f>
        <v>361.8852084465928</v>
      </c>
      <c r="H60">
        <v>3.1327533703041777</v>
      </c>
      <c r="I60" s="4">
        <f t="shared" si="24"/>
        <v>0.59209354846332896</v>
      </c>
      <c r="J60" s="4">
        <f t="shared" si="25"/>
        <v>5.1256117027993929E-3</v>
      </c>
      <c r="L60" s="4">
        <f t="shared" si="26"/>
        <v>9.4380493152665993E-8</v>
      </c>
      <c r="M60" s="4">
        <f t="shared" si="27"/>
        <v>3.0956025723975671E-8</v>
      </c>
      <c r="N60" s="4">
        <f t="shared" si="28"/>
        <v>1.8538257431185781E-7</v>
      </c>
      <c r="O60" s="4">
        <f t="shared" si="29"/>
        <v>6.0728611327945659E-8</v>
      </c>
      <c r="P60" s="4">
        <f t="shared" si="30"/>
        <v>2.2503090175824175E-7</v>
      </c>
      <c r="Q60" s="4">
        <f t="shared" si="31"/>
        <v>7.3792852705999563E-8</v>
      </c>
      <c r="R60" s="4">
        <f t="shared" si="32"/>
        <v>1.8538257431185781E-7</v>
      </c>
      <c r="S60" s="4">
        <f t="shared" si="33"/>
        <v>6.0728611327945659E-8</v>
      </c>
      <c r="T60">
        <f t="shared" si="34"/>
        <v>14.850014850014851</v>
      </c>
      <c r="U60">
        <f t="shared" si="35"/>
        <v>-15.500844177919893</v>
      </c>
      <c r="V60" s="4">
        <f t="shared" si="36"/>
        <v>0.32758532754964131</v>
      </c>
      <c r="W60">
        <f t="shared" si="37"/>
        <v>-6.7319310913127577</v>
      </c>
      <c r="AA60">
        <f t="shared" si="38"/>
        <v>4.1007864684530561E-6</v>
      </c>
      <c r="AB60" s="4">
        <f t="shared" si="39"/>
        <v>-8.2314454945568477E-6</v>
      </c>
      <c r="AC60" s="4">
        <f t="shared" si="40"/>
        <v>-9.8568725143281961E-6</v>
      </c>
    </row>
    <row r="61" spans="1:32" x14ac:dyDescent="0.3">
      <c r="A61" s="23">
        <v>25</v>
      </c>
      <c r="B61">
        <v>300.2</v>
      </c>
      <c r="C61">
        <v>120</v>
      </c>
      <c r="D61">
        <f t="shared" si="22"/>
        <v>7.6999107825538999</v>
      </c>
      <c r="E61" s="17">
        <f t="shared" si="23"/>
        <v>7.9366594648835331E-3</v>
      </c>
      <c r="F61">
        <v>39120</v>
      </c>
      <c r="G61" cm="1">
        <f t="array" ref="G61:H61">'Raw Data and Corrections'!T88:U88</f>
        <v>369.5851192291467</v>
      </c>
      <c r="H61">
        <v>3.1406900297690612</v>
      </c>
      <c r="I61" s="4">
        <f t="shared" si="24"/>
        <v>0.60469165247996826</v>
      </c>
      <c r="J61" s="4">
        <f t="shared" si="25"/>
        <v>5.1385971599438819E-3</v>
      </c>
      <c r="L61" s="4">
        <f t="shared" si="26"/>
        <v>3.3633334440611896E-8</v>
      </c>
      <c r="M61" s="4">
        <f t="shared" si="27"/>
        <v>2.5179011821765253E-8</v>
      </c>
      <c r="N61" s="4">
        <f t="shared" si="28"/>
        <v>6.83394774491837E-8</v>
      </c>
      <c r="O61" s="4">
        <f t="shared" si="29"/>
        <v>5.0922630882708857E-8</v>
      </c>
      <c r="P61" s="4">
        <f t="shared" si="30"/>
        <v>8.1253206619708785E-8</v>
      </c>
      <c r="Q61" s="4">
        <f t="shared" si="31"/>
        <v>6.0712594393504527E-8</v>
      </c>
      <c r="R61" s="4">
        <f t="shared" si="32"/>
        <v>6.83394774491837E-8</v>
      </c>
      <c r="S61" s="4">
        <f t="shared" si="33"/>
        <v>5.0922630882708857E-8</v>
      </c>
      <c r="T61">
        <f t="shared" si="34"/>
        <v>17.445917655268666</v>
      </c>
      <c r="U61">
        <f t="shared" si="35"/>
        <v>-16.498778236627633</v>
      </c>
      <c r="V61" s="4">
        <f t="shared" si="36"/>
        <v>0.74514223379267464</v>
      </c>
      <c r="W61">
        <f t="shared" si="37"/>
        <v>-7.1653283463128439</v>
      </c>
      <c r="AA61">
        <f t="shared" si="38"/>
        <v>2.6978170488498928E-6</v>
      </c>
      <c r="AB61" s="4">
        <f t="shared" si="39"/>
        <v>-5.548880663415336E-6</v>
      </c>
      <c r="AC61" s="4">
        <f t="shared" si="40"/>
        <v>-6.5518722866761114E-6</v>
      </c>
    </row>
    <row r="62" spans="1:32" x14ac:dyDescent="0.3">
      <c r="A62" t="s">
        <v>40</v>
      </c>
      <c r="D62">
        <f>(192.2*3.18)-G61</f>
        <v>241.61088077085333</v>
      </c>
      <c r="E62" s="18">
        <v>0</v>
      </c>
      <c r="F62">
        <f>3600*C62</f>
        <v>0</v>
      </c>
      <c r="G62" s="4">
        <f>D62+G61</f>
        <v>611.19600000000003</v>
      </c>
      <c r="H62">
        <v>0</v>
      </c>
      <c r="I62" s="4">
        <f t="shared" si="24"/>
        <v>1</v>
      </c>
      <c r="J62" s="4"/>
    </row>
  </sheetData>
  <mergeCells count="2">
    <mergeCell ref="C1:E1"/>
    <mergeCell ref="AA1:A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9B55-71E6-4AAD-90A7-466A06E62588}">
  <dimension ref="A1:P14"/>
  <sheetViews>
    <sheetView workbookViewId="0">
      <selection activeCell="E12" sqref="E12"/>
    </sheetView>
  </sheetViews>
  <sheetFormatPr defaultRowHeight="14.4" x14ac:dyDescent="0.3"/>
  <cols>
    <col min="9" max="9" width="15.33203125" bestFit="1" customWidth="1"/>
    <col min="10" max="10" width="13.88671875" customWidth="1"/>
  </cols>
  <sheetData>
    <row r="1" spans="1:16" x14ac:dyDescent="0.3">
      <c r="A1" t="s">
        <v>106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97</v>
      </c>
      <c r="J1" s="11" t="s">
        <v>96</v>
      </c>
      <c r="P1" s="28"/>
    </row>
    <row r="2" spans="1:16" x14ac:dyDescent="0.3">
      <c r="A2" t="s">
        <v>95</v>
      </c>
      <c r="B2" s="1">
        <v>45229.735324074078</v>
      </c>
      <c r="C2">
        <v>1912.7963549999999</v>
      </c>
      <c r="D2">
        <v>7075.9985829999996</v>
      </c>
      <c r="E2">
        <v>9168.3040689999998</v>
      </c>
      <c r="F2">
        <f t="shared" ref="F2:F8" si="0">E2/D2</f>
        <v>1.2956904896825077</v>
      </c>
      <c r="G2">
        <v>4.0008549999999996</v>
      </c>
      <c r="H2">
        <v>3.995819</v>
      </c>
      <c r="I2">
        <f t="shared" ref="I2:I8" si="1">G2-H2</f>
        <v>5.0359999999995964E-3</v>
      </c>
      <c r="J2">
        <f t="shared" ref="J2:J8" si="2">G2/F2</f>
        <v>3.0878169067833152</v>
      </c>
      <c r="P2" s="28"/>
    </row>
    <row r="3" spans="1:16" x14ac:dyDescent="0.3">
      <c r="A3" t="s">
        <v>94</v>
      </c>
      <c r="B3" s="1">
        <v>45229.769502314812</v>
      </c>
      <c r="C3">
        <v>1829.13878</v>
      </c>
      <c r="D3">
        <v>7241.055652</v>
      </c>
      <c r="E3">
        <v>9314.5864010000005</v>
      </c>
      <c r="F3">
        <f t="shared" si="0"/>
        <v>1.2863575214240046</v>
      </c>
      <c r="G3">
        <v>4.0000920000000004</v>
      </c>
      <c r="H3">
        <v>3.9950199999999998</v>
      </c>
      <c r="I3">
        <f t="shared" si="1"/>
        <v>5.0720000000006316E-3</v>
      </c>
      <c r="J3">
        <f t="shared" si="2"/>
        <v>3.1096269375965377</v>
      </c>
      <c r="P3" s="28"/>
    </row>
    <row r="4" spans="1:16" x14ac:dyDescent="0.3">
      <c r="A4" t="s">
        <v>93</v>
      </c>
      <c r="B4" s="1">
        <v>45232.558240740742</v>
      </c>
      <c r="C4">
        <v>611.95763399999998</v>
      </c>
      <c r="D4">
        <v>7531.6509530000003</v>
      </c>
      <c r="E4">
        <v>9951.4318739999999</v>
      </c>
      <c r="F4">
        <f t="shared" si="0"/>
        <v>1.3212816069279145</v>
      </c>
      <c r="G4">
        <v>3.999158</v>
      </c>
      <c r="H4">
        <v>3.994221</v>
      </c>
      <c r="I4">
        <f t="shared" si="1"/>
        <v>4.9369999999999692E-3</v>
      </c>
      <c r="J4">
        <f t="shared" si="2"/>
        <v>3.0267264593944985</v>
      </c>
      <c r="P4" s="28"/>
    </row>
    <row r="5" spans="1:16" x14ac:dyDescent="0.3">
      <c r="A5" t="s">
        <v>13</v>
      </c>
      <c r="B5" s="1">
        <v>45235.551921296297</v>
      </c>
      <c r="C5">
        <v>936.58464100000003</v>
      </c>
      <c r="D5">
        <v>7849.1800819999999</v>
      </c>
      <c r="E5">
        <v>9522.7807200000007</v>
      </c>
      <c r="F5">
        <f t="shared" si="0"/>
        <v>1.2132198039178586</v>
      </c>
      <c r="G5">
        <v>3.9979979999999999</v>
      </c>
      <c r="H5">
        <f>G5-0.0054</f>
        <v>3.9925980000000001</v>
      </c>
      <c r="I5">
        <f t="shared" si="1"/>
        <v>5.3999999999998494E-3</v>
      </c>
      <c r="J5">
        <f t="shared" si="2"/>
        <v>3.2953616377586643</v>
      </c>
    </row>
    <row r="6" spans="1:16" x14ac:dyDescent="0.3">
      <c r="A6" t="s">
        <v>15</v>
      </c>
      <c r="B6" s="1">
        <v>45235.586354166669</v>
      </c>
      <c r="C6">
        <v>917.64049</v>
      </c>
      <c r="D6">
        <v>7734.4131799999996</v>
      </c>
      <c r="E6">
        <v>9337.7775629999996</v>
      </c>
      <c r="F6">
        <f t="shared" si="0"/>
        <v>1.2073026544723591</v>
      </c>
      <c r="G6">
        <v>3.9972249999999998</v>
      </c>
      <c r="H6">
        <v>3.991825</v>
      </c>
      <c r="I6">
        <f t="shared" si="1"/>
        <v>5.3999999999998494E-3</v>
      </c>
      <c r="J6">
        <f t="shared" si="2"/>
        <v>3.3108723692378126</v>
      </c>
    </row>
    <row r="7" spans="1:16" x14ac:dyDescent="0.3">
      <c r="A7" t="s">
        <v>92</v>
      </c>
      <c r="B7" s="1">
        <v>45259.768703703703</v>
      </c>
      <c r="C7">
        <v>425.65026399999999</v>
      </c>
      <c r="D7">
        <v>7175.1726619999999</v>
      </c>
      <c r="E7">
        <v>9828.3038670000005</v>
      </c>
      <c r="F7">
        <f t="shared" si="0"/>
        <v>1.3697654857911767</v>
      </c>
      <c r="G7">
        <v>3.9612059999999998</v>
      </c>
      <c r="H7">
        <v>3.9560559999999998</v>
      </c>
      <c r="I7">
        <f t="shared" si="1"/>
        <v>5.1499999999999879E-3</v>
      </c>
      <c r="J7">
        <f t="shared" si="2"/>
        <v>2.8918862689199725</v>
      </c>
    </row>
    <row r="8" spans="1:16" x14ac:dyDescent="0.3">
      <c r="A8" t="s">
        <v>91</v>
      </c>
      <c r="B8" s="1">
        <v>45259.803900462961</v>
      </c>
      <c r="C8">
        <v>431.04060299999998</v>
      </c>
      <c r="D8">
        <v>7184.8336319999999</v>
      </c>
      <c r="E8">
        <v>9852.8002680000009</v>
      </c>
      <c r="F8">
        <f t="shared" si="0"/>
        <v>1.3713331125883474</v>
      </c>
      <c r="G8">
        <v>3.9604080000000002</v>
      </c>
      <c r="H8">
        <v>3.9552649999999998</v>
      </c>
      <c r="I8">
        <f t="shared" si="1"/>
        <v>5.1430000000003417E-3</v>
      </c>
      <c r="J8">
        <f t="shared" si="2"/>
        <v>2.8879985203047105</v>
      </c>
    </row>
    <row r="11" spans="1:16" ht="58.8" customHeight="1" x14ac:dyDescent="0.3">
      <c r="E11" s="12" t="s">
        <v>107</v>
      </c>
      <c r="G11" s="12" t="s">
        <v>90</v>
      </c>
      <c r="H11" t="s">
        <v>88</v>
      </c>
      <c r="I11" s="12" t="s">
        <v>89</v>
      </c>
      <c r="J11" t="s">
        <v>88</v>
      </c>
    </row>
    <row r="12" spans="1:16" x14ac:dyDescent="0.3">
      <c r="A12" t="s">
        <v>87</v>
      </c>
      <c r="E12">
        <f>F13-F12</f>
        <v>3.0108969907378196</v>
      </c>
      <c r="F12" s="1">
        <f>B4</f>
        <v>45232.558240740742</v>
      </c>
      <c r="G12">
        <f>J4</f>
        <v>3.0267264593944985</v>
      </c>
      <c r="H12">
        <f>2*_xlfn.STDEV.P(J3:J5)</f>
        <v>0.22463276419296652</v>
      </c>
      <c r="I12">
        <f>I4</f>
        <v>4.9369999999999692E-3</v>
      </c>
      <c r="J12">
        <f>2*_xlfn.STDEV.P(I3:I5)</f>
        <v>3.8883186883539308E-4</v>
      </c>
    </row>
    <row r="13" spans="1:16" x14ac:dyDescent="0.3">
      <c r="A13" t="s">
        <v>86</v>
      </c>
      <c r="E13">
        <f>F14-F13</f>
        <v>24.217164351852261</v>
      </c>
      <c r="F13" s="1">
        <f>B5+(B6-B5)/2</f>
        <v>45235.56913773148</v>
      </c>
      <c r="G13">
        <f>AVERAGE(J5:J6)</f>
        <v>3.3031170034982384</v>
      </c>
      <c r="H13">
        <f>2*_xlfn.STDEV.P(J5:J6)</f>
        <v>1.5510731479148276E-2</v>
      </c>
      <c r="I13">
        <f>AVERAGE(I5:I6)</f>
        <v>5.3999999999998494E-3</v>
      </c>
      <c r="J13">
        <f>2*_xlfn.STDEV.P(I4:I7)</f>
        <v>3.8701001279025309E-4</v>
      </c>
    </row>
    <row r="14" spans="1:16" x14ac:dyDescent="0.3">
      <c r="A14" t="s">
        <v>85</v>
      </c>
      <c r="F14" s="1">
        <f>B7+(B8-B7)/2</f>
        <v>45259.786302083332</v>
      </c>
      <c r="G14">
        <f>AVERAGE(J7:J8)</f>
        <v>2.8899423946123415</v>
      </c>
      <c r="H14">
        <f>2*_xlfn.STDEV.P(J5:J8)</f>
        <v>0.41332929501569421</v>
      </c>
      <c r="I14">
        <f>AVERAGE(I7:I8)</f>
        <v>5.1465000000001648E-3</v>
      </c>
      <c r="J14">
        <f>2*_xlfn.STDEV.P(I5:I8)</f>
        <v>2.5354831886612375E-4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Distilled</vt:lpstr>
      <vt:lpstr>Raw Data and Corrections</vt:lpstr>
      <vt:lpstr>Diffusivities</vt:lpstr>
      <vt:lpstr>STDs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Thyer</dc:creator>
  <cp:lastModifiedBy>Thyer, Benjamin J.</cp:lastModifiedBy>
  <dcterms:created xsi:type="dcterms:W3CDTF">2024-12-05T02:26:27Z</dcterms:created>
  <dcterms:modified xsi:type="dcterms:W3CDTF">2026-08-26T12:53:08Z</dcterms:modified>
</cp:coreProperties>
</file>